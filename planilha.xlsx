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9" documentId="13_ncr:1_{0A10D8D4-8450-4366-8075-B53B08E6B7EA}" xr6:coauthVersionLast="47" xr6:coauthVersionMax="47" xr10:uidLastSave="{7D67AA94-C73E-46C5-9469-17B3B77F3B55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308" i="3" l="1"/>
  <c r="B309" i="3" s="1"/>
  <c r="B310" i="3" s="1"/>
  <c r="E311" i="3"/>
  <c r="K299" i="4"/>
  <c r="K300" i="4"/>
  <c r="K301" i="4"/>
  <c r="K302" i="4"/>
  <c r="K303" i="4"/>
  <c r="K304" i="4"/>
  <c r="K305" i="4"/>
  <c r="K306" i="4"/>
  <c r="K307" i="4"/>
  <c r="K308" i="4"/>
  <c r="K309" i="4"/>
  <c r="K310" i="4"/>
  <c r="J28" i="4"/>
  <c r="J55" i="4"/>
  <c r="J82" i="4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332" i="6"/>
  <c r="J312" i="6"/>
  <c r="J313" i="6"/>
  <c r="J314" i="6"/>
  <c r="J31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326" i="5"/>
  <c r="J327" i="5"/>
  <c r="J328" i="5"/>
  <c r="J329" i="5"/>
  <c r="J330" i="5"/>
  <c r="J331" i="5"/>
  <c r="J332" i="5"/>
  <c r="J333" i="5"/>
  <c r="J334" i="5"/>
  <c r="J335" i="5"/>
  <c r="J336" i="5"/>
  <c r="J337" i="5"/>
  <c r="J312" i="5"/>
  <c r="J313" i="5"/>
  <c r="J314" i="5"/>
  <c r="J315" i="5"/>
  <c r="J316" i="5"/>
  <c r="J317" i="5"/>
  <c r="J318" i="5"/>
  <c r="J319" i="5"/>
  <c r="J320" i="5"/>
  <c r="J321" i="5"/>
  <c r="J322" i="5"/>
  <c r="J323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J326" i="4"/>
  <c r="J327" i="4"/>
  <c r="J328" i="4"/>
  <c r="J329" i="4"/>
  <c r="J330" i="4"/>
  <c r="J331" i="4"/>
  <c r="J332" i="4"/>
  <c r="J333" i="4"/>
  <c r="J334" i="4"/>
  <c r="J335" i="4"/>
  <c r="J336" i="4"/>
  <c r="J33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I299" i="4"/>
  <c r="I300" i="4"/>
  <c r="I301" i="4"/>
  <c r="I302" i="4"/>
  <c r="I303" i="4"/>
  <c r="I304" i="4"/>
  <c r="I305" i="4"/>
  <c r="I306" i="4"/>
  <c r="I307" i="4"/>
  <c r="I308" i="4"/>
  <c r="I309" i="4"/>
  <c r="I310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326" i="6"/>
  <c r="J326" i="6" s="1"/>
  <c r="H327" i="6"/>
  <c r="J327" i="6" s="1"/>
  <c r="H328" i="6"/>
  <c r="J328" i="6" s="1"/>
  <c r="H329" i="6"/>
  <c r="J329" i="6" s="1"/>
  <c r="H330" i="6"/>
  <c r="J330" i="6" s="1"/>
  <c r="H331" i="6"/>
  <c r="J331" i="6" s="1"/>
  <c r="H332" i="6"/>
  <c r="H333" i="6"/>
  <c r="J333" i="6" s="1"/>
  <c r="H334" i="6"/>
  <c r="J334" i="6" s="1"/>
  <c r="H335" i="6"/>
  <c r="J335" i="6" s="1"/>
  <c r="H336" i="6"/>
  <c r="J336" i="6" s="1"/>
  <c r="H337" i="6"/>
  <c r="J337" i="6" s="1"/>
  <c r="H312" i="6"/>
  <c r="H313" i="6"/>
  <c r="H314" i="6"/>
  <c r="H315" i="6"/>
  <c r="H316" i="6"/>
  <c r="J316" i="6" s="1"/>
  <c r="H317" i="6"/>
  <c r="J317" i="6" s="1"/>
  <c r="H318" i="6"/>
  <c r="J318" i="6" s="1"/>
  <c r="H319" i="6"/>
  <c r="J319" i="6" s="1"/>
  <c r="H320" i="6"/>
  <c r="J320" i="6" s="1"/>
  <c r="H321" i="6"/>
  <c r="J321" i="6" s="1"/>
  <c r="H322" i="6"/>
  <c r="J322" i="6" s="1"/>
  <c r="H323" i="6"/>
  <c r="J323" i="6" s="1"/>
  <c r="H307" i="6"/>
  <c r="J307" i="6" s="1"/>
  <c r="H308" i="6"/>
  <c r="J308" i="6" s="1"/>
  <c r="H309" i="6"/>
  <c r="J309" i="6" s="1"/>
  <c r="H310" i="6"/>
  <c r="J31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06" i="5"/>
  <c r="J306" i="5" s="1"/>
  <c r="H308" i="5"/>
  <c r="J308" i="5" s="1"/>
  <c r="H309" i="5"/>
  <c r="J309" i="5" s="1"/>
  <c r="H310" i="5"/>
  <c r="J310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F313" i="6"/>
  <c r="F314" i="6"/>
  <c r="F315" i="6"/>
  <c r="F316" i="6"/>
  <c r="F317" i="6"/>
  <c r="F318" i="6"/>
  <c r="F319" i="6"/>
  <c r="F320" i="6"/>
  <c r="F321" i="6"/>
  <c r="F322" i="6"/>
  <c r="F323" i="6"/>
  <c r="F299" i="6"/>
  <c r="F300" i="6"/>
  <c r="F301" i="6"/>
  <c r="F302" i="6"/>
  <c r="F303" i="6"/>
  <c r="F304" i="6"/>
  <c r="F305" i="6"/>
  <c r="F306" i="6"/>
  <c r="F307" i="6"/>
  <c r="F308" i="6"/>
  <c r="F309" i="6"/>
  <c r="F310" i="6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338" i="4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338" i="5"/>
  <c r="T338" i="5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338" i="6"/>
  <c r="T338" i="6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338" i="6"/>
  <c r="H352" i="6" s="1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338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338" i="4"/>
  <c r="H35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352" i="4"/>
  <c r="T352" i="4" s="1"/>
  <c r="T338" i="4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52" i="6"/>
  <c r="T352" i="6" s="1"/>
  <c r="J379" i="6"/>
  <c r="T379" i="6" s="1"/>
  <c r="J595" i="6"/>
  <c r="T595" i="6" s="1"/>
  <c r="J838" i="6"/>
  <c r="T838" i="6" s="1"/>
  <c r="J352" i="5"/>
  <c r="T352" i="5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352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H33" i="1"/>
  <c r="H26" i="1"/>
  <c r="H20" i="1"/>
  <c r="H34" i="1"/>
  <c r="H21" i="1"/>
  <c r="H30" i="1"/>
  <c r="H18" i="1"/>
  <c r="H22" i="1"/>
  <c r="H16" i="1"/>
  <c r="J16" i="1" s="1"/>
  <c r="H23" i="1"/>
  <c r="H24" i="1"/>
  <c r="H17" i="1"/>
  <c r="H25" i="1"/>
  <c r="H27" i="1"/>
  <c r="H19" i="1"/>
  <c r="H29" i="1"/>
  <c r="H32" i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G352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H306" i="6" s="1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K323" i="5"/>
  <c r="Q322" i="5"/>
  <c r="K322" i="5"/>
  <c r="Q321" i="5"/>
  <c r="K321" i="5"/>
  <c r="Q320" i="5"/>
  <c r="K320" i="5"/>
  <c r="Q319" i="5"/>
  <c r="K319" i="5"/>
  <c r="Q318" i="5"/>
  <c r="K318" i="5"/>
  <c r="Q317" i="5"/>
  <c r="K317" i="5"/>
  <c r="Q316" i="5"/>
  <c r="K316" i="5"/>
  <c r="Q315" i="5"/>
  <c r="K315" i="5"/>
  <c r="Q314" i="5"/>
  <c r="K314" i="5"/>
  <c r="Q313" i="5"/>
  <c r="K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G311" i="5"/>
  <c r="H307" i="5" s="1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299" i="6" l="1"/>
  <c r="H300" i="6"/>
  <c r="J300" i="6" s="1"/>
  <c r="H301" i="6"/>
  <c r="J301" i="6" s="1"/>
  <c r="H302" i="6"/>
  <c r="J302" i="6" s="1"/>
  <c r="H303" i="6"/>
  <c r="J303" i="6" s="1"/>
  <c r="H304" i="6"/>
  <c r="J304" i="6" s="1"/>
  <c r="H305" i="6"/>
  <c r="J305" i="6" s="1"/>
  <c r="H300" i="5"/>
  <c r="J300" i="5" s="1"/>
  <c r="H301" i="5"/>
  <c r="J301" i="5" s="1"/>
  <c r="H302" i="5"/>
  <c r="J302" i="5" s="1"/>
  <c r="H303" i="5"/>
  <c r="J303" i="5" s="1"/>
  <c r="H304" i="5"/>
  <c r="J304" i="5" s="1"/>
  <c r="H299" i="5"/>
  <c r="H305" i="5"/>
  <c r="J305" i="5" s="1"/>
  <c r="H314" i="4"/>
  <c r="J314" i="4" s="1"/>
  <c r="H317" i="4"/>
  <c r="J317" i="4" s="1"/>
  <c r="H321" i="4"/>
  <c r="J321" i="4" s="1"/>
  <c r="H315" i="4"/>
  <c r="J315" i="4" s="1"/>
  <c r="H320" i="4"/>
  <c r="J320" i="4" s="1"/>
  <c r="H312" i="4"/>
  <c r="H316" i="4"/>
  <c r="J316" i="4" s="1"/>
  <c r="H318" i="4"/>
  <c r="J318" i="4" s="1"/>
  <c r="H322" i="4"/>
  <c r="J322" i="4" s="1"/>
  <c r="H313" i="4"/>
  <c r="J313" i="4" s="1"/>
  <c r="H319" i="4"/>
  <c r="J319" i="4" s="1"/>
  <c r="H323" i="4"/>
  <c r="J323" i="4" s="1"/>
  <c r="H300" i="4"/>
  <c r="J300" i="4" s="1"/>
  <c r="H301" i="4"/>
  <c r="J301" i="4" s="1"/>
  <c r="H302" i="4"/>
  <c r="J302" i="4" s="1"/>
  <c r="H303" i="4"/>
  <c r="J303" i="4" s="1"/>
  <c r="H304" i="4"/>
  <c r="J304" i="4" s="1"/>
  <c r="H305" i="4"/>
  <c r="J305" i="4" s="1"/>
  <c r="H306" i="4"/>
  <c r="J306" i="4" s="1"/>
  <c r="H307" i="4"/>
  <c r="J307" i="4" s="1"/>
  <c r="H308" i="4"/>
  <c r="J308" i="4" s="1"/>
  <c r="H309" i="4"/>
  <c r="J309" i="4" s="1"/>
  <c r="H310" i="4"/>
  <c r="J310" i="4" s="1"/>
  <c r="H299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11" i="6" l="1"/>
  <c r="H325" i="6" s="1"/>
  <c r="J299" i="6"/>
  <c r="J311" i="6" s="1"/>
  <c r="H311" i="5"/>
  <c r="H325" i="5" s="1"/>
  <c r="J299" i="5"/>
  <c r="J311" i="5" s="1"/>
  <c r="H324" i="4"/>
  <c r="J312" i="4"/>
  <c r="J324" i="4" s="1"/>
  <c r="T324" i="4" s="1"/>
  <c r="H311" i="4"/>
  <c r="H325" i="4" s="1"/>
  <c r="J299" i="4"/>
  <c r="J311" i="4" s="1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25" i="6" l="1"/>
  <c r="T325" i="6" s="1"/>
  <c r="T311" i="6"/>
  <c r="J325" i="5"/>
  <c r="T325" i="5" s="1"/>
  <c r="T311" i="5"/>
  <c r="J325" i="4"/>
  <c r="T325" i="4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H15" i="1" l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<sst xmlns="http://schemas.openxmlformats.org/spreadsheetml/2006/main" count="5642" uniqueCount="333">
  <si>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</si>
  <si>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</si>
  <si>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</si>
  <si>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</si>
  <si>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</si>
  <si>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</si>
  <si>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</si>
  <si>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</si>
  <si>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</si>
  <si>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</si>
  <si>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</si>
  <si>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</si>
  <si>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</si>
  <si>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</si>
  <si>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</si>
  <si>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</si>
  <si>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</si>
  <si>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</si>
  <si>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</si>
  <si>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</si>
  <si>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</si>
  <si>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</si>
  <si>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</si>
  <si>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</si>
  <si>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</si>
  <si>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</si>
  <si>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</si>
  <si>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</si>
  <si>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</si>
  <si>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</si>
  <si>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</si>
  <si>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</si>
  <si>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</si>
  <si>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</si>
  <si>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</si>
  <si>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</si>
  <si>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</si>
  <si>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</si>
  <si>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</si>
  <si>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</si>
  <si>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</si>
  <si>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</si>
  <si>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</si>
  <si>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</si>
  <si>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</si>
  <si>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</si>
  <si>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</si>
  <si>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</si>
  <si>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</si>
  <si>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</si>
  <si>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</si>
  <si>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</si>
  <si>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</si>
  <si>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</si>
  <si>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</si>
  <si>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</si>
  <si>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</si>
  <si>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</si>
  <si>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</si>
  <si>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</si>
  <si>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</si>
  <si>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</si>
  <si>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</si>
  <si>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</si>
  <si>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</si>
  <si>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</si>
  <si>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</si>
  <si>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</si>
  <si>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</si>
  <si>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</si>
  <si>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</si>
  <si>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</si>
  <si>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</si>
  <si>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</si>
  <si>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</si>
  <si>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</si>
  <si>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</si>
  <si>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</si>
  <si>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</si>
  <si>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</si>
  <si>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</si>
  <si>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</si>
  <si>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</si>
  <si>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</si>
  <si>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</si>
  <si>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</si>
  <si>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</si>
  <si>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</si>
  <si>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</si>
  <si>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</si>
  <si>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</si>
  <si>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</si>
  <si>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</si>
  <si>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</si>
  <si>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</si>
  <si>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</si>
  <si>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</si>
  <si>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</si>
  <si>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</si>
  <si>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</si>
  <si>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</si>
  <si>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</si>
  <si>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</si>
  <si>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</si>
  <si>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</si>
  <si>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</si>
  <si>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</si>
  <si>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</si>
  <si>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</si>
  <si>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</si>
  <si>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</si>
  <si>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</si>
  <si>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</si>
  <si>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</si>
  <si>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</si>
  <si>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</si>
  <si>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</si>
  <si>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</si>
  <si>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</si>
  <si>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</si>
  <si>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</si>
  <si>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</si>
  <si>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</si>
  <si>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</si>
  <si>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</si>
  <si>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</si>
  <si>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</si>
  <si>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</si>
  <si>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</si>
  <si>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</si>
  <si>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</si>
  <si>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</si>
  <si>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</si>
  <si>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</si>
  <si>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</si>
  <si>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</si>
  <si>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</si>
  <si>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</si>
  <si>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</si>
  <si>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</si>
  <si>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</si>
  <si>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</si>
  <si>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</si>
  <si>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</si>
  <si>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</si>
  <si>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</si>
  <si>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</si>
  <si>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</si>
  <si>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</si>
  <si>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</si>
  <si>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</si>
  <si>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</si>
  <si>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</si>
  <si>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</si>
  <si>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</si>
  <si>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</si>
  <si>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</si>
  <si>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</si>
  <si>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</si>
  <si>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</si>
  <si>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</si>
  <si>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</si>
  <si>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</si>
  <si>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</si>
  <si>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</si>
  <si>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</si>
  <si>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</si>
  <si>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</si>
  <si>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</si>
  <si>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</si>
  <si>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</si>
  <si>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</si>
  <si>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</si>
  <si>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</si>
  <si>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</si>
  <si>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</si>
  <si>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</si>
  <si>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</si>
  <si>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</si>
  <si>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</si>
  <si>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</si>
  <si>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</si>
  <si>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</si>
  <si>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</si>
  <si>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</si>
  <si>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</si>
  <si>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</si>
  <si>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</si>
  <si>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</si>
  <si>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</si>
  <si>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</si>
  <si>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</si>
  <si>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</si>
  <si>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</si>
  <si>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</si>
  <si>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</si>
  <si>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</si>
  <si>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</si>
  <si>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</si>
  <si>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</si>
  <si>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</si>
  <si>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</si>
  <si>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</si>
  <si>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</si>
  <si>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</si>
  <si>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</si>
  <si>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</si>
  <si>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</si>
  <si>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</si>
  <si>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</si>
  <si>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</si>
  <si>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</si>
  <si>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</si>
  <si>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</si>
  <si>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</si>
  <si>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</si>
  <si>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</si>
  <si>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</si>
  <si>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</si>
  <si>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</si>
  <si>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</si>
  <si>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</si>
  <si>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</si>
  <si>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</si>
  <si>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</si>
  <si>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</si>
  <si>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</si>
  <si>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</si>
  <si>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</si>
  <si>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</si>
  <si>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</si>
  <si>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</si>
  <si>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</si>
  <si>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</si>
  <si>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</si>
  <si>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</si>
  <si>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</si>
  <si>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</si>
  <si>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</si>
  <si>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</si>
  <si>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</si>
  <si>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</si>
  <si>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</si>
  <si>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</si>
  <si>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</si>
  <si>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</si>
  <si>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</si>
  <si>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</si>
  <si>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</si>
  <si>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</si>
  <si>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</si>
  <si>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</si>
  <si>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</si>
  <si>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</si>
  <si>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</si>
  <si>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</si>
  <si>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</si>
  <si>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</si>
  <si>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</si>
  <si>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</si>
  <si>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</si>
  <si>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</si>
  <si>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</si>
  <si>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/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</si>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</sst>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27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6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K1" sqref="K1:K104857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hidden="1" customWidth="1"/>
  </cols>
  <sheetData>
    <row r="1" spans="1:10" ht="31.5" customHeight="1">
      <c r="A1" s="156" t="s">
        <v>0</v>
      </c>
      <c r="B1" s="157"/>
      <c r="C1" s="157"/>
      <c r="D1" s="157"/>
      <c r="E1" s="157"/>
      <c r="F1" s="157"/>
      <c r="G1" s="157"/>
      <c r="H1" s="157"/>
      <c r="I1" s="157"/>
      <c r="J1" s="157"/>
    </row>
    <row r="2" spans="1:10" ht="24.75" customHeight="1">
      <c r="A2" s="154"/>
      <c r="B2" s="15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8" t="s">
        <v>8</v>
      </c>
    </row>
    <row r="3" spans="1:10" ht="19.5" customHeight="1">
      <c r="A3" s="6" t="s">
        <v>9</v>
      </c>
      <c r="B3" s="71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9" t="s">
        <v>8</v>
      </c>
    </row>
    <row r="4" spans="1:10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7"/>
      <c r="I4" s="97"/>
      <c r="J4" s="130" t="str">
        <f>IF(H4=0,"-",1-ABS(I4-H4)/H4)</f>
        <v>-</v>
      </c>
    </row>
    <row r="5" spans="1:10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7"/>
      <c r="I5" s="97"/>
      <c r="J5" s="130" t="str">
        <f>IF(H5=0,"-",1-ABS(I5-H5)/H5)</f>
        <v>-</v>
      </c>
    </row>
    <row r="6" spans="1:10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7"/>
      <c r="I6" s="97"/>
      <c r="J6" s="130" t="str">
        <f t="shared" ref="J6:J34" si="1">IF(H6=0,"-",1-ABS(I6-H6)/H6)</f>
        <v>-</v>
      </c>
    </row>
    <row r="7" spans="1:10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7"/>
      <c r="I7" s="97"/>
      <c r="J7" s="130" t="str">
        <f t="shared" si="1"/>
        <v>-</v>
      </c>
    </row>
    <row r="8" spans="1:10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7"/>
      <c r="I8" s="97"/>
      <c r="J8" s="130" t="str">
        <f t="shared" si="1"/>
        <v>-</v>
      </c>
    </row>
    <row r="9" spans="1:10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7"/>
      <c r="I9" s="97"/>
      <c r="J9" s="130" t="str">
        <f t="shared" si="1"/>
        <v>-</v>
      </c>
    </row>
    <row r="10" spans="1:10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7"/>
      <c r="I10" s="97"/>
      <c r="J10" s="130" t="str">
        <f t="shared" si="1"/>
        <v>-</v>
      </c>
    </row>
    <row r="11" spans="1:10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7"/>
      <c r="I11" s="97"/>
      <c r="J11" s="130" t="str">
        <f t="shared" si="1"/>
        <v>-</v>
      </c>
    </row>
    <row r="12" spans="1:10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7"/>
      <c r="I12" s="97"/>
      <c r="J12" s="130" t="str">
        <f t="shared" si="1"/>
        <v>-</v>
      </c>
    </row>
    <row r="13" spans="1:10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7"/>
      <c r="I13" s="97"/>
      <c r="J13" s="130" t="str">
        <f t="shared" si="1"/>
        <v>-</v>
      </c>
    </row>
    <row r="14" spans="1:10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7"/>
      <c r="I14" s="97"/>
      <c r="J14" s="130" t="str">
        <f t="shared" si="1"/>
        <v>-</v>
      </c>
    </row>
    <row r="15" spans="1:10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1'!S325,"")</f>
        <v>0</v>
      </c>
      <c r="E15" s="11">
        <f>IFERROR('Linha 2'!S325,"")</f>
        <v>0</v>
      </c>
      <c r="F15" s="11">
        <f>IFERROR('Linha 3'!S325,"")</f>
        <v>0</v>
      </c>
      <c r="G15" s="12">
        <f t="shared" si="0"/>
        <v>0</v>
      </c>
      <c r="H15" s="97">
        <f>IFERROR('Linha 1'!T325+'Linha 2'!T325+'Linha 3'!T325,0)</f>
        <v>0</v>
      </c>
      <c r="I15" s="97"/>
      <c r="J15" s="130" t="str">
        <f t="shared" si="1"/>
        <v>-</v>
      </c>
    </row>
    <row r="16" spans="1:10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1'!S352,"")</f>
        <v>0</v>
      </c>
      <c r="E16" s="8">
        <f>IFERROR('Linha 2'!S352,"")</f>
        <v>0</v>
      </c>
      <c r="F16" s="8">
        <f>IFERROR('Linha 3'!S352,"")</f>
        <v>0</v>
      </c>
      <c r="G16" s="9">
        <f t="shared" si="0"/>
        <v>0</v>
      </c>
      <c r="H16" s="97">
        <f>IFERROR('Linha 1'!T352+'Linha 2'!T352+'Linha 3'!T352,0)</f>
        <v>0</v>
      </c>
      <c r="I16" s="97"/>
      <c r="J16" s="130" t="str">
        <f t="shared" si="1"/>
        <v>-</v>
      </c>
    </row>
    <row r="17" spans="1:10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7">
        <f>IFERROR('Linha 1'!T379+'Linha 2'!T379+'Linha 3'!T379,0)</f>
        <v>0</v>
      </c>
      <c r="I17" s="97"/>
      <c r="J17" s="130" t="str">
        <f t="shared" si="1"/>
        <v>-</v>
      </c>
    </row>
    <row r="18" spans="1:10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7">
        <f>IFERROR('Linha 1'!T406+'Linha 2'!T406+'Linha 3'!T406,0)</f>
        <v>0</v>
      </c>
      <c r="I18" s="97"/>
      <c r="J18" s="130" t="str">
        <f t="shared" si="1"/>
        <v>-</v>
      </c>
    </row>
    <row r="19" spans="1:10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7">
        <f>IFERROR('Linha 1'!T433+'Linha 2'!T433+'Linha 3'!T433,0)</f>
        <v>0</v>
      </c>
      <c r="I19" s="97"/>
      <c r="J19" s="130" t="str">
        <f t="shared" si="1"/>
        <v>-</v>
      </c>
    </row>
    <row r="20" spans="1:10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7">
        <f>IFERROR('Linha 1'!T460+'Linha 2'!T460+'Linha 3'!T460,0)</f>
        <v>0</v>
      </c>
      <c r="I20" s="97"/>
      <c r="J20" s="130" t="str">
        <f t="shared" si="1"/>
        <v>-</v>
      </c>
    </row>
    <row r="21" spans="1:10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7">
        <f>IFERROR('Linha 1'!T487+'Linha 2'!T487+'Linha 3'!T487,0)</f>
        <v>0</v>
      </c>
      <c r="I21" s="97"/>
      <c r="J21" s="130" t="str">
        <f t="shared" si="1"/>
        <v>-</v>
      </c>
    </row>
    <row r="22" spans="1:10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7">
        <f>IFERROR('Linha 1'!T514+'Linha 2'!T514+'Linha 3'!T514,0)</f>
        <v>0</v>
      </c>
      <c r="I22" s="97"/>
      <c r="J22" s="130" t="str">
        <f t="shared" si="1"/>
        <v>-</v>
      </c>
    </row>
    <row r="23" spans="1:10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7">
        <f>IFERROR('Linha 1'!T541+'Linha 2'!T541+'Linha 3'!T541,0)</f>
        <v>0</v>
      </c>
      <c r="I23" s="97"/>
      <c r="J23" s="130" t="str">
        <f t="shared" si="1"/>
        <v>-</v>
      </c>
    </row>
    <row r="24" spans="1:10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7">
        <f>IFERROR('Linha 1'!T568+'Linha 2'!T568+'Linha 3'!T568,0)</f>
        <v>0</v>
      </c>
      <c r="I24" s="97"/>
      <c r="J24" s="130" t="str">
        <f t="shared" si="1"/>
        <v>-</v>
      </c>
    </row>
    <row r="25" spans="1:10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7">
        <f>IFERROR('Linha 1'!T595+'Linha 2'!T595+'Linha 3'!T595,0)</f>
        <v>0</v>
      </c>
      <c r="I25" s="97"/>
      <c r="J25" s="130" t="str">
        <f t="shared" si="1"/>
        <v>-</v>
      </c>
    </row>
    <row r="26" spans="1:10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7">
        <f>IFERROR('Linha 1'!T622+'Linha 2'!T622+'Linha 3'!T622,0)</f>
        <v>0</v>
      </c>
      <c r="I26" s="97"/>
      <c r="J26" s="130" t="str">
        <f t="shared" si="1"/>
        <v>-</v>
      </c>
    </row>
    <row r="27" spans="1:10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7">
        <f>IFERROR('Linha 1'!T649+'Linha 2'!T649+'Linha 3'!T649,0)</f>
        <v>0</v>
      </c>
      <c r="I27" s="97"/>
      <c r="J27" s="130" t="str">
        <f t="shared" si="1"/>
        <v>-</v>
      </c>
    </row>
    <row r="28" spans="1:10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7">
        <f>IFERROR('Linha 1'!T676+'Linha 2'!T676+'Linha 3'!T676,0)</f>
        <v>0</v>
      </c>
      <c r="I28" s="97"/>
      <c r="J28" s="130" t="str">
        <f t="shared" si="1"/>
        <v>-</v>
      </c>
    </row>
    <row r="29" spans="1:10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7">
        <f>IFERROR('Linha 1'!T703+'Linha 2'!T703+'Linha 3'!T703,0)</f>
        <v>0</v>
      </c>
      <c r="I29" s="97"/>
      <c r="J29" s="130" t="str">
        <f t="shared" si="1"/>
        <v>-</v>
      </c>
    </row>
    <row r="30" spans="1:10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7">
        <f>IFERROR('Linha 1'!T730+'Linha 2'!T730+'Linha 3'!T730,0)</f>
        <v>0</v>
      </c>
      <c r="I30" s="97"/>
      <c r="J30" s="130" t="str">
        <f t="shared" si="1"/>
        <v>-</v>
      </c>
    </row>
    <row r="31" spans="1:10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7">
        <f>IFERROR('Linha 1'!T757+'Linha 2'!T757+'Linha 3'!T757,0)</f>
        <v>0</v>
      </c>
      <c r="I31" s="97"/>
      <c r="J31" s="130" t="str">
        <f t="shared" si="1"/>
        <v>-</v>
      </c>
    </row>
    <row r="32" spans="1:10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7">
        <f>IFERROR('Linha 1'!T784+'Linha 2'!T784+'Linha 3'!T784,0)</f>
        <v>0</v>
      </c>
      <c r="I32" s="97"/>
      <c r="J32" s="130" t="str">
        <f t="shared" si="1"/>
        <v>-</v>
      </c>
    </row>
    <row r="33" spans="1:10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7">
        <f>IFERROR('Linha 1'!T811+'Linha 2'!T811+'Linha 3'!T811,0)</f>
        <v>0</v>
      </c>
      <c r="I33" s="97"/>
      <c r="J33" s="130" t="str">
        <f t="shared" si="1"/>
        <v>-</v>
      </c>
    </row>
    <row r="34" spans="1:10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7">
        <f>IFERROR('Linha 1'!T838+'Linha 2'!T838+'Linha 3'!T838,0)</f>
        <v>0</v>
      </c>
      <c r="I34" s="97"/>
      <c r="J34" s="130" t="str">
        <f t="shared" si="1"/>
        <v>-</v>
      </c>
    </row>
    <row r="35" spans="1:10" ht="14.25" customHeight="1">
      <c r="A35" s="155" t="s">
        <v>12</v>
      </c>
      <c r="B35" s="155"/>
      <c r="C35" s="13">
        <f t="shared" ref="C35:H35" si="2">IFERROR(SUM(C4:C34),"")</f>
        <v>37430140</v>
      </c>
      <c r="D35" s="13">
        <f t="shared" si="2"/>
        <v>12845630</v>
      </c>
      <c r="E35" s="13">
        <f t="shared" si="2"/>
        <v>6272590</v>
      </c>
      <c r="F35" s="13">
        <f t="shared" si="2"/>
        <v>15553450</v>
      </c>
      <c r="G35" s="13">
        <f t="shared" si="2"/>
        <v>34671670</v>
      </c>
      <c r="H35" s="98">
        <f t="shared" si="2"/>
        <v>0</v>
      </c>
      <c r="I35" s="98">
        <f>IFERROR(SUM(I4:I34),"")</f>
        <v>0</v>
      </c>
      <c r="J35" s="131" t="str">
        <f>IFERROR(AVERAGE(J4:J34),"-")</f>
        <v>-</v>
      </c>
    </row>
  </sheetData>
  <sheetProtection algorithmName="SHA-512" hashValue="5JckoUXmz43iSD8B5EsNhl40s6WGRPon/T9hCHCrXYHnRzvcfWSZ0IqDiHaCNPMiQ03I7mAegm0O/bbAqKB1Eg==" saltValue="hh6eDdhOrZvcF8TmoY92P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E15" sqref="E1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8" t="s">
        <v>13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9"/>
      <c r="N1" s="160" t="s">
        <v>14</v>
      </c>
      <c r="O1" s="160"/>
      <c r="P1" s="160"/>
      <c r="Q1" s="160"/>
      <c r="R1" s="160"/>
    </row>
    <row r="2" spans="1:18" ht="4.5" customHeight="1">
      <c r="M2" s="159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59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3">
        <v>0.35</v>
      </c>
      <c r="G4" s="95">
        <v>0.6</v>
      </c>
      <c r="J4" s="16" t="s">
        <v>21</v>
      </c>
      <c r="L4" s="16" t="s">
        <v>28</v>
      </c>
      <c r="M4" s="159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4">
        <v>0.23</v>
      </c>
      <c r="G5" s="96">
        <v>0.6</v>
      </c>
      <c r="J5" s="17" t="s">
        <v>22</v>
      </c>
      <c r="L5" s="17" t="s">
        <v>36</v>
      </c>
      <c r="M5" s="159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3">
        <v>0.21</v>
      </c>
      <c r="G6" s="95">
        <v>0.55000000000000004</v>
      </c>
      <c r="J6" s="16" t="s">
        <v>23</v>
      </c>
      <c r="L6" s="16" t="s">
        <v>44</v>
      </c>
      <c r="M6" s="159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4">
        <v>0.13</v>
      </c>
      <c r="G7" s="96">
        <v>0.55000000000000004</v>
      </c>
      <c r="J7" s="16" t="s">
        <v>24</v>
      </c>
      <c r="L7" s="17" t="s">
        <v>52</v>
      </c>
      <c r="M7" s="159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9"/>
      <c r="E8" s="100"/>
      <c r="F8" s="99"/>
      <c r="G8" s="101"/>
      <c r="H8" s="99"/>
      <c r="J8" s="17" t="s">
        <v>25</v>
      </c>
      <c r="L8" s="16" t="s">
        <v>57</v>
      </c>
      <c r="M8" s="159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9"/>
      <c r="E9" s="102"/>
      <c r="F9" s="99"/>
      <c r="G9" s="103"/>
      <c r="H9" s="99"/>
      <c r="J9" s="17"/>
      <c r="L9" s="17" t="s">
        <v>62</v>
      </c>
      <c r="M9" s="159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9"/>
      <c r="E10" s="100"/>
      <c r="F10" s="99"/>
      <c r="G10" s="101"/>
      <c r="H10" s="99"/>
      <c r="J10" s="16"/>
      <c r="L10" s="16" t="s">
        <v>68</v>
      </c>
      <c r="M10" s="159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9"/>
      <c r="E11" s="104"/>
      <c r="F11" s="99"/>
      <c r="G11" s="105"/>
      <c r="H11" s="99"/>
      <c r="J11" s="17"/>
      <c r="L11" s="17" t="s">
        <v>74</v>
      </c>
      <c r="M11" s="159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59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59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59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59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59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59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59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59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59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59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59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59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59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59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59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59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59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59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59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59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59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2" t="s">
        <v>160</v>
      </c>
      <c r="E33" s="114">
        <v>1000</v>
      </c>
      <c r="J33" s="17"/>
      <c r="L33" s="17" t="s">
        <v>161</v>
      </c>
      <c r="M33" s="159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59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59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59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59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59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59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59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59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59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59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59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59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59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59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59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59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59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59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59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59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59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59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59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59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59"/>
      <c r="N58" s="16"/>
      <c r="O58" s="16"/>
      <c r="P58" s="16" t="s">
        <v>214</v>
      </c>
      <c r="Q58" s="16"/>
      <c r="R58" s="16"/>
    </row>
    <row r="59" spans="1:18" ht="15" customHeight="1">
      <c r="M59" s="159"/>
      <c r="N59" s="17"/>
      <c r="O59" s="17"/>
      <c r="P59" s="17" t="s">
        <v>215</v>
      </c>
      <c r="Q59" s="17"/>
      <c r="R59" s="17"/>
    </row>
    <row r="60" spans="1:18" ht="15" customHeight="1">
      <c r="M60" s="159"/>
      <c r="N60" s="16"/>
      <c r="O60" s="16"/>
      <c r="P60" s="78" t="s">
        <v>110</v>
      </c>
      <c r="Q60" s="16"/>
      <c r="R60" s="16"/>
    </row>
    <row r="61" spans="1:18" ht="15" customHeight="1">
      <c r="M61" s="159"/>
      <c r="N61" s="17"/>
      <c r="O61" s="17"/>
      <c r="P61" s="17" t="s">
        <v>216</v>
      </c>
      <c r="Q61" s="17"/>
      <c r="R61" s="17"/>
    </row>
    <row r="62" spans="1:18" ht="15" customHeight="1">
      <c r="M62" s="159"/>
      <c r="N62" s="16"/>
      <c r="O62" s="16"/>
      <c r="P62" s="16" t="s">
        <v>217</v>
      </c>
      <c r="Q62" s="16"/>
      <c r="R62" s="16"/>
    </row>
    <row r="63" spans="1:18" ht="15" customHeight="1">
      <c r="M63" s="159"/>
      <c r="N63" s="17"/>
      <c r="O63" s="17"/>
      <c r="P63" s="17" t="s">
        <v>218</v>
      </c>
      <c r="Q63" s="17"/>
      <c r="R63" s="17"/>
    </row>
    <row r="64" spans="1:18" ht="15" customHeight="1">
      <c r="M64" s="159"/>
      <c r="N64" s="16"/>
      <c r="O64" s="16"/>
      <c r="P64" s="16" t="s">
        <v>219</v>
      </c>
      <c r="Q64" s="16"/>
      <c r="R64" s="16"/>
    </row>
    <row r="65" spans="13:18" ht="15" customHeight="1">
      <c r="M65" s="159"/>
      <c r="N65" s="17"/>
      <c r="O65" s="17"/>
      <c r="P65" s="17" t="s">
        <v>220</v>
      </c>
      <c r="Q65" s="17"/>
      <c r="R65" s="17"/>
    </row>
    <row r="66" spans="13:18" ht="15" customHeight="1">
      <c r="M66" s="159"/>
      <c r="N66" s="16"/>
      <c r="O66" s="16"/>
      <c r="P66" s="16" t="s">
        <v>221</v>
      </c>
      <c r="Q66" s="16"/>
      <c r="R66" s="16"/>
    </row>
    <row r="67" spans="13:18" ht="15" customHeight="1">
      <c r="M67" s="159"/>
      <c r="N67" s="17"/>
      <c r="O67" s="17"/>
      <c r="P67" s="17" t="s">
        <v>222</v>
      </c>
      <c r="Q67" s="17"/>
      <c r="R67" s="17"/>
    </row>
    <row r="68" spans="13:18" ht="15" customHeight="1">
      <c r="M68" s="159"/>
      <c r="N68" s="16"/>
      <c r="O68" s="16"/>
      <c r="P68" s="16" t="s">
        <v>223</v>
      </c>
      <c r="Q68" s="16"/>
      <c r="R68" s="16"/>
    </row>
    <row r="69" spans="13:18" ht="15" customHeight="1">
      <c r="M69" s="159"/>
      <c r="N69" s="17"/>
      <c r="O69" s="17"/>
      <c r="P69" s="17" t="s">
        <v>224</v>
      </c>
      <c r="Q69" s="17"/>
      <c r="R69" s="17"/>
    </row>
    <row r="70" spans="13:18" ht="15" customHeight="1">
      <c r="M70" s="159"/>
      <c r="N70" s="16"/>
      <c r="O70" s="16"/>
      <c r="P70" s="16" t="s">
        <v>225</v>
      </c>
      <c r="Q70" s="16"/>
      <c r="R70" s="16"/>
    </row>
    <row r="71" spans="13:18" ht="15" customHeight="1">
      <c r="M71" s="159"/>
      <c r="N71" s="17"/>
      <c r="O71" s="17"/>
      <c r="P71" s="17" t="s">
        <v>226</v>
      </c>
      <c r="Q71" s="17"/>
      <c r="R71" s="17"/>
    </row>
    <row r="72" spans="13:18" ht="15" customHeight="1">
      <c r="M72" s="159"/>
      <c r="N72" s="16"/>
      <c r="O72" s="16"/>
      <c r="P72" s="16" t="s">
        <v>227</v>
      </c>
      <c r="Q72" s="16"/>
      <c r="R72" s="16"/>
    </row>
    <row r="73" spans="13:18" ht="15" customHeight="1">
      <c r="M73" s="159"/>
      <c r="N73" s="17"/>
      <c r="O73" s="17"/>
      <c r="P73" s="17" t="s">
        <v>228</v>
      </c>
      <c r="Q73" s="17"/>
      <c r="R73" s="17"/>
    </row>
    <row r="74" spans="13:18" ht="15" customHeight="1">
      <c r="M74" s="159"/>
      <c r="N74" s="16"/>
      <c r="O74" s="16"/>
      <c r="P74" s="16" t="s">
        <v>229</v>
      </c>
      <c r="Q74" s="16"/>
      <c r="R74" s="16"/>
    </row>
    <row r="75" spans="13:18" ht="15" customHeight="1">
      <c r="M75" s="159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322" activePane="bottomLeft" state="frozen"/>
      <selection pane="bottomLeft" activeCell="F336" sqref="F33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7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8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2" t="s">
        <v>241</v>
      </c>
      <c r="B14" s="153"/>
      <c r="C14" s="153"/>
      <c r="D14" s="153"/>
      <c r="E14" s="16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2" t="s">
        <v>244</v>
      </c>
      <c r="B27" s="153"/>
      <c r="C27" s="153"/>
      <c r="D27" s="153"/>
      <c r="E27" s="16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0" t="s">
        <v>245</v>
      </c>
      <c r="B28" s="151"/>
      <c r="C28" s="151"/>
      <c r="D28" s="151"/>
      <c r="E28" s="16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2" t="s">
        <v>241</v>
      </c>
      <c r="B41" s="153"/>
      <c r="C41" s="153"/>
      <c r="D41" s="153"/>
      <c r="E41" s="16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2" t="s">
        <v>244</v>
      </c>
      <c r="B54" s="153"/>
      <c r="C54" s="153"/>
      <c r="D54" s="153"/>
      <c r="E54" s="16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0" t="s">
        <v>245</v>
      </c>
      <c r="B55" s="151"/>
      <c r="C55" s="151"/>
      <c r="D55" s="151"/>
      <c r="E55" s="16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2" t="s">
        <v>241</v>
      </c>
      <c r="B68" s="153"/>
      <c r="C68" s="153"/>
      <c r="D68" s="153"/>
      <c r="E68" s="16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2" t="s">
        <v>244</v>
      </c>
      <c r="B81" s="153"/>
      <c r="C81" s="153"/>
      <c r="D81" s="153"/>
      <c r="E81" s="16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0" t="s">
        <v>245</v>
      </c>
      <c r="B82" s="151"/>
      <c r="C82" s="151"/>
      <c r="D82" s="151"/>
      <c r="E82" s="16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2" t="s">
        <v>241</v>
      </c>
      <c r="B95" s="153"/>
      <c r="C95" s="153"/>
      <c r="D95" s="153"/>
      <c r="E95" s="16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2" t="s">
        <v>244</v>
      </c>
      <c r="B108" s="153"/>
      <c r="C108" s="153"/>
      <c r="D108" s="153"/>
      <c r="E108" s="16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0" t="s">
        <v>245</v>
      </c>
      <c r="B109" s="151"/>
      <c r="C109" s="151"/>
      <c r="D109" s="151"/>
      <c r="E109" s="16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2" t="s">
        <v>241</v>
      </c>
      <c r="B122" s="153"/>
      <c r="C122" s="153"/>
      <c r="D122" s="153"/>
      <c r="E122" s="16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2" t="s">
        <v>244</v>
      </c>
      <c r="B135" s="153"/>
      <c r="C135" s="153"/>
      <c r="D135" s="153"/>
      <c r="E135" s="16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0" t="s">
        <v>245</v>
      </c>
      <c r="B136" s="151"/>
      <c r="C136" s="151"/>
      <c r="D136" s="151"/>
      <c r="E136" s="16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2" t="s">
        <v>241</v>
      </c>
      <c r="B149" s="153"/>
      <c r="C149" s="153"/>
      <c r="D149" s="153"/>
      <c r="E149" s="16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1">
        <v>1650350</v>
      </c>
    </row>
    <row r="150" spans="1:15" ht="15" customHeight="1">
      <c r="A150" s="68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2" t="s">
        <v>244</v>
      </c>
      <c r="B162" s="153"/>
      <c r="C162" s="153"/>
      <c r="D162" s="153"/>
      <c r="E162" s="16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0" t="s">
        <v>245</v>
      </c>
      <c r="B163" s="151"/>
      <c r="C163" s="151"/>
      <c r="D163" s="151"/>
      <c r="E163" s="16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2" t="s">
        <v>241</v>
      </c>
      <c r="B176" s="153"/>
      <c r="C176" s="153"/>
      <c r="D176" s="153"/>
      <c r="E176" s="16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2" t="s">
        <v>244</v>
      </c>
      <c r="B189" s="153"/>
      <c r="C189" s="153"/>
      <c r="D189" s="153"/>
      <c r="E189" s="16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0" t="s">
        <v>245</v>
      </c>
      <c r="B190" s="151"/>
      <c r="C190" s="151"/>
      <c r="D190" s="151"/>
      <c r="E190" s="16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2" t="s">
        <v>241</v>
      </c>
      <c r="B203" s="153"/>
      <c r="C203" s="153"/>
      <c r="D203" s="153"/>
      <c r="E203" s="16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2" t="s">
        <v>244</v>
      </c>
      <c r="B216" s="153"/>
      <c r="C216" s="153"/>
      <c r="D216" s="153"/>
      <c r="E216" s="16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0" t="s">
        <v>245</v>
      </c>
      <c r="B217" s="151"/>
      <c r="C217" s="151"/>
      <c r="D217" s="151"/>
      <c r="E217" s="16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1" t="s">
        <v>241</v>
      </c>
      <c r="B230" s="162"/>
      <c r="C230" s="162"/>
      <c r="D230" s="162"/>
      <c r="E230" s="16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2" t="s">
        <v>244</v>
      </c>
      <c r="B243" s="153"/>
      <c r="C243" s="153"/>
      <c r="D243" s="153"/>
      <c r="E243" s="16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0" t="s">
        <v>245</v>
      </c>
      <c r="B244" s="151"/>
      <c r="C244" s="151"/>
      <c r="D244" s="151"/>
      <c r="E244" s="16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2" t="s">
        <v>241</v>
      </c>
      <c r="B257" s="153"/>
      <c r="C257" s="153"/>
      <c r="D257" s="153"/>
      <c r="E257" s="16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8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8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9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8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9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8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9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8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9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8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2" t="s">
        <v>244</v>
      </c>
      <c r="B270" s="153"/>
      <c r="C270" s="153"/>
      <c r="D270" s="153"/>
      <c r="E270" s="16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0" t="s">
        <v>245</v>
      </c>
      <c r="B271" s="151"/>
      <c r="C271" s="151"/>
      <c r="D271" s="151"/>
      <c r="E271" s="16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9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8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9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8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9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8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9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2" t="s">
        <v>241</v>
      </c>
      <c r="B284" s="153"/>
      <c r="C284" s="153"/>
      <c r="D284" s="153"/>
      <c r="E284" s="16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9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8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9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8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9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8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9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8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9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8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2" t="s">
        <v>244</v>
      </c>
      <c r="B297" s="153"/>
      <c r="C297" s="153"/>
      <c r="D297" s="153"/>
      <c r="E297" s="16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0" t="s">
        <v>245</v>
      </c>
      <c r="B298" s="151"/>
      <c r="C298" s="151"/>
      <c r="D298" s="151"/>
      <c r="E298" s="16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8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/>
      <c r="I301" s="33"/>
      <c r="J301" s="33"/>
      <c r="K301" s="29"/>
      <c r="L301" s="29"/>
      <c r="M301" s="35" t="str">
        <f t="shared" ca="1" si="63"/>
        <v/>
      </c>
      <c r="N301" s="46"/>
      <c r="O301" s="47"/>
    </row>
    <row r="302" spans="1:15" ht="15" customHeight="1">
      <c r="A302" s="68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/>
      <c r="M302" s="30" t="str">
        <f t="shared" ca="1" si="63"/>
        <v/>
      </c>
      <c r="N302" s="46"/>
      <c r="O302" s="47"/>
    </row>
    <row r="303" spans="1:15" ht="15" customHeight="1">
      <c r="A303" s="69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8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9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8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/>
      <c r="G306" s="28" t="s">
        <v>263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9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/>
      <c r="G307" s="34" t="s">
        <v>263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8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/>
      <c r="G308" s="28" t="s">
        <v>263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9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/>
      <c r="G309" s="34" t="s">
        <v>263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8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/>
      <c r="G310" s="28" t="s">
        <v>263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79" t="s">
        <v>241</v>
      </c>
      <c r="B311" s="80"/>
      <c r="C311" s="80"/>
      <c r="D311" s="80"/>
      <c r="E311" s="81">
        <f>SUM(E299:E310)</f>
        <v>0</v>
      </c>
      <c r="F311" s="36">
        <f>SUM(F299:F310)</f>
        <v>271</v>
      </c>
      <c r="G311" s="82">
        <f>SUM(G299:G310)</f>
        <v>1355</v>
      </c>
      <c r="H311" s="37"/>
      <c r="I311" s="37"/>
      <c r="J311" s="37"/>
      <c r="K311" s="37"/>
      <c r="L311" s="37"/>
      <c r="M311" s="38">
        <f ca="1">IFERROR(SUM(M299:M310),"")</f>
        <v>1.5277777777777779E-2</v>
      </c>
      <c r="N311" s="36" t="s">
        <v>242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5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66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67">B312+TIME(0,60,0)</f>
        <v>0.87499999999999967</v>
      </c>
      <c r="C313" s="26"/>
      <c r="D313" s="59"/>
      <c r="E313" s="59"/>
      <c r="F313" s="27"/>
      <c r="G313" s="28" t="str">
        <f t="shared" si="65"/>
        <v/>
      </c>
      <c r="H313" s="33"/>
      <c r="I313" s="33"/>
      <c r="J313" s="33"/>
      <c r="K313" s="29"/>
      <c r="L313" s="29"/>
      <c r="M313" s="35" t="str">
        <f t="shared" ca="1" si="66"/>
        <v/>
      </c>
      <c r="N313" s="46"/>
      <c r="O313" s="47"/>
    </row>
    <row r="314" spans="1:15" ht="15" customHeight="1">
      <c r="A314" s="68">
        <v>46246</v>
      </c>
      <c r="B314" s="25">
        <f t="shared" si="67"/>
        <v>0.9166666666666663</v>
      </c>
      <c r="C314" s="26"/>
      <c r="D314" s="59"/>
      <c r="E314" s="59"/>
      <c r="F314" s="27"/>
      <c r="G314" s="28" t="str">
        <f t="shared" si="65"/>
        <v/>
      </c>
      <c r="H314" s="26"/>
      <c r="I314" s="26"/>
      <c r="J314" s="26"/>
      <c r="K314" s="29"/>
      <c r="L314" s="29"/>
      <c r="M314" s="30" t="str">
        <f t="shared" ca="1" si="66"/>
        <v/>
      </c>
      <c r="N314" s="46"/>
      <c r="O314" s="47"/>
    </row>
    <row r="315" spans="1:15" ht="15" customHeight="1">
      <c r="A315" s="69">
        <v>46246</v>
      </c>
      <c r="B315" s="32">
        <f t="shared" si="67"/>
        <v>0.95833333333333293</v>
      </c>
      <c r="C315" s="26"/>
      <c r="D315" s="59"/>
      <c r="E315" s="59"/>
      <c r="F315" s="27"/>
      <c r="G315" s="28" t="str">
        <f t="shared" si="65"/>
        <v/>
      </c>
      <c r="H315" s="33"/>
      <c r="I315" s="33"/>
      <c r="J315" s="33"/>
      <c r="K315" s="29"/>
      <c r="L315" s="29"/>
      <c r="M315" s="35" t="str">
        <f t="shared" ca="1" si="66"/>
        <v/>
      </c>
      <c r="N315" s="46"/>
      <c r="O315" s="47"/>
    </row>
    <row r="316" spans="1:15" ht="15" customHeight="1">
      <c r="A316" s="68">
        <v>46246</v>
      </c>
      <c r="B316" s="25">
        <f t="shared" si="67"/>
        <v>0.99999999999999956</v>
      </c>
      <c r="C316" s="26"/>
      <c r="D316" s="59"/>
      <c r="E316" s="59"/>
      <c r="F316" s="27"/>
      <c r="G316" s="28" t="str">
        <f t="shared" si="65"/>
        <v/>
      </c>
      <c r="H316" s="26"/>
      <c r="I316" s="26"/>
      <c r="J316" s="26"/>
      <c r="K316" s="29"/>
      <c r="L316" s="29"/>
      <c r="M316" s="30" t="str">
        <f t="shared" ca="1" si="66"/>
        <v/>
      </c>
      <c r="N316" s="46"/>
      <c r="O316" s="47"/>
    </row>
    <row r="317" spans="1:15" ht="15" customHeight="1">
      <c r="A317" s="69">
        <v>46246</v>
      </c>
      <c r="B317" s="32">
        <f t="shared" si="67"/>
        <v>1.0416666666666663</v>
      </c>
      <c r="C317" s="26"/>
      <c r="D317" s="59"/>
      <c r="E317" s="59"/>
      <c r="F317" s="27"/>
      <c r="G317" s="28" t="str">
        <f t="shared" si="65"/>
        <v/>
      </c>
      <c r="H317" s="33"/>
      <c r="I317" s="33"/>
      <c r="J317" s="33"/>
      <c r="K317" s="29"/>
      <c r="L317" s="29"/>
      <c r="M317" s="35" t="str">
        <f t="shared" ca="1" si="66"/>
        <v/>
      </c>
      <c r="N317" s="46"/>
      <c r="O317" s="47"/>
    </row>
    <row r="318" spans="1:15" ht="15" customHeight="1">
      <c r="A318" s="68">
        <v>46246</v>
      </c>
      <c r="B318" s="25">
        <f t="shared" si="67"/>
        <v>1.083333333333333</v>
      </c>
      <c r="C318" s="26"/>
      <c r="D318" s="59"/>
      <c r="E318" s="59"/>
      <c r="F318" s="27"/>
      <c r="G318" s="28" t="str">
        <f t="shared" si="65"/>
        <v/>
      </c>
      <c r="H318" s="26"/>
      <c r="I318" s="26"/>
      <c r="J318" s="26"/>
      <c r="K318" s="29"/>
      <c r="L318" s="29"/>
      <c r="M318" s="30" t="str">
        <f t="shared" ca="1" si="66"/>
        <v/>
      </c>
      <c r="N318" s="46"/>
      <c r="O318" s="47"/>
    </row>
    <row r="319" spans="1:15" ht="15" customHeight="1">
      <c r="A319" s="69">
        <v>46246</v>
      </c>
      <c r="B319" s="32">
        <f t="shared" si="67"/>
        <v>1.1249999999999998</v>
      </c>
      <c r="C319" s="26"/>
      <c r="D319" s="59"/>
      <c r="E319" s="59"/>
      <c r="F319" s="27"/>
      <c r="G319" s="28" t="str">
        <f t="shared" si="65"/>
        <v/>
      </c>
      <c r="H319" s="33"/>
      <c r="I319" s="33"/>
      <c r="J319" s="33"/>
      <c r="K319" s="29"/>
      <c r="L319" s="29"/>
      <c r="M319" s="35" t="str">
        <f t="shared" ca="1" si="66"/>
        <v/>
      </c>
      <c r="N319" s="46"/>
      <c r="O319" s="47"/>
    </row>
    <row r="320" spans="1:15" ht="15" customHeight="1">
      <c r="A320" s="68">
        <v>46246</v>
      </c>
      <c r="B320" s="25">
        <f t="shared" si="67"/>
        <v>1.1666666666666665</v>
      </c>
      <c r="C320" s="26"/>
      <c r="D320" s="59"/>
      <c r="E320" s="59"/>
      <c r="F320" s="27"/>
      <c r="G320" s="28" t="str">
        <f t="shared" si="65"/>
        <v/>
      </c>
      <c r="H320" s="26"/>
      <c r="I320" s="26"/>
      <c r="J320" s="26"/>
      <c r="K320" s="29"/>
      <c r="L320" s="29"/>
      <c r="M320" s="30" t="str">
        <f t="shared" ca="1" si="66"/>
        <v/>
      </c>
      <c r="N320" s="46"/>
      <c r="O320" s="47"/>
    </row>
    <row r="321" spans="1:15" ht="15" customHeight="1">
      <c r="A321" s="69">
        <v>46246</v>
      </c>
      <c r="B321" s="32">
        <f t="shared" si="67"/>
        <v>1.2083333333333333</v>
      </c>
      <c r="C321" s="26"/>
      <c r="D321" s="59"/>
      <c r="E321" s="59"/>
      <c r="F321" s="27"/>
      <c r="G321" s="28" t="str">
        <f t="shared" si="65"/>
        <v/>
      </c>
      <c r="H321" s="33"/>
      <c r="I321" s="33"/>
      <c r="J321" s="33"/>
      <c r="K321" s="29"/>
      <c r="L321" s="29"/>
      <c r="M321" s="35" t="str">
        <f t="shared" ca="1" si="66"/>
        <v/>
      </c>
      <c r="N321" s="46"/>
      <c r="O321" s="47"/>
    </row>
    <row r="322" spans="1:15" ht="15" customHeight="1">
      <c r="A322" s="68">
        <v>46246</v>
      </c>
      <c r="B322" s="25">
        <f t="shared" si="67"/>
        <v>1.25</v>
      </c>
      <c r="C322" s="26"/>
      <c r="D322" s="59"/>
      <c r="E322" s="59"/>
      <c r="F322" s="27"/>
      <c r="G322" s="28" t="str">
        <f t="shared" si="65"/>
        <v/>
      </c>
      <c r="H322" s="26"/>
      <c r="I322" s="26"/>
      <c r="J322" s="26"/>
      <c r="K322" s="29"/>
      <c r="L322" s="29"/>
      <c r="M322" s="30" t="str">
        <f t="shared" ca="1" si="66"/>
        <v/>
      </c>
      <c r="N322" s="46"/>
      <c r="O322" s="47"/>
    </row>
    <row r="323" spans="1:15" ht="15" customHeight="1">
      <c r="A323" s="69">
        <v>46246</v>
      </c>
      <c r="B323" s="32">
        <f t="shared" si="67"/>
        <v>1.2916666666666667</v>
      </c>
      <c r="C323" s="26"/>
      <c r="D323" s="59"/>
      <c r="E323" s="59"/>
      <c r="F323" s="27"/>
      <c r="G323" s="28" t="str">
        <f t="shared" si="65"/>
        <v/>
      </c>
      <c r="H323" s="33"/>
      <c r="I323" s="33"/>
      <c r="J323" s="33"/>
      <c r="K323" s="29"/>
      <c r="L323" s="29"/>
      <c r="M323" s="35" t="str">
        <f t="shared" ca="1" si="66"/>
        <v/>
      </c>
      <c r="N323" s="46"/>
      <c r="O323" s="47"/>
    </row>
    <row r="324" spans="1:15" ht="15.75" customHeight="1">
      <c r="A324" s="152" t="s">
        <v>244</v>
      </c>
      <c r="B324" s="153"/>
      <c r="C324" s="153"/>
      <c r="D324" s="153"/>
      <c r="E324" s="16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242</v>
      </c>
      <c r="O324" s="39"/>
    </row>
    <row r="325" spans="1:15" ht="18" customHeight="1">
      <c r="A325" s="150" t="s">
        <v>245</v>
      </c>
      <c r="B325" s="151"/>
      <c r="C325" s="151"/>
      <c r="D325" s="151"/>
      <c r="E325" s="167">
        <f>E311+E324</f>
        <v>0</v>
      </c>
      <c r="F325" s="40">
        <f>F311+F324</f>
        <v>271</v>
      </c>
      <c r="G325" s="40">
        <f>G311+G324</f>
        <v>1355</v>
      </c>
      <c r="H325" s="41"/>
      <c r="I325" s="41"/>
      <c r="J325" s="41"/>
      <c r="K325" s="41"/>
      <c r="L325" s="41"/>
      <c r="M325" s="42">
        <f ca="1">IFERROR(M311+M324,"")</f>
        <v>1.5277777777777779E-2</v>
      </c>
      <c r="N325" s="40" t="s">
        <v>246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8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69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0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8"/>
        <v/>
      </c>
      <c r="H327" s="33"/>
      <c r="I327" s="33"/>
      <c r="J327" s="33"/>
      <c r="K327" s="29"/>
      <c r="L327" s="29"/>
      <c r="M327" s="35" t="str">
        <f t="shared" ca="1" si="69"/>
        <v/>
      </c>
      <c r="N327" s="46"/>
      <c r="O327" s="47"/>
    </row>
    <row r="328" spans="1:15" ht="15" customHeight="1">
      <c r="A328" s="68">
        <v>46247</v>
      </c>
      <c r="B328" s="25">
        <f t="shared" si="70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8"/>
        <v/>
      </c>
      <c r="H328" s="26"/>
      <c r="I328" s="26"/>
      <c r="J328" s="26"/>
      <c r="K328" s="29"/>
      <c r="L328" s="29"/>
      <c r="M328" s="30" t="str">
        <f t="shared" ca="1" si="69"/>
        <v/>
      </c>
      <c r="N328" s="46"/>
      <c r="O328" s="47"/>
    </row>
    <row r="329" spans="1:15" ht="15" customHeight="1">
      <c r="A329" s="69">
        <v>46247</v>
      </c>
      <c r="B329" s="32">
        <f t="shared" si="70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8"/>
        <v/>
      </c>
      <c r="H329" s="33"/>
      <c r="I329" s="33"/>
      <c r="J329" s="33"/>
      <c r="K329" s="29"/>
      <c r="L329" s="29"/>
      <c r="M329" s="35" t="str">
        <f t="shared" ca="1" si="69"/>
        <v/>
      </c>
      <c r="N329" s="46"/>
      <c r="O329" s="47"/>
    </row>
    <row r="330" spans="1:15" ht="15" customHeight="1">
      <c r="A330" s="68">
        <v>46247</v>
      </c>
      <c r="B330" s="25">
        <f t="shared" si="70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8"/>
        <v/>
      </c>
      <c r="H330" s="26"/>
      <c r="I330" s="26"/>
      <c r="J330" s="26"/>
      <c r="K330" s="29"/>
      <c r="L330" s="29"/>
      <c r="M330" s="30" t="str">
        <f t="shared" ca="1" si="69"/>
        <v/>
      </c>
      <c r="N330" s="46"/>
      <c r="O330" s="47"/>
    </row>
    <row r="331" spans="1:15" ht="15" customHeight="1">
      <c r="A331" s="69">
        <v>46247</v>
      </c>
      <c r="B331" s="32">
        <f t="shared" si="70"/>
        <v>0.54166666666666641</v>
      </c>
      <c r="C331" s="26" t="s">
        <v>34</v>
      </c>
      <c r="D331" s="59" t="s">
        <v>35</v>
      </c>
      <c r="E331" s="59"/>
      <c r="F331" s="27"/>
      <c r="G331" s="34" t="str">
        <f t="shared" si="68"/>
        <v/>
      </c>
      <c r="H331" s="33"/>
      <c r="I331" s="33"/>
      <c r="J331" s="33"/>
      <c r="K331" s="29"/>
      <c r="L331" s="29"/>
      <c r="M331" s="35" t="str">
        <f t="shared" ca="1" si="69"/>
        <v/>
      </c>
      <c r="N331" s="46"/>
      <c r="O331" s="47"/>
    </row>
    <row r="332" spans="1:15" ht="15" customHeight="1">
      <c r="A332" s="68">
        <v>46247</v>
      </c>
      <c r="B332" s="25">
        <f t="shared" si="70"/>
        <v>0.58333333333333304</v>
      </c>
      <c r="C332" s="26" t="s">
        <v>34</v>
      </c>
      <c r="D332" s="59" t="s">
        <v>35</v>
      </c>
      <c r="E332" s="59"/>
      <c r="F332" s="27"/>
      <c r="G332" s="28" t="str">
        <f t="shared" si="68"/>
        <v/>
      </c>
      <c r="H332" s="26"/>
      <c r="I332" s="26"/>
      <c r="J332" s="26"/>
      <c r="K332" s="29"/>
      <c r="L332" s="29"/>
      <c r="M332" s="30" t="str">
        <f t="shared" ca="1" si="69"/>
        <v/>
      </c>
      <c r="N332" s="46"/>
      <c r="O332" s="47"/>
    </row>
    <row r="333" spans="1:15" ht="15" customHeight="1">
      <c r="A333" s="69">
        <v>46247</v>
      </c>
      <c r="B333" s="32">
        <f t="shared" si="70"/>
        <v>0.62499999999999967</v>
      </c>
      <c r="C333" s="26" t="s">
        <v>34</v>
      </c>
      <c r="D333" s="59" t="s">
        <v>35</v>
      </c>
      <c r="E333" s="59"/>
      <c r="F333" s="27"/>
      <c r="G333" s="34" t="str">
        <f t="shared" si="68"/>
        <v/>
      </c>
      <c r="H333" s="33"/>
      <c r="I333" s="33"/>
      <c r="J333" s="33"/>
      <c r="K333" s="29"/>
      <c r="L333" s="29"/>
      <c r="M333" s="35" t="str">
        <f t="shared" ca="1" si="69"/>
        <v/>
      </c>
      <c r="N333" s="46"/>
      <c r="O333" s="47"/>
    </row>
    <row r="334" spans="1:15" ht="15" customHeight="1">
      <c r="A334" s="68">
        <v>46247</v>
      </c>
      <c r="B334" s="25">
        <f t="shared" si="70"/>
        <v>0.6666666666666663</v>
      </c>
      <c r="C334" s="26" t="s">
        <v>34</v>
      </c>
      <c r="D334" s="59" t="s">
        <v>35</v>
      </c>
      <c r="E334" s="59"/>
      <c r="F334" s="27"/>
      <c r="G334" s="28" t="str">
        <f t="shared" si="68"/>
        <v/>
      </c>
      <c r="H334" s="26"/>
      <c r="I334" s="26"/>
      <c r="J334" s="26"/>
      <c r="K334" s="29"/>
      <c r="L334" s="29"/>
      <c r="M334" s="30" t="str">
        <f t="shared" ca="1" si="69"/>
        <v/>
      </c>
      <c r="N334" s="46"/>
      <c r="O334" s="47"/>
    </row>
    <row r="335" spans="1:15" ht="15" customHeight="1">
      <c r="A335" s="69">
        <v>46247</v>
      </c>
      <c r="B335" s="32">
        <f t="shared" si="70"/>
        <v>0.70833333333333293</v>
      </c>
      <c r="C335" s="26" t="s">
        <v>34</v>
      </c>
      <c r="D335" s="59" t="s">
        <v>35</v>
      </c>
      <c r="E335" s="59"/>
      <c r="F335" s="27"/>
      <c r="G335" s="34" t="str">
        <f t="shared" si="68"/>
        <v/>
      </c>
      <c r="H335" s="33"/>
      <c r="I335" s="33"/>
      <c r="J335" s="33"/>
      <c r="K335" s="29"/>
      <c r="L335" s="29"/>
      <c r="M335" s="35" t="str">
        <f t="shared" ca="1" si="69"/>
        <v/>
      </c>
      <c r="N335" s="46"/>
      <c r="O335" s="47"/>
    </row>
    <row r="336" spans="1:15" ht="15" customHeight="1">
      <c r="A336" s="68">
        <v>46247</v>
      </c>
      <c r="B336" s="25">
        <f t="shared" si="70"/>
        <v>0.74999999999999956</v>
      </c>
      <c r="C336" s="26" t="s">
        <v>34</v>
      </c>
      <c r="D336" s="59" t="s">
        <v>35</v>
      </c>
      <c r="E336" s="59"/>
      <c r="F336" s="27"/>
      <c r="G336" s="28" t="str">
        <f t="shared" si="68"/>
        <v/>
      </c>
      <c r="H336" s="26"/>
      <c r="I336" s="26"/>
      <c r="J336" s="26"/>
      <c r="K336" s="29"/>
      <c r="L336" s="29"/>
      <c r="M336" s="30" t="str">
        <f t="shared" ca="1" si="69"/>
        <v/>
      </c>
      <c r="N336" s="46"/>
      <c r="O336" s="47"/>
    </row>
    <row r="337" spans="1:15" ht="15" customHeight="1">
      <c r="A337" s="69">
        <v>46247</v>
      </c>
      <c r="B337" s="32">
        <f t="shared" si="70"/>
        <v>0.79166666666666619</v>
      </c>
      <c r="C337" s="26" t="s">
        <v>34</v>
      </c>
      <c r="D337" s="59" t="s">
        <v>35</v>
      </c>
      <c r="E337" s="59"/>
      <c r="F337" s="27"/>
      <c r="G337" s="34" t="str">
        <f t="shared" si="68"/>
        <v/>
      </c>
      <c r="H337" s="33"/>
      <c r="I337" s="33"/>
      <c r="J337" s="33"/>
      <c r="K337" s="29"/>
      <c r="L337" s="29"/>
      <c r="M337" s="35" t="str">
        <f t="shared" ca="1" si="69"/>
        <v/>
      </c>
      <c r="N337" s="46"/>
      <c r="O337" s="47"/>
    </row>
    <row r="338" spans="1:15" ht="15.75" customHeight="1">
      <c r="A338" s="152" t="s">
        <v>241</v>
      </c>
      <c r="B338" s="153"/>
      <c r="C338" s="153"/>
      <c r="D338" s="153"/>
      <c r="E338" s="16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242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1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2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3">B339+TIME(0,60,0)</f>
        <v>0.87499999999999967</v>
      </c>
      <c r="C340" s="33"/>
      <c r="D340" s="62"/>
      <c r="E340" s="62"/>
      <c r="F340" s="27"/>
      <c r="G340" s="28" t="str">
        <f t="shared" si="71"/>
        <v/>
      </c>
      <c r="H340" s="26"/>
      <c r="I340" s="26"/>
      <c r="J340" s="26"/>
      <c r="K340" s="29"/>
      <c r="L340" s="29"/>
      <c r="M340" s="30" t="str">
        <f t="shared" ca="1" si="72"/>
        <v/>
      </c>
      <c r="N340" s="46"/>
      <c r="O340" s="47"/>
    </row>
    <row r="341" spans="1:15" ht="15" customHeight="1">
      <c r="A341" s="69">
        <v>46247</v>
      </c>
      <c r="B341" s="32">
        <f t="shared" si="73"/>
        <v>0.9166666666666663</v>
      </c>
      <c r="C341" s="33"/>
      <c r="D341" s="62"/>
      <c r="E341" s="62"/>
      <c r="F341" s="27"/>
      <c r="G341" s="34" t="str">
        <f t="shared" si="71"/>
        <v/>
      </c>
      <c r="H341" s="33"/>
      <c r="I341" s="33"/>
      <c r="J341" s="33"/>
      <c r="K341" s="29"/>
      <c r="L341" s="29"/>
      <c r="M341" s="35" t="str">
        <f t="shared" ca="1" si="72"/>
        <v/>
      </c>
      <c r="N341" s="46"/>
      <c r="O341" s="47"/>
    </row>
    <row r="342" spans="1:15" ht="15" customHeight="1">
      <c r="A342" s="68">
        <v>46247</v>
      </c>
      <c r="B342" s="25">
        <f t="shared" si="73"/>
        <v>0.95833333333333293</v>
      </c>
      <c r="C342" s="33"/>
      <c r="D342" s="62"/>
      <c r="E342" s="62"/>
      <c r="F342" s="27"/>
      <c r="G342" s="28" t="str">
        <f t="shared" si="71"/>
        <v/>
      </c>
      <c r="H342" s="26"/>
      <c r="I342" s="26"/>
      <c r="J342" s="26"/>
      <c r="K342" s="29"/>
      <c r="L342" s="29"/>
      <c r="M342" s="30" t="str">
        <f t="shared" ca="1" si="72"/>
        <v/>
      </c>
      <c r="N342" s="46"/>
      <c r="O342" s="47"/>
    </row>
    <row r="343" spans="1:15" ht="15" customHeight="1">
      <c r="A343" s="69">
        <v>46247</v>
      </c>
      <c r="B343" s="32">
        <f t="shared" si="73"/>
        <v>0.99999999999999956</v>
      </c>
      <c r="C343" s="33"/>
      <c r="D343" s="62"/>
      <c r="E343" s="62"/>
      <c r="F343" s="27"/>
      <c r="G343" s="34" t="str">
        <f t="shared" si="71"/>
        <v/>
      </c>
      <c r="H343" s="33"/>
      <c r="I343" s="33"/>
      <c r="J343" s="33"/>
      <c r="K343" s="29"/>
      <c r="L343" s="29"/>
      <c r="M343" s="35" t="str">
        <f t="shared" ca="1" si="72"/>
        <v/>
      </c>
      <c r="N343" s="46"/>
      <c r="O343" s="47"/>
    </row>
    <row r="344" spans="1:15" ht="15" customHeight="1">
      <c r="A344" s="68">
        <v>46247</v>
      </c>
      <c r="B344" s="25">
        <f t="shared" si="73"/>
        <v>1.0416666666666663</v>
      </c>
      <c r="C344" s="33"/>
      <c r="D344" s="62"/>
      <c r="E344" s="62"/>
      <c r="F344" s="27"/>
      <c r="G344" s="28" t="str">
        <f t="shared" si="71"/>
        <v/>
      </c>
      <c r="H344" s="26"/>
      <c r="I344" s="26"/>
      <c r="J344" s="26"/>
      <c r="K344" s="29"/>
      <c r="L344" s="29"/>
      <c r="M344" s="30" t="str">
        <f t="shared" ca="1" si="72"/>
        <v/>
      </c>
      <c r="N344" s="46"/>
      <c r="O344" s="47"/>
    </row>
    <row r="345" spans="1:15" ht="15" customHeight="1">
      <c r="A345" s="69">
        <v>46247</v>
      </c>
      <c r="B345" s="32">
        <f t="shared" si="73"/>
        <v>1.083333333333333</v>
      </c>
      <c r="C345" s="33"/>
      <c r="D345" s="62"/>
      <c r="E345" s="62"/>
      <c r="F345" s="27"/>
      <c r="G345" s="34" t="str">
        <f t="shared" si="71"/>
        <v/>
      </c>
      <c r="H345" s="33"/>
      <c r="I345" s="33"/>
      <c r="J345" s="33"/>
      <c r="K345" s="29"/>
      <c r="L345" s="29"/>
      <c r="M345" s="35" t="str">
        <f t="shared" ca="1" si="72"/>
        <v/>
      </c>
      <c r="N345" s="46"/>
      <c r="O345" s="47"/>
    </row>
    <row r="346" spans="1:15" ht="15" customHeight="1">
      <c r="A346" s="68">
        <v>46247</v>
      </c>
      <c r="B346" s="25">
        <f t="shared" si="73"/>
        <v>1.1249999999999998</v>
      </c>
      <c r="C346" s="33"/>
      <c r="D346" s="62"/>
      <c r="E346" s="62"/>
      <c r="F346" s="27"/>
      <c r="G346" s="28" t="str">
        <f t="shared" si="71"/>
        <v/>
      </c>
      <c r="H346" s="26"/>
      <c r="I346" s="26"/>
      <c r="J346" s="26"/>
      <c r="K346" s="29"/>
      <c r="L346" s="29"/>
      <c r="M346" s="30" t="str">
        <f t="shared" ca="1" si="72"/>
        <v/>
      </c>
      <c r="N346" s="46"/>
      <c r="O346" s="47"/>
    </row>
    <row r="347" spans="1:15" ht="15" customHeight="1">
      <c r="A347" s="69">
        <v>46247</v>
      </c>
      <c r="B347" s="32">
        <f t="shared" si="73"/>
        <v>1.1666666666666665</v>
      </c>
      <c r="C347" s="33"/>
      <c r="D347" s="62"/>
      <c r="E347" s="62"/>
      <c r="F347" s="27"/>
      <c r="G347" s="34" t="str">
        <f t="shared" si="71"/>
        <v/>
      </c>
      <c r="H347" s="33"/>
      <c r="I347" s="33"/>
      <c r="J347" s="33"/>
      <c r="K347" s="29"/>
      <c r="L347" s="29"/>
      <c r="M347" s="35" t="str">
        <f t="shared" ca="1" si="72"/>
        <v/>
      </c>
      <c r="N347" s="46"/>
      <c r="O347" s="47"/>
    </row>
    <row r="348" spans="1:15" ht="15" customHeight="1">
      <c r="A348" s="68">
        <v>46247</v>
      </c>
      <c r="B348" s="25">
        <f t="shared" si="73"/>
        <v>1.2083333333333333</v>
      </c>
      <c r="C348" s="33"/>
      <c r="D348" s="62"/>
      <c r="E348" s="62"/>
      <c r="F348" s="27"/>
      <c r="G348" s="28" t="str">
        <f t="shared" si="71"/>
        <v/>
      </c>
      <c r="H348" s="26"/>
      <c r="I348" s="26"/>
      <c r="J348" s="26"/>
      <c r="K348" s="29"/>
      <c r="L348" s="29"/>
      <c r="M348" s="30" t="str">
        <f t="shared" ca="1" si="72"/>
        <v/>
      </c>
      <c r="N348" s="46"/>
      <c r="O348" s="47"/>
    </row>
    <row r="349" spans="1:15" ht="15" customHeight="1">
      <c r="A349" s="69">
        <v>46247</v>
      </c>
      <c r="B349" s="32">
        <f t="shared" si="73"/>
        <v>1.25</v>
      </c>
      <c r="C349" s="33"/>
      <c r="D349" s="62"/>
      <c r="E349" s="62"/>
      <c r="F349" s="27"/>
      <c r="G349" s="34" t="str">
        <f t="shared" si="71"/>
        <v/>
      </c>
      <c r="H349" s="33"/>
      <c r="I349" s="33"/>
      <c r="J349" s="33"/>
      <c r="K349" s="29"/>
      <c r="L349" s="29"/>
      <c r="M349" s="35" t="str">
        <f t="shared" ca="1" si="72"/>
        <v/>
      </c>
      <c r="N349" s="46"/>
      <c r="O349" s="47"/>
    </row>
    <row r="350" spans="1:15" ht="15" customHeight="1">
      <c r="A350" s="68">
        <v>46247</v>
      </c>
      <c r="B350" s="25">
        <f t="shared" si="73"/>
        <v>1.2916666666666667</v>
      </c>
      <c r="C350" s="33"/>
      <c r="D350" s="62"/>
      <c r="E350" s="62"/>
      <c r="F350" s="27"/>
      <c r="G350" s="28" t="str">
        <f t="shared" si="71"/>
        <v/>
      </c>
      <c r="H350" s="26"/>
      <c r="I350" s="26"/>
      <c r="J350" s="26"/>
      <c r="K350" s="29"/>
      <c r="L350" s="29"/>
      <c r="M350" s="30" t="str">
        <f t="shared" ca="1" si="72"/>
        <v/>
      </c>
      <c r="N350" s="46"/>
      <c r="O350" s="47"/>
    </row>
    <row r="351" spans="1:15" ht="15.75" customHeight="1">
      <c r="A351" s="152" t="s">
        <v>244</v>
      </c>
      <c r="B351" s="153"/>
      <c r="C351" s="153"/>
      <c r="D351" s="153"/>
      <c r="E351" s="16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>
      <c r="A352" s="150" t="s">
        <v>245</v>
      </c>
      <c r="B352" s="151"/>
      <c r="C352" s="151"/>
      <c r="D352" s="151"/>
      <c r="E352" s="16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246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4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5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76">B353+TIME(0,60,0)</f>
        <v>0.37499999999999967</v>
      </c>
      <c r="C354" s="33"/>
      <c r="D354" s="62"/>
      <c r="E354" s="62"/>
      <c r="F354" s="27"/>
      <c r="G354" s="28" t="str">
        <f t="shared" si="74"/>
        <v/>
      </c>
      <c r="H354" s="26"/>
      <c r="I354" s="26"/>
      <c r="J354" s="26"/>
      <c r="K354" s="29"/>
      <c r="L354" s="29"/>
      <c r="M354" s="30" t="str">
        <f t="shared" ca="1" si="75"/>
        <v/>
      </c>
      <c r="N354" s="46"/>
      <c r="O354" s="47"/>
    </row>
    <row r="355" spans="1:15" ht="15" customHeight="1">
      <c r="A355" s="69">
        <v>46248</v>
      </c>
      <c r="B355" s="32">
        <f t="shared" si="76"/>
        <v>0.41666666666666635</v>
      </c>
      <c r="C355" s="33"/>
      <c r="D355" s="62"/>
      <c r="E355" s="62"/>
      <c r="F355" s="27"/>
      <c r="G355" s="34" t="str">
        <f t="shared" si="74"/>
        <v/>
      </c>
      <c r="H355" s="33"/>
      <c r="I355" s="33"/>
      <c r="J355" s="33"/>
      <c r="K355" s="29"/>
      <c r="L355" s="29"/>
      <c r="M355" s="35" t="str">
        <f t="shared" ca="1" si="75"/>
        <v/>
      </c>
      <c r="N355" s="46"/>
      <c r="O355" s="47"/>
    </row>
    <row r="356" spans="1:15" ht="15" customHeight="1">
      <c r="A356" s="68">
        <v>46248</v>
      </c>
      <c r="B356" s="25">
        <f t="shared" si="76"/>
        <v>0.45833333333333304</v>
      </c>
      <c r="C356" s="33"/>
      <c r="D356" s="62"/>
      <c r="E356" s="62"/>
      <c r="F356" s="27"/>
      <c r="G356" s="28" t="str">
        <f t="shared" si="74"/>
        <v/>
      </c>
      <c r="H356" s="26"/>
      <c r="I356" s="26"/>
      <c r="J356" s="26"/>
      <c r="K356" s="29"/>
      <c r="L356" s="29"/>
      <c r="M356" s="30" t="str">
        <f t="shared" ca="1" si="75"/>
        <v/>
      </c>
      <c r="N356" s="46"/>
      <c r="O356" s="47"/>
    </row>
    <row r="357" spans="1:15" ht="15" customHeight="1">
      <c r="A357" s="69">
        <v>46248</v>
      </c>
      <c r="B357" s="32">
        <f t="shared" si="76"/>
        <v>0.49999999999999972</v>
      </c>
      <c r="C357" s="33"/>
      <c r="D357" s="62"/>
      <c r="E357" s="62"/>
      <c r="F357" s="27"/>
      <c r="G357" s="34" t="str">
        <f t="shared" si="74"/>
        <v/>
      </c>
      <c r="H357" s="33"/>
      <c r="I357" s="33"/>
      <c r="J357" s="33"/>
      <c r="K357" s="29"/>
      <c r="L357" s="29"/>
      <c r="M357" s="35" t="str">
        <f t="shared" ca="1" si="75"/>
        <v/>
      </c>
      <c r="N357" s="46"/>
      <c r="O357" s="47"/>
    </row>
    <row r="358" spans="1:15" ht="15" customHeight="1">
      <c r="A358" s="68">
        <v>46248</v>
      </c>
      <c r="B358" s="25">
        <f t="shared" si="76"/>
        <v>0.54166666666666641</v>
      </c>
      <c r="C358" s="33"/>
      <c r="D358" s="62"/>
      <c r="E358" s="62"/>
      <c r="F358" s="27"/>
      <c r="G358" s="28" t="str">
        <f t="shared" si="74"/>
        <v/>
      </c>
      <c r="H358" s="26"/>
      <c r="I358" s="26"/>
      <c r="J358" s="26"/>
      <c r="K358" s="29"/>
      <c r="L358" s="29"/>
      <c r="M358" s="30" t="str">
        <f t="shared" ca="1" si="75"/>
        <v/>
      </c>
      <c r="N358" s="46"/>
      <c r="O358" s="47"/>
    </row>
    <row r="359" spans="1:15" ht="15" customHeight="1">
      <c r="A359" s="69">
        <v>46248</v>
      </c>
      <c r="B359" s="32">
        <f t="shared" si="76"/>
        <v>0.58333333333333304</v>
      </c>
      <c r="C359" s="33"/>
      <c r="D359" s="62"/>
      <c r="E359" s="62"/>
      <c r="F359" s="27"/>
      <c r="G359" s="34" t="str">
        <f t="shared" si="74"/>
        <v/>
      </c>
      <c r="H359" s="33"/>
      <c r="I359" s="33"/>
      <c r="J359" s="33"/>
      <c r="K359" s="29"/>
      <c r="L359" s="29"/>
      <c r="M359" s="35" t="str">
        <f t="shared" ca="1" si="75"/>
        <v/>
      </c>
      <c r="N359" s="46"/>
      <c r="O359" s="47"/>
    </row>
    <row r="360" spans="1:15" ht="15" customHeight="1">
      <c r="A360" s="68">
        <v>46248</v>
      </c>
      <c r="B360" s="25">
        <f t="shared" si="76"/>
        <v>0.62499999999999967</v>
      </c>
      <c r="C360" s="33"/>
      <c r="D360" s="62"/>
      <c r="E360" s="62"/>
      <c r="F360" s="27"/>
      <c r="G360" s="28" t="str">
        <f t="shared" si="74"/>
        <v/>
      </c>
      <c r="H360" s="26"/>
      <c r="I360" s="26"/>
      <c r="J360" s="26"/>
      <c r="K360" s="29"/>
      <c r="L360" s="29"/>
      <c r="M360" s="30" t="str">
        <f t="shared" ca="1" si="75"/>
        <v/>
      </c>
      <c r="N360" s="46"/>
      <c r="O360" s="47"/>
    </row>
    <row r="361" spans="1:15" ht="15" customHeight="1">
      <c r="A361" s="69">
        <v>46248</v>
      </c>
      <c r="B361" s="32">
        <f t="shared" si="76"/>
        <v>0.6666666666666663</v>
      </c>
      <c r="C361" s="33"/>
      <c r="D361" s="62"/>
      <c r="E361" s="62"/>
      <c r="F361" s="27"/>
      <c r="G361" s="34" t="str">
        <f t="shared" si="74"/>
        <v/>
      </c>
      <c r="H361" s="33"/>
      <c r="I361" s="33"/>
      <c r="J361" s="33"/>
      <c r="K361" s="29"/>
      <c r="L361" s="29"/>
      <c r="M361" s="35" t="str">
        <f t="shared" ca="1" si="75"/>
        <v/>
      </c>
      <c r="N361" s="46"/>
      <c r="O361" s="47"/>
    </row>
    <row r="362" spans="1:15" ht="15" customHeight="1">
      <c r="A362" s="68">
        <v>46248</v>
      </c>
      <c r="B362" s="25">
        <f t="shared" si="76"/>
        <v>0.70833333333333293</v>
      </c>
      <c r="C362" s="33"/>
      <c r="D362" s="62"/>
      <c r="E362" s="62"/>
      <c r="F362" s="27"/>
      <c r="G362" s="28" t="str">
        <f t="shared" si="74"/>
        <v/>
      </c>
      <c r="H362" s="26"/>
      <c r="I362" s="26"/>
      <c r="J362" s="26"/>
      <c r="K362" s="29"/>
      <c r="L362" s="29"/>
      <c r="M362" s="30" t="str">
        <f t="shared" ca="1" si="75"/>
        <v/>
      </c>
      <c r="N362" s="46"/>
      <c r="O362" s="47"/>
    </row>
    <row r="363" spans="1:15" ht="15" customHeight="1">
      <c r="A363" s="69">
        <v>46248</v>
      </c>
      <c r="B363" s="32">
        <f t="shared" si="76"/>
        <v>0.74999999999999956</v>
      </c>
      <c r="C363" s="33"/>
      <c r="D363" s="62"/>
      <c r="E363" s="62"/>
      <c r="F363" s="27"/>
      <c r="G363" s="34" t="str">
        <f t="shared" si="74"/>
        <v/>
      </c>
      <c r="H363" s="33"/>
      <c r="I363" s="33"/>
      <c r="J363" s="33"/>
      <c r="K363" s="29"/>
      <c r="L363" s="29"/>
      <c r="M363" s="35" t="str">
        <f t="shared" ca="1" si="75"/>
        <v/>
      </c>
      <c r="N363" s="46"/>
      <c r="O363" s="47"/>
    </row>
    <row r="364" spans="1:15" ht="15" customHeight="1">
      <c r="A364" s="68">
        <v>46248</v>
      </c>
      <c r="B364" s="25">
        <f t="shared" si="76"/>
        <v>0.79166666666666619</v>
      </c>
      <c r="C364" s="33"/>
      <c r="D364" s="62"/>
      <c r="E364" s="62"/>
      <c r="F364" s="27"/>
      <c r="G364" s="28" t="str">
        <f t="shared" si="74"/>
        <v/>
      </c>
      <c r="H364" s="26"/>
      <c r="I364" s="26"/>
      <c r="J364" s="26"/>
      <c r="K364" s="29"/>
      <c r="L364" s="29"/>
      <c r="M364" s="30" t="str">
        <f t="shared" ca="1" si="75"/>
        <v/>
      </c>
      <c r="N364" s="46"/>
      <c r="O364" s="47"/>
    </row>
    <row r="365" spans="1:15" ht="15.75" customHeight="1">
      <c r="A365" s="152" t="s">
        <v>241</v>
      </c>
      <c r="B365" s="153"/>
      <c r="C365" s="153"/>
      <c r="D365" s="153"/>
      <c r="E365" s="16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7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8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79">B366+TIME(0,60,0)</f>
        <v>0.87499999999999967</v>
      </c>
      <c r="C367" s="26"/>
      <c r="D367" s="59"/>
      <c r="E367" s="59"/>
      <c r="F367" s="27"/>
      <c r="G367" s="34" t="str">
        <f t="shared" si="77"/>
        <v/>
      </c>
      <c r="H367" s="33"/>
      <c r="I367" s="33"/>
      <c r="J367" s="33"/>
      <c r="K367" s="29"/>
      <c r="L367" s="29"/>
      <c r="M367" s="35" t="str">
        <f t="shared" ca="1" si="78"/>
        <v/>
      </c>
      <c r="N367" s="46"/>
      <c r="O367" s="47"/>
    </row>
    <row r="368" spans="1:15" ht="15" customHeight="1">
      <c r="A368" s="68">
        <v>46248</v>
      </c>
      <c r="B368" s="25">
        <f t="shared" si="79"/>
        <v>0.9166666666666663</v>
      </c>
      <c r="C368" s="26"/>
      <c r="D368" s="59"/>
      <c r="E368" s="59"/>
      <c r="F368" s="27"/>
      <c r="G368" s="28" t="str">
        <f t="shared" si="77"/>
        <v/>
      </c>
      <c r="H368" s="26"/>
      <c r="I368" s="26"/>
      <c r="J368" s="26"/>
      <c r="K368" s="29"/>
      <c r="L368" s="29"/>
      <c r="M368" s="30" t="str">
        <f t="shared" ca="1" si="78"/>
        <v/>
      </c>
      <c r="N368" s="46"/>
      <c r="O368" s="47"/>
    </row>
    <row r="369" spans="1:15" ht="15" customHeight="1">
      <c r="A369" s="69">
        <v>46248</v>
      </c>
      <c r="B369" s="32">
        <f t="shared" si="79"/>
        <v>0.95833333333333293</v>
      </c>
      <c r="C369" s="26"/>
      <c r="D369" s="59"/>
      <c r="E369" s="59"/>
      <c r="F369" s="27"/>
      <c r="G369" s="34" t="str">
        <f t="shared" si="77"/>
        <v/>
      </c>
      <c r="H369" s="33"/>
      <c r="I369" s="33"/>
      <c r="J369" s="33"/>
      <c r="K369" s="29"/>
      <c r="L369" s="29"/>
      <c r="M369" s="35" t="str">
        <f t="shared" ca="1" si="78"/>
        <v/>
      </c>
      <c r="N369" s="46"/>
      <c r="O369" s="47"/>
    </row>
    <row r="370" spans="1:15" ht="15" customHeight="1">
      <c r="A370" s="68">
        <v>46248</v>
      </c>
      <c r="B370" s="25">
        <f t="shared" si="79"/>
        <v>0.99999999999999956</v>
      </c>
      <c r="C370" s="26"/>
      <c r="D370" s="59"/>
      <c r="E370" s="59"/>
      <c r="F370" s="27"/>
      <c r="G370" s="28" t="str">
        <f t="shared" si="77"/>
        <v/>
      </c>
      <c r="H370" s="26"/>
      <c r="I370" s="26"/>
      <c r="J370" s="26"/>
      <c r="K370" s="29"/>
      <c r="L370" s="29"/>
      <c r="M370" s="30" t="str">
        <f t="shared" ca="1" si="78"/>
        <v/>
      </c>
      <c r="N370" s="46"/>
      <c r="O370" s="47"/>
    </row>
    <row r="371" spans="1:15" ht="15" customHeight="1">
      <c r="A371" s="69">
        <v>46248</v>
      </c>
      <c r="B371" s="32">
        <f t="shared" si="79"/>
        <v>1.0416666666666663</v>
      </c>
      <c r="C371" s="26"/>
      <c r="D371" s="59"/>
      <c r="E371" s="59"/>
      <c r="F371" s="27"/>
      <c r="G371" s="34" t="str">
        <f t="shared" si="77"/>
        <v/>
      </c>
      <c r="H371" s="33"/>
      <c r="I371" s="33"/>
      <c r="J371" s="33"/>
      <c r="K371" s="29"/>
      <c r="L371" s="29"/>
      <c r="M371" s="35" t="str">
        <f t="shared" ca="1" si="78"/>
        <v/>
      </c>
      <c r="N371" s="46"/>
      <c r="O371" s="47"/>
    </row>
    <row r="372" spans="1:15" ht="15" customHeight="1">
      <c r="A372" s="68">
        <v>46248</v>
      </c>
      <c r="B372" s="25">
        <f t="shared" si="79"/>
        <v>1.083333333333333</v>
      </c>
      <c r="C372" s="26"/>
      <c r="D372" s="59"/>
      <c r="E372" s="59"/>
      <c r="F372" s="27"/>
      <c r="G372" s="28" t="str">
        <f t="shared" si="77"/>
        <v/>
      </c>
      <c r="H372" s="26"/>
      <c r="I372" s="26"/>
      <c r="J372" s="26"/>
      <c r="K372" s="29"/>
      <c r="L372" s="29"/>
      <c r="M372" s="30" t="str">
        <f t="shared" ca="1" si="78"/>
        <v/>
      </c>
      <c r="N372" s="46"/>
      <c r="O372" s="47"/>
    </row>
    <row r="373" spans="1:15" ht="15" customHeight="1">
      <c r="A373" s="69">
        <v>46248</v>
      </c>
      <c r="B373" s="32">
        <f t="shared" si="79"/>
        <v>1.1249999999999998</v>
      </c>
      <c r="C373" s="26"/>
      <c r="D373" s="59"/>
      <c r="E373" s="59"/>
      <c r="F373" s="27"/>
      <c r="G373" s="34" t="str">
        <f t="shared" si="77"/>
        <v/>
      </c>
      <c r="H373" s="33"/>
      <c r="I373" s="33"/>
      <c r="J373" s="33"/>
      <c r="K373" s="29"/>
      <c r="L373" s="29"/>
      <c r="M373" s="35" t="str">
        <f t="shared" ca="1" si="78"/>
        <v/>
      </c>
      <c r="N373" s="46"/>
      <c r="O373" s="47"/>
    </row>
    <row r="374" spans="1:15" ht="15" customHeight="1">
      <c r="A374" s="68">
        <v>46248</v>
      </c>
      <c r="B374" s="25">
        <f t="shared" si="79"/>
        <v>1.1666666666666665</v>
      </c>
      <c r="C374" s="26"/>
      <c r="D374" s="59"/>
      <c r="E374" s="59"/>
      <c r="F374" s="27"/>
      <c r="G374" s="28" t="str">
        <f t="shared" si="77"/>
        <v/>
      </c>
      <c r="H374" s="26"/>
      <c r="I374" s="26"/>
      <c r="J374" s="26"/>
      <c r="K374" s="29"/>
      <c r="L374" s="29"/>
      <c r="M374" s="30" t="str">
        <f t="shared" ca="1" si="78"/>
        <v/>
      </c>
      <c r="N374" s="46"/>
      <c r="O374" s="47"/>
    </row>
    <row r="375" spans="1:15" ht="15" customHeight="1">
      <c r="A375" s="69">
        <v>46248</v>
      </c>
      <c r="B375" s="32">
        <f t="shared" si="79"/>
        <v>1.2083333333333333</v>
      </c>
      <c r="C375" s="26"/>
      <c r="D375" s="59"/>
      <c r="E375" s="59"/>
      <c r="F375" s="27"/>
      <c r="G375" s="34" t="str">
        <f t="shared" si="77"/>
        <v/>
      </c>
      <c r="H375" s="33"/>
      <c r="I375" s="33"/>
      <c r="J375" s="33"/>
      <c r="K375" s="29"/>
      <c r="L375" s="29"/>
      <c r="M375" s="35" t="str">
        <f t="shared" ca="1" si="78"/>
        <v/>
      </c>
      <c r="N375" s="46"/>
      <c r="O375" s="47"/>
    </row>
    <row r="376" spans="1:15" ht="15" customHeight="1">
      <c r="A376" s="68">
        <v>46248</v>
      </c>
      <c r="B376" s="25">
        <f t="shared" si="79"/>
        <v>1.25</v>
      </c>
      <c r="C376" s="26"/>
      <c r="D376" s="59"/>
      <c r="E376" s="59"/>
      <c r="F376" s="27"/>
      <c r="G376" s="28" t="str">
        <f t="shared" si="77"/>
        <v/>
      </c>
      <c r="H376" s="26"/>
      <c r="I376" s="26"/>
      <c r="J376" s="26"/>
      <c r="K376" s="29"/>
      <c r="L376" s="29"/>
      <c r="M376" s="30" t="str">
        <f t="shared" ca="1" si="78"/>
        <v/>
      </c>
      <c r="N376" s="46"/>
      <c r="O376" s="47"/>
    </row>
    <row r="377" spans="1:15" ht="15" customHeight="1">
      <c r="A377" s="69">
        <v>46248</v>
      </c>
      <c r="B377" s="32">
        <f t="shared" si="79"/>
        <v>1.2916666666666667</v>
      </c>
      <c r="C377" s="26"/>
      <c r="D377" s="59"/>
      <c r="E377" s="59"/>
      <c r="F377" s="27"/>
      <c r="G377" s="34" t="str">
        <f t="shared" si="77"/>
        <v/>
      </c>
      <c r="H377" s="33"/>
      <c r="I377" s="33"/>
      <c r="J377" s="33"/>
      <c r="K377" s="29"/>
      <c r="L377" s="29"/>
      <c r="M377" s="35" t="str">
        <f t="shared" ca="1" si="78"/>
        <v/>
      </c>
      <c r="N377" s="46"/>
      <c r="O377" s="47"/>
    </row>
    <row r="378" spans="1:15" ht="15.75" customHeight="1">
      <c r="A378" s="152" t="s">
        <v>244</v>
      </c>
      <c r="B378" s="153"/>
      <c r="C378" s="153"/>
      <c r="D378" s="153"/>
      <c r="E378" s="16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0" t="s">
        <v>245</v>
      </c>
      <c r="B379" s="151"/>
      <c r="C379" s="151"/>
      <c r="D379" s="151"/>
      <c r="E379" s="16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0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1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2">B380+TIME(0,60,0)</f>
        <v>0.37499999999999967</v>
      </c>
      <c r="C381" s="26"/>
      <c r="D381" s="59"/>
      <c r="E381" s="59"/>
      <c r="F381" s="27"/>
      <c r="G381" s="34" t="str">
        <f t="shared" si="80"/>
        <v/>
      </c>
      <c r="H381" s="33"/>
      <c r="I381" s="33"/>
      <c r="J381" s="33"/>
      <c r="K381" s="29"/>
      <c r="L381" s="29"/>
      <c r="M381" s="35" t="str">
        <f t="shared" ca="1" si="81"/>
        <v/>
      </c>
      <c r="N381" s="46"/>
      <c r="O381" s="47"/>
    </row>
    <row r="382" spans="1:15" ht="15" customHeight="1">
      <c r="A382" s="68">
        <v>46249</v>
      </c>
      <c r="B382" s="25">
        <f t="shared" si="82"/>
        <v>0.41666666666666635</v>
      </c>
      <c r="C382" s="26"/>
      <c r="D382" s="59"/>
      <c r="E382" s="59"/>
      <c r="F382" s="27"/>
      <c r="G382" s="28" t="str">
        <f t="shared" si="80"/>
        <v/>
      </c>
      <c r="H382" s="26"/>
      <c r="I382" s="26"/>
      <c r="J382" s="33"/>
      <c r="K382" s="29"/>
      <c r="L382" s="29"/>
      <c r="M382" s="30" t="str">
        <f t="shared" ca="1" si="81"/>
        <v/>
      </c>
      <c r="N382" s="46"/>
      <c r="O382" s="47"/>
    </row>
    <row r="383" spans="1:15" ht="15" customHeight="1">
      <c r="A383" s="69">
        <v>46249</v>
      </c>
      <c r="B383" s="32">
        <f t="shared" si="82"/>
        <v>0.45833333333333304</v>
      </c>
      <c r="C383" s="26"/>
      <c r="D383" s="59"/>
      <c r="E383" s="59"/>
      <c r="F383" s="27"/>
      <c r="G383" s="34" t="str">
        <f t="shared" si="80"/>
        <v/>
      </c>
      <c r="H383" s="33"/>
      <c r="I383" s="33"/>
      <c r="J383" s="33"/>
      <c r="K383" s="29"/>
      <c r="L383" s="29"/>
      <c r="M383" s="35" t="str">
        <f t="shared" ca="1" si="81"/>
        <v/>
      </c>
      <c r="N383" s="46"/>
      <c r="O383" s="47"/>
    </row>
    <row r="384" spans="1:15" ht="15" customHeight="1">
      <c r="A384" s="68">
        <v>46249</v>
      </c>
      <c r="B384" s="25">
        <f t="shared" si="82"/>
        <v>0.49999999999999972</v>
      </c>
      <c r="C384" s="26"/>
      <c r="D384" s="59"/>
      <c r="E384" s="59"/>
      <c r="F384" s="27"/>
      <c r="G384" s="28" t="str">
        <f t="shared" si="80"/>
        <v/>
      </c>
      <c r="H384" s="26"/>
      <c r="I384" s="26"/>
      <c r="J384" s="26"/>
      <c r="K384" s="29"/>
      <c r="L384" s="29"/>
      <c r="M384" s="30" t="str">
        <f t="shared" ca="1" si="81"/>
        <v/>
      </c>
      <c r="N384" s="46"/>
      <c r="O384" s="47"/>
    </row>
    <row r="385" spans="1:15" ht="15" customHeight="1">
      <c r="A385" s="69">
        <v>46249</v>
      </c>
      <c r="B385" s="32">
        <f t="shared" si="82"/>
        <v>0.54166666666666641</v>
      </c>
      <c r="C385" s="26"/>
      <c r="D385" s="59"/>
      <c r="E385" s="59"/>
      <c r="F385" s="27"/>
      <c r="G385" s="34" t="str">
        <f t="shared" si="80"/>
        <v/>
      </c>
      <c r="H385" s="33"/>
      <c r="I385" s="33"/>
      <c r="J385" s="33"/>
      <c r="K385" s="29"/>
      <c r="L385" s="29"/>
      <c r="M385" s="35" t="str">
        <f t="shared" ca="1" si="81"/>
        <v/>
      </c>
      <c r="N385" s="46"/>
      <c r="O385" s="47"/>
    </row>
    <row r="386" spans="1:15" ht="15" customHeight="1">
      <c r="A386" s="68">
        <v>46249</v>
      </c>
      <c r="B386" s="25">
        <f t="shared" si="82"/>
        <v>0.58333333333333304</v>
      </c>
      <c r="C386" s="26"/>
      <c r="D386" s="59"/>
      <c r="E386" s="59"/>
      <c r="F386" s="27"/>
      <c r="G386" s="28" t="str">
        <f t="shared" si="80"/>
        <v/>
      </c>
      <c r="H386" s="26"/>
      <c r="I386" s="26"/>
      <c r="J386" s="26"/>
      <c r="K386" s="29"/>
      <c r="L386" s="29"/>
      <c r="M386" s="30" t="str">
        <f t="shared" ca="1" si="81"/>
        <v/>
      </c>
      <c r="N386" s="46"/>
      <c r="O386" s="47"/>
    </row>
    <row r="387" spans="1:15" ht="15" customHeight="1">
      <c r="A387" s="69">
        <v>46249</v>
      </c>
      <c r="B387" s="32">
        <f t="shared" si="82"/>
        <v>0.62499999999999967</v>
      </c>
      <c r="C387" s="26"/>
      <c r="D387" s="59"/>
      <c r="E387" s="59"/>
      <c r="F387" s="27"/>
      <c r="G387" s="34" t="str">
        <f t="shared" si="80"/>
        <v/>
      </c>
      <c r="H387" s="33"/>
      <c r="I387" s="33"/>
      <c r="J387" s="33"/>
      <c r="K387" s="29"/>
      <c r="L387" s="29"/>
      <c r="M387" s="35" t="str">
        <f t="shared" ca="1" si="81"/>
        <v/>
      </c>
      <c r="N387" s="46"/>
      <c r="O387" s="47"/>
    </row>
    <row r="388" spans="1:15" ht="15" customHeight="1">
      <c r="A388" s="68">
        <v>46249</v>
      </c>
      <c r="B388" s="25">
        <f t="shared" si="82"/>
        <v>0.6666666666666663</v>
      </c>
      <c r="C388" s="26"/>
      <c r="D388" s="59"/>
      <c r="E388" s="59"/>
      <c r="F388" s="27"/>
      <c r="G388" s="28" t="str">
        <f t="shared" si="80"/>
        <v/>
      </c>
      <c r="H388" s="26"/>
      <c r="I388" s="26"/>
      <c r="J388" s="26"/>
      <c r="K388" s="29"/>
      <c r="L388" s="29"/>
      <c r="M388" s="30" t="str">
        <f t="shared" ca="1" si="81"/>
        <v/>
      </c>
      <c r="N388" s="46"/>
      <c r="O388" s="47"/>
    </row>
    <row r="389" spans="1:15" ht="15" customHeight="1">
      <c r="A389" s="69">
        <v>46249</v>
      </c>
      <c r="B389" s="32">
        <f t="shared" si="82"/>
        <v>0.70833333333333293</v>
      </c>
      <c r="C389" s="26"/>
      <c r="D389" s="59"/>
      <c r="E389" s="59"/>
      <c r="F389" s="27"/>
      <c r="G389" s="34" t="str">
        <f t="shared" si="80"/>
        <v/>
      </c>
      <c r="H389" s="33"/>
      <c r="I389" s="33"/>
      <c r="J389" s="33"/>
      <c r="K389" s="29"/>
      <c r="L389" s="29"/>
      <c r="M389" s="35" t="str">
        <f t="shared" ca="1" si="81"/>
        <v/>
      </c>
      <c r="N389" s="46"/>
      <c r="O389" s="47"/>
    </row>
    <row r="390" spans="1:15" ht="15" customHeight="1">
      <c r="A390" s="68">
        <v>46249</v>
      </c>
      <c r="B390" s="25">
        <f t="shared" si="82"/>
        <v>0.74999999999999956</v>
      </c>
      <c r="C390" s="26"/>
      <c r="D390" s="59"/>
      <c r="E390" s="59"/>
      <c r="F390" s="27"/>
      <c r="G390" s="28" t="str">
        <f t="shared" si="80"/>
        <v/>
      </c>
      <c r="H390" s="26"/>
      <c r="I390" s="26"/>
      <c r="J390" s="26"/>
      <c r="K390" s="29"/>
      <c r="L390" s="29"/>
      <c r="M390" s="30" t="str">
        <f t="shared" ca="1" si="81"/>
        <v/>
      </c>
      <c r="N390" s="46"/>
      <c r="O390" s="47"/>
    </row>
    <row r="391" spans="1:15" ht="15" customHeight="1">
      <c r="A391" s="69">
        <v>46249</v>
      </c>
      <c r="B391" s="32">
        <f t="shared" si="82"/>
        <v>0.79166666666666619</v>
      </c>
      <c r="C391" s="26"/>
      <c r="D391" s="59"/>
      <c r="E391" s="59"/>
      <c r="F391" s="27"/>
      <c r="G391" s="34" t="str">
        <f t="shared" si="80"/>
        <v/>
      </c>
      <c r="H391" s="33"/>
      <c r="I391" s="33"/>
      <c r="J391" s="33"/>
      <c r="K391" s="29"/>
      <c r="L391" s="29"/>
      <c r="M391" s="35" t="str">
        <f t="shared" ca="1" si="81"/>
        <v/>
      </c>
      <c r="N391" s="46"/>
      <c r="O391" s="47"/>
    </row>
    <row r="392" spans="1:15" ht="15.75" customHeight="1">
      <c r="A392" s="152" t="s">
        <v>241</v>
      </c>
      <c r="B392" s="153"/>
      <c r="C392" s="153"/>
      <c r="D392" s="153"/>
      <c r="E392" s="16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3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4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5">B393+TIME(0,60,0)</f>
        <v>0.87499999999999967</v>
      </c>
      <c r="C394" s="33"/>
      <c r="D394" s="62"/>
      <c r="E394" s="62"/>
      <c r="F394" s="27"/>
      <c r="G394" s="28" t="str">
        <f t="shared" si="83"/>
        <v/>
      </c>
      <c r="H394" s="26"/>
      <c r="I394" s="26"/>
      <c r="J394" s="26"/>
      <c r="K394" s="29"/>
      <c r="L394" s="29"/>
      <c r="M394" s="30" t="str">
        <f t="shared" ca="1" si="84"/>
        <v/>
      </c>
      <c r="N394" s="46"/>
      <c r="O394" s="47"/>
    </row>
    <row r="395" spans="1:15" ht="15" customHeight="1">
      <c r="A395" s="69">
        <v>46249</v>
      </c>
      <c r="B395" s="32">
        <f t="shared" si="85"/>
        <v>0.9166666666666663</v>
      </c>
      <c r="C395" s="33"/>
      <c r="D395" s="62"/>
      <c r="E395" s="62"/>
      <c r="F395" s="27"/>
      <c r="G395" s="34" t="str">
        <f t="shared" si="83"/>
        <v/>
      </c>
      <c r="H395" s="33"/>
      <c r="I395" s="33"/>
      <c r="J395" s="33"/>
      <c r="K395" s="29"/>
      <c r="L395" s="29"/>
      <c r="M395" s="35" t="str">
        <f t="shared" ca="1" si="84"/>
        <v/>
      </c>
      <c r="N395" s="46"/>
      <c r="O395" s="47"/>
    </row>
    <row r="396" spans="1:15" ht="15" customHeight="1">
      <c r="A396" s="68">
        <v>46249</v>
      </c>
      <c r="B396" s="25">
        <f t="shared" si="85"/>
        <v>0.95833333333333293</v>
      </c>
      <c r="C396" s="33"/>
      <c r="D396" s="62"/>
      <c r="E396" s="62"/>
      <c r="F396" s="27"/>
      <c r="G396" s="28" t="str">
        <f t="shared" si="83"/>
        <v/>
      </c>
      <c r="H396" s="26"/>
      <c r="I396" s="26"/>
      <c r="J396" s="26"/>
      <c r="K396" s="29"/>
      <c r="L396" s="29"/>
      <c r="M396" s="30" t="str">
        <f t="shared" ca="1" si="84"/>
        <v/>
      </c>
      <c r="N396" s="46"/>
      <c r="O396" s="47"/>
    </row>
    <row r="397" spans="1:15" ht="15" customHeight="1">
      <c r="A397" s="69">
        <v>46249</v>
      </c>
      <c r="B397" s="32">
        <f t="shared" si="85"/>
        <v>0.99999999999999956</v>
      </c>
      <c r="C397" s="33"/>
      <c r="D397" s="62"/>
      <c r="E397" s="62"/>
      <c r="F397" s="27"/>
      <c r="G397" s="34" t="str">
        <f t="shared" si="83"/>
        <v/>
      </c>
      <c r="H397" s="33"/>
      <c r="I397" s="33"/>
      <c r="J397" s="33"/>
      <c r="K397" s="29"/>
      <c r="L397" s="29"/>
      <c r="M397" s="35" t="str">
        <f t="shared" ca="1" si="84"/>
        <v/>
      </c>
      <c r="N397" s="46"/>
      <c r="O397" s="47"/>
    </row>
    <row r="398" spans="1:15" ht="15" customHeight="1">
      <c r="A398" s="68">
        <v>46249</v>
      </c>
      <c r="B398" s="25">
        <f t="shared" si="85"/>
        <v>1.0416666666666663</v>
      </c>
      <c r="C398" s="33"/>
      <c r="D398" s="62"/>
      <c r="E398" s="62"/>
      <c r="F398" s="27"/>
      <c r="G398" s="28" t="str">
        <f t="shared" si="83"/>
        <v/>
      </c>
      <c r="H398" s="26"/>
      <c r="I398" s="26"/>
      <c r="J398" s="26"/>
      <c r="K398" s="29"/>
      <c r="L398" s="29"/>
      <c r="M398" s="30" t="str">
        <f t="shared" ca="1" si="84"/>
        <v/>
      </c>
      <c r="N398" s="46"/>
      <c r="O398" s="47"/>
    </row>
    <row r="399" spans="1:15" ht="15" customHeight="1">
      <c r="A399" s="69">
        <v>46249</v>
      </c>
      <c r="B399" s="32">
        <f t="shared" si="85"/>
        <v>1.083333333333333</v>
      </c>
      <c r="C399" s="33"/>
      <c r="D399" s="62"/>
      <c r="E399" s="62"/>
      <c r="F399" s="27"/>
      <c r="G399" s="34" t="str">
        <f t="shared" si="83"/>
        <v/>
      </c>
      <c r="H399" s="33"/>
      <c r="I399" s="33"/>
      <c r="J399" s="33"/>
      <c r="K399" s="29"/>
      <c r="L399" s="29"/>
      <c r="M399" s="35" t="str">
        <f t="shared" ca="1" si="84"/>
        <v/>
      </c>
      <c r="N399" s="46"/>
      <c r="O399" s="47"/>
    </row>
    <row r="400" spans="1:15" ht="15" customHeight="1">
      <c r="A400" s="68">
        <v>46249</v>
      </c>
      <c r="B400" s="25">
        <f t="shared" si="85"/>
        <v>1.1249999999999998</v>
      </c>
      <c r="C400" s="33"/>
      <c r="D400" s="62"/>
      <c r="E400" s="62"/>
      <c r="F400" s="27"/>
      <c r="G400" s="28" t="str">
        <f t="shared" si="83"/>
        <v/>
      </c>
      <c r="H400" s="26"/>
      <c r="I400" s="26"/>
      <c r="J400" s="26"/>
      <c r="K400" s="29"/>
      <c r="L400" s="29"/>
      <c r="M400" s="30" t="str">
        <f t="shared" ca="1" si="84"/>
        <v/>
      </c>
      <c r="N400" s="46"/>
      <c r="O400" s="47"/>
    </row>
    <row r="401" spans="1:15" ht="15" customHeight="1">
      <c r="A401" s="69">
        <v>46249</v>
      </c>
      <c r="B401" s="32">
        <f t="shared" si="85"/>
        <v>1.1666666666666665</v>
      </c>
      <c r="C401" s="33"/>
      <c r="D401" s="62"/>
      <c r="E401" s="62"/>
      <c r="F401" s="27"/>
      <c r="G401" s="34" t="str">
        <f t="shared" si="83"/>
        <v/>
      </c>
      <c r="H401" s="33"/>
      <c r="I401" s="33"/>
      <c r="J401" s="33"/>
      <c r="K401" s="29"/>
      <c r="L401" s="29"/>
      <c r="M401" s="35" t="str">
        <f t="shared" ca="1" si="84"/>
        <v/>
      </c>
      <c r="N401" s="46"/>
      <c r="O401" s="47"/>
    </row>
    <row r="402" spans="1:15" ht="15" customHeight="1">
      <c r="A402" s="68">
        <v>46249</v>
      </c>
      <c r="B402" s="25">
        <f t="shared" si="85"/>
        <v>1.2083333333333333</v>
      </c>
      <c r="C402" s="33"/>
      <c r="D402" s="62"/>
      <c r="E402" s="62"/>
      <c r="F402" s="27"/>
      <c r="G402" s="28" t="str">
        <f t="shared" si="83"/>
        <v/>
      </c>
      <c r="H402" s="26"/>
      <c r="I402" s="26"/>
      <c r="J402" s="26"/>
      <c r="K402" s="29"/>
      <c r="L402" s="29"/>
      <c r="M402" s="30" t="str">
        <f t="shared" ca="1" si="84"/>
        <v/>
      </c>
      <c r="N402" s="46"/>
      <c r="O402" s="47"/>
    </row>
    <row r="403" spans="1:15" ht="15" customHeight="1">
      <c r="A403" s="69">
        <v>46249</v>
      </c>
      <c r="B403" s="32">
        <f t="shared" si="85"/>
        <v>1.25</v>
      </c>
      <c r="C403" s="33"/>
      <c r="D403" s="62"/>
      <c r="E403" s="62"/>
      <c r="F403" s="27"/>
      <c r="G403" s="34" t="str">
        <f t="shared" si="83"/>
        <v/>
      </c>
      <c r="H403" s="33"/>
      <c r="I403" s="33"/>
      <c r="J403" s="33"/>
      <c r="K403" s="29"/>
      <c r="L403" s="29"/>
      <c r="M403" s="35" t="str">
        <f t="shared" ca="1" si="84"/>
        <v/>
      </c>
      <c r="N403" s="46"/>
      <c r="O403" s="47"/>
    </row>
    <row r="404" spans="1:15" ht="15" customHeight="1">
      <c r="A404" s="68">
        <v>46249</v>
      </c>
      <c r="B404" s="25">
        <f t="shared" si="85"/>
        <v>1.2916666666666667</v>
      </c>
      <c r="C404" s="33"/>
      <c r="D404" s="62"/>
      <c r="E404" s="62"/>
      <c r="F404" s="27"/>
      <c r="G404" s="28" t="str">
        <f t="shared" si="83"/>
        <v/>
      </c>
      <c r="H404" s="26"/>
      <c r="I404" s="26"/>
      <c r="J404" s="26"/>
      <c r="K404" s="29"/>
      <c r="L404" s="29"/>
      <c r="M404" s="30" t="str">
        <f t="shared" ca="1" si="84"/>
        <v/>
      </c>
      <c r="N404" s="46"/>
      <c r="O404" s="47"/>
    </row>
    <row r="405" spans="1:15" ht="15.75" customHeight="1">
      <c r="A405" s="152" t="s">
        <v>244</v>
      </c>
      <c r="B405" s="153"/>
      <c r="C405" s="153"/>
      <c r="D405" s="153"/>
      <c r="E405" s="16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0" t="s">
        <v>245</v>
      </c>
      <c r="B406" s="151"/>
      <c r="C406" s="151"/>
      <c r="D406" s="151"/>
      <c r="E406" s="16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6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7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88">B407+TIME(0,60,0)</f>
        <v>0.37499999999999967</v>
      </c>
      <c r="C408" s="33"/>
      <c r="D408" s="62"/>
      <c r="E408" s="62"/>
      <c r="F408" s="27"/>
      <c r="G408" s="28" t="str">
        <f t="shared" si="86"/>
        <v/>
      </c>
      <c r="H408" s="26"/>
      <c r="I408" s="26"/>
      <c r="J408" s="26"/>
      <c r="K408" s="29"/>
      <c r="L408" s="29"/>
      <c r="M408" s="30" t="str">
        <f t="shared" ca="1" si="87"/>
        <v/>
      </c>
      <c r="N408" s="46"/>
      <c r="O408" s="47"/>
    </row>
    <row r="409" spans="1:15" ht="15" customHeight="1">
      <c r="A409" s="69">
        <v>46250</v>
      </c>
      <c r="B409" s="32">
        <f t="shared" si="88"/>
        <v>0.41666666666666635</v>
      </c>
      <c r="C409" s="33"/>
      <c r="D409" s="62"/>
      <c r="E409" s="62"/>
      <c r="F409" s="27"/>
      <c r="G409" s="34" t="str">
        <f t="shared" si="86"/>
        <v/>
      </c>
      <c r="H409" s="33"/>
      <c r="I409" s="33"/>
      <c r="J409" s="33"/>
      <c r="K409" s="29"/>
      <c r="L409" s="29"/>
      <c r="M409" s="35" t="str">
        <f t="shared" ca="1" si="87"/>
        <v/>
      </c>
      <c r="N409" s="46"/>
      <c r="O409" s="47"/>
    </row>
    <row r="410" spans="1:15" ht="15" customHeight="1">
      <c r="A410" s="68">
        <v>46250</v>
      </c>
      <c r="B410" s="25">
        <f t="shared" si="88"/>
        <v>0.45833333333333304</v>
      </c>
      <c r="C410" s="33"/>
      <c r="D410" s="62"/>
      <c r="E410" s="62"/>
      <c r="F410" s="27"/>
      <c r="G410" s="28" t="str">
        <f t="shared" si="86"/>
        <v/>
      </c>
      <c r="H410" s="26"/>
      <c r="I410" s="26"/>
      <c r="J410" s="26"/>
      <c r="K410" s="29"/>
      <c r="L410" s="29"/>
      <c r="M410" s="30" t="str">
        <f t="shared" ca="1" si="87"/>
        <v/>
      </c>
      <c r="N410" s="46"/>
      <c r="O410" s="47"/>
    </row>
    <row r="411" spans="1:15" ht="15" customHeight="1">
      <c r="A411" s="69">
        <v>46250</v>
      </c>
      <c r="B411" s="32">
        <f t="shared" si="88"/>
        <v>0.49999999999999972</v>
      </c>
      <c r="C411" s="33"/>
      <c r="D411" s="62"/>
      <c r="E411" s="62"/>
      <c r="F411" s="27"/>
      <c r="G411" s="34" t="str">
        <f t="shared" si="86"/>
        <v/>
      </c>
      <c r="H411" s="33"/>
      <c r="I411" s="33"/>
      <c r="J411" s="33"/>
      <c r="K411" s="29"/>
      <c r="L411" s="29"/>
      <c r="M411" s="35" t="str">
        <f t="shared" ca="1" si="87"/>
        <v/>
      </c>
      <c r="N411" s="46"/>
      <c r="O411" s="47"/>
    </row>
    <row r="412" spans="1:15" ht="15" customHeight="1">
      <c r="A412" s="68">
        <v>46250</v>
      </c>
      <c r="B412" s="25">
        <f t="shared" si="88"/>
        <v>0.54166666666666641</v>
      </c>
      <c r="C412" s="33"/>
      <c r="D412" s="62"/>
      <c r="E412" s="62"/>
      <c r="F412" s="27"/>
      <c r="G412" s="28" t="str">
        <f t="shared" si="86"/>
        <v/>
      </c>
      <c r="H412" s="26"/>
      <c r="I412" s="26"/>
      <c r="J412" s="26"/>
      <c r="K412" s="29"/>
      <c r="L412" s="29"/>
      <c r="M412" s="30" t="str">
        <f t="shared" ca="1" si="87"/>
        <v/>
      </c>
      <c r="N412" s="46"/>
      <c r="O412" s="47"/>
    </row>
    <row r="413" spans="1:15" ht="15" customHeight="1">
      <c r="A413" s="69">
        <v>46250</v>
      </c>
      <c r="B413" s="32">
        <f t="shared" si="88"/>
        <v>0.58333333333333304</v>
      </c>
      <c r="C413" s="33"/>
      <c r="D413" s="62"/>
      <c r="E413" s="62"/>
      <c r="F413" s="27"/>
      <c r="G413" s="34" t="str">
        <f t="shared" si="86"/>
        <v/>
      </c>
      <c r="H413" s="33"/>
      <c r="I413" s="33"/>
      <c r="J413" s="33"/>
      <c r="K413" s="29"/>
      <c r="L413" s="29"/>
      <c r="M413" s="35" t="str">
        <f t="shared" ca="1" si="87"/>
        <v/>
      </c>
      <c r="N413" s="46"/>
      <c r="O413" s="47"/>
    </row>
    <row r="414" spans="1:15" ht="15" customHeight="1">
      <c r="A414" s="68">
        <v>46250</v>
      </c>
      <c r="B414" s="25">
        <f t="shared" si="88"/>
        <v>0.62499999999999967</v>
      </c>
      <c r="C414" s="33"/>
      <c r="D414" s="62"/>
      <c r="E414" s="62"/>
      <c r="F414" s="27"/>
      <c r="G414" s="28" t="str">
        <f t="shared" si="86"/>
        <v/>
      </c>
      <c r="H414" s="26"/>
      <c r="I414" s="26"/>
      <c r="J414" s="26"/>
      <c r="K414" s="29"/>
      <c r="L414" s="29"/>
      <c r="M414" s="30" t="str">
        <f t="shared" ca="1" si="87"/>
        <v/>
      </c>
      <c r="N414" s="46"/>
      <c r="O414" s="47"/>
    </row>
    <row r="415" spans="1:15" ht="15" customHeight="1">
      <c r="A415" s="69">
        <v>46250</v>
      </c>
      <c r="B415" s="32">
        <f t="shared" si="88"/>
        <v>0.6666666666666663</v>
      </c>
      <c r="C415" s="33"/>
      <c r="D415" s="62"/>
      <c r="E415" s="62"/>
      <c r="F415" s="27"/>
      <c r="G415" s="34" t="str">
        <f t="shared" si="86"/>
        <v/>
      </c>
      <c r="H415" s="33"/>
      <c r="I415" s="33"/>
      <c r="J415" s="33"/>
      <c r="K415" s="29"/>
      <c r="L415" s="29"/>
      <c r="M415" s="35" t="str">
        <f t="shared" ca="1" si="87"/>
        <v/>
      </c>
      <c r="N415" s="46"/>
      <c r="O415" s="47"/>
    </row>
    <row r="416" spans="1:15" ht="15" customHeight="1">
      <c r="A416" s="68">
        <v>46250</v>
      </c>
      <c r="B416" s="25">
        <f t="shared" si="88"/>
        <v>0.70833333333333293</v>
      </c>
      <c r="C416" s="33"/>
      <c r="D416" s="62"/>
      <c r="E416" s="62"/>
      <c r="F416" s="27"/>
      <c r="G416" s="28" t="str">
        <f t="shared" si="86"/>
        <v/>
      </c>
      <c r="H416" s="26"/>
      <c r="I416" s="26"/>
      <c r="J416" s="26"/>
      <c r="K416" s="29"/>
      <c r="L416" s="29"/>
      <c r="M416" s="30" t="str">
        <f t="shared" ca="1" si="87"/>
        <v/>
      </c>
      <c r="N416" s="46"/>
      <c r="O416" s="47"/>
    </row>
    <row r="417" spans="1:15" ht="15" customHeight="1">
      <c r="A417" s="69">
        <v>46250</v>
      </c>
      <c r="B417" s="32">
        <f t="shared" si="88"/>
        <v>0.74999999999999956</v>
      </c>
      <c r="C417" s="33"/>
      <c r="D417" s="62"/>
      <c r="E417" s="62"/>
      <c r="F417" s="27"/>
      <c r="G417" s="34" t="str">
        <f t="shared" si="86"/>
        <v/>
      </c>
      <c r="H417" s="33"/>
      <c r="I417" s="33"/>
      <c r="J417" s="33"/>
      <c r="K417" s="29"/>
      <c r="L417" s="29"/>
      <c r="M417" s="35" t="str">
        <f t="shared" ca="1" si="87"/>
        <v/>
      </c>
      <c r="N417" s="46"/>
      <c r="O417" s="47"/>
    </row>
    <row r="418" spans="1:15" ht="15" customHeight="1">
      <c r="A418" s="68">
        <v>46250</v>
      </c>
      <c r="B418" s="25">
        <f t="shared" si="88"/>
        <v>0.79166666666666619</v>
      </c>
      <c r="C418" s="33"/>
      <c r="D418" s="62"/>
      <c r="E418" s="62"/>
      <c r="F418" s="27"/>
      <c r="G418" s="28" t="str">
        <f t="shared" si="86"/>
        <v/>
      </c>
      <c r="H418" s="26"/>
      <c r="I418" s="26"/>
      <c r="J418" s="26"/>
      <c r="K418" s="29"/>
      <c r="L418" s="29"/>
      <c r="M418" s="30" t="str">
        <f t="shared" ca="1" si="87"/>
        <v/>
      </c>
      <c r="N418" s="46"/>
      <c r="O418" s="47"/>
    </row>
    <row r="419" spans="1:15" ht="15.75" customHeight="1">
      <c r="A419" s="152" t="s">
        <v>241</v>
      </c>
      <c r="B419" s="153"/>
      <c r="C419" s="153"/>
      <c r="D419" s="153"/>
      <c r="E419" s="16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9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0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1">B420+TIME(0,60,0)</f>
        <v>0.87499999999999967</v>
      </c>
      <c r="C421" s="26"/>
      <c r="D421" s="59"/>
      <c r="E421" s="59"/>
      <c r="F421" s="27"/>
      <c r="G421" s="34" t="str">
        <f t="shared" si="89"/>
        <v/>
      </c>
      <c r="H421" s="33"/>
      <c r="I421" s="33"/>
      <c r="J421" s="33"/>
      <c r="K421" s="29"/>
      <c r="L421" s="29"/>
      <c r="M421" s="35" t="str">
        <f t="shared" ca="1" si="90"/>
        <v/>
      </c>
      <c r="N421" s="46"/>
      <c r="O421" s="47"/>
    </row>
    <row r="422" spans="1:15" ht="15" customHeight="1">
      <c r="A422" s="68">
        <v>46250</v>
      </c>
      <c r="B422" s="25">
        <f t="shared" si="91"/>
        <v>0.9166666666666663</v>
      </c>
      <c r="C422" s="26"/>
      <c r="D422" s="59"/>
      <c r="E422" s="59"/>
      <c r="F422" s="27"/>
      <c r="G422" s="28" t="str">
        <f t="shared" si="89"/>
        <v/>
      </c>
      <c r="H422" s="26"/>
      <c r="I422" s="26"/>
      <c r="J422" s="26"/>
      <c r="K422" s="29"/>
      <c r="L422" s="29"/>
      <c r="M422" s="30" t="str">
        <f t="shared" ca="1" si="90"/>
        <v/>
      </c>
      <c r="N422" s="46"/>
      <c r="O422" s="47"/>
    </row>
    <row r="423" spans="1:15" ht="15" customHeight="1">
      <c r="A423" s="69">
        <v>46250</v>
      </c>
      <c r="B423" s="32">
        <f t="shared" si="91"/>
        <v>0.95833333333333293</v>
      </c>
      <c r="C423" s="26"/>
      <c r="D423" s="59"/>
      <c r="E423" s="59"/>
      <c r="F423" s="27"/>
      <c r="G423" s="34" t="str">
        <f t="shared" si="89"/>
        <v/>
      </c>
      <c r="H423" s="33"/>
      <c r="I423" s="33"/>
      <c r="J423" s="33"/>
      <c r="K423" s="29"/>
      <c r="L423" s="29"/>
      <c r="M423" s="35" t="str">
        <f t="shared" ca="1" si="90"/>
        <v/>
      </c>
      <c r="N423" s="46"/>
      <c r="O423" s="47"/>
    </row>
    <row r="424" spans="1:15" ht="15" customHeight="1">
      <c r="A424" s="68">
        <v>46250</v>
      </c>
      <c r="B424" s="25">
        <f t="shared" si="91"/>
        <v>0.99999999999999956</v>
      </c>
      <c r="C424" s="26"/>
      <c r="D424" s="59"/>
      <c r="E424" s="59"/>
      <c r="F424" s="27"/>
      <c r="G424" s="28" t="str">
        <f t="shared" si="89"/>
        <v/>
      </c>
      <c r="H424" s="26"/>
      <c r="I424" s="26"/>
      <c r="J424" s="26"/>
      <c r="K424" s="29"/>
      <c r="L424" s="29"/>
      <c r="M424" s="30" t="str">
        <f t="shared" ca="1" si="90"/>
        <v/>
      </c>
      <c r="N424" s="46"/>
      <c r="O424" s="47"/>
    </row>
    <row r="425" spans="1:15" ht="15" customHeight="1">
      <c r="A425" s="69">
        <v>46250</v>
      </c>
      <c r="B425" s="32">
        <f t="shared" si="91"/>
        <v>1.0416666666666663</v>
      </c>
      <c r="C425" s="26"/>
      <c r="D425" s="59"/>
      <c r="E425" s="59"/>
      <c r="F425" s="27"/>
      <c r="G425" s="34" t="str">
        <f t="shared" si="89"/>
        <v/>
      </c>
      <c r="H425" s="33"/>
      <c r="I425" s="33"/>
      <c r="J425" s="33"/>
      <c r="K425" s="29"/>
      <c r="L425" s="29"/>
      <c r="M425" s="35" t="str">
        <f t="shared" ca="1" si="90"/>
        <v/>
      </c>
      <c r="N425" s="46"/>
      <c r="O425" s="47"/>
    </row>
    <row r="426" spans="1:15" ht="15" customHeight="1">
      <c r="A426" s="68">
        <v>46250</v>
      </c>
      <c r="B426" s="25">
        <f t="shared" si="91"/>
        <v>1.083333333333333</v>
      </c>
      <c r="C426" s="26"/>
      <c r="D426" s="59"/>
      <c r="E426" s="59"/>
      <c r="F426" s="27"/>
      <c r="G426" s="28" t="str">
        <f t="shared" si="89"/>
        <v/>
      </c>
      <c r="H426" s="26"/>
      <c r="I426" s="26"/>
      <c r="J426" s="26"/>
      <c r="K426" s="29"/>
      <c r="L426" s="29"/>
      <c r="M426" s="30" t="str">
        <f t="shared" ca="1" si="90"/>
        <v/>
      </c>
      <c r="N426" s="46"/>
      <c r="O426" s="47"/>
    </row>
    <row r="427" spans="1:15" ht="15" customHeight="1">
      <c r="A427" s="69">
        <v>46250</v>
      </c>
      <c r="B427" s="32">
        <f t="shared" si="91"/>
        <v>1.1249999999999998</v>
      </c>
      <c r="C427" s="26"/>
      <c r="D427" s="59"/>
      <c r="E427" s="59"/>
      <c r="F427" s="27"/>
      <c r="G427" s="34" t="str">
        <f t="shared" si="89"/>
        <v/>
      </c>
      <c r="H427" s="33"/>
      <c r="I427" s="33"/>
      <c r="J427" s="33"/>
      <c r="K427" s="29"/>
      <c r="L427" s="29"/>
      <c r="M427" s="35" t="str">
        <f t="shared" ca="1" si="90"/>
        <v/>
      </c>
      <c r="N427" s="46"/>
      <c r="O427" s="47"/>
    </row>
    <row r="428" spans="1:15" ht="15" customHeight="1">
      <c r="A428" s="68">
        <v>46250</v>
      </c>
      <c r="B428" s="25">
        <f t="shared" si="91"/>
        <v>1.1666666666666665</v>
      </c>
      <c r="C428" s="26"/>
      <c r="D428" s="59"/>
      <c r="E428" s="59"/>
      <c r="F428" s="27"/>
      <c r="G428" s="28" t="str">
        <f t="shared" si="89"/>
        <v/>
      </c>
      <c r="H428" s="26"/>
      <c r="I428" s="26"/>
      <c r="J428" s="26"/>
      <c r="K428" s="29"/>
      <c r="L428" s="29"/>
      <c r="M428" s="30" t="str">
        <f t="shared" ca="1" si="90"/>
        <v/>
      </c>
      <c r="N428" s="46"/>
      <c r="O428" s="47"/>
    </row>
    <row r="429" spans="1:15" ht="15" customHeight="1">
      <c r="A429" s="69">
        <v>46250</v>
      </c>
      <c r="B429" s="32">
        <f t="shared" si="91"/>
        <v>1.2083333333333333</v>
      </c>
      <c r="C429" s="26"/>
      <c r="D429" s="59"/>
      <c r="E429" s="59"/>
      <c r="F429" s="27"/>
      <c r="G429" s="34" t="str">
        <f t="shared" si="89"/>
        <v/>
      </c>
      <c r="H429" s="33"/>
      <c r="I429" s="33"/>
      <c r="J429" s="33"/>
      <c r="K429" s="29"/>
      <c r="L429" s="29"/>
      <c r="M429" s="35" t="str">
        <f t="shared" ca="1" si="90"/>
        <v/>
      </c>
      <c r="N429" s="46"/>
      <c r="O429" s="47"/>
    </row>
    <row r="430" spans="1:15" ht="15" customHeight="1">
      <c r="A430" s="68">
        <v>46250</v>
      </c>
      <c r="B430" s="25">
        <f t="shared" si="91"/>
        <v>1.25</v>
      </c>
      <c r="C430" s="26"/>
      <c r="D430" s="59"/>
      <c r="E430" s="59"/>
      <c r="F430" s="27"/>
      <c r="G430" s="28" t="str">
        <f t="shared" si="89"/>
        <v/>
      </c>
      <c r="H430" s="26"/>
      <c r="I430" s="26"/>
      <c r="J430" s="26"/>
      <c r="K430" s="29"/>
      <c r="L430" s="29"/>
      <c r="M430" s="30" t="str">
        <f t="shared" ca="1" si="90"/>
        <v/>
      </c>
      <c r="N430" s="46"/>
      <c r="O430" s="47"/>
    </row>
    <row r="431" spans="1:15" ht="15" customHeight="1">
      <c r="A431" s="69">
        <v>46250</v>
      </c>
      <c r="B431" s="32">
        <f t="shared" si="91"/>
        <v>1.2916666666666667</v>
      </c>
      <c r="C431" s="26"/>
      <c r="D431" s="59"/>
      <c r="E431" s="59"/>
      <c r="F431" s="27"/>
      <c r="G431" s="34" t="str">
        <f t="shared" si="89"/>
        <v/>
      </c>
      <c r="H431" s="33"/>
      <c r="I431" s="33"/>
      <c r="J431" s="33"/>
      <c r="K431" s="29"/>
      <c r="L431" s="29"/>
      <c r="M431" s="35" t="str">
        <f t="shared" ca="1" si="90"/>
        <v/>
      </c>
      <c r="N431" s="46"/>
      <c r="O431" s="47"/>
    </row>
    <row r="432" spans="1:15" ht="15.75" customHeight="1">
      <c r="A432" s="152" t="s">
        <v>244</v>
      </c>
      <c r="B432" s="153"/>
      <c r="C432" s="153"/>
      <c r="D432" s="153"/>
      <c r="E432" s="16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0" t="s">
        <v>245</v>
      </c>
      <c r="B433" s="151"/>
      <c r="C433" s="151"/>
      <c r="D433" s="151"/>
      <c r="E433" s="16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2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3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4">B434+TIME(0,60,0)</f>
        <v>0.37499999999999967</v>
      </c>
      <c r="C435" s="26"/>
      <c r="D435" s="59"/>
      <c r="E435" s="59"/>
      <c r="F435" s="27"/>
      <c r="G435" s="28" t="str">
        <f t="shared" si="92"/>
        <v/>
      </c>
      <c r="H435" s="33"/>
      <c r="I435" s="33"/>
      <c r="J435" s="33"/>
      <c r="K435" s="29"/>
      <c r="L435" s="29"/>
      <c r="M435" s="35" t="str">
        <f t="shared" ca="1" si="93"/>
        <v/>
      </c>
      <c r="N435" s="46"/>
      <c r="O435" s="47"/>
    </row>
    <row r="436" spans="1:15" ht="15" customHeight="1">
      <c r="A436" s="68">
        <v>46251</v>
      </c>
      <c r="B436" s="25">
        <f t="shared" si="94"/>
        <v>0.41666666666666635</v>
      </c>
      <c r="C436" s="26"/>
      <c r="D436" s="59"/>
      <c r="E436" s="59"/>
      <c r="F436" s="27"/>
      <c r="G436" s="28" t="str">
        <f t="shared" si="92"/>
        <v/>
      </c>
      <c r="H436" s="26"/>
      <c r="I436" s="26"/>
      <c r="J436" s="26"/>
      <c r="K436" s="29"/>
      <c r="L436" s="29"/>
      <c r="M436" s="30" t="str">
        <f t="shared" ca="1" si="93"/>
        <v/>
      </c>
      <c r="N436" s="46"/>
      <c r="O436" s="47"/>
    </row>
    <row r="437" spans="1:15" ht="15" customHeight="1">
      <c r="A437" s="69">
        <v>46251</v>
      </c>
      <c r="B437" s="32">
        <f t="shared" si="94"/>
        <v>0.45833333333333304</v>
      </c>
      <c r="C437" s="26"/>
      <c r="D437" s="59"/>
      <c r="E437" s="59"/>
      <c r="F437" s="27"/>
      <c r="G437" s="34" t="str">
        <f t="shared" si="92"/>
        <v/>
      </c>
      <c r="H437" s="33"/>
      <c r="I437" s="33"/>
      <c r="J437" s="33"/>
      <c r="K437" s="29"/>
      <c r="L437" s="29"/>
      <c r="M437" s="35" t="str">
        <f t="shared" ca="1" si="93"/>
        <v/>
      </c>
      <c r="N437" s="46"/>
      <c r="O437" s="47"/>
    </row>
    <row r="438" spans="1:15" ht="15" customHeight="1">
      <c r="A438" s="68">
        <v>46251</v>
      </c>
      <c r="B438" s="25">
        <f t="shared" si="94"/>
        <v>0.49999999999999972</v>
      </c>
      <c r="C438" s="26"/>
      <c r="D438" s="59"/>
      <c r="E438" s="59"/>
      <c r="F438" s="27"/>
      <c r="G438" s="28" t="str">
        <f t="shared" si="92"/>
        <v/>
      </c>
      <c r="H438" s="26"/>
      <c r="I438" s="26"/>
      <c r="J438" s="26"/>
      <c r="K438" s="29"/>
      <c r="L438" s="29"/>
      <c r="M438" s="30" t="str">
        <f t="shared" ca="1" si="93"/>
        <v/>
      </c>
      <c r="N438" s="46"/>
      <c r="O438" s="47"/>
    </row>
    <row r="439" spans="1:15" ht="15" customHeight="1">
      <c r="A439" s="69">
        <v>46251</v>
      </c>
      <c r="B439" s="32">
        <f t="shared" si="94"/>
        <v>0.54166666666666641</v>
      </c>
      <c r="C439" s="26"/>
      <c r="D439" s="59"/>
      <c r="E439" s="59"/>
      <c r="F439" s="27"/>
      <c r="G439" s="34" t="str">
        <f t="shared" si="92"/>
        <v/>
      </c>
      <c r="H439" s="33"/>
      <c r="I439" s="33"/>
      <c r="J439" s="33"/>
      <c r="K439" s="29"/>
      <c r="L439" s="29"/>
      <c r="M439" s="35" t="str">
        <f t="shared" ca="1" si="93"/>
        <v/>
      </c>
      <c r="N439" s="46"/>
      <c r="O439" s="47"/>
    </row>
    <row r="440" spans="1:15" ht="15" customHeight="1">
      <c r="A440" s="68">
        <v>46251</v>
      </c>
      <c r="B440" s="25">
        <f t="shared" si="94"/>
        <v>0.58333333333333304</v>
      </c>
      <c r="C440" s="26"/>
      <c r="D440" s="59"/>
      <c r="E440" s="59"/>
      <c r="F440" s="27"/>
      <c r="G440" s="28" t="str">
        <f t="shared" si="92"/>
        <v/>
      </c>
      <c r="H440" s="26"/>
      <c r="I440" s="26"/>
      <c r="J440" s="26"/>
      <c r="K440" s="29"/>
      <c r="L440" s="29"/>
      <c r="M440" s="30" t="str">
        <f t="shared" ca="1" si="93"/>
        <v/>
      </c>
      <c r="N440" s="46"/>
      <c r="O440" s="47"/>
    </row>
    <row r="441" spans="1:15" ht="15" customHeight="1">
      <c r="A441" s="69">
        <v>46251</v>
      </c>
      <c r="B441" s="32">
        <f t="shared" si="94"/>
        <v>0.62499999999999967</v>
      </c>
      <c r="C441" s="26"/>
      <c r="D441" s="59"/>
      <c r="E441" s="59"/>
      <c r="F441" s="27"/>
      <c r="G441" s="34" t="str">
        <f t="shared" si="92"/>
        <v/>
      </c>
      <c r="H441" s="33"/>
      <c r="I441" s="33"/>
      <c r="J441" s="33"/>
      <c r="K441" s="29"/>
      <c r="L441" s="29"/>
      <c r="M441" s="35" t="str">
        <f t="shared" ca="1" si="93"/>
        <v/>
      </c>
      <c r="N441" s="46"/>
      <c r="O441" s="47"/>
    </row>
    <row r="442" spans="1:15" ht="15" customHeight="1">
      <c r="A442" s="68">
        <v>46251</v>
      </c>
      <c r="B442" s="25">
        <f t="shared" si="94"/>
        <v>0.6666666666666663</v>
      </c>
      <c r="C442" s="26"/>
      <c r="D442" s="59"/>
      <c r="E442" s="59"/>
      <c r="F442" s="27"/>
      <c r="G442" s="28" t="str">
        <f t="shared" si="92"/>
        <v/>
      </c>
      <c r="H442" s="26"/>
      <c r="I442" s="26"/>
      <c r="J442" s="26"/>
      <c r="K442" s="29"/>
      <c r="L442" s="29"/>
      <c r="M442" s="30" t="str">
        <f t="shared" ca="1" si="93"/>
        <v/>
      </c>
      <c r="N442" s="46"/>
      <c r="O442" s="47"/>
    </row>
    <row r="443" spans="1:15" ht="15" customHeight="1">
      <c r="A443" s="69">
        <v>46251</v>
      </c>
      <c r="B443" s="32">
        <f t="shared" si="94"/>
        <v>0.70833333333333293</v>
      </c>
      <c r="C443" s="26"/>
      <c r="D443" s="59"/>
      <c r="E443" s="59"/>
      <c r="F443" s="27"/>
      <c r="G443" s="34" t="str">
        <f t="shared" si="92"/>
        <v/>
      </c>
      <c r="H443" s="33"/>
      <c r="I443" s="33"/>
      <c r="J443" s="33"/>
      <c r="K443" s="29"/>
      <c r="L443" s="29"/>
      <c r="M443" s="35" t="str">
        <f t="shared" ca="1" si="93"/>
        <v/>
      </c>
      <c r="N443" s="46"/>
      <c r="O443" s="47"/>
    </row>
    <row r="444" spans="1:15" ht="15" customHeight="1">
      <c r="A444" s="68">
        <v>46251</v>
      </c>
      <c r="B444" s="25">
        <f t="shared" si="94"/>
        <v>0.74999999999999956</v>
      </c>
      <c r="C444" s="26"/>
      <c r="D444" s="59"/>
      <c r="E444" s="59"/>
      <c r="F444" s="27"/>
      <c r="G444" s="28" t="str">
        <f t="shared" si="92"/>
        <v/>
      </c>
      <c r="H444" s="26"/>
      <c r="I444" s="26"/>
      <c r="J444" s="26"/>
      <c r="K444" s="29"/>
      <c r="L444" s="29"/>
      <c r="M444" s="30" t="str">
        <f t="shared" ca="1" si="93"/>
        <v/>
      </c>
      <c r="N444" s="46"/>
      <c r="O444" s="47"/>
    </row>
    <row r="445" spans="1:15" ht="15" customHeight="1">
      <c r="A445" s="69">
        <v>46251</v>
      </c>
      <c r="B445" s="32">
        <f t="shared" si="94"/>
        <v>0.79166666666666619</v>
      </c>
      <c r="C445" s="26"/>
      <c r="D445" s="59"/>
      <c r="E445" s="59"/>
      <c r="F445" s="27"/>
      <c r="G445" s="34" t="str">
        <f t="shared" si="92"/>
        <v/>
      </c>
      <c r="H445" s="33"/>
      <c r="I445" s="33"/>
      <c r="J445" s="33"/>
      <c r="K445" s="29"/>
      <c r="L445" s="29"/>
      <c r="M445" s="35" t="str">
        <f t="shared" ca="1" si="93"/>
        <v/>
      </c>
      <c r="N445" s="46"/>
      <c r="O445" s="47"/>
    </row>
    <row r="446" spans="1:15" ht="15.75" customHeight="1">
      <c r="A446" s="152" t="s">
        <v>241</v>
      </c>
      <c r="B446" s="153"/>
      <c r="C446" s="153"/>
      <c r="D446" s="153"/>
      <c r="E446" s="16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5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6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97">B447+TIME(0,60,0)</f>
        <v>0.87499999999999967</v>
      </c>
      <c r="C448" s="33"/>
      <c r="D448" s="62"/>
      <c r="E448" s="62"/>
      <c r="F448" s="27"/>
      <c r="G448" s="28" t="str">
        <f t="shared" si="95"/>
        <v/>
      </c>
      <c r="H448" s="26"/>
      <c r="I448" s="26"/>
      <c r="J448" s="26"/>
      <c r="K448" s="29"/>
      <c r="L448" s="29"/>
      <c r="M448" s="30" t="str">
        <f t="shared" ca="1" si="96"/>
        <v/>
      </c>
      <c r="N448" s="46"/>
      <c r="O448" s="47"/>
    </row>
    <row r="449" spans="1:15" ht="15" customHeight="1">
      <c r="A449" s="69">
        <v>46251</v>
      </c>
      <c r="B449" s="32">
        <f t="shared" si="97"/>
        <v>0.9166666666666663</v>
      </c>
      <c r="C449" s="33"/>
      <c r="D449" s="62"/>
      <c r="E449" s="62"/>
      <c r="F449" s="27"/>
      <c r="G449" s="34" t="str">
        <f t="shared" si="95"/>
        <v/>
      </c>
      <c r="H449" s="33"/>
      <c r="I449" s="33"/>
      <c r="J449" s="33"/>
      <c r="K449" s="29"/>
      <c r="L449" s="29"/>
      <c r="M449" s="35" t="str">
        <f t="shared" ca="1" si="96"/>
        <v/>
      </c>
      <c r="N449" s="46"/>
      <c r="O449" s="47"/>
    </row>
    <row r="450" spans="1:15" ht="15" customHeight="1">
      <c r="A450" s="68">
        <v>46251</v>
      </c>
      <c r="B450" s="25">
        <f t="shared" si="97"/>
        <v>0.95833333333333293</v>
      </c>
      <c r="C450" s="33"/>
      <c r="D450" s="62"/>
      <c r="E450" s="62"/>
      <c r="F450" s="27"/>
      <c r="G450" s="28" t="str">
        <f t="shared" si="95"/>
        <v/>
      </c>
      <c r="H450" s="26"/>
      <c r="I450" s="26"/>
      <c r="J450" s="26"/>
      <c r="K450" s="29"/>
      <c r="L450" s="29"/>
      <c r="M450" s="30" t="str">
        <f t="shared" ca="1" si="96"/>
        <v/>
      </c>
      <c r="N450" s="46"/>
      <c r="O450" s="47"/>
    </row>
    <row r="451" spans="1:15" ht="15" customHeight="1">
      <c r="A451" s="69">
        <v>46251</v>
      </c>
      <c r="B451" s="32">
        <f t="shared" si="97"/>
        <v>0.99999999999999956</v>
      </c>
      <c r="C451" s="33"/>
      <c r="D451" s="62"/>
      <c r="E451" s="62"/>
      <c r="F451" s="27"/>
      <c r="G451" s="34" t="str">
        <f t="shared" si="95"/>
        <v/>
      </c>
      <c r="H451" s="33"/>
      <c r="I451" s="33"/>
      <c r="J451" s="33"/>
      <c r="K451" s="29"/>
      <c r="L451" s="29"/>
      <c r="M451" s="35" t="str">
        <f t="shared" ca="1" si="96"/>
        <v/>
      </c>
      <c r="N451" s="46"/>
      <c r="O451" s="47"/>
    </row>
    <row r="452" spans="1:15" ht="15" customHeight="1">
      <c r="A452" s="68">
        <v>46251</v>
      </c>
      <c r="B452" s="25">
        <f t="shared" si="97"/>
        <v>1.0416666666666663</v>
      </c>
      <c r="C452" s="33"/>
      <c r="D452" s="62"/>
      <c r="E452" s="62"/>
      <c r="F452" s="27"/>
      <c r="G452" s="28" t="str">
        <f t="shared" si="95"/>
        <v/>
      </c>
      <c r="H452" s="26"/>
      <c r="I452" s="26"/>
      <c r="J452" s="26"/>
      <c r="K452" s="29"/>
      <c r="L452" s="29"/>
      <c r="M452" s="30" t="str">
        <f t="shared" ca="1" si="96"/>
        <v/>
      </c>
      <c r="N452" s="46"/>
      <c r="O452" s="47"/>
    </row>
    <row r="453" spans="1:15" ht="15" customHeight="1">
      <c r="A453" s="69">
        <v>46251</v>
      </c>
      <c r="B453" s="32">
        <f t="shared" si="97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6"/>
        <v/>
      </c>
      <c r="N453" s="46"/>
      <c r="O453" s="47"/>
    </row>
    <row r="454" spans="1:15" ht="15" customHeight="1">
      <c r="A454" s="68">
        <v>46251</v>
      </c>
      <c r="B454" s="25">
        <f t="shared" si="97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6"/>
        <v/>
      </c>
      <c r="N454" s="46"/>
      <c r="O454" s="47"/>
    </row>
    <row r="455" spans="1:15" ht="15" customHeight="1">
      <c r="A455" s="69">
        <v>46251</v>
      </c>
      <c r="B455" s="32">
        <f t="shared" si="97"/>
        <v>1.1666666666666665</v>
      </c>
      <c r="C455" s="33"/>
      <c r="D455" s="62"/>
      <c r="E455" s="62"/>
      <c r="F455" s="27"/>
      <c r="G455" s="34" t="str">
        <f t="shared" si="95"/>
        <v/>
      </c>
      <c r="H455" s="33"/>
      <c r="I455" s="33"/>
      <c r="J455" s="33"/>
      <c r="K455" s="29"/>
      <c r="L455" s="29"/>
      <c r="M455" s="35" t="str">
        <f t="shared" ca="1" si="96"/>
        <v/>
      </c>
      <c r="N455" s="46"/>
      <c r="O455" s="47"/>
    </row>
    <row r="456" spans="1:15" ht="15" customHeight="1">
      <c r="A456" s="68">
        <v>46251</v>
      </c>
      <c r="B456" s="25">
        <f t="shared" si="97"/>
        <v>1.2083333333333333</v>
      </c>
      <c r="C456" s="33"/>
      <c r="D456" s="62"/>
      <c r="E456" s="62"/>
      <c r="F456" s="27"/>
      <c r="G456" s="28" t="str">
        <f t="shared" si="95"/>
        <v/>
      </c>
      <c r="H456" s="26"/>
      <c r="I456" s="26"/>
      <c r="J456" s="26"/>
      <c r="K456" s="29"/>
      <c r="L456" s="29"/>
      <c r="M456" s="30" t="str">
        <f t="shared" ca="1" si="96"/>
        <v/>
      </c>
      <c r="N456" s="46"/>
      <c r="O456" s="47"/>
    </row>
    <row r="457" spans="1:15" ht="15" customHeight="1">
      <c r="A457" s="69">
        <v>46251</v>
      </c>
      <c r="B457" s="32">
        <f t="shared" si="97"/>
        <v>1.25</v>
      </c>
      <c r="C457" s="33"/>
      <c r="D457" s="62"/>
      <c r="E457" s="62"/>
      <c r="F457" s="27"/>
      <c r="G457" s="34" t="str">
        <f t="shared" si="95"/>
        <v/>
      </c>
      <c r="H457" s="33"/>
      <c r="I457" s="33"/>
      <c r="J457" s="33"/>
      <c r="K457" s="29"/>
      <c r="L457" s="29"/>
      <c r="M457" s="35" t="str">
        <f t="shared" ca="1" si="96"/>
        <v/>
      </c>
      <c r="N457" s="46"/>
      <c r="O457" s="47"/>
    </row>
    <row r="458" spans="1:15" ht="15" customHeight="1">
      <c r="A458" s="68">
        <v>46251</v>
      </c>
      <c r="B458" s="25">
        <f t="shared" si="97"/>
        <v>1.2916666666666667</v>
      </c>
      <c r="C458" s="33"/>
      <c r="D458" s="62"/>
      <c r="E458" s="62"/>
      <c r="F458" s="27"/>
      <c r="G458" s="28" t="str">
        <f t="shared" si="95"/>
        <v/>
      </c>
      <c r="H458" s="26"/>
      <c r="I458" s="26"/>
      <c r="J458" s="26"/>
      <c r="K458" s="29"/>
      <c r="L458" s="29"/>
      <c r="M458" s="30" t="str">
        <f t="shared" ca="1" si="96"/>
        <v/>
      </c>
      <c r="N458" s="46"/>
      <c r="O458" s="47"/>
    </row>
    <row r="459" spans="1:15" ht="15.75" customHeight="1">
      <c r="A459" s="152" t="s">
        <v>244</v>
      </c>
      <c r="B459" s="153"/>
      <c r="C459" s="153"/>
      <c r="D459" s="153"/>
      <c r="E459" s="16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0" t="s">
        <v>245</v>
      </c>
      <c r="B460" s="151"/>
      <c r="C460" s="151"/>
      <c r="D460" s="151"/>
      <c r="E460" s="16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8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9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0">B461+TIME(0,60,0)</f>
        <v>0.37499999999999967</v>
      </c>
      <c r="C462" s="33"/>
      <c r="D462" s="62"/>
      <c r="E462" s="62"/>
      <c r="F462" s="27"/>
      <c r="G462" s="28" t="str">
        <f t="shared" si="98"/>
        <v/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9">
        <v>46252</v>
      </c>
      <c r="B463" s="32">
        <f t="shared" si="100"/>
        <v>0.41666666666666635</v>
      </c>
      <c r="C463" s="33"/>
      <c r="D463" s="62"/>
      <c r="E463" s="62"/>
      <c r="F463" s="27"/>
      <c r="G463" s="34" t="str">
        <f t="shared" si="98"/>
        <v/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8">
        <v>46252</v>
      </c>
      <c r="B464" s="25">
        <f t="shared" si="100"/>
        <v>0.45833333333333304</v>
      </c>
      <c r="C464" s="33"/>
      <c r="D464" s="62"/>
      <c r="E464" s="62"/>
      <c r="F464" s="27"/>
      <c r="G464" s="28" t="str">
        <f t="shared" si="98"/>
        <v/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9">
        <v>46252</v>
      </c>
      <c r="B465" s="32">
        <f t="shared" si="100"/>
        <v>0.49999999999999972</v>
      </c>
      <c r="C465" s="33"/>
      <c r="D465" s="62"/>
      <c r="E465" s="62"/>
      <c r="F465" s="27"/>
      <c r="G465" s="34" t="str">
        <f t="shared" si="98"/>
        <v/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8">
        <v>46252</v>
      </c>
      <c r="B466" s="25">
        <f t="shared" si="100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9">
        <v>46252</v>
      </c>
      <c r="B467" s="32">
        <f t="shared" si="100"/>
        <v>0.58333333333333304</v>
      </c>
      <c r="C467" s="33"/>
      <c r="D467" s="62"/>
      <c r="E467" s="62"/>
      <c r="F467" s="27"/>
      <c r="G467" s="34" t="str">
        <f t="shared" si="98"/>
        <v/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8">
        <v>46252</v>
      </c>
      <c r="B468" s="25">
        <f t="shared" si="100"/>
        <v>0.62499999999999967</v>
      </c>
      <c r="C468" s="33"/>
      <c r="D468" s="62"/>
      <c r="E468" s="62"/>
      <c r="F468" s="27"/>
      <c r="G468" s="28" t="str">
        <f t="shared" si="98"/>
        <v/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9">
        <v>46252</v>
      </c>
      <c r="B469" s="32">
        <f t="shared" si="100"/>
        <v>0.6666666666666663</v>
      </c>
      <c r="C469" s="33"/>
      <c r="D469" s="62"/>
      <c r="E469" s="62"/>
      <c r="F469" s="27"/>
      <c r="G469" s="34" t="str">
        <f t="shared" si="98"/>
        <v/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8">
        <v>46252</v>
      </c>
      <c r="B470" s="25">
        <f t="shared" si="100"/>
        <v>0.70833333333333293</v>
      </c>
      <c r="C470" s="33"/>
      <c r="D470" s="62"/>
      <c r="E470" s="62"/>
      <c r="F470" s="27"/>
      <c r="G470" s="28" t="str">
        <f t="shared" si="98"/>
        <v/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9">
        <v>46252</v>
      </c>
      <c r="B471" s="32">
        <f t="shared" si="100"/>
        <v>0.74999999999999956</v>
      </c>
      <c r="C471" s="33"/>
      <c r="D471" s="62"/>
      <c r="E471" s="62"/>
      <c r="F471" s="27"/>
      <c r="G471" s="34" t="str">
        <f t="shared" si="98"/>
        <v/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8">
        <v>46252</v>
      </c>
      <c r="B472" s="25">
        <f t="shared" si="100"/>
        <v>0.79166666666666619</v>
      </c>
      <c r="C472" s="33"/>
      <c r="D472" s="62"/>
      <c r="E472" s="62"/>
      <c r="F472" s="27"/>
      <c r="G472" s="28" t="str">
        <f t="shared" si="98"/>
        <v/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52" t="s">
        <v>241</v>
      </c>
      <c r="B473" s="153"/>
      <c r="C473" s="153"/>
      <c r="D473" s="153"/>
      <c r="E473" s="16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8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9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8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9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8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9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8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9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8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9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52" t="s">
        <v>244</v>
      </c>
      <c r="B486" s="153"/>
      <c r="C486" s="153"/>
      <c r="D486" s="153"/>
      <c r="E486" s="16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0" t="s">
        <v>245</v>
      </c>
      <c r="B487" s="151"/>
      <c r="C487" s="151"/>
      <c r="D487" s="151"/>
      <c r="E487" s="16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8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9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8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9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8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9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8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9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8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9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52" t="s">
        <v>241</v>
      </c>
      <c r="B500" s="153"/>
      <c r="C500" s="153"/>
      <c r="D500" s="153"/>
      <c r="E500" s="16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9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8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9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8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9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8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9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8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9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8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52" t="s">
        <v>244</v>
      </c>
      <c r="B513" s="153"/>
      <c r="C513" s="153"/>
      <c r="D513" s="153"/>
      <c r="E513" s="16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0" t="s">
        <v>245</v>
      </c>
      <c r="B514" s="151"/>
      <c r="C514" s="151"/>
      <c r="D514" s="151"/>
      <c r="E514" s="16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9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8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9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8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9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8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9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8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9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8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52" t="s">
        <v>241</v>
      </c>
      <c r="B527" s="153"/>
      <c r="C527" s="153"/>
      <c r="D527" s="153"/>
      <c r="E527" s="16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9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8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9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8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9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8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9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8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9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52" t="s">
        <v>244</v>
      </c>
      <c r="B540" s="153"/>
      <c r="C540" s="153"/>
      <c r="D540" s="153"/>
      <c r="E540" s="16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0" t="s">
        <v>245</v>
      </c>
      <c r="B541" s="151"/>
      <c r="C541" s="151"/>
      <c r="D541" s="151"/>
      <c r="E541" s="16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8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9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8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9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8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9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8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9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8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9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52" t="s">
        <v>241</v>
      </c>
      <c r="B554" s="153"/>
      <c r="C554" s="153"/>
      <c r="D554" s="153"/>
      <c r="E554" s="16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9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8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9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8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9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8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9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8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9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8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52" t="s">
        <v>244</v>
      </c>
      <c r="B567" s="153"/>
      <c r="C567" s="153"/>
      <c r="D567" s="153"/>
      <c r="E567" s="16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0" t="s">
        <v>245</v>
      </c>
      <c r="B568" s="151"/>
      <c r="C568" s="151"/>
      <c r="D568" s="151"/>
      <c r="E568" s="16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9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8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9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8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9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8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9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8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9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8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52" t="s">
        <v>241</v>
      </c>
      <c r="B581" s="153"/>
      <c r="C581" s="153"/>
      <c r="D581" s="153"/>
      <c r="E581" s="16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8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9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8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9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8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9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8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9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8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9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52" t="s">
        <v>244</v>
      </c>
      <c r="B594" s="153"/>
      <c r="C594" s="153"/>
      <c r="D594" s="153"/>
      <c r="E594" s="16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0" t="s">
        <v>245</v>
      </c>
      <c r="B595" s="151"/>
      <c r="C595" s="151"/>
      <c r="D595" s="151"/>
      <c r="E595" s="16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8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9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8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9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8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9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8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9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8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9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52" t="s">
        <v>241</v>
      </c>
      <c r="B608" s="153"/>
      <c r="C608" s="153"/>
      <c r="D608" s="153"/>
      <c r="E608" s="16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9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8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9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8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9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8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9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8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9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8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52" t="s">
        <v>244</v>
      </c>
      <c r="B621" s="153"/>
      <c r="C621" s="153"/>
      <c r="D621" s="153"/>
      <c r="E621" s="16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0" t="s">
        <v>245</v>
      </c>
      <c r="B622" s="151"/>
      <c r="C622" s="151"/>
      <c r="D622" s="151"/>
      <c r="E622" s="16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9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8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9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8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9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8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9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8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9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8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52" t="s">
        <v>241</v>
      </c>
      <c r="B635" s="153"/>
      <c r="C635" s="153"/>
      <c r="D635" s="153"/>
      <c r="E635" s="16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8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9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8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9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8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9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8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9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8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9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52" t="s">
        <v>244</v>
      </c>
      <c r="B648" s="153"/>
      <c r="C648" s="153"/>
      <c r="D648" s="153"/>
      <c r="E648" s="16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0" t="s">
        <v>245</v>
      </c>
      <c r="B649" s="151"/>
      <c r="C649" s="151"/>
      <c r="D649" s="151"/>
      <c r="E649" s="16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8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9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8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9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8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9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8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9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8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9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52" t="s">
        <v>241</v>
      </c>
      <c r="B662" s="153"/>
      <c r="C662" s="153"/>
      <c r="D662" s="153"/>
      <c r="E662" s="16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9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8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9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8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9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8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9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8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9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8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52" t="s">
        <v>244</v>
      </c>
      <c r="B675" s="153"/>
      <c r="C675" s="153"/>
      <c r="D675" s="153"/>
      <c r="E675" s="16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0" t="s">
        <v>245</v>
      </c>
      <c r="B676" s="151"/>
      <c r="C676" s="151"/>
      <c r="D676" s="151"/>
      <c r="E676" s="16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9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8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9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8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9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8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9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8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9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8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52" t="s">
        <v>241</v>
      </c>
      <c r="B689" s="153"/>
      <c r="C689" s="153"/>
      <c r="D689" s="153"/>
      <c r="E689" s="16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8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9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8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9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8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9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8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9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8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9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52" t="s">
        <v>244</v>
      </c>
      <c r="B702" s="153"/>
      <c r="C702" s="153"/>
      <c r="D702" s="153"/>
      <c r="E702" s="16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0" t="s">
        <v>245</v>
      </c>
      <c r="B703" s="151"/>
      <c r="C703" s="151"/>
      <c r="D703" s="151"/>
      <c r="E703" s="16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8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9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8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9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8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9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8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9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8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9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52" t="s">
        <v>241</v>
      </c>
      <c r="B716" s="153"/>
      <c r="C716" s="153"/>
      <c r="D716" s="153"/>
      <c r="E716" s="16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9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8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9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8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9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8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9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8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9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8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52" t="s">
        <v>244</v>
      </c>
      <c r="B729" s="153"/>
      <c r="C729" s="153"/>
      <c r="D729" s="153"/>
      <c r="E729" s="16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0" t="s">
        <v>245</v>
      </c>
      <c r="B730" s="151"/>
      <c r="C730" s="151"/>
      <c r="D730" s="151"/>
      <c r="E730" s="16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9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8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9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8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9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8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9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8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9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8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52" t="s">
        <v>241</v>
      </c>
      <c r="B743" s="153"/>
      <c r="C743" s="153"/>
      <c r="D743" s="153"/>
      <c r="E743" s="16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8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9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8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9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8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9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8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9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8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9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52" t="s">
        <v>244</v>
      </c>
      <c r="B756" s="153"/>
      <c r="C756" s="153"/>
      <c r="D756" s="153"/>
      <c r="E756" s="16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0" t="s">
        <v>245</v>
      </c>
      <c r="B757" s="151"/>
      <c r="C757" s="151"/>
      <c r="D757" s="151"/>
      <c r="E757" s="16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8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9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8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9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8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9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8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9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8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9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52" t="s">
        <v>241</v>
      </c>
      <c r="B770" s="153"/>
      <c r="C770" s="153"/>
      <c r="D770" s="153"/>
      <c r="E770" s="16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9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8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9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8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9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8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9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8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9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8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52" t="s">
        <v>244</v>
      </c>
      <c r="B783" s="153"/>
      <c r="C783" s="153"/>
      <c r="D783" s="153"/>
      <c r="E783" s="16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0" t="s">
        <v>245</v>
      </c>
      <c r="B784" s="151"/>
      <c r="C784" s="151"/>
      <c r="D784" s="151"/>
      <c r="E784" s="16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9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8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9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8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9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8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9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8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9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8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52" t="s">
        <v>241</v>
      </c>
      <c r="B797" s="153"/>
      <c r="C797" s="153"/>
      <c r="D797" s="153"/>
      <c r="E797" s="16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8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9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8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9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8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9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8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9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8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9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52" t="s">
        <v>244</v>
      </c>
      <c r="B810" s="153"/>
      <c r="C810" s="153"/>
      <c r="D810" s="153"/>
      <c r="E810" s="16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4" t="s">
        <v>245</v>
      </c>
      <c r="B811" s="165"/>
      <c r="C811" s="165"/>
      <c r="D811" s="165"/>
      <c r="E811" s="166">
        <f>E797+E810</f>
        <v>0</v>
      </c>
      <c r="F811" s="13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8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9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8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9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8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9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8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9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8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9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52" t="s">
        <v>241</v>
      </c>
      <c r="B824" s="153"/>
      <c r="C824" s="153"/>
      <c r="D824" s="153"/>
      <c r="E824" s="16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9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8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9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8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9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8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9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8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9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8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52" t="s">
        <v>244</v>
      </c>
      <c r="B837" s="153"/>
      <c r="C837" s="153"/>
      <c r="D837" s="153"/>
      <c r="E837" s="16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0" t="s">
        <v>245</v>
      </c>
      <c r="B838" s="151"/>
      <c r="C838" s="151"/>
      <c r="D838" s="151"/>
      <c r="E838" s="16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60" zoomScaleNormal="60" zoomScaleSheetLayoutView="70" workbookViewId="0">
      <pane ySplit="1" topLeftCell="A318" activePane="bottomLeft" state="frozen"/>
      <selection pane="bottomLeft" activeCell="N326" sqref="N3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7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4" t="s">
        <v>17</v>
      </c>
      <c r="G1" s="23" t="s">
        <v>232</v>
      </c>
      <c r="H1" s="134" t="s">
        <v>264</v>
      </c>
      <c r="I1" s="134" t="s">
        <v>18</v>
      </c>
      <c r="J1" s="134" t="s">
        <v>265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265</v>
      </c>
    </row>
    <row r="2" spans="1:20" ht="15" customHeight="1">
      <c r="A2" s="68">
        <v>46235</v>
      </c>
      <c r="B2" s="25">
        <v>0.33333333333333298</v>
      </c>
      <c r="C2" s="26" t="s">
        <v>50</v>
      </c>
      <c r="D2" s="59" t="s">
        <v>43</v>
      </c>
      <c r="E2" s="109" t="s">
        <v>256</v>
      </c>
      <c r="F2" s="135"/>
      <c r="G2" s="106">
        <v>0</v>
      </c>
      <c r="H2" s="135"/>
      <c r="I2" s="136"/>
      <c r="J2" s="137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266</v>
      </c>
      <c r="S2" s="31"/>
    </row>
    <row r="3" spans="1:20" ht="15" customHeight="1">
      <c r="A3" s="69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9" t="s">
        <v>256</v>
      </c>
      <c r="F3" s="135"/>
      <c r="G3" s="106">
        <v>11</v>
      </c>
      <c r="H3" s="135"/>
      <c r="I3" s="136"/>
      <c r="J3" s="137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8">
        <v>46235</v>
      </c>
      <c r="B4" s="25">
        <f t="shared" si="2"/>
        <v>0.41666666666666635</v>
      </c>
      <c r="C4" s="26" t="s">
        <v>50</v>
      </c>
      <c r="D4" s="59" t="s">
        <v>43</v>
      </c>
      <c r="E4" s="109" t="s">
        <v>256</v>
      </c>
      <c r="F4" s="135"/>
      <c r="G4" s="106">
        <v>8</v>
      </c>
      <c r="H4" s="135"/>
      <c r="I4" s="136"/>
      <c r="J4" s="137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9">
        <v>46235</v>
      </c>
      <c r="B5" s="32">
        <f t="shared" si="2"/>
        <v>0.45833333333333304</v>
      </c>
      <c r="C5" s="26" t="s">
        <v>50</v>
      </c>
      <c r="D5" s="59" t="s">
        <v>43</v>
      </c>
      <c r="E5" s="109" t="s">
        <v>256</v>
      </c>
      <c r="F5" s="135"/>
      <c r="G5" s="106">
        <v>9</v>
      </c>
      <c r="H5" s="135"/>
      <c r="I5" s="136"/>
      <c r="J5" s="137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267</v>
      </c>
      <c r="S5" s="31"/>
    </row>
    <row r="6" spans="1:20" ht="15" customHeight="1">
      <c r="A6" s="68">
        <v>46235</v>
      </c>
      <c r="B6" s="25">
        <f t="shared" si="2"/>
        <v>0.49999999999999972</v>
      </c>
      <c r="C6" s="26" t="s">
        <v>50</v>
      </c>
      <c r="D6" s="59" t="s">
        <v>43</v>
      </c>
      <c r="E6" s="109" t="s">
        <v>256</v>
      </c>
      <c r="F6" s="135"/>
      <c r="G6" s="106">
        <v>18</v>
      </c>
      <c r="H6" s="135"/>
      <c r="I6" s="136"/>
      <c r="J6" s="137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268</v>
      </c>
      <c r="S6" s="31"/>
    </row>
    <row r="7" spans="1:20" ht="15" customHeight="1">
      <c r="A7" s="69">
        <v>46235</v>
      </c>
      <c r="B7" s="32">
        <f t="shared" si="2"/>
        <v>0.54166666666666641</v>
      </c>
      <c r="C7" s="26" t="s">
        <v>50</v>
      </c>
      <c r="D7" s="59" t="s">
        <v>43</v>
      </c>
      <c r="E7" s="109" t="s">
        <v>256</v>
      </c>
      <c r="F7" s="135"/>
      <c r="G7" s="106">
        <v>16</v>
      </c>
      <c r="H7" s="135"/>
      <c r="I7" s="136"/>
      <c r="J7" s="137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8">
        <v>46235</v>
      </c>
      <c r="B8" s="25">
        <f t="shared" si="2"/>
        <v>0.58333333333333304</v>
      </c>
      <c r="C8" s="26" t="s">
        <v>50</v>
      </c>
      <c r="D8" s="59" t="s">
        <v>43</v>
      </c>
      <c r="E8" s="109" t="s">
        <v>256</v>
      </c>
      <c r="F8" s="135"/>
      <c r="G8" s="106">
        <v>10</v>
      </c>
      <c r="H8" s="135"/>
      <c r="I8" s="136"/>
      <c r="J8" s="137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9">
        <v>46235</v>
      </c>
      <c r="B9" s="32">
        <f t="shared" si="2"/>
        <v>0.62499999999999967</v>
      </c>
      <c r="C9" s="26" t="s">
        <v>50</v>
      </c>
      <c r="D9" s="59" t="s">
        <v>43</v>
      </c>
      <c r="E9" s="109" t="s">
        <v>256</v>
      </c>
      <c r="F9" s="135"/>
      <c r="G9" s="106">
        <v>7</v>
      </c>
      <c r="H9" s="135"/>
      <c r="I9" s="136"/>
      <c r="J9" s="137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8">
        <v>46235</v>
      </c>
      <c r="B10" s="25">
        <f t="shared" si="2"/>
        <v>0.6666666666666663</v>
      </c>
      <c r="C10" s="26" t="s">
        <v>50</v>
      </c>
      <c r="D10" s="59" t="s">
        <v>43</v>
      </c>
      <c r="E10" s="109" t="s">
        <v>256</v>
      </c>
      <c r="F10" s="135"/>
      <c r="G10" s="106">
        <v>8</v>
      </c>
      <c r="H10" s="135"/>
      <c r="I10" s="136"/>
      <c r="J10" s="137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9">
        <v>46235</v>
      </c>
      <c r="B11" s="32">
        <f t="shared" si="2"/>
        <v>0.70833333333333293</v>
      </c>
      <c r="C11" s="26" t="s">
        <v>50</v>
      </c>
      <c r="D11" s="59" t="s">
        <v>43</v>
      </c>
      <c r="E11" s="109" t="s">
        <v>256</v>
      </c>
      <c r="F11" s="135"/>
      <c r="G11" s="106">
        <v>16</v>
      </c>
      <c r="H11" s="135"/>
      <c r="I11" s="136"/>
      <c r="J11" s="137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8">
        <v>46235</v>
      </c>
      <c r="B12" s="25">
        <f t="shared" si="2"/>
        <v>0.74999999999999956</v>
      </c>
      <c r="C12" s="26" t="s">
        <v>50</v>
      </c>
      <c r="D12" s="59" t="s">
        <v>43</v>
      </c>
      <c r="E12" s="109" t="s">
        <v>256</v>
      </c>
      <c r="F12" s="135"/>
      <c r="G12" s="106">
        <v>9</v>
      </c>
      <c r="H12" s="135"/>
      <c r="I12" s="136"/>
      <c r="J12" s="137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9">
        <v>46235</v>
      </c>
      <c r="B13" s="32">
        <f t="shared" si="2"/>
        <v>0.79166666666666619</v>
      </c>
      <c r="C13" s="26" t="s">
        <v>50</v>
      </c>
      <c r="D13" s="59" t="s">
        <v>43</v>
      </c>
      <c r="E13" s="109" t="s">
        <v>256</v>
      </c>
      <c r="F13" s="138"/>
      <c r="G13" s="106">
        <v>0</v>
      </c>
      <c r="H13" s="138"/>
      <c r="I13" s="139"/>
      <c r="J13" s="140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2" t="s">
        <v>241</v>
      </c>
      <c r="B14" s="153"/>
      <c r="C14" s="153"/>
      <c r="D14" s="153"/>
      <c r="E14" s="153"/>
      <c r="F14" s="111"/>
      <c r="G14" s="81">
        <f>SUM(G2:G13)</f>
        <v>112</v>
      </c>
      <c r="H14" s="111"/>
      <c r="I14" s="115"/>
      <c r="J14" s="124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3"/>
    </row>
    <row r="15" spans="1:20" ht="15" customHeight="1">
      <c r="A15" s="69">
        <v>46235</v>
      </c>
      <c r="B15" s="32">
        <v>0.83333333333333304</v>
      </c>
      <c r="C15" s="33" t="s">
        <v>34</v>
      </c>
      <c r="D15" s="62" t="s">
        <v>35</v>
      </c>
      <c r="E15" s="110" t="s">
        <v>256</v>
      </c>
      <c r="F15" s="141"/>
      <c r="G15" s="106">
        <v>26</v>
      </c>
      <c r="H15" s="141"/>
      <c r="I15" s="142"/>
      <c r="J15" s="143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8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10" t="s">
        <v>256</v>
      </c>
      <c r="F16" s="135"/>
      <c r="G16" s="106">
        <v>8</v>
      </c>
      <c r="H16" s="135"/>
      <c r="I16" s="136"/>
      <c r="J16" s="137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9">
        <v>46235</v>
      </c>
      <c r="B17" s="32">
        <f t="shared" si="5"/>
        <v>0.9166666666666663</v>
      </c>
      <c r="C17" s="33" t="s">
        <v>34</v>
      </c>
      <c r="D17" s="62" t="s">
        <v>35</v>
      </c>
      <c r="E17" s="110" t="s">
        <v>256</v>
      </c>
      <c r="F17" s="135"/>
      <c r="G17" s="106">
        <v>26</v>
      </c>
      <c r="H17" s="135"/>
      <c r="I17" s="136"/>
      <c r="J17" s="137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8">
        <v>46235</v>
      </c>
      <c r="B18" s="25">
        <f t="shared" si="5"/>
        <v>0.95833333333333293</v>
      </c>
      <c r="C18" s="33" t="s">
        <v>34</v>
      </c>
      <c r="D18" s="62" t="s">
        <v>35</v>
      </c>
      <c r="E18" s="110" t="s">
        <v>256</v>
      </c>
      <c r="F18" s="135"/>
      <c r="G18" s="106">
        <v>1</v>
      </c>
      <c r="H18" s="135"/>
      <c r="I18" s="136"/>
      <c r="J18" s="137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9">
        <v>46235</v>
      </c>
      <c r="B19" s="32">
        <f t="shared" si="5"/>
        <v>0.99999999999999956</v>
      </c>
      <c r="C19" s="33" t="s">
        <v>34</v>
      </c>
      <c r="D19" s="62" t="s">
        <v>35</v>
      </c>
      <c r="E19" s="110" t="s">
        <v>256</v>
      </c>
      <c r="F19" s="135"/>
      <c r="G19" s="106">
        <v>1</v>
      </c>
      <c r="H19" s="135"/>
      <c r="I19" s="136"/>
      <c r="J19" s="137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269</v>
      </c>
      <c r="S19" s="31"/>
    </row>
    <row r="20" spans="1:20" ht="15" customHeight="1">
      <c r="A20" s="68">
        <v>46235</v>
      </c>
      <c r="B20" s="25">
        <f t="shared" si="5"/>
        <v>1.0416666666666663</v>
      </c>
      <c r="C20" s="33" t="s">
        <v>34</v>
      </c>
      <c r="D20" s="62" t="s">
        <v>35</v>
      </c>
      <c r="E20" s="110" t="s">
        <v>256</v>
      </c>
      <c r="F20" s="135"/>
      <c r="G20" s="106">
        <v>14</v>
      </c>
      <c r="H20" s="135"/>
      <c r="I20" s="136"/>
      <c r="J20" s="137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270</v>
      </c>
      <c r="S20" s="31"/>
    </row>
    <row r="21" spans="1:20" ht="15" customHeight="1">
      <c r="A21" s="69">
        <v>46235</v>
      </c>
      <c r="B21" s="32">
        <f t="shared" si="5"/>
        <v>1.083333333333333</v>
      </c>
      <c r="C21" s="33" t="s">
        <v>34</v>
      </c>
      <c r="D21" s="62" t="s">
        <v>35</v>
      </c>
      <c r="E21" s="110" t="s">
        <v>256</v>
      </c>
      <c r="F21" s="135"/>
      <c r="G21" s="106">
        <v>12</v>
      </c>
      <c r="H21" s="135"/>
      <c r="I21" s="136"/>
      <c r="J21" s="137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8">
        <v>46235</v>
      </c>
      <c r="B22" s="25">
        <f t="shared" si="5"/>
        <v>1.1249999999999998</v>
      </c>
      <c r="C22" s="33" t="s">
        <v>34</v>
      </c>
      <c r="D22" s="62" t="s">
        <v>35</v>
      </c>
      <c r="E22" s="110" t="s">
        <v>256</v>
      </c>
      <c r="F22" s="135"/>
      <c r="G22" s="106">
        <v>11</v>
      </c>
      <c r="H22" s="135"/>
      <c r="I22" s="136"/>
      <c r="J22" s="137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9">
        <v>46235</v>
      </c>
      <c r="B23" s="32">
        <f t="shared" si="5"/>
        <v>1.1666666666666665</v>
      </c>
      <c r="C23" s="33" t="s">
        <v>34</v>
      </c>
      <c r="D23" s="62" t="s">
        <v>35</v>
      </c>
      <c r="E23" s="110" t="s">
        <v>256</v>
      </c>
      <c r="F23" s="135"/>
      <c r="G23" s="107">
        <v>7</v>
      </c>
      <c r="H23" s="135"/>
      <c r="I23" s="136"/>
      <c r="J23" s="137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8">
        <v>46235</v>
      </c>
      <c r="B24" s="25">
        <f t="shared" si="5"/>
        <v>1.2083333333333333</v>
      </c>
      <c r="C24" s="33" t="s">
        <v>34</v>
      </c>
      <c r="D24" s="62" t="s">
        <v>35</v>
      </c>
      <c r="E24" s="110" t="s">
        <v>256</v>
      </c>
      <c r="F24" s="135"/>
      <c r="G24" s="106">
        <v>0</v>
      </c>
      <c r="H24" s="135"/>
      <c r="I24" s="136"/>
      <c r="J24" s="137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9">
        <v>46235</v>
      </c>
      <c r="B25" s="32">
        <f t="shared" si="5"/>
        <v>1.25</v>
      </c>
      <c r="C25" s="33" t="s">
        <v>34</v>
      </c>
      <c r="D25" s="62" t="s">
        <v>35</v>
      </c>
      <c r="E25" s="110" t="s">
        <v>256</v>
      </c>
      <c r="F25" s="135"/>
      <c r="G25" s="106">
        <v>6</v>
      </c>
      <c r="H25" s="135"/>
      <c r="I25" s="136"/>
      <c r="J25" s="137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8">
        <v>46235</v>
      </c>
      <c r="B26" s="25">
        <f t="shared" si="5"/>
        <v>1.2916666666666667</v>
      </c>
      <c r="C26" s="33" t="s">
        <v>34</v>
      </c>
      <c r="D26" s="62" t="s">
        <v>35</v>
      </c>
      <c r="E26" s="110" t="s">
        <v>256</v>
      </c>
      <c r="F26" s="138"/>
      <c r="G26" s="106">
        <v>5</v>
      </c>
      <c r="H26" s="138"/>
      <c r="I26" s="139"/>
      <c r="J26" s="140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2" t="s">
        <v>244</v>
      </c>
      <c r="B27" s="153"/>
      <c r="C27" s="153"/>
      <c r="D27" s="153"/>
      <c r="E27" s="153"/>
      <c r="F27" s="112"/>
      <c r="G27" s="81">
        <f>SUM(G15:G26)</f>
        <v>117</v>
      </c>
      <c r="H27" s="112"/>
      <c r="I27" s="116"/>
      <c r="J27" s="125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3"/>
    </row>
    <row r="28" spans="1:20" ht="18" customHeight="1">
      <c r="A28" s="150" t="s">
        <v>245</v>
      </c>
      <c r="B28" s="151"/>
      <c r="C28" s="151"/>
      <c r="D28" s="151"/>
      <c r="E28" s="151"/>
      <c r="F28" s="113"/>
      <c r="G28" s="92">
        <f>G14+G27</f>
        <v>229</v>
      </c>
      <c r="H28" s="113"/>
      <c r="I28" s="117"/>
      <c r="J28" s="126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8">
        <f>IFERROR(J28,"")</f>
        <v>0</v>
      </c>
    </row>
    <row r="29" spans="1:20" ht="15" customHeight="1">
      <c r="A29" s="68">
        <v>46236</v>
      </c>
      <c r="B29" s="25">
        <v>0.33333333333333298</v>
      </c>
      <c r="C29" s="26" t="s">
        <v>50</v>
      </c>
      <c r="D29" s="59" t="s">
        <v>27</v>
      </c>
      <c r="E29" s="109" t="s">
        <v>256</v>
      </c>
      <c r="F29" s="141"/>
      <c r="G29" s="106">
        <v>5</v>
      </c>
      <c r="H29" s="141"/>
      <c r="I29" s="142"/>
      <c r="J29" s="143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9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9" t="s">
        <v>256</v>
      </c>
      <c r="F30" s="135"/>
      <c r="G30" s="106">
        <v>3</v>
      </c>
      <c r="H30" s="135"/>
      <c r="I30" s="136"/>
      <c r="J30" s="137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90">
        <v>3.5416666666666666E-2</v>
      </c>
      <c r="S30" s="31"/>
    </row>
    <row r="31" spans="1:20" ht="15" customHeight="1">
      <c r="A31" s="68">
        <v>46236</v>
      </c>
      <c r="B31" s="25">
        <f t="shared" si="8"/>
        <v>0.41666666666666635</v>
      </c>
      <c r="C31" s="26" t="s">
        <v>50</v>
      </c>
      <c r="D31" s="59" t="s">
        <v>27</v>
      </c>
      <c r="E31" s="109" t="s">
        <v>256</v>
      </c>
      <c r="F31" s="135"/>
      <c r="G31" s="106">
        <v>4</v>
      </c>
      <c r="H31" s="135"/>
      <c r="I31" s="136"/>
      <c r="J31" s="137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9">
        <v>46236</v>
      </c>
      <c r="B32" s="32">
        <f t="shared" si="8"/>
        <v>0.45833333333333304</v>
      </c>
      <c r="C32" s="26" t="s">
        <v>50</v>
      </c>
      <c r="D32" s="59" t="s">
        <v>27</v>
      </c>
      <c r="E32" s="109" t="s">
        <v>256</v>
      </c>
      <c r="F32" s="135"/>
      <c r="G32" s="106">
        <v>4</v>
      </c>
      <c r="H32" s="135"/>
      <c r="I32" s="136"/>
      <c r="J32" s="137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8">
        <v>46236</v>
      </c>
      <c r="B33" s="25">
        <f t="shared" si="8"/>
        <v>0.49999999999999972</v>
      </c>
      <c r="C33" s="26" t="s">
        <v>50</v>
      </c>
      <c r="D33" s="59" t="s">
        <v>27</v>
      </c>
      <c r="E33" s="109" t="s">
        <v>256</v>
      </c>
      <c r="F33" s="135"/>
      <c r="G33" s="106">
        <v>5</v>
      </c>
      <c r="H33" s="135"/>
      <c r="I33" s="136"/>
      <c r="J33" s="137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9">
        <v>46236</v>
      </c>
      <c r="B34" s="32">
        <f t="shared" si="8"/>
        <v>0.54166666666666641</v>
      </c>
      <c r="C34" s="26" t="s">
        <v>50</v>
      </c>
      <c r="D34" s="59" t="s">
        <v>27</v>
      </c>
      <c r="E34" s="109" t="s">
        <v>256</v>
      </c>
      <c r="F34" s="135"/>
      <c r="G34" s="106">
        <v>19</v>
      </c>
      <c r="H34" s="135"/>
      <c r="I34" s="136"/>
      <c r="J34" s="137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8">
        <v>46236</v>
      </c>
      <c r="B35" s="25">
        <f t="shared" si="8"/>
        <v>0.58333333333333304</v>
      </c>
      <c r="C35" s="26" t="s">
        <v>50</v>
      </c>
      <c r="D35" s="59" t="s">
        <v>27</v>
      </c>
      <c r="E35" s="109" t="s">
        <v>256</v>
      </c>
      <c r="F35" s="135"/>
      <c r="G35" s="106">
        <v>15</v>
      </c>
      <c r="H35" s="135"/>
      <c r="I35" s="136"/>
      <c r="J35" s="137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9">
        <v>46236</v>
      </c>
      <c r="B36" s="32">
        <f t="shared" si="8"/>
        <v>0.62499999999999967</v>
      </c>
      <c r="C36" s="26" t="s">
        <v>50</v>
      </c>
      <c r="D36" s="59" t="s">
        <v>27</v>
      </c>
      <c r="E36" s="109" t="s">
        <v>256</v>
      </c>
      <c r="F36" s="135"/>
      <c r="G36" s="106">
        <v>3</v>
      </c>
      <c r="H36" s="135"/>
      <c r="I36" s="136"/>
      <c r="J36" s="137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8">
        <v>46236</v>
      </c>
      <c r="B37" s="25">
        <f t="shared" si="8"/>
        <v>0.6666666666666663</v>
      </c>
      <c r="C37" s="26" t="s">
        <v>50</v>
      </c>
      <c r="D37" s="59" t="s">
        <v>27</v>
      </c>
      <c r="E37" s="109" t="s">
        <v>256</v>
      </c>
      <c r="F37" s="135"/>
      <c r="G37" s="106">
        <v>3</v>
      </c>
      <c r="H37" s="135"/>
      <c r="I37" s="136"/>
      <c r="J37" s="137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9">
        <v>46236</v>
      </c>
      <c r="B38" s="32">
        <f t="shared" si="8"/>
        <v>0.70833333333333293</v>
      </c>
      <c r="C38" s="26" t="s">
        <v>50</v>
      </c>
      <c r="D38" s="59" t="s">
        <v>27</v>
      </c>
      <c r="E38" s="109" t="s">
        <v>256</v>
      </c>
      <c r="F38" s="135"/>
      <c r="G38" s="106">
        <v>12</v>
      </c>
      <c r="H38" s="135"/>
      <c r="I38" s="136"/>
      <c r="J38" s="137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8">
        <v>46236</v>
      </c>
      <c r="B39" s="25">
        <f t="shared" si="8"/>
        <v>0.74999999999999956</v>
      </c>
      <c r="C39" s="26" t="s">
        <v>50</v>
      </c>
      <c r="D39" s="59" t="s">
        <v>27</v>
      </c>
      <c r="E39" s="109" t="s">
        <v>256</v>
      </c>
      <c r="F39" s="135"/>
      <c r="G39" s="106">
        <v>7</v>
      </c>
      <c r="H39" s="135"/>
      <c r="I39" s="136"/>
      <c r="J39" s="137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9">
        <v>46236</v>
      </c>
      <c r="B40" s="32">
        <f t="shared" si="8"/>
        <v>0.79166666666666619</v>
      </c>
      <c r="C40" s="26" t="s">
        <v>50</v>
      </c>
      <c r="D40" s="59" t="s">
        <v>27</v>
      </c>
      <c r="E40" s="109" t="s">
        <v>256</v>
      </c>
      <c r="F40" s="138"/>
      <c r="G40" s="106"/>
      <c r="H40" s="138"/>
      <c r="I40" s="139"/>
      <c r="J40" s="140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2" t="s">
        <v>241</v>
      </c>
      <c r="B41" s="153"/>
      <c r="C41" s="153"/>
      <c r="D41" s="153"/>
      <c r="E41" s="153">
        <f>SUM(E29:E40)</f>
        <v>0</v>
      </c>
      <c r="F41" s="111"/>
      <c r="G41" s="81">
        <f>SUM(G29:G40)</f>
        <v>80</v>
      </c>
      <c r="H41" s="111"/>
      <c r="I41" s="115"/>
      <c r="J41" s="124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6">
        <v>311070</v>
      </c>
      <c r="T41" s="118"/>
    </row>
    <row r="42" spans="1:20" ht="15" customHeight="1">
      <c r="A42" s="69">
        <v>46236</v>
      </c>
      <c r="B42" s="32">
        <v>0.83333333333333304</v>
      </c>
      <c r="C42" s="33" t="s">
        <v>34</v>
      </c>
      <c r="D42" s="62" t="s">
        <v>27</v>
      </c>
      <c r="E42" s="110" t="s">
        <v>256</v>
      </c>
      <c r="F42" s="141"/>
      <c r="G42" s="106">
        <v>18</v>
      </c>
      <c r="H42" s="141"/>
      <c r="I42" s="142"/>
      <c r="J42" s="143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8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10" t="s">
        <v>256</v>
      </c>
      <c r="F43" s="135"/>
      <c r="G43" s="106">
        <v>6</v>
      </c>
      <c r="H43" s="135"/>
      <c r="I43" s="136"/>
      <c r="J43" s="137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9">
        <v>46236</v>
      </c>
      <c r="B44" s="32">
        <f t="shared" si="10"/>
        <v>0.9166666666666663</v>
      </c>
      <c r="C44" s="33" t="s">
        <v>34</v>
      </c>
      <c r="D44" s="62" t="s">
        <v>27</v>
      </c>
      <c r="E44" s="110" t="s">
        <v>256</v>
      </c>
      <c r="F44" s="135"/>
      <c r="G44" s="106">
        <v>3</v>
      </c>
      <c r="H44" s="135"/>
      <c r="I44" s="136"/>
      <c r="J44" s="137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8">
        <v>46236</v>
      </c>
      <c r="B45" s="25">
        <f t="shared" si="10"/>
        <v>0.95833333333333293</v>
      </c>
      <c r="C45" s="33" t="s">
        <v>34</v>
      </c>
      <c r="D45" s="62" t="s">
        <v>27</v>
      </c>
      <c r="E45" s="110" t="s">
        <v>256</v>
      </c>
      <c r="F45" s="135"/>
      <c r="G45" s="106">
        <v>3</v>
      </c>
      <c r="H45" s="135"/>
      <c r="I45" s="136"/>
      <c r="J45" s="137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9">
        <v>46236</v>
      </c>
      <c r="B46" s="32">
        <f t="shared" si="10"/>
        <v>0.99999999999999956</v>
      </c>
      <c r="C46" s="33" t="s">
        <v>34</v>
      </c>
      <c r="D46" s="62" t="s">
        <v>27</v>
      </c>
      <c r="E46" s="110" t="s">
        <v>256</v>
      </c>
      <c r="F46" s="135"/>
      <c r="G46" s="106">
        <v>20</v>
      </c>
      <c r="H46" s="135"/>
      <c r="I46" s="136"/>
      <c r="J46" s="137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8">
        <v>46236</v>
      </c>
      <c r="B47" s="25">
        <f t="shared" si="10"/>
        <v>1.0416666666666663</v>
      </c>
      <c r="C47" s="33" t="s">
        <v>34</v>
      </c>
      <c r="D47" s="62" t="s">
        <v>27</v>
      </c>
      <c r="E47" s="110" t="s">
        <v>256</v>
      </c>
      <c r="F47" s="135"/>
      <c r="G47" s="106">
        <v>0</v>
      </c>
      <c r="H47" s="135"/>
      <c r="I47" s="136"/>
      <c r="J47" s="137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9">
        <v>46236</v>
      </c>
      <c r="B48" s="32">
        <f t="shared" si="10"/>
        <v>1.083333333333333</v>
      </c>
      <c r="C48" s="33" t="s">
        <v>34</v>
      </c>
      <c r="D48" s="62" t="s">
        <v>27</v>
      </c>
      <c r="E48" s="110" t="s">
        <v>256</v>
      </c>
      <c r="F48" s="135"/>
      <c r="G48" s="106">
        <v>2</v>
      </c>
      <c r="H48" s="135"/>
      <c r="I48" s="136"/>
      <c r="J48" s="137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271</v>
      </c>
      <c r="S48" s="31"/>
    </row>
    <row r="49" spans="1:20" ht="15" customHeight="1">
      <c r="A49" s="68">
        <v>46236</v>
      </c>
      <c r="B49" s="25">
        <f t="shared" si="10"/>
        <v>1.1249999999999998</v>
      </c>
      <c r="C49" s="33" t="s">
        <v>34</v>
      </c>
      <c r="D49" s="62" t="s">
        <v>27</v>
      </c>
      <c r="E49" s="110" t="s">
        <v>256</v>
      </c>
      <c r="F49" s="135"/>
      <c r="G49" s="106">
        <v>8</v>
      </c>
      <c r="H49" s="135"/>
      <c r="I49" s="136"/>
      <c r="J49" s="137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272</v>
      </c>
      <c r="S49" s="31"/>
    </row>
    <row r="50" spans="1:20" ht="15" customHeight="1">
      <c r="A50" s="69">
        <v>46236</v>
      </c>
      <c r="B50" s="32">
        <f t="shared" si="10"/>
        <v>1.1666666666666665</v>
      </c>
      <c r="C50" s="33" t="s">
        <v>34</v>
      </c>
      <c r="D50" s="62" t="s">
        <v>27</v>
      </c>
      <c r="E50" s="110" t="s">
        <v>256</v>
      </c>
      <c r="F50" s="135"/>
      <c r="G50" s="106">
        <v>10</v>
      </c>
      <c r="H50" s="135"/>
      <c r="I50" s="136"/>
      <c r="J50" s="137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8">
        <v>46236</v>
      </c>
      <c r="B51" s="25">
        <f t="shared" si="10"/>
        <v>1.2083333333333333</v>
      </c>
      <c r="C51" s="33" t="s">
        <v>34</v>
      </c>
      <c r="D51" s="62" t="s">
        <v>27</v>
      </c>
      <c r="E51" s="110" t="s">
        <v>256</v>
      </c>
      <c r="F51" s="135"/>
      <c r="G51" s="106">
        <v>0</v>
      </c>
      <c r="H51" s="135"/>
      <c r="I51" s="136"/>
      <c r="J51" s="137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9">
        <v>46236</v>
      </c>
      <c r="B52" s="32">
        <f t="shared" si="10"/>
        <v>1.25</v>
      </c>
      <c r="C52" s="33" t="s">
        <v>34</v>
      </c>
      <c r="D52" s="62" t="s">
        <v>27</v>
      </c>
      <c r="E52" s="110" t="s">
        <v>256</v>
      </c>
      <c r="F52" s="135"/>
      <c r="G52" s="106">
        <v>14</v>
      </c>
      <c r="H52" s="135"/>
      <c r="I52" s="136"/>
      <c r="J52" s="137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273</v>
      </c>
      <c r="S52" s="31"/>
    </row>
    <row r="53" spans="1:20" ht="15" customHeight="1" thickBot="1">
      <c r="A53" s="68">
        <v>46236</v>
      </c>
      <c r="B53" s="25">
        <f t="shared" si="10"/>
        <v>1.2916666666666667</v>
      </c>
      <c r="C53" s="33" t="s">
        <v>34</v>
      </c>
      <c r="D53" s="62" t="s">
        <v>27</v>
      </c>
      <c r="E53" s="110" t="s">
        <v>256</v>
      </c>
      <c r="F53" s="138"/>
      <c r="G53" s="106">
        <v>0</v>
      </c>
      <c r="H53" s="138"/>
      <c r="I53" s="139"/>
      <c r="J53" s="140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0.18497627314354759</v>
      </c>
      <c r="R53" s="46" t="s">
        <v>274</v>
      </c>
      <c r="S53" s="31"/>
    </row>
    <row r="54" spans="1:20" ht="15.75" customHeight="1" thickBot="1">
      <c r="A54" s="152" t="s">
        <v>244</v>
      </c>
      <c r="B54" s="153"/>
      <c r="C54" s="153"/>
      <c r="D54" s="153"/>
      <c r="E54" s="153">
        <f>SUM(E42:E53)</f>
        <v>0</v>
      </c>
      <c r="F54" s="112"/>
      <c r="G54" s="81">
        <f>SUM(G42:G53)</f>
        <v>84</v>
      </c>
      <c r="H54" s="112"/>
      <c r="I54" s="116"/>
      <c r="J54" s="125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0.32386516203243648</v>
      </c>
      <c r="R54" s="36" t="s">
        <v>242</v>
      </c>
      <c r="S54" s="76">
        <v>352430</v>
      </c>
      <c r="T54" s="118"/>
    </row>
    <row r="55" spans="1:20" ht="18" customHeight="1">
      <c r="A55" s="150" t="s">
        <v>245</v>
      </c>
      <c r="B55" s="151"/>
      <c r="C55" s="151"/>
      <c r="D55" s="151"/>
      <c r="E55" s="151">
        <f>E41+E54</f>
        <v>0</v>
      </c>
      <c r="F55" s="113"/>
      <c r="G55" s="92">
        <f>G41+G54</f>
        <v>164</v>
      </c>
      <c r="H55" s="113"/>
      <c r="I55" s="117"/>
      <c r="J55" s="126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0.40858738425465879</v>
      </c>
      <c r="R55" s="40" t="s">
        <v>246</v>
      </c>
      <c r="S55" s="13">
        <f>IFERROR(S41+S54,"")</f>
        <v>663500</v>
      </c>
      <c r="T55" s="98">
        <f>IFERROR(J55,"")</f>
        <v>0</v>
      </c>
    </row>
    <row r="56" spans="1:20" ht="15" customHeight="1">
      <c r="A56" s="68">
        <v>46237</v>
      </c>
      <c r="B56" s="25">
        <v>0.33333333333333298</v>
      </c>
      <c r="C56" s="26" t="s">
        <v>50</v>
      </c>
      <c r="D56" s="59" t="s">
        <v>43</v>
      </c>
      <c r="E56" s="109" t="s">
        <v>256</v>
      </c>
      <c r="F56" s="141"/>
      <c r="G56" s="106">
        <v>12</v>
      </c>
      <c r="H56" s="141"/>
      <c r="I56" s="142"/>
      <c r="J56" s="143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9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9" t="s">
        <v>256</v>
      </c>
      <c r="F57" s="135"/>
      <c r="G57" s="106">
        <v>17</v>
      </c>
      <c r="H57" s="135"/>
      <c r="I57" s="136"/>
      <c r="J57" s="137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8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9" t="s">
        <v>256</v>
      </c>
      <c r="F58" s="135"/>
      <c r="G58" s="106">
        <v>10</v>
      </c>
      <c r="H58" s="135"/>
      <c r="I58" s="136"/>
      <c r="J58" s="137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9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9" t="s">
        <v>256</v>
      </c>
      <c r="F59" s="135"/>
      <c r="G59" s="106">
        <v>10</v>
      </c>
      <c r="H59" s="135"/>
      <c r="I59" s="136"/>
      <c r="J59" s="137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8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9" t="s">
        <v>256</v>
      </c>
      <c r="F60" s="135"/>
      <c r="G60" s="106">
        <v>6</v>
      </c>
      <c r="H60" s="135"/>
      <c r="I60" s="136"/>
      <c r="J60" s="137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9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9" t="s">
        <v>256</v>
      </c>
      <c r="F61" s="135"/>
      <c r="G61" s="106">
        <v>14</v>
      </c>
      <c r="H61" s="135"/>
      <c r="I61" s="136"/>
      <c r="J61" s="137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8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9" t="s">
        <v>256</v>
      </c>
      <c r="F62" s="135"/>
      <c r="G62" s="106">
        <v>19</v>
      </c>
      <c r="H62" s="135"/>
      <c r="I62" s="136"/>
      <c r="J62" s="137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9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9" t="s">
        <v>256</v>
      </c>
      <c r="F63" s="135"/>
      <c r="G63" s="106">
        <v>12</v>
      </c>
      <c r="H63" s="135"/>
      <c r="I63" s="136"/>
      <c r="J63" s="137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266</v>
      </c>
      <c r="S63" s="31"/>
    </row>
    <row r="64" spans="1:20" ht="15" customHeight="1">
      <c r="A64" s="68">
        <v>46237</v>
      </c>
      <c r="B64" s="25">
        <f t="shared" si="14"/>
        <v>0.6666666666666663</v>
      </c>
      <c r="C64" s="26" t="s">
        <v>50</v>
      </c>
      <c r="D64" s="59" t="s">
        <v>43</v>
      </c>
      <c r="E64" s="109" t="s">
        <v>256</v>
      </c>
      <c r="F64" s="135"/>
      <c r="G64" s="106">
        <v>14</v>
      </c>
      <c r="H64" s="135"/>
      <c r="I64" s="136"/>
      <c r="J64" s="137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9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9" t="s">
        <v>256</v>
      </c>
      <c r="F65" s="135"/>
      <c r="G65" s="106">
        <v>6</v>
      </c>
      <c r="H65" s="135"/>
      <c r="I65" s="136"/>
      <c r="J65" s="137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8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9" t="s">
        <v>256</v>
      </c>
      <c r="F66" s="135"/>
      <c r="G66" s="106">
        <v>5</v>
      </c>
      <c r="H66" s="135"/>
      <c r="I66" s="136"/>
      <c r="J66" s="137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9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9" t="s">
        <v>256</v>
      </c>
      <c r="F67" s="138"/>
      <c r="G67" s="106">
        <v>11</v>
      </c>
      <c r="H67" s="138"/>
      <c r="I67" s="139"/>
      <c r="J67" s="140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2" t="s">
        <v>241</v>
      </c>
      <c r="B68" s="153"/>
      <c r="C68" s="153"/>
      <c r="D68" s="153"/>
      <c r="E68" s="153">
        <f>SUM(E56:E67)</f>
        <v>0</v>
      </c>
      <c r="F68" s="111"/>
      <c r="G68" s="81">
        <f>SUM(G56:G67)</f>
        <v>136</v>
      </c>
      <c r="H68" s="111"/>
      <c r="I68" s="115"/>
      <c r="J68" s="124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9"/>
    </row>
    <row r="69" spans="1:20" ht="15" customHeight="1">
      <c r="A69" s="69">
        <v>46237</v>
      </c>
      <c r="B69" s="32">
        <v>0.83333333333333304</v>
      </c>
      <c r="C69" s="33" t="s">
        <v>34</v>
      </c>
      <c r="D69" s="62" t="s">
        <v>43</v>
      </c>
      <c r="E69" s="110" t="s">
        <v>256</v>
      </c>
      <c r="F69" s="141"/>
      <c r="G69" s="106">
        <v>21</v>
      </c>
      <c r="H69" s="141"/>
      <c r="I69" s="142"/>
      <c r="J69" s="143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8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10" t="s">
        <v>256</v>
      </c>
      <c r="F70" s="135"/>
      <c r="G70" s="106">
        <v>14</v>
      </c>
      <c r="H70" s="135"/>
      <c r="I70" s="136"/>
      <c r="J70" s="137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9">
        <v>46237</v>
      </c>
      <c r="B71" s="32">
        <f t="shared" si="16"/>
        <v>0.9166666666666663</v>
      </c>
      <c r="C71" s="33" t="s">
        <v>34</v>
      </c>
      <c r="D71" s="62" t="s">
        <v>43</v>
      </c>
      <c r="E71" s="110" t="s">
        <v>256</v>
      </c>
      <c r="F71" s="135"/>
      <c r="G71" s="106">
        <v>1</v>
      </c>
      <c r="H71" s="135"/>
      <c r="I71" s="136"/>
      <c r="J71" s="137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8">
        <v>46237</v>
      </c>
      <c r="B72" s="25">
        <f t="shared" si="16"/>
        <v>0.95833333333333293</v>
      </c>
      <c r="C72" s="33" t="s">
        <v>34</v>
      </c>
      <c r="D72" s="62" t="s">
        <v>43</v>
      </c>
      <c r="E72" s="110" t="s">
        <v>256</v>
      </c>
      <c r="F72" s="135"/>
      <c r="G72" s="106">
        <v>5</v>
      </c>
      <c r="H72" s="135"/>
      <c r="I72" s="136"/>
      <c r="J72" s="137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9">
        <v>46237</v>
      </c>
      <c r="B73" s="32">
        <f t="shared" si="16"/>
        <v>0.99999999999999956</v>
      </c>
      <c r="C73" s="33" t="s">
        <v>34</v>
      </c>
      <c r="D73" s="62" t="s">
        <v>43</v>
      </c>
      <c r="E73" s="110" t="s">
        <v>256</v>
      </c>
      <c r="F73" s="135"/>
      <c r="G73" s="106">
        <v>14</v>
      </c>
      <c r="H73" s="135"/>
      <c r="I73" s="136"/>
      <c r="J73" s="137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8">
        <v>46237</v>
      </c>
      <c r="B74" s="25">
        <f t="shared" si="16"/>
        <v>1.0416666666666663</v>
      </c>
      <c r="C74" s="33" t="s">
        <v>34</v>
      </c>
      <c r="D74" s="62" t="s">
        <v>43</v>
      </c>
      <c r="E74" s="110" t="s">
        <v>256</v>
      </c>
      <c r="F74" s="135"/>
      <c r="G74" s="106">
        <v>19</v>
      </c>
      <c r="H74" s="135"/>
      <c r="I74" s="136"/>
      <c r="J74" s="137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9">
        <v>46237</v>
      </c>
      <c r="B75" s="32">
        <f t="shared" si="16"/>
        <v>1.083333333333333</v>
      </c>
      <c r="C75" s="33" t="s">
        <v>34</v>
      </c>
      <c r="D75" s="62" t="s">
        <v>43</v>
      </c>
      <c r="E75" s="110" t="s">
        <v>256</v>
      </c>
      <c r="F75" s="135"/>
      <c r="G75" s="106">
        <v>16</v>
      </c>
      <c r="H75" s="135"/>
      <c r="I75" s="136"/>
      <c r="J75" s="137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8">
        <v>46237</v>
      </c>
      <c r="B76" s="25">
        <f t="shared" si="16"/>
        <v>1.1249999999999998</v>
      </c>
      <c r="C76" s="33" t="s">
        <v>34</v>
      </c>
      <c r="D76" s="62" t="s">
        <v>43</v>
      </c>
      <c r="E76" s="110" t="s">
        <v>256</v>
      </c>
      <c r="F76" s="135"/>
      <c r="G76" s="106">
        <v>12</v>
      </c>
      <c r="H76" s="135"/>
      <c r="I76" s="136"/>
      <c r="J76" s="137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275</v>
      </c>
      <c r="S76" s="31"/>
    </row>
    <row r="77" spans="1:20" ht="15" customHeight="1">
      <c r="A77" s="69">
        <v>46237</v>
      </c>
      <c r="B77" s="32">
        <f t="shared" si="16"/>
        <v>1.1666666666666665</v>
      </c>
      <c r="C77" s="33" t="s">
        <v>34</v>
      </c>
      <c r="D77" s="62" t="s">
        <v>43</v>
      </c>
      <c r="E77" s="110" t="s">
        <v>256</v>
      </c>
      <c r="F77" s="135"/>
      <c r="G77" s="106">
        <v>12</v>
      </c>
      <c r="H77" s="135"/>
      <c r="I77" s="136"/>
      <c r="J77" s="137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8">
        <v>46237</v>
      </c>
      <c r="B78" s="25">
        <f t="shared" si="16"/>
        <v>1.2083333333333333</v>
      </c>
      <c r="C78" s="33" t="s">
        <v>34</v>
      </c>
      <c r="D78" s="62" t="s">
        <v>43</v>
      </c>
      <c r="E78" s="110" t="s">
        <v>256</v>
      </c>
      <c r="F78" s="135"/>
      <c r="G78" s="106">
        <v>13</v>
      </c>
      <c r="H78" s="135"/>
      <c r="I78" s="136"/>
      <c r="J78" s="137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9">
        <v>46237</v>
      </c>
      <c r="B79" s="32">
        <f t="shared" si="16"/>
        <v>1.25</v>
      </c>
      <c r="C79" s="33" t="s">
        <v>34</v>
      </c>
      <c r="D79" s="62" t="s">
        <v>35</v>
      </c>
      <c r="E79" s="110" t="s">
        <v>256</v>
      </c>
      <c r="F79" s="135"/>
      <c r="G79" s="106">
        <v>15</v>
      </c>
      <c r="H79" s="135"/>
      <c r="I79" s="136"/>
      <c r="J79" s="137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8">
        <v>46237</v>
      </c>
      <c r="B80" s="25">
        <f t="shared" si="16"/>
        <v>1.2916666666666667</v>
      </c>
      <c r="C80" s="33" t="s">
        <v>34</v>
      </c>
      <c r="D80" s="62" t="s">
        <v>35</v>
      </c>
      <c r="E80" s="110" t="s">
        <v>256</v>
      </c>
      <c r="F80" s="138"/>
      <c r="G80" s="106">
        <v>10</v>
      </c>
      <c r="H80" s="138"/>
      <c r="I80" s="139"/>
      <c r="J80" s="140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2" t="s">
        <v>244</v>
      </c>
      <c r="B81" s="153"/>
      <c r="C81" s="153"/>
      <c r="D81" s="153"/>
      <c r="E81" s="153">
        <f>SUM(E69:E80)</f>
        <v>0</v>
      </c>
      <c r="F81" s="112"/>
      <c r="G81" s="81">
        <f>SUM(G69:G80)</f>
        <v>152</v>
      </c>
      <c r="H81" s="112"/>
      <c r="I81" s="116"/>
      <c r="J81" s="125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9"/>
    </row>
    <row r="82" spans="1:20" ht="18" customHeight="1">
      <c r="A82" s="150" t="s">
        <v>245</v>
      </c>
      <c r="B82" s="151"/>
      <c r="C82" s="151"/>
      <c r="D82" s="151"/>
      <c r="E82" s="151">
        <f>E68+E81</f>
        <v>0</v>
      </c>
      <c r="F82" s="113"/>
      <c r="G82" s="92">
        <f>G68+G81</f>
        <v>288</v>
      </c>
      <c r="H82" s="113"/>
      <c r="I82" s="117"/>
      <c r="J82" s="126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8">
        <f>IFERROR(J82,"")</f>
        <v>0</v>
      </c>
    </row>
    <row r="83" spans="1:20" ht="15" customHeight="1">
      <c r="A83" s="68">
        <v>46238</v>
      </c>
      <c r="B83" s="25">
        <v>0.33333333333333298</v>
      </c>
      <c r="C83" s="26" t="s">
        <v>50</v>
      </c>
      <c r="D83" s="20" t="s">
        <v>35</v>
      </c>
      <c r="E83" s="109" t="s">
        <v>256</v>
      </c>
      <c r="F83" s="141"/>
      <c r="G83" s="106">
        <v>12</v>
      </c>
      <c r="H83" s="141"/>
      <c r="I83" s="142"/>
      <c r="J83" s="143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9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9" t="s">
        <v>256</v>
      </c>
      <c r="F84" s="135"/>
      <c r="G84" s="106">
        <v>6</v>
      </c>
      <c r="H84" s="135"/>
      <c r="I84" s="136"/>
      <c r="J84" s="137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8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9" t="s">
        <v>256</v>
      </c>
      <c r="F85" s="135"/>
      <c r="G85" s="106">
        <v>15</v>
      </c>
      <c r="H85" s="135"/>
      <c r="I85" s="136"/>
      <c r="J85" s="137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9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9" t="s">
        <v>256</v>
      </c>
      <c r="F86" s="135"/>
      <c r="G86" s="106">
        <v>13</v>
      </c>
      <c r="H86" s="135"/>
      <c r="I86" s="136"/>
      <c r="J86" s="137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8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9" t="s">
        <v>256</v>
      </c>
      <c r="F87" s="135"/>
      <c r="G87" s="106">
        <v>14</v>
      </c>
      <c r="H87" s="135"/>
      <c r="I87" s="136"/>
      <c r="J87" s="137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9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9" t="s">
        <v>256</v>
      </c>
      <c r="F88" s="135"/>
      <c r="G88" s="106">
        <v>18</v>
      </c>
      <c r="H88" s="135"/>
      <c r="I88" s="136"/>
      <c r="J88" s="137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8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9" t="s">
        <v>256</v>
      </c>
      <c r="F89" s="135"/>
      <c r="G89" s="106">
        <v>12</v>
      </c>
      <c r="H89" s="135"/>
      <c r="I89" s="136"/>
      <c r="J89" s="137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9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9" t="s">
        <v>256</v>
      </c>
      <c r="F90" s="135"/>
      <c r="G90" s="106">
        <v>0</v>
      </c>
      <c r="H90" s="135"/>
      <c r="I90" s="136"/>
      <c r="J90" s="137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8">
        <v>46238</v>
      </c>
      <c r="B91" s="25">
        <f t="shared" si="20"/>
        <v>0.6666666666666663</v>
      </c>
      <c r="C91" s="26" t="s">
        <v>50</v>
      </c>
      <c r="D91" s="59" t="s">
        <v>35</v>
      </c>
      <c r="E91" s="109" t="s">
        <v>256</v>
      </c>
      <c r="F91" s="135"/>
      <c r="G91" s="106">
        <v>0</v>
      </c>
      <c r="H91" s="135"/>
      <c r="I91" s="136"/>
      <c r="J91" s="137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9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9" t="s">
        <v>256</v>
      </c>
      <c r="F92" s="135"/>
      <c r="G92" s="106">
        <v>0</v>
      </c>
      <c r="H92" s="135"/>
      <c r="I92" s="136"/>
      <c r="J92" s="137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8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9" t="s">
        <v>256</v>
      </c>
      <c r="F93" s="135"/>
      <c r="G93" s="106">
        <v>2</v>
      </c>
      <c r="H93" s="135"/>
      <c r="I93" s="136"/>
      <c r="J93" s="137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9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9" t="s">
        <v>256</v>
      </c>
      <c r="F94" s="138"/>
      <c r="G94" s="106">
        <v>4</v>
      </c>
      <c r="H94" s="138"/>
      <c r="I94" s="139"/>
      <c r="J94" s="140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2" t="s">
        <v>241</v>
      </c>
      <c r="B95" s="153"/>
      <c r="C95" s="153"/>
      <c r="D95" s="153"/>
      <c r="E95" s="153">
        <f>SUM(E83:E94)</f>
        <v>0</v>
      </c>
      <c r="F95" s="111"/>
      <c r="G95" s="81">
        <f>SUM(G83:G94)</f>
        <v>96</v>
      </c>
      <c r="H95" s="111"/>
      <c r="I95" s="115"/>
      <c r="J95" s="124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9"/>
    </row>
    <row r="96" spans="1:20" ht="15" customHeight="1">
      <c r="A96" s="69">
        <v>46238</v>
      </c>
      <c r="B96" s="32">
        <v>0.83333333333333304</v>
      </c>
      <c r="C96" s="33" t="s">
        <v>34</v>
      </c>
      <c r="D96" s="62" t="s">
        <v>35</v>
      </c>
      <c r="E96" s="110" t="s">
        <v>256</v>
      </c>
      <c r="F96" s="141"/>
      <c r="G96" s="106">
        <v>3</v>
      </c>
      <c r="H96" s="141"/>
      <c r="I96" s="142"/>
      <c r="J96" s="143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276</v>
      </c>
      <c r="Q96" s="30" t="str">
        <f t="shared" ref="Q96:Q107" ca="1" si="22">IFERROR(IF(O96="","",IF(P96="",MOD(NOW()-O96,1),IF(P96&gt;=O96,P96-O96,P96+1-O96))),"")</f>
        <v/>
      </c>
      <c r="R96" s="46" t="s">
        <v>277</v>
      </c>
      <c r="S96" s="31"/>
    </row>
    <row r="97" spans="1:20" ht="15" customHeight="1">
      <c r="A97" s="68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10" t="s">
        <v>256</v>
      </c>
      <c r="F97" s="135"/>
      <c r="G97" s="106">
        <v>0</v>
      </c>
      <c r="H97" s="135"/>
      <c r="I97" s="136"/>
      <c r="J97" s="137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9">
        <v>46238</v>
      </c>
      <c r="B98" s="32">
        <f t="shared" si="23"/>
        <v>0.9166666666666663</v>
      </c>
      <c r="C98" s="33" t="s">
        <v>34</v>
      </c>
      <c r="D98" s="62" t="s">
        <v>35</v>
      </c>
      <c r="E98" s="110" t="s">
        <v>256</v>
      </c>
      <c r="F98" s="135"/>
      <c r="G98" s="106">
        <v>0</v>
      </c>
      <c r="H98" s="135"/>
      <c r="I98" s="136"/>
      <c r="J98" s="137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278</v>
      </c>
      <c r="S98" s="31"/>
    </row>
    <row r="99" spans="1:20" ht="15" customHeight="1">
      <c r="A99" s="68">
        <v>46238</v>
      </c>
      <c r="B99" s="25">
        <f t="shared" si="23"/>
        <v>0.95833333333333293</v>
      </c>
      <c r="C99" s="33" t="s">
        <v>34</v>
      </c>
      <c r="D99" s="62" t="s">
        <v>35</v>
      </c>
      <c r="E99" s="110" t="s">
        <v>256</v>
      </c>
      <c r="F99" s="135"/>
      <c r="G99" s="106">
        <v>0</v>
      </c>
      <c r="H99" s="135"/>
      <c r="I99" s="136"/>
      <c r="J99" s="137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279</v>
      </c>
      <c r="S99" s="31"/>
    </row>
    <row r="100" spans="1:20" ht="15" customHeight="1">
      <c r="A100" s="69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10" t="s">
        <v>256</v>
      </c>
      <c r="F100" s="135"/>
      <c r="G100" s="106">
        <v>25</v>
      </c>
      <c r="H100" s="135"/>
      <c r="I100" s="136"/>
      <c r="J100" s="137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8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10" t="s">
        <v>256</v>
      </c>
      <c r="F101" s="135"/>
      <c r="G101" s="106">
        <v>3</v>
      </c>
      <c r="H101" s="135"/>
      <c r="I101" s="136"/>
      <c r="J101" s="137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9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10" t="s">
        <v>256</v>
      </c>
      <c r="F102" s="135"/>
      <c r="G102" s="106">
        <v>11</v>
      </c>
      <c r="H102" s="135"/>
      <c r="I102" s="136"/>
      <c r="J102" s="137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8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10" t="s">
        <v>256</v>
      </c>
      <c r="F103" s="135"/>
      <c r="G103" s="106">
        <v>18</v>
      </c>
      <c r="H103" s="135"/>
      <c r="I103" s="136"/>
      <c r="J103" s="137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9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10" t="s">
        <v>256</v>
      </c>
      <c r="F104" s="135"/>
      <c r="G104" s="106">
        <v>9</v>
      </c>
      <c r="H104" s="135"/>
      <c r="I104" s="136"/>
      <c r="J104" s="137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8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10" t="s">
        <v>256</v>
      </c>
      <c r="F105" s="135"/>
      <c r="G105" s="106">
        <v>12</v>
      </c>
      <c r="H105" s="135"/>
      <c r="I105" s="136"/>
      <c r="J105" s="137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9">
        <v>46238</v>
      </c>
      <c r="B106" s="32">
        <f t="shared" si="23"/>
        <v>1.25</v>
      </c>
      <c r="C106" s="33" t="s">
        <v>34</v>
      </c>
      <c r="D106" s="62" t="s">
        <v>35</v>
      </c>
      <c r="E106" s="110" t="s">
        <v>256</v>
      </c>
      <c r="F106" s="135"/>
      <c r="G106" s="106">
        <v>6</v>
      </c>
      <c r="H106" s="135"/>
      <c r="I106" s="136"/>
      <c r="J106" s="137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8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10" t="s">
        <v>256</v>
      </c>
      <c r="F107" s="138"/>
      <c r="G107" s="106">
        <v>10</v>
      </c>
      <c r="H107" s="138"/>
      <c r="I107" s="139"/>
      <c r="J107" s="140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2" t="s">
        <v>244</v>
      </c>
      <c r="B108" s="153"/>
      <c r="C108" s="153"/>
      <c r="D108" s="153"/>
      <c r="E108" s="153">
        <f>SUM(E96:E107)</f>
        <v>0</v>
      </c>
      <c r="F108" s="112"/>
      <c r="G108" s="81">
        <f>SUM(G96:G107)</f>
        <v>97</v>
      </c>
      <c r="H108" s="112"/>
      <c r="I108" s="116"/>
      <c r="J108" s="125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9"/>
    </row>
    <row r="109" spans="1:20" ht="18" customHeight="1">
      <c r="A109" s="150" t="s">
        <v>245</v>
      </c>
      <c r="B109" s="151"/>
      <c r="C109" s="151"/>
      <c r="D109" s="151"/>
      <c r="E109" s="151">
        <f>E95+E108</f>
        <v>0</v>
      </c>
      <c r="F109" s="113"/>
      <c r="G109" s="92">
        <f>G95+G108</f>
        <v>193</v>
      </c>
      <c r="H109" s="113"/>
      <c r="I109" s="117"/>
      <c r="J109" s="126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8">
        <f>IFERROR(J109,"")</f>
        <v>0</v>
      </c>
    </row>
    <row r="110" spans="1:20" ht="15" customHeight="1">
      <c r="A110" s="68">
        <v>46239</v>
      </c>
      <c r="B110" s="25">
        <v>0.33333333333333298</v>
      </c>
      <c r="C110" s="26" t="s">
        <v>50</v>
      </c>
      <c r="D110" s="59" t="s">
        <v>35</v>
      </c>
      <c r="E110" s="109" t="s">
        <v>256</v>
      </c>
      <c r="F110" s="141"/>
      <c r="G110" s="106">
        <v>25</v>
      </c>
      <c r="H110" s="141"/>
      <c r="I110" s="142"/>
      <c r="J110" s="143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9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9" t="s">
        <v>256</v>
      </c>
      <c r="F111" s="135"/>
      <c r="G111" s="106">
        <v>17</v>
      </c>
      <c r="H111" s="135"/>
      <c r="I111" s="136"/>
      <c r="J111" s="137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280</v>
      </c>
      <c r="S111" s="31"/>
    </row>
    <row r="112" spans="1:20" ht="15" customHeight="1">
      <c r="A112" s="68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9" t="s">
        <v>256</v>
      </c>
      <c r="F112" s="135"/>
      <c r="G112" s="106">
        <v>23</v>
      </c>
      <c r="H112" s="135"/>
      <c r="I112" s="136"/>
      <c r="J112" s="137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9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9" t="s">
        <v>256</v>
      </c>
      <c r="F113" s="135"/>
      <c r="G113" s="106">
        <v>11</v>
      </c>
      <c r="H113" s="135"/>
      <c r="I113" s="136"/>
      <c r="J113" s="137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8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9" t="s">
        <v>256</v>
      </c>
      <c r="F114" s="135"/>
      <c r="G114" s="106">
        <v>3</v>
      </c>
      <c r="H114" s="135"/>
      <c r="I114" s="136"/>
      <c r="J114" s="137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9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9" t="s">
        <v>256</v>
      </c>
      <c r="F115" s="135"/>
      <c r="G115" s="106">
        <v>23</v>
      </c>
      <c r="H115" s="135"/>
      <c r="I115" s="136"/>
      <c r="J115" s="137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8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9" t="s">
        <v>256</v>
      </c>
      <c r="F116" s="135"/>
      <c r="G116" s="106">
        <v>1</v>
      </c>
      <c r="H116" s="135"/>
      <c r="I116" s="136"/>
      <c r="J116" s="137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9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9" t="s">
        <v>256</v>
      </c>
      <c r="F117" s="135"/>
      <c r="G117" s="106">
        <v>14</v>
      </c>
      <c r="H117" s="135"/>
      <c r="I117" s="136"/>
      <c r="J117" s="137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8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9" t="s">
        <v>256</v>
      </c>
      <c r="F118" s="135"/>
      <c r="G118" s="106">
        <v>23</v>
      </c>
      <c r="H118" s="135"/>
      <c r="I118" s="136"/>
      <c r="J118" s="137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9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9" t="s">
        <v>256</v>
      </c>
      <c r="F119" s="135"/>
      <c r="G119" s="106">
        <v>21</v>
      </c>
      <c r="H119" s="135"/>
      <c r="I119" s="136"/>
      <c r="J119" s="137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8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9" t="s">
        <v>256</v>
      </c>
      <c r="F120" s="135"/>
      <c r="G120" s="106">
        <v>18</v>
      </c>
      <c r="H120" s="135"/>
      <c r="I120" s="136"/>
      <c r="J120" s="137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9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9" t="s">
        <v>256</v>
      </c>
      <c r="F121" s="138"/>
      <c r="G121" s="106">
        <v>5</v>
      </c>
      <c r="H121" s="138"/>
      <c r="I121" s="139"/>
      <c r="J121" s="140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2" t="s">
        <v>241</v>
      </c>
      <c r="B122" s="153"/>
      <c r="C122" s="153"/>
      <c r="D122" s="153"/>
      <c r="E122" s="153">
        <f>SUM(E110:E121)</f>
        <v>0</v>
      </c>
      <c r="F122" s="111"/>
      <c r="G122" s="81">
        <f>SUM(G110:G121)</f>
        <v>184</v>
      </c>
      <c r="H122" s="111"/>
      <c r="I122" s="115"/>
      <c r="J122" s="124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9"/>
    </row>
    <row r="123" spans="1:20" ht="15" customHeight="1">
      <c r="A123" s="69">
        <v>46239</v>
      </c>
      <c r="B123" s="32">
        <v>0.83333333333333304</v>
      </c>
      <c r="C123" s="33" t="s">
        <v>34</v>
      </c>
      <c r="D123" s="62" t="s">
        <v>35</v>
      </c>
      <c r="E123" s="110" t="s">
        <v>256</v>
      </c>
      <c r="F123" s="141"/>
      <c r="G123" s="106">
        <v>19</v>
      </c>
      <c r="H123" s="141"/>
      <c r="I123" s="142"/>
      <c r="J123" s="143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8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10" t="s">
        <v>256</v>
      </c>
      <c r="F124" s="135"/>
      <c r="G124" s="106">
        <v>14</v>
      </c>
      <c r="H124" s="135"/>
      <c r="I124" s="136"/>
      <c r="J124" s="137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9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10" t="s">
        <v>256</v>
      </c>
      <c r="F125" s="135"/>
      <c r="G125" s="106">
        <v>12</v>
      </c>
      <c r="H125" s="135"/>
      <c r="I125" s="136"/>
      <c r="J125" s="137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8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10" t="s">
        <v>256</v>
      </c>
      <c r="F126" s="135"/>
      <c r="G126" s="106">
        <v>20</v>
      </c>
      <c r="H126" s="135"/>
      <c r="I126" s="136"/>
      <c r="J126" s="137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9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10" t="s">
        <v>256</v>
      </c>
      <c r="F127" s="135"/>
      <c r="G127" s="106">
        <v>18</v>
      </c>
      <c r="H127" s="135"/>
      <c r="I127" s="136"/>
      <c r="J127" s="137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8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10" t="s">
        <v>256</v>
      </c>
      <c r="F128" s="135"/>
      <c r="G128" s="106">
        <v>17</v>
      </c>
      <c r="H128" s="135"/>
      <c r="I128" s="136"/>
      <c r="J128" s="137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7"/>
      <c r="S128" s="31"/>
    </row>
    <row r="129" spans="1:20" ht="15" customHeight="1">
      <c r="A129" s="69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10" t="s">
        <v>256</v>
      </c>
      <c r="F129" s="135"/>
      <c r="G129" s="106">
        <v>6</v>
      </c>
      <c r="H129" s="135"/>
      <c r="I129" s="136"/>
      <c r="J129" s="137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8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10" t="s">
        <v>256</v>
      </c>
      <c r="F130" s="135"/>
      <c r="G130" s="106">
        <v>6</v>
      </c>
      <c r="H130" s="135"/>
      <c r="I130" s="136"/>
      <c r="J130" s="137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9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10" t="s">
        <v>256</v>
      </c>
      <c r="F131" s="135"/>
      <c r="G131" s="106">
        <v>20</v>
      </c>
      <c r="H131" s="135"/>
      <c r="I131" s="136"/>
      <c r="J131" s="137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8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10" t="s">
        <v>256</v>
      </c>
      <c r="F132" s="135"/>
      <c r="G132" s="106">
        <v>10</v>
      </c>
      <c r="H132" s="135"/>
      <c r="I132" s="136"/>
      <c r="J132" s="137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9">
        <v>46239</v>
      </c>
      <c r="B133" s="32">
        <f t="shared" si="29"/>
        <v>1.25</v>
      </c>
      <c r="C133" s="33" t="s">
        <v>34</v>
      </c>
      <c r="D133" s="62" t="s">
        <v>35</v>
      </c>
      <c r="E133" s="110" t="s">
        <v>256</v>
      </c>
      <c r="F133" s="135"/>
      <c r="G133" s="106">
        <v>5</v>
      </c>
      <c r="H133" s="135"/>
      <c r="I133" s="136"/>
      <c r="J133" s="137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8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10" t="s">
        <v>256</v>
      </c>
      <c r="F134" s="138"/>
      <c r="G134" s="106">
        <v>17</v>
      </c>
      <c r="H134" s="138"/>
      <c r="I134" s="139"/>
      <c r="J134" s="140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2" t="s">
        <v>244</v>
      </c>
      <c r="B135" s="153"/>
      <c r="C135" s="153"/>
      <c r="D135" s="153"/>
      <c r="E135" s="153">
        <f>SUM(E123:E134)</f>
        <v>0</v>
      </c>
      <c r="F135" s="112"/>
      <c r="G135" s="81">
        <f>SUM(G123:G134)</f>
        <v>164</v>
      </c>
      <c r="H135" s="112"/>
      <c r="I135" s="116"/>
      <c r="J135" s="125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9"/>
    </row>
    <row r="136" spans="1:20" ht="18" customHeight="1">
      <c r="A136" s="150" t="s">
        <v>245</v>
      </c>
      <c r="B136" s="151"/>
      <c r="C136" s="151"/>
      <c r="D136" s="151"/>
      <c r="E136" s="151">
        <f>E122+E135</f>
        <v>0</v>
      </c>
      <c r="F136" s="113"/>
      <c r="G136" s="92">
        <f>G122+G135</f>
        <v>348</v>
      </c>
      <c r="H136" s="113"/>
      <c r="I136" s="117"/>
      <c r="J136" s="126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8">
        <f>IFERROR(J136,"")</f>
        <v>0</v>
      </c>
    </row>
    <row r="137" spans="1:20" ht="15" customHeight="1">
      <c r="A137" s="69">
        <v>46240</v>
      </c>
      <c r="B137" s="32">
        <v>0.33333333333333298</v>
      </c>
      <c r="C137" s="33" t="s">
        <v>26</v>
      </c>
      <c r="D137" s="62" t="s">
        <v>35</v>
      </c>
      <c r="E137" s="110" t="s">
        <v>256</v>
      </c>
      <c r="F137" s="141"/>
      <c r="G137" s="106">
        <v>21</v>
      </c>
      <c r="H137" s="141"/>
      <c r="I137" s="142"/>
      <c r="J137" s="143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8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10" t="s">
        <v>256</v>
      </c>
      <c r="F138" s="135"/>
      <c r="G138" s="106">
        <v>13</v>
      </c>
      <c r="H138" s="135"/>
      <c r="I138" s="136"/>
      <c r="J138" s="137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9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10" t="s">
        <v>256</v>
      </c>
      <c r="F139" s="135"/>
      <c r="G139" s="106">
        <v>13</v>
      </c>
      <c r="H139" s="135"/>
      <c r="I139" s="136"/>
      <c r="J139" s="137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281</v>
      </c>
      <c r="S139" s="31"/>
    </row>
    <row r="140" spans="1:20" ht="15" customHeight="1">
      <c r="A140" s="68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10" t="s">
        <v>256</v>
      </c>
      <c r="F140" s="135"/>
      <c r="G140" s="106">
        <v>11</v>
      </c>
      <c r="H140" s="135"/>
      <c r="I140" s="136"/>
      <c r="J140" s="137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9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10" t="s">
        <v>256</v>
      </c>
      <c r="F141" s="135"/>
      <c r="G141" s="106">
        <v>20</v>
      </c>
      <c r="H141" s="135"/>
      <c r="I141" s="136"/>
      <c r="J141" s="137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282</v>
      </c>
      <c r="S141" s="31"/>
    </row>
    <row r="142" spans="1:20" ht="15" customHeight="1">
      <c r="A142" s="68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10" t="s">
        <v>256</v>
      </c>
      <c r="F142" s="135"/>
      <c r="G142" s="106">
        <v>15</v>
      </c>
      <c r="H142" s="135"/>
      <c r="I142" s="136"/>
      <c r="J142" s="137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9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10" t="s">
        <v>256</v>
      </c>
      <c r="F143" s="135"/>
      <c r="G143" s="106">
        <v>0</v>
      </c>
      <c r="H143" s="135"/>
      <c r="I143" s="136"/>
      <c r="J143" s="137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8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10" t="s">
        <v>256</v>
      </c>
      <c r="F144" s="135"/>
      <c r="G144" s="106">
        <v>10</v>
      </c>
      <c r="H144" s="135"/>
      <c r="I144" s="136"/>
      <c r="J144" s="137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9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10" t="s">
        <v>256</v>
      </c>
      <c r="F145" s="135"/>
      <c r="G145" s="106">
        <v>12</v>
      </c>
      <c r="H145" s="135"/>
      <c r="I145" s="136"/>
      <c r="J145" s="137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283</v>
      </c>
      <c r="S145" s="31"/>
    </row>
    <row r="146" spans="1:20" ht="15" customHeight="1">
      <c r="A146" s="68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10" t="s">
        <v>256</v>
      </c>
      <c r="F146" s="135"/>
      <c r="G146" s="106">
        <v>10</v>
      </c>
      <c r="H146" s="135"/>
      <c r="I146" s="136"/>
      <c r="J146" s="137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9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10" t="s">
        <v>256</v>
      </c>
      <c r="F147" s="135"/>
      <c r="G147" s="106">
        <v>10</v>
      </c>
      <c r="H147" s="135"/>
      <c r="I147" s="136"/>
      <c r="J147" s="137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8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10" t="s">
        <v>256</v>
      </c>
      <c r="F148" s="138"/>
      <c r="G148" s="106">
        <v>5</v>
      </c>
      <c r="H148" s="138"/>
      <c r="I148" s="139"/>
      <c r="J148" s="140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2" t="s">
        <v>241</v>
      </c>
      <c r="B149" s="153"/>
      <c r="C149" s="153"/>
      <c r="D149" s="153"/>
      <c r="E149" s="153">
        <f>SUM(E137:E148)</f>
        <v>0</v>
      </c>
      <c r="F149" s="111"/>
      <c r="G149" s="81">
        <f>SUM(G137:G148)</f>
        <v>140</v>
      </c>
      <c r="H149" s="111"/>
      <c r="I149" s="115"/>
      <c r="J149" s="124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9"/>
    </row>
    <row r="150" spans="1:20" ht="15" customHeight="1">
      <c r="A150" s="68">
        <v>46240</v>
      </c>
      <c r="B150" s="25">
        <v>0.83333333333333304</v>
      </c>
      <c r="C150" s="26" t="s">
        <v>50</v>
      </c>
      <c r="D150" s="59" t="s">
        <v>43</v>
      </c>
      <c r="E150" s="109" t="s">
        <v>256</v>
      </c>
      <c r="F150" s="141"/>
      <c r="G150" s="106">
        <v>17</v>
      </c>
      <c r="H150" s="141"/>
      <c r="I150" s="142"/>
      <c r="J150" s="143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9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9" t="s">
        <v>256</v>
      </c>
      <c r="F151" s="135"/>
      <c r="G151" s="106">
        <v>7</v>
      </c>
      <c r="H151" s="135"/>
      <c r="I151" s="136"/>
      <c r="J151" s="137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284</v>
      </c>
      <c r="S151" s="31"/>
    </row>
    <row r="152" spans="1:20" ht="15" customHeight="1">
      <c r="A152" s="68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9" t="s">
        <v>256</v>
      </c>
      <c r="F152" s="135"/>
      <c r="G152" s="106">
        <v>14</v>
      </c>
      <c r="H152" s="135"/>
      <c r="I152" s="136"/>
      <c r="J152" s="137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9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9" t="s">
        <v>256</v>
      </c>
      <c r="F153" s="135"/>
      <c r="G153" s="106">
        <v>7</v>
      </c>
      <c r="H153" s="135"/>
      <c r="I153" s="136"/>
      <c r="J153" s="137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8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9" t="s">
        <v>256</v>
      </c>
      <c r="F154" s="135"/>
      <c r="G154" s="106">
        <v>10</v>
      </c>
      <c r="H154" s="135"/>
      <c r="I154" s="136"/>
      <c r="J154" s="137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9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9" t="s">
        <v>256</v>
      </c>
      <c r="F155" s="135"/>
      <c r="G155" s="106">
        <v>18</v>
      </c>
      <c r="H155" s="135"/>
      <c r="I155" s="136"/>
      <c r="J155" s="137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8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9" t="s">
        <v>256</v>
      </c>
      <c r="F156" s="135"/>
      <c r="G156" s="106">
        <v>9</v>
      </c>
      <c r="H156" s="135"/>
      <c r="I156" s="136"/>
      <c r="J156" s="137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9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9" t="s">
        <v>256</v>
      </c>
      <c r="F157" s="135"/>
      <c r="G157" s="106">
        <v>15</v>
      </c>
      <c r="H157" s="135"/>
      <c r="I157" s="136"/>
      <c r="J157" s="137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8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9" t="s">
        <v>256</v>
      </c>
      <c r="F158" s="135"/>
      <c r="G158" s="106">
        <v>11</v>
      </c>
      <c r="H158" s="135"/>
      <c r="I158" s="136"/>
      <c r="J158" s="137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9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9" t="s">
        <v>256</v>
      </c>
      <c r="F159" s="135"/>
      <c r="G159" s="106">
        <v>13</v>
      </c>
      <c r="H159" s="135"/>
      <c r="I159" s="136"/>
      <c r="J159" s="137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8">
        <v>46240</v>
      </c>
      <c r="B160" s="25">
        <f t="shared" si="35"/>
        <v>1.25</v>
      </c>
      <c r="C160" s="26" t="s">
        <v>50</v>
      </c>
      <c r="D160" s="59" t="s">
        <v>43</v>
      </c>
      <c r="E160" s="109" t="s">
        <v>256</v>
      </c>
      <c r="F160" s="135"/>
      <c r="G160" s="106">
        <v>13</v>
      </c>
      <c r="H160" s="135"/>
      <c r="I160" s="136"/>
      <c r="J160" s="137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9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9" t="s">
        <v>256</v>
      </c>
      <c r="F161" s="138"/>
      <c r="G161" s="106">
        <v>0</v>
      </c>
      <c r="H161" s="138"/>
      <c r="I161" s="139"/>
      <c r="J161" s="140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2" t="s">
        <v>244</v>
      </c>
      <c r="B162" s="153"/>
      <c r="C162" s="153"/>
      <c r="D162" s="153"/>
      <c r="E162" s="153">
        <f>SUM(E150:E161)</f>
        <v>0</v>
      </c>
      <c r="F162" s="112"/>
      <c r="G162" s="81">
        <f>SUM(G150:G161)</f>
        <v>134</v>
      </c>
      <c r="H162" s="112"/>
      <c r="I162" s="116"/>
      <c r="J162" s="125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9"/>
    </row>
    <row r="163" spans="1:20" ht="18" customHeight="1">
      <c r="A163" s="150" t="s">
        <v>245</v>
      </c>
      <c r="B163" s="151"/>
      <c r="C163" s="151"/>
      <c r="D163" s="151"/>
      <c r="E163" s="151">
        <f>E149+E162</f>
        <v>0</v>
      </c>
      <c r="F163" s="113"/>
      <c r="G163" s="92">
        <f>G149+G162</f>
        <v>274</v>
      </c>
      <c r="H163" s="113"/>
      <c r="I163" s="117"/>
      <c r="J163" s="126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8">
        <f>IFERROR(J163,"")</f>
        <v>0</v>
      </c>
    </row>
    <row r="164" spans="1:20" ht="15" customHeight="1">
      <c r="A164" s="68">
        <v>46241</v>
      </c>
      <c r="B164" s="25">
        <v>0.33333333333333298</v>
      </c>
      <c r="C164" s="26" t="s">
        <v>26</v>
      </c>
      <c r="D164" s="59" t="s">
        <v>43</v>
      </c>
      <c r="E164" s="109" t="s">
        <v>256</v>
      </c>
      <c r="F164" s="141"/>
      <c r="G164" s="106">
        <v>2</v>
      </c>
      <c r="H164" s="141"/>
      <c r="I164" s="142"/>
      <c r="J164" s="143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9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10" t="s">
        <v>256</v>
      </c>
      <c r="F165" s="135"/>
      <c r="G165" s="106">
        <v>8</v>
      </c>
      <c r="H165" s="135"/>
      <c r="I165" s="136"/>
      <c r="J165" s="137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8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10" t="s">
        <v>256</v>
      </c>
      <c r="F166" s="135"/>
      <c r="G166" s="106">
        <v>2</v>
      </c>
      <c r="H166" s="135"/>
      <c r="I166" s="136"/>
      <c r="J166" s="137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9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10" t="s">
        <v>256</v>
      </c>
      <c r="F167" s="135"/>
      <c r="G167" s="106">
        <v>6</v>
      </c>
      <c r="H167" s="135"/>
      <c r="I167" s="136"/>
      <c r="J167" s="137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8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10" t="s">
        <v>256</v>
      </c>
      <c r="F168" s="135"/>
      <c r="G168" s="106">
        <v>8</v>
      </c>
      <c r="H168" s="135"/>
      <c r="I168" s="136"/>
      <c r="J168" s="137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9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10" t="s">
        <v>256</v>
      </c>
      <c r="F169" s="135"/>
      <c r="G169" s="106">
        <v>9</v>
      </c>
      <c r="H169" s="135"/>
      <c r="I169" s="136"/>
      <c r="J169" s="137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8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10" t="s">
        <v>256</v>
      </c>
      <c r="F170" s="135"/>
      <c r="G170" s="106">
        <v>6</v>
      </c>
      <c r="H170" s="135"/>
      <c r="I170" s="136"/>
      <c r="J170" s="137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9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10" t="s">
        <v>256</v>
      </c>
      <c r="F171" s="135"/>
      <c r="G171" s="106">
        <v>7</v>
      </c>
      <c r="H171" s="135"/>
      <c r="I171" s="136"/>
      <c r="J171" s="137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8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10" t="s">
        <v>256</v>
      </c>
      <c r="F172" s="135"/>
      <c r="G172" s="106">
        <v>6</v>
      </c>
      <c r="H172" s="135"/>
      <c r="I172" s="136"/>
      <c r="J172" s="137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9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10" t="s">
        <v>256</v>
      </c>
      <c r="F173" s="135"/>
      <c r="G173" s="106">
        <v>8</v>
      </c>
      <c r="H173" s="135"/>
      <c r="I173" s="136"/>
      <c r="J173" s="137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8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10" t="s">
        <v>256</v>
      </c>
      <c r="F174" s="135"/>
      <c r="G174" s="106">
        <v>5</v>
      </c>
      <c r="H174" s="135"/>
      <c r="I174" s="136"/>
      <c r="J174" s="137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9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10" t="s">
        <v>256</v>
      </c>
      <c r="F175" s="138"/>
      <c r="G175" s="106">
        <v>2</v>
      </c>
      <c r="H175" s="138"/>
      <c r="I175" s="139"/>
      <c r="J175" s="140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2" t="s">
        <v>241</v>
      </c>
      <c r="B176" s="153"/>
      <c r="C176" s="153"/>
      <c r="D176" s="153"/>
      <c r="E176" s="153">
        <f>SUM(E164:E175)</f>
        <v>0</v>
      </c>
      <c r="F176" s="111"/>
      <c r="G176" s="81">
        <f>SUM(G164:G175)</f>
        <v>69</v>
      </c>
      <c r="H176" s="111"/>
      <c r="I176" s="115"/>
      <c r="J176" s="124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3"/>
    </row>
    <row r="177" spans="1:20" ht="15" customHeight="1">
      <c r="A177" s="69">
        <v>46241</v>
      </c>
      <c r="B177" s="32">
        <v>0.83333333333333304</v>
      </c>
      <c r="C177" s="33" t="s">
        <v>50</v>
      </c>
      <c r="D177" s="62" t="s">
        <v>43</v>
      </c>
      <c r="E177" s="110" t="s">
        <v>256</v>
      </c>
      <c r="F177" s="141"/>
      <c r="G177" s="106">
        <v>2</v>
      </c>
      <c r="H177" s="141"/>
      <c r="I177" s="142"/>
      <c r="J177" s="143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8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5"/>
      <c r="G178" s="106">
        <v>7</v>
      </c>
      <c r="H178" s="135"/>
      <c r="I178" s="136"/>
      <c r="J178" s="137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9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10" t="s">
        <v>256</v>
      </c>
      <c r="F179" s="135"/>
      <c r="G179" s="106">
        <v>19</v>
      </c>
      <c r="H179" s="135"/>
      <c r="I179" s="136"/>
      <c r="J179" s="137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8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5"/>
      <c r="G180" s="106">
        <v>2</v>
      </c>
      <c r="H180" s="135"/>
      <c r="I180" s="136"/>
      <c r="J180" s="137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9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10" t="s">
        <v>256</v>
      </c>
      <c r="F181" s="135"/>
      <c r="G181" s="106">
        <v>22</v>
      </c>
      <c r="H181" s="135"/>
      <c r="I181" s="136"/>
      <c r="J181" s="137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285</v>
      </c>
      <c r="S181" s="31"/>
    </row>
    <row r="182" spans="1:20" ht="15" customHeight="1">
      <c r="A182" s="68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5"/>
      <c r="G182" s="106">
        <v>6</v>
      </c>
      <c r="H182" s="135"/>
      <c r="I182" s="136"/>
      <c r="J182" s="137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282</v>
      </c>
      <c r="S182" s="31"/>
    </row>
    <row r="183" spans="1:20" ht="15" customHeight="1">
      <c r="A183" s="69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10" t="s">
        <v>256</v>
      </c>
      <c r="F183" s="135"/>
      <c r="G183" s="106">
        <v>13</v>
      </c>
      <c r="H183" s="135"/>
      <c r="I183" s="136"/>
      <c r="J183" s="137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286</v>
      </c>
      <c r="S183" s="31"/>
    </row>
    <row r="184" spans="1:20" ht="15" customHeight="1">
      <c r="A184" s="68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5"/>
      <c r="G184" s="106">
        <v>0</v>
      </c>
      <c r="H184" s="135"/>
      <c r="I184" s="136"/>
      <c r="J184" s="137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9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10" t="s">
        <v>256</v>
      </c>
      <c r="F185" s="135"/>
      <c r="G185" s="106">
        <v>3</v>
      </c>
      <c r="H185" s="135"/>
      <c r="I185" s="136"/>
      <c r="J185" s="137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8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5"/>
      <c r="G186" s="106">
        <v>10</v>
      </c>
      <c r="H186" s="135"/>
      <c r="I186" s="136"/>
      <c r="J186" s="137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9">
        <v>46241</v>
      </c>
      <c r="B187" s="32">
        <f t="shared" si="41"/>
        <v>1.25</v>
      </c>
      <c r="C187" s="33" t="s">
        <v>50</v>
      </c>
      <c r="D187" s="62" t="s">
        <v>43</v>
      </c>
      <c r="E187" s="110" t="s">
        <v>256</v>
      </c>
      <c r="F187" s="135"/>
      <c r="G187" s="106">
        <v>0</v>
      </c>
      <c r="H187" s="135"/>
      <c r="I187" s="136"/>
      <c r="J187" s="137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8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8"/>
      <c r="G188" s="106">
        <v>0</v>
      </c>
      <c r="H188" s="138"/>
      <c r="I188" s="139"/>
      <c r="J188" s="140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2" t="s">
        <v>244</v>
      </c>
      <c r="B189" s="153"/>
      <c r="C189" s="153"/>
      <c r="D189" s="153"/>
      <c r="E189" s="153">
        <f>SUM(E177:E188)</f>
        <v>0</v>
      </c>
      <c r="F189" s="112"/>
      <c r="G189" s="81">
        <f>SUM(G177:G188)</f>
        <v>84</v>
      </c>
      <c r="H189" s="112"/>
      <c r="I189" s="116"/>
      <c r="J189" s="125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3"/>
    </row>
    <row r="190" spans="1:20" ht="18" customHeight="1">
      <c r="A190" s="150" t="s">
        <v>245</v>
      </c>
      <c r="B190" s="151"/>
      <c r="C190" s="151"/>
      <c r="D190" s="151"/>
      <c r="E190" s="151">
        <f>E176+E189</f>
        <v>0</v>
      </c>
      <c r="F190" s="113"/>
      <c r="G190" s="92">
        <f>G176+G189</f>
        <v>153</v>
      </c>
      <c r="H190" s="113"/>
      <c r="I190" s="117"/>
      <c r="J190" s="126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8">
        <f>IFERROR(J190,"")</f>
        <v>0</v>
      </c>
    </row>
    <row r="191" spans="1:20" ht="15" customHeight="1">
      <c r="A191" s="69">
        <v>46242</v>
      </c>
      <c r="B191" s="32">
        <v>0.33333333333333298</v>
      </c>
      <c r="C191" s="33" t="s">
        <v>26</v>
      </c>
      <c r="D191" s="62" t="s">
        <v>43</v>
      </c>
      <c r="E191" s="110" t="s">
        <v>256</v>
      </c>
      <c r="F191" s="141"/>
      <c r="G191" s="106">
        <v>2</v>
      </c>
      <c r="H191" s="141"/>
      <c r="I191" s="142"/>
      <c r="J191" s="143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287</v>
      </c>
      <c r="S191" s="31"/>
    </row>
    <row r="192" spans="1:20" ht="15" customHeight="1">
      <c r="A192" s="68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10" t="s">
        <v>256</v>
      </c>
      <c r="F192" s="135"/>
      <c r="G192" s="106">
        <v>17</v>
      </c>
      <c r="H192" s="135"/>
      <c r="I192" s="136"/>
      <c r="J192" s="137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9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10" t="s">
        <v>256</v>
      </c>
      <c r="F193" s="135"/>
      <c r="G193" s="106">
        <v>16</v>
      </c>
      <c r="H193" s="135"/>
      <c r="I193" s="136"/>
      <c r="J193" s="137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8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10" t="s">
        <v>256</v>
      </c>
      <c r="F194" s="135"/>
      <c r="G194" s="106">
        <v>20</v>
      </c>
      <c r="H194" s="135"/>
      <c r="I194" s="136"/>
      <c r="J194" s="137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9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10" t="s">
        <v>256</v>
      </c>
      <c r="F195" s="135"/>
      <c r="G195" s="106">
        <v>5</v>
      </c>
      <c r="H195" s="135"/>
      <c r="I195" s="136"/>
      <c r="J195" s="137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280</v>
      </c>
      <c r="S195" s="31"/>
    </row>
    <row r="196" spans="1:20" ht="15" customHeight="1">
      <c r="A196" s="68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10" t="s">
        <v>256</v>
      </c>
      <c r="F196" s="135"/>
      <c r="G196" s="106">
        <v>13</v>
      </c>
      <c r="H196" s="135"/>
      <c r="I196" s="136"/>
      <c r="J196" s="137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9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10" t="s">
        <v>256</v>
      </c>
      <c r="F197" s="135"/>
      <c r="G197" s="106">
        <v>10</v>
      </c>
      <c r="H197" s="135"/>
      <c r="I197" s="136"/>
      <c r="J197" s="137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8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10" t="s">
        <v>256</v>
      </c>
      <c r="F198" s="135"/>
      <c r="G198" s="106">
        <v>9</v>
      </c>
      <c r="H198" s="135"/>
      <c r="I198" s="136"/>
      <c r="J198" s="137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9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10" t="s">
        <v>256</v>
      </c>
      <c r="F199" s="135"/>
      <c r="G199" s="106">
        <v>9</v>
      </c>
      <c r="H199" s="135"/>
      <c r="I199" s="136"/>
      <c r="J199" s="137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8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10" t="s">
        <v>256</v>
      </c>
      <c r="F200" s="135"/>
      <c r="G200" s="106">
        <v>19</v>
      </c>
      <c r="H200" s="135"/>
      <c r="I200" s="136"/>
      <c r="J200" s="137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9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10" t="s">
        <v>256</v>
      </c>
      <c r="F201" s="135"/>
      <c r="G201" s="106">
        <v>6</v>
      </c>
      <c r="H201" s="135"/>
      <c r="I201" s="136"/>
      <c r="J201" s="137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8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10" t="s">
        <v>256</v>
      </c>
      <c r="F202" s="138"/>
      <c r="G202" s="106">
        <v>7</v>
      </c>
      <c r="H202" s="138"/>
      <c r="I202" s="139"/>
      <c r="J202" s="140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2" t="s">
        <v>241</v>
      </c>
      <c r="B203" s="153"/>
      <c r="C203" s="153"/>
      <c r="D203" s="153"/>
      <c r="E203" s="153">
        <f>SUM(E191:E202)</f>
        <v>0</v>
      </c>
      <c r="F203" s="111"/>
      <c r="G203" s="81">
        <f>SUM(G191:G202)</f>
        <v>133</v>
      </c>
      <c r="H203" s="111"/>
      <c r="I203" s="115"/>
      <c r="J203" s="124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3"/>
    </row>
    <row r="204" spans="1:20" ht="15" customHeight="1">
      <c r="A204" s="68">
        <v>46242</v>
      </c>
      <c r="B204" s="25">
        <v>0.83333333333333304</v>
      </c>
      <c r="C204" s="26" t="s">
        <v>50</v>
      </c>
      <c r="D204" s="59" t="s">
        <v>43</v>
      </c>
      <c r="E204" s="109" t="s">
        <v>256</v>
      </c>
      <c r="F204" s="141"/>
      <c r="G204" s="106">
        <v>16</v>
      </c>
      <c r="H204" s="141"/>
      <c r="I204" s="142"/>
      <c r="J204" s="143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9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9" t="s">
        <v>256</v>
      </c>
      <c r="F205" s="135"/>
      <c r="G205" s="106">
        <v>11</v>
      </c>
      <c r="H205" s="135"/>
      <c r="I205" s="136"/>
      <c r="J205" s="137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8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9" t="s">
        <v>256</v>
      </c>
      <c r="F206" s="135"/>
      <c r="G206" s="106">
        <v>10</v>
      </c>
      <c r="H206" s="135"/>
      <c r="I206" s="136"/>
      <c r="J206" s="137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9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9" t="s">
        <v>256</v>
      </c>
      <c r="F207" s="135"/>
      <c r="G207" s="106">
        <v>8</v>
      </c>
      <c r="H207" s="135"/>
      <c r="I207" s="136"/>
      <c r="J207" s="137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8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9" t="s">
        <v>256</v>
      </c>
      <c r="F208" s="135"/>
      <c r="G208" s="106">
        <v>17</v>
      </c>
      <c r="H208" s="135"/>
      <c r="I208" s="136"/>
      <c r="J208" s="137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9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9" t="s">
        <v>256</v>
      </c>
      <c r="F209" s="135"/>
      <c r="G209" s="106">
        <v>12</v>
      </c>
      <c r="H209" s="135"/>
      <c r="I209" s="136"/>
      <c r="J209" s="137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8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9" t="s">
        <v>256</v>
      </c>
      <c r="F210" s="135"/>
      <c r="G210" s="106">
        <v>12</v>
      </c>
      <c r="H210" s="135"/>
      <c r="I210" s="136"/>
      <c r="J210" s="137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9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9" t="s">
        <v>256</v>
      </c>
      <c r="F211" s="135"/>
      <c r="G211" s="106">
        <v>15</v>
      </c>
      <c r="H211" s="135"/>
      <c r="I211" s="136"/>
      <c r="J211" s="137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8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9" t="s">
        <v>256</v>
      </c>
      <c r="F212" s="135"/>
      <c r="G212" s="106">
        <v>16</v>
      </c>
      <c r="H212" s="135"/>
      <c r="I212" s="136"/>
      <c r="J212" s="137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9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9" t="s">
        <v>256</v>
      </c>
      <c r="F213" s="135"/>
      <c r="G213" s="106">
        <v>15</v>
      </c>
      <c r="H213" s="135"/>
      <c r="I213" s="136"/>
      <c r="J213" s="137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8">
        <v>46242</v>
      </c>
      <c r="B214" s="25">
        <f t="shared" si="47"/>
        <v>1.25</v>
      </c>
      <c r="C214" s="26" t="s">
        <v>50</v>
      </c>
      <c r="D214" s="59" t="s">
        <v>43</v>
      </c>
      <c r="E214" s="109" t="s">
        <v>256</v>
      </c>
      <c r="F214" s="135"/>
      <c r="G214" s="106">
        <v>0</v>
      </c>
      <c r="H214" s="135"/>
      <c r="I214" s="136"/>
      <c r="J214" s="137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9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9" t="s">
        <v>256</v>
      </c>
      <c r="F215" s="138"/>
      <c r="G215" s="106">
        <v>9</v>
      </c>
      <c r="H215" s="138"/>
      <c r="I215" s="139"/>
      <c r="J215" s="140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2" t="s">
        <v>244</v>
      </c>
      <c r="B216" s="153"/>
      <c r="C216" s="153"/>
      <c r="D216" s="153"/>
      <c r="E216" s="153">
        <f>SUM(E204:E215)</f>
        <v>0</v>
      </c>
      <c r="F216" s="112"/>
      <c r="G216" s="81">
        <f>SUM(G204:G215)</f>
        <v>141</v>
      </c>
      <c r="H216" s="112"/>
      <c r="I216" s="116"/>
      <c r="J216" s="125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3"/>
    </row>
    <row r="217" spans="1:20" ht="18" customHeight="1">
      <c r="A217" s="150" t="s">
        <v>245</v>
      </c>
      <c r="B217" s="151"/>
      <c r="C217" s="151"/>
      <c r="D217" s="151"/>
      <c r="E217" s="151">
        <f>E203+E216</f>
        <v>0</v>
      </c>
      <c r="F217" s="113"/>
      <c r="G217" s="92">
        <f>G203+G216</f>
        <v>274</v>
      </c>
      <c r="H217" s="113"/>
      <c r="I217" s="117"/>
      <c r="J217" s="126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4">
        <f>IFERROR(S203+S216,"")</f>
        <v>1211130</v>
      </c>
      <c r="T217" s="145">
        <f>IFERROR(J217,"")</f>
        <v>0</v>
      </c>
    </row>
    <row r="218" spans="1:20" ht="15" customHeight="1">
      <c r="A218" s="68">
        <v>46243</v>
      </c>
      <c r="B218" s="25">
        <v>0.33333333333333298</v>
      </c>
      <c r="C218" s="26" t="s">
        <v>34</v>
      </c>
      <c r="D218" s="59" t="s">
        <v>43</v>
      </c>
      <c r="E218" s="109" t="s">
        <v>256</v>
      </c>
      <c r="F218" s="141"/>
      <c r="G218" s="106">
        <v>18</v>
      </c>
      <c r="H218" s="141"/>
      <c r="I218" s="142"/>
      <c r="J218" s="143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275</v>
      </c>
      <c r="S218" s="47"/>
    </row>
    <row r="219" spans="1:20" ht="15" customHeight="1">
      <c r="A219" s="69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9" t="s">
        <v>256</v>
      </c>
      <c r="F219" s="135"/>
      <c r="G219" s="106">
        <v>8</v>
      </c>
      <c r="H219" s="135"/>
      <c r="I219" s="136"/>
      <c r="J219" s="137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8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9" t="s">
        <v>256</v>
      </c>
      <c r="F220" s="135"/>
      <c r="G220" s="106">
        <v>7</v>
      </c>
      <c r="H220" s="135"/>
      <c r="I220" s="136"/>
      <c r="J220" s="137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9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9" t="s">
        <v>256</v>
      </c>
      <c r="F221" s="135"/>
      <c r="G221" s="106">
        <v>17</v>
      </c>
      <c r="H221" s="135"/>
      <c r="I221" s="136"/>
      <c r="J221" s="137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288</v>
      </c>
      <c r="S221" s="47"/>
    </row>
    <row r="222" spans="1:20" ht="15" customHeight="1">
      <c r="A222" s="68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9" t="s">
        <v>240</v>
      </c>
      <c r="F222" s="135"/>
      <c r="G222" s="106">
        <v>5</v>
      </c>
      <c r="H222" s="135"/>
      <c r="I222" s="136"/>
      <c r="J222" s="137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9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9" t="s">
        <v>256</v>
      </c>
      <c r="F223" s="135"/>
      <c r="G223" s="106">
        <v>13</v>
      </c>
      <c r="H223" s="135"/>
      <c r="I223" s="136"/>
      <c r="J223" s="137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289</v>
      </c>
      <c r="S223" s="47"/>
    </row>
    <row r="224" spans="1:20" ht="15" customHeight="1">
      <c r="A224" s="68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9" t="s">
        <v>256</v>
      </c>
      <c r="F224" s="135"/>
      <c r="G224" s="106">
        <v>10</v>
      </c>
      <c r="H224" s="135"/>
      <c r="I224" s="136"/>
      <c r="J224" s="137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290</v>
      </c>
      <c r="S224" s="47"/>
    </row>
    <row r="225" spans="1:20" ht="15" customHeight="1">
      <c r="A225" s="69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9" t="s">
        <v>256</v>
      </c>
      <c r="F225" s="135"/>
      <c r="G225" s="106">
        <v>14</v>
      </c>
      <c r="H225" s="135"/>
      <c r="I225" s="136"/>
      <c r="J225" s="137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8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9" t="s">
        <v>256</v>
      </c>
      <c r="F226" s="135"/>
      <c r="G226" s="106">
        <v>12</v>
      </c>
      <c r="H226" s="135"/>
      <c r="I226" s="136"/>
      <c r="J226" s="137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9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9" t="s">
        <v>256</v>
      </c>
      <c r="F227" s="135"/>
      <c r="G227" s="106">
        <v>10</v>
      </c>
      <c r="H227" s="135"/>
      <c r="I227" s="136"/>
      <c r="J227" s="137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8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9" t="s">
        <v>256</v>
      </c>
      <c r="F228" s="135"/>
      <c r="G228" s="106">
        <v>10</v>
      </c>
      <c r="H228" s="135"/>
      <c r="I228" s="136"/>
      <c r="J228" s="137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9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9" t="s">
        <v>256</v>
      </c>
      <c r="F229" s="138"/>
      <c r="G229" s="106">
        <v>10</v>
      </c>
      <c r="H229" s="138"/>
      <c r="I229" s="139"/>
      <c r="J229" s="140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1"/>
      <c r="G230" s="81">
        <f>SUM(G218:G229)</f>
        <v>134</v>
      </c>
      <c r="H230" s="111"/>
      <c r="I230" s="115"/>
      <c r="J230" s="124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3"/>
    </row>
    <row r="231" spans="1:20" ht="15" customHeight="1">
      <c r="A231" s="69">
        <v>46243</v>
      </c>
      <c r="B231" s="32">
        <v>0.83333333333333304</v>
      </c>
      <c r="C231" s="33" t="s">
        <v>50</v>
      </c>
      <c r="D231" s="62" t="s">
        <v>43</v>
      </c>
      <c r="E231" s="110" t="s">
        <v>256</v>
      </c>
      <c r="F231" s="141"/>
      <c r="G231" s="106">
        <v>15</v>
      </c>
      <c r="H231" s="141"/>
      <c r="I231" s="142"/>
      <c r="J231" s="143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8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10" t="s">
        <v>240</v>
      </c>
      <c r="F232" s="135"/>
      <c r="G232" s="106">
        <v>11</v>
      </c>
      <c r="H232" s="135"/>
      <c r="I232" s="136"/>
      <c r="J232" s="137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9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10" t="s">
        <v>256</v>
      </c>
      <c r="F233" s="135"/>
      <c r="G233" s="106">
        <v>13</v>
      </c>
      <c r="H233" s="135"/>
      <c r="I233" s="136"/>
      <c r="J233" s="137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8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10" t="s">
        <v>240</v>
      </c>
      <c r="F234" s="135"/>
      <c r="G234" s="106">
        <v>8</v>
      </c>
      <c r="H234" s="135"/>
      <c r="I234" s="136"/>
      <c r="J234" s="137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9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10" t="s">
        <v>240</v>
      </c>
      <c r="F235" s="135"/>
      <c r="G235" s="106">
        <v>10</v>
      </c>
      <c r="H235" s="135"/>
      <c r="I235" s="136"/>
      <c r="J235" s="137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8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10" t="s">
        <v>240</v>
      </c>
      <c r="F236" s="135"/>
      <c r="G236" s="106">
        <v>12</v>
      </c>
      <c r="H236" s="135"/>
      <c r="I236" s="136"/>
      <c r="J236" s="137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9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10" t="s">
        <v>240</v>
      </c>
      <c r="F237" s="135"/>
      <c r="G237" s="106">
        <v>16</v>
      </c>
      <c r="H237" s="135"/>
      <c r="I237" s="136"/>
      <c r="J237" s="137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8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10" t="s">
        <v>240</v>
      </c>
      <c r="F238" s="135"/>
      <c r="G238" s="106">
        <v>18</v>
      </c>
      <c r="H238" s="135"/>
      <c r="I238" s="136"/>
      <c r="J238" s="137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9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10" t="s">
        <v>240</v>
      </c>
      <c r="F239" s="135"/>
      <c r="G239" s="106">
        <v>14</v>
      </c>
      <c r="H239" s="135"/>
      <c r="I239" s="136"/>
      <c r="J239" s="137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8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10" t="s">
        <v>240</v>
      </c>
      <c r="F240" s="135"/>
      <c r="G240" s="106">
        <v>11</v>
      </c>
      <c r="H240" s="135"/>
      <c r="I240" s="136"/>
      <c r="J240" s="137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9">
        <v>46243</v>
      </c>
      <c r="B241" s="32">
        <f t="shared" si="53"/>
        <v>1.25</v>
      </c>
      <c r="C241" s="33" t="s">
        <v>50</v>
      </c>
      <c r="D241" s="62" t="s">
        <v>43</v>
      </c>
      <c r="E241" s="110" t="s">
        <v>240</v>
      </c>
      <c r="F241" s="135"/>
      <c r="G241" s="106">
        <v>6</v>
      </c>
      <c r="H241" s="135"/>
      <c r="I241" s="136"/>
      <c r="J241" s="137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8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10" t="s">
        <v>240</v>
      </c>
      <c r="F242" s="138"/>
      <c r="G242" s="106">
        <v>3</v>
      </c>
      <c r="H242" s="138"/>
      <c r="I242" s="139"/>
      <c r="J242" s="140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2" t="s">
        <v>244</v>
      </c>
      <c r="B243" s="153"/>
      <c r="C243" s="153"/>
      <c r="D243" s="153"/>
      <c r="E243" s="153">
        <f>SUM(E231:E242)</f>
        <v>0</v>
      </c>
      <c r="F243" s="112"/>
      <c r="G243" s="81">
        <f>SUM(G231:G242)</f>
        <v>137</v>
      </c>
      <c r="H243" s="112"/>
      <c r="I243" s="116"/>
      <c r="J243" s="125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3"/>
    </row>
    <row r="244" spans="1:20" ht="18" customHeight="1">
      <c r="A244" s="150" t="s">
        <v>245</v>
      </c>
      <c r="B244" s="151"/>
      <c r="C244" s="151"/>
      <c r="D244" s="151"/>
      <c r="E244" s="151">
        <f>E230+E243</f>
        <v>0</v>
      </c>
      <c r="F244" s="113"/>
      <c r="G244" s="92">
        <f>G230+G243</f>
        <v>271</v>
      </c>
      <c r="H244" s="113"/>
      <c r="I244" s="117"/>
      <c r="J244" s="126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4">
        <f>IFERROR(S230+S243,"")</f>
        <v>1329240</v>
      </c>
      <c r="T244" s="145">
        <f>IFERROR(J244,"")</f>
        <v>0</v>
      </c>
    </row>
    <row r="245" spans="1:20" ht="15" customHeight="1">
      <c r="A245" s="68">
        <v>46244</v>
      </c>
      <c r="B245" s="25">
        <v>0.33333333333333298</v>
      </c>
      <c r="C245" s="26" t="s">
        <v>34</v>
      </c>
      <c r="D245" s="59" t="s">
        <v>43</v>
      </c>
      <c r="E245" s="109" t="s">
        <v>240</v>
      </c>
      <c r="F245" s="141"/>
      <c r="G245" s="27">
        <v>23</v>
      </c>
      <c r="H245" s="141"/>
      <c r="I245" s="142"/>
      <c r="J245" s="143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9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9" t="s">
        <v>240</v>
      </c>
      <c r="F246" s="135"/>
      <c r="G246" s="27">
        <v>18</v>
      </c>
      <c r="H246" s="135"/>
      <c r="I246" s="136"/>
      <c r="J246" s="137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8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9" t="s">
        <v>240</v>
      </c>
      <c r="F247" s="135"/>
      <c r="G247" s="27">
        <v>16</v>
      </c>
      <c r="H247" s="135"/>
      <c r="I247" s="136"/>
      <c r="J247" s="137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9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9" t="s">
        <v>240</v>
      </c>
      <c r="F248" s="135"/>
      <c r="G248" s="27">
        <v>14</v>
      </c>
      <c r="H248" s="135"/>
      <c r="I248" s="136"/>
      <c r="J248" s="137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8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9" t="s">
        <v>256</v>
      </c>
      <c r="F249" s="135"/>
      <c r="G249" s="27">
        <v>12</v>
      </c>
      <c r="H249" s="135"/>
      <c r="I249" s="136"/>
      <c r="J249" s="137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9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9" t="s">
        <v>256</v>
      </c>
      <c r="F250" s="135"/>
      <c r="G250" s="27">
        <v>12</v>
      </c>
      <c r="H250" s="135"/>
      <c r="I250" s="136"/>
      <c r="J250" s="137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8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9" t="s">
        <v>256</v>
      </c>
      <c r="F251" s="135"/>
      <c r="G251" s="27">
        <v>7</v>
      </c>
      <c r="H251" s="135"/>
      <c r="I251" s="136"/>
      <c r="J251" s="137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9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9" t="s">
        <v>256</v>
      </c>
      <c r="F252" s="135"/>
      <c r="G252" s="27">
        <v>18</v>
      </c>
      <c r="H252" s="135"/>
      <c r="I252" s="136"/>
      <c r="J252" s="137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8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9" t="s">
        <v>256</v>
      </c>
      <c r="F253" s="135"/>
      <c r="G253" s="27">
        <v>15</v>
      </c>
      <c r="H253" s="135"/>
      <c r="I253" s="136"/>
      <c r="J253" s="137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9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9" t="s">
        <v>256</v>
      </c>
      <c r="F254" s="135"/>
      <c r="G254" s="27">
        <v>15</v>
      </c>
      <c r="H254" s="135"/>
      <c r="I254" s="136"/>
      <c r="J254" s="137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8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9" t="s">
        <v>256</v>
      </c>
      <c r="F255" s="135"/>
      <c r="G255" s="27">
        <v>20</v>
      </c>
      <c r="H255" s="135"/>
      <c r="I255" s="136"/>
      <c r="J255" s="137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9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9" t="s">
        <v>256</v>
      </c>
      <c r="F256" s="138"/>
      <c r="G256" s="27">
        <v>13</v>
      </c>
      <c r="H256" s="138"/>
      <c r="I256" s="139"/>
      <c r="J256" s="140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2" t="s">
        <v>241</v>
      </c>
      <c r="B257" s="153"/>
      <c r="C257" s="153"/>
      <c r="D257" s="153"/>
      <c r="E257" s="153">
        <f>SUM(E245:E256)</f>
        <v>0</v>
      </c>
      <c r="F257" s="111"/>
      <c r="G257" s="36">
        <f>SUM(G245:G256)</f>
        <v>183</v>
      </c>
      <c r="H257" s="111"/>
      <c r="I257" s="115"/>
      <c r="J257" s="124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3"/>
    </row>
    <row r="258" spans="1:20" ht="15" customHeight="1">
      <c r="A258" s="69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1"/>
      <c r="G258" s="27">
        <v>14</v>
      </c>
      <c r="H258" s="141"/>
      <c r="I258" s="142"/>
      <c r="J258" s="143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8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5"/>
      <c r="G259" s="27">
        <v>15</v>
      </c>
      <c r="H259" s="135"/>
      <c r="I259" s="136"/>
      <c r="J259" s="137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9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5"/>
      <c r="G260" s="27">
        <v>7</v>
      </c>
      <c r="H260" s="135"/>
      <c r="I260" s="136"/>
      <c r="J260" s="137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8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5"/>
      <c r="G261" s="27">
        <v>13</v>
      </c>
      <c r="H261" s="135"/>
      <c r="I261" s="136"/>
      <c r="J261" s="137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9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5"/>
      <c r="G262" s="27">
        <v>24</v>
      </c>
      <c r="H262" s="135"/>
      <c r="I262" s="136"/>
      <c r="J262" s="137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8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5"/>
      <c r="G263" s="27">
        <v>12</v>
      </c>
      <c r="H263" s="135"/>
      <c r="I263" s="136"/>
      <c r="J263" s="137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9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5"/>
      <c r="G264" s="27">
        <v>22</v>
      </c>
      <c r="H264" s="135"/>
      <c r="I264" s="136"/>
      <c r="J264" s="137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8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5"/>
      <c r="G265" s="27">
        <v>0</v>
      </c>
      <c r="H265" s="135"/>
      <c r="I265" s="136"/>
      <c r="J265" s="137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9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5"/>
      <c r="G266" s="27">
        <v>23</v>
      </c>
      <c r="H266" s="135"/>
      <c r="I266" s="136"/>
      <c r="J266" s="137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8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5"/>
      <c r="G267" s="27">
        <v>13</v>
      </c>
      <c r="H267" s="135"/>
      <c r="I267" s="136"/>
      <c r="J267" s="137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9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5"/>
      <c r="G268" s="27">
        <v>17</v>
      </c>
      <c r="H268" s="135"/>
      <c r="I268" s="136"/>
      <c r="J268" s="137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8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8"/>
      <c r="G269" s="27">
        <v>4</v>
      </c>
      <c r="H269" s="138"/>
      <c r="I269" s="139"/>
      <c r="J269" s="140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2" t="s">
        <v>244</v>
      </c>
      <c r="B270" s="153"/>
      <c r="C270" s="153"/>
      <c r="D270" s="153"/>
      <c r="E270" s="153">
        <f>SUM(E258:E269)</f>
        <v>0</v>
      </c>
      <c r="F270" s="112"/>
      <c r="G270" s="81">
        <f>SUM(G258:G269)</f>
        <v>164</v>
      </c>
      <c r="H270" s="112"/>
      <c r="I270" s="116"/>
      <c r="J270" s="125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3"/>
    </row>
    <row r="271" spans="1:20" ht="18" customHeight="1">
      <c r="A271" s="150" t="s">
        <v>245</v>
      </c>
      <c r="B271" s="151"/>
      <c r="C271" s="151"/>
      <c r="D271" s="151"/>
      <c r="E271" s="151">
        <f>E257+E270</f>
        <v>0</v>
      </c>
      <c r="F271" s="113"/>
      <c r="G271" s="92">
        <f>G257+G270</f>
        <v>347</v>
      </c>
      <c r="H271" s="113"/>
      <c r="I271" s="117"/>
      <c r="J271" s="126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4">
        <f>IFERROR(S257+S270,"")</f>
        <v>1630320</v>
      </c>
      <c r="T271" s="145">
        <f>IFERROR(J271,"")</f>
        <v>0</v>
      </c>
    </row>
    <row r="272" spans="1:20" ht="15" customHeight="1">
      <c r="A272" s="68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1"/>
      <c r="G272" s="27">
        <v>7</v>
      </c>
      <c r="H272" s="141"/>
      <c r="I272" s="142"/>
      <c r="J272" s="143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9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5"/>
      <c r="G273" s="27">
        <v>6</v>
      </c>
      <c r="H273" s="135"/>
      <c r="I273" s="136"/>
      <c r="J273" s="137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8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5"/>
      <c r="G274" s="27">
        <v>10</v>
      </c>
      <c r="H274" s="135"/>
      <c r="I274" s="136"/>
      <c r="J274" s="137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9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5"/>
      <c r="G275" s="27">
        <v>16</v>
      </c>
      <c r="H275" s="135"/>
      <c r="I275" s="136"/>
      <c r="J275" s="137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8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5"/>
      <c r="G276" s="27">
        <v>9</v>
      </c>
      <c r="H276" s="135"/>
      <c r="I276" s="136"/>
      <c r="J276" s="137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9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5"/>
      <c r="G277" s="27">
        <v>6</v>
      </c>
      <c r="H277" s="135"/>
      <c r="I277" s="136"/>
      <c r="J277" s="137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8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5"/>
      <c r="G278" s="27">
        <v>15</v>
      </c>
      <c r="H278" s="135"/>
      <c r="I278" s="136"/>
      <c r="J278" s="137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9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5"/>
      <c r="G279" s="27">
        <v>6</v>
      </c>
      <c r="H279" s="135"/>
      <c r="I279" s="136"/>
      <c r="J279" s="137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8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5"/>
      <c r="G280" s="27">
        <v>7</v>
      </c>
      <c r="H280" s="135"/>
      <c r="I280" s="136"/>
      <c r="J280" s="137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9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5"/>
      <c r="G281" s="27">
        <v>18</v>
      </c>
      <c r="H281" s="135"/>
      <c r="I281" s="136"/>
      <c r="J281" s="137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8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5"/>
      <c r="G282" s="27">
        <v>7</v>
      </c>
      <c r="H282" s="135"/>
      <c r="I282" s="136"/>
      <c r="J282" s="137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9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8"/>
      <c r="G283" s="27">
        <v>15</v>
      </c>
      <c r="H283" s="138"/>
      <c r="I283" s="139"/>
      <c r="J283" s="140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2" t="s">
        <v>241</v>
      </c>
      <c r="B284" s="153"/>
      <c r="C284" s="153"/>
      <c r="D284" s="153"/>
      <c r="E284" s="153">
        <f>SUM(E272:E283)</f>
        <v>0</v>
      </c>
      <c r="F284" s="111"/>
      <c r="G284" s="36">
        <f>SUM(G272:G283)</f>
        <v>122</v>
      </c>
      <c r="H284" s="111"/>
      <c r="I284" s="115"/>
      <c r="J284" s="124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3"/>
    </row>
    <row r="285" spans="1:20" ht="15" customHeight="1">
      <c r="A285" s="69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1"/>
      <c r="G285" s="27">
        <v>8</v>
      </c>
      <c r="H285" s="141"/>
      <c r="I285" s="142"/>
      <c r="J285" s="143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8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5"/>
      <c r="G286" s="27">
        <v>12</v>
      </c>
      <c r="H286" s="135"/>
      <c r="I286" s="136"/>
      <c r="J286" s="137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9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5"/>
      <c r="G287" s="27">
        <v>17</v>
      </c>
      <c r="H287" s="135"/>
      <c r="I287" s="136"/>
      <c r="J287" s="137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8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5"/>
      <c r="G288" s="27">
        <v>25</v>
      </c>
      <c r="H288" s="135"/>
      <c r="I288" s="136"/>
      <c r="J288" s="137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9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5"/>
      <c r="G289" s="27">
        <v>10</v>
      </c>
      <c r="H289" s="135"/>
      <c r="I289" s="136"/>
      <c r="J289" s="137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8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5"/>
      <c r="G290" s="127">
        <v>8</v>
      </c>
      <c r="H290" s="135"/>
      <c r="I290" s="136"/>
      <c r="J290" s="137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9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5"/>
      <c r="G291" s="27">
        <v>13</v>
      </c>
      <c r="H291" s="135"/>
      <c r="I291" s="136"/>
      <c r="J291" s="137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8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5"/>
      <c r="G292" s="27">
        <v>12</v>
      </c>
      <c r="H292" s="135"/>
      <c r="I292" s="136"/>
      <c r="J292" s="137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9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5"/>
      <c r="G293" s="27">
        <v>9</v>
      </c>
      <c r="H293" s="135"/>
      <c r="I293" s="136"/>
      <c r="J293" s="137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8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5"/>
      <c r="G294" s="27">
        <v>8</v>
      </c>
      <c r="H294" s="135"/>
      <c r="I294" s="136"/>
      <c r="J294" s="137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9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5"/>
      <c r="G295" s="27">
        <v>16</v>
      </c>
      <c r="H295" s="135"/>
      <c r="I295" s="136"/>
      <c r="J295" s="137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8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8"/>
      <c r="G296" s="27">
        <v>12</v>
      </c>
      <c r="H296" s="138"/>
      <c r="I296" s="139"/>
      <c r="J296" s="140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2" t="s">
        <v>244</v>
      </c>
      <c r="B297" s="153"/>
      <c r="C297" s="153"/>
      <c r="D297" s="153"/>
      <c r="E297" s="153">
        <f>SUM(E285:E296)</f>
        <v>0</v>
      </c>
      <c r="F297" s="112"/>
      <c r="G297" s="81">
        <f>SUM(G285:G296)</f>
        <v>150</v>
      </c>
      <c r="H297" s="112"/>
      <c r="I297" s="116"/>
      <c r="J297" s="125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3"/>
    </row>
    <row r="298" spans="1:20" ht="18" customHeight="1">
      <c r="A298" s="150" t="s">
        <v>245</v>
      </c>
      <c r="B298" s="151"/>
      <c r="C298" s="151"/>
      <c r="D298" s="151"/>
      <c r="E298" s="151">
        <f>E284+E297</f>
        <v>0</v>
      </c>
      <c r="F298" s="113"/>
      <c r="G298" s="92">
        <f>G284+G297</f>
        <v>272</v>
      </c>
      <c r="H298" s="113"/>
      <c r="I298" s="117"/>
      <c r="J298" s="126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4">
        <f>IFERROR(S284+S297,"")</f>
        <v>1562210</v>
      </c>
      <c r="T298" s="145">
        <f>IFERROR(J298,"")</f>
        <v>0</v>
      </c>
    </row>
    <row r="299" spans="1:20" ht="15" customHeight="1">
      <c r="A299" s="69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1">
        <f>IFERROR(IF($D299="","",VLOOKUP($D299,Cadastro!$C$4:$E$7,3,FALSE)),"")</f>
        <v>0.23</v>
      </c>
      <c r="G299" s="27">
        <v>9</v>
      </c>
      <c r="H299" s="141">
        <f>IFERROR(IF($G299="","",$G299*$S$311/$G$311/Cadastro!$E$33),"")</f>
        <v>0</v>
      </c>
      <c r="I299" s="142">
        <f>IFERROR(IF($D299="","",VLOOKUP($D299,Cadastro!$C$4:$G$7,5,FALSE)),"")</f>
        <v>0.6</v>
      </c>
      <c r="J299" s="143">
        <f t="shared" ref="J299:J310" si="66">IFERROR(IF($H299="","",$H299*$F299*$I299),"")</f>
        <v>0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8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5">
        <f>IFERROR(IF($D300="","",VLOOKUP($D300,Cadastro!$C$4:$E$7,3,FALSE)),"")</f>
        <v>0.23</v>
      </c>
      <c r="G300" s="27">
        <v>20</v>
      </c>
      <c r="H300" s="135">
        <f>IFERROR(IF($G300="","",$G300*$S$311/$G$311/Cadastro!$E$33),"")</f>
        <v>0</v>
      </c>
      <c r="I300" s="136">
        <f>IFERROR(IF($D300="","",VLOOKUP($D300,Cadastro!$C$4:$G$7,5,FALSE)),"")</f>
        <v>0.6</v>
      </c>
      <c r="J300" s="137">
        <f t="shared" si="66"/>
        <v>0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9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5">
        <f>IFERROR(IF($D301="","",VLOOKUP($D301,Cadastro!$C$4:$E$7,3,FALSE)),"")</f>
        <v>0.23</v>
      </c>
      <c r="G301" s="27">
        <v>20</v>
      </c>
      <c r="H301" s="135">
        <f>IFERROR(IF($G301="","",$G301*$S$311/$G$311/Cadastro!$E$33),"")</f>
        <v>0</v>
      </c>
      <c r="I301" s="136">
        <f>IFERROR(IF($D301="","",VLOOKUP($D301,Cadastro!$C$4:$G$7,5,FALSE)),"")</f>
        <v>0.6</v>
      </c>
      <c r="J301" s="137">
        <f t="shared" si="66"/>
        <v>0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8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5">
        <f>IFERROR(IF($D302="","",VLOOKUP($D302,Cadastro!$C$4:$E$7,3,FALSE)),"")</f>
        <v>0.23</v>
      </c>
      <c r="G302" s="27">
        <v>17</v>
      </c>
      <c r="H302" s="135">
        <f>IFERROR(IF($G302="","",$G302*$S$311/$G$311/Cadastro!$E$33),"")</f>
        <v>0</v>
      </c>
      <c r="I302" s="136">
        <f>IFERROR(IF($D302="","",VLOOKUP($D302,Cadastro!$C$4:$G$7,5,FALSE)),"")</f>
        <v>0.6</v>
      </c>
      <c r="J302" s="137">
        <f t="shared" si="66"/>
        <v>0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9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5">
        <f>IFERROR(IF($D303="","",VLOOKUP($D303,Cadastro!$C$4:$E$7,3,FALSE)),"")</f>
        <v>0.23</v>
      </c>
      <c r="G303" s="27">
        <v>15</v>
      </c>
      <c r="H303" s="135">
        <f>IFERROR(IF($G303="","",$G303*$S$311/$G$311/Cadastro!$E$33),"")</f>
        <v>0</v>
      </c>
      <c r="I303" s="136">
        <f>IFERROR(IF($D303="","",VLOOKUP($D303,Cadastro!$C$4:$G$7,5,FALSE)),"")</f>
        <v>0.6</v>
      </c>
      <c r="J303" s="137">
        <f t="shared" si="66"/>
        <v>0</v>
      </c>
      <c r="K303" s="34">
        <f t="shared" si="67"/>
        <v>63</v>
      </c>
      <c r="L303" s="33"/>
      <c r="M303" s="33"/>
      <c r="N303" s="33"/>
      <c r="O303" s="29"/>
      <c r="P303" s="29"/>
      <c r="Q303" s="35" t="str">
        <f t="shared" ca="1" si="68"/>
        <v/>
      </c>
      <c r="R303" s="46"/>
      <c r="S303" s="47"/>
    </row>
    <row r="304" spans="1:20" ht="15" customHeight="1">
      <c r="A304" s="68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5">
        <f>IFERROR(IF($D304="","",VLOOKUP($D304,Cadastro!$C$4:$E$7,3,FALSE)),"")</f>
        <v>0.23</v>
      </c>
      <c r="G304" s="27">
        <v>16</v>
      </c>
      <c r="H304" s="135">
        <f>IFERROR(IF($G304="","",$G304*$S$311/$G$311/Cadastro!$E$33),"")</f>
        <v>0</v>
      </c>
      <c r="I304" s="136">
        <f>IFERROR(IF($D304="","",VLOOKUP($D304,Cadastro!$C$4:$G$7,5,FALSE)),"")</f>
        <v>0.6</v>
      </c>
      <c r="J304" s="137">
        <f t="shared" si="66"/>
        <v>0</v>
      </c>
      <c r="K304" s="28">
        <f t="shared" si="67"/>
        <v>67.2</v>
      </c>
      <c r="L304" s="26"/>
      <c r="M304" s="26"/>
      <c r="N304" s="26"/>
      <c r="O304" s="29"/>
      <c r="P304" s="29"/>
      <c r="Q304" s="30" t="str">
        <f t="shared" ca="1" si="68"/>
        <v/>
      </c>
      <c r="R304" s="46"/>
      <c r="S304" s="47"/>
    </row>
    <row r="305" spans="1:20" ht="15" customHeight="1">
      <c r="A305" s="69">
        <v>46246</v>
      </c>
      <c r="B305" s="32">
        <f t="shared" si="69"/>
        <v>0.58333333333333304</v>
      </c>
      <c r="C305" s="33" t="s">
        <v>34</v>
      </c>
      <c r="D305" s="62" t="s">
        <v>35</v>
      </c>
      <c r="E305" s="62" t="s">
        <v>256</v>
      </c>
      <c r="F305" s="135">
        <f>IFERROR(IF($D305="","",VLOOKUP($D305,Cadastro!$C$4:$E$7,3,FALSE)),"")</f>
        <v>0.23</v>
      </c>
      <c r="G305" s="27">
        <v>13</v>
      </c>
      <c r="H305" s="135">
        <f>IFERROR(IF($G305="","",$G305*$S$311/$G$311/Cadastro!$E$33),"")</f>
        <v>0</v>
      </c>
      <c r="I305" s="136">
        <f>IFERROR(IF($D305="","",VLOOKUP($D305,Cadastro!$C$4:$G$7,5,FALSE)),"")</f>
        <v>0.6</v>
      </c>
      <c r="J305" s="137">
        <f t="shared" si="66"/>
        <v>0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8">
        <v>46246</v>
      </c>
      <c r="B306" s="25">
        <f t="shared" si="69"/>
        <v>0.62499999999999967</v>
      </c>
      <c r="C306" s="33" t="s">
        <v>34</v>
      </c>
      <c r="D306" s="62" t="s">
        <v>35</v>
      </c>
      <c r="E306" s="62" t="s">
        <v>256</v>
      </c>
      <c r="F306" s="135">
        <f>IFERROR(IF($D306="","",VLOOKUP($D306,Cadastro!$C$4:$E$7,3,FALSE)),"")</f>
        <v>0.23</v>
      </c>
      <c r="G306" s="27"/>
      <c r="H306" s="135" t="str">
        <f>IFERROR(IF($G306="","",$G306*$S$311/$G$311/Cadastro!$E$33),"")</f>
        <v/>
      </c>
      <c r="I306" s="136">
        <f>IFERROR(IF($D306="","",VLOOKUP($D306,Cadastro!$C$4:$G$7,5,FALSE)),"")</f>
        <v>0.6</v>
      </c>
      <c r="J306" s="137" t="str">
        <f t="shared" si="66"/>
        <v/>
      </c>
      <c r="K306" s="28" t="str">
        <f t="shared" si="67"/>
        <v/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9">
        <v>46246</v>
      </c>
      <c r="B307" s="32">
        <f t="shared" si="69"/>
        <v>0.6666666666666663</v>
      </c>
      <c r="C307" s="33" t="s">
        <v>34</v>
      </c>
      <c r="D307" s="62" t="s">
        <v>35</v>
      </c>
      <c r="E307" s="62" t="s">
        <v>256</v>
      </c>
      <c r="F307" s="135">
        <f>IFERROR(IF($D307="","",VLOOKUP($D307,Cadastro!$C$4:$E$7,3,FALSE)),"")</f>
        <v>0.23</v>
      </c>
      <c r="G307" s="27"/>
      <c r="H307" s="135" t="str">
        <f>IFERROR(IF($G307="","",$G307*$S$311/$G$311/Cadastro!$E$33),"")</f>
        <v/>
      </c>
      <c r="I307" s="136">
        <f>IFERROR(IF($D307="","",VLOOKUP($D307,Cadastro!$C$4:$G$7,5,FALSE)),"")</f>
        <v>0.6</v>
      </c>
      <c r="J307" s="137" t="str">
        <f t="shared" si="66"/>
        <v/>
      </c>
      <c r="K307" s="34" t="str">
        <f t="shared" si="67"/>
        <v/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8">
        <v>46246</v>
      </c>
      <c r="B308" s="25">
        <f t="shared" si="69"/>
        <v>0.70833333333333293</v>
      </c>
      <c r="C308" s="33" t="s">
        <v>34</v>
      </c>
      <c r="D308" s="62" t="s">
        <v>35</v>
      </c>
      <c r="E308" s="62" t="s">
        <v>256</v>
      </c>
      <c r="F308" s="135">
        <f>IFERROR(IF($D308="","",VLOOKUP($D308,Cadastro!$C$4:$E$7,3,FALSE)),"")</f>
        <v>0.23</v>
      </c>
      <c r="G308" s="27"/>
      <c r="H308" s="135" t="str">
        <f>IFERROR(IF($G308="","",$G308*$S$311/$G$311/Cadastro!$E$33),"")</f>
        <v/>
      </c>
      <c r="I308" s="136">
        <f>IFERROR(IF($D308="","",VLOOKUP($D308,Cadastro!$C$4:$G$7,5,FALSE)),"")</f>
        <v>0.6</v>
      </c>
      <c r="J308" s="137" t="str">
        <f t="shared" si="66"/>
        <v/>
      </c>
      <c r="K308" s="28" t="str">
        <f t="shared" si="67"/>
        <v/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9">
        <v>46246</v>
      </c>
      <c r="B309" s="32">
        <f t="shared" si="69"/>
        <v>0.74999999999999956</v>
      </c>
      <c r="C309" s="33" t="s">
        <v>34</v>
      </c>
      <c r="D309" s="62" t="s">
        <v>35</v>
      </c>
      <c r="E309" s="62" t="s">
        <v>256</v>
      </c>
      <c r="F309" s="135">
        <f>IFERROR(IF($D309="","",VLOOKUP($D309,Cadastro!$C$4:$E$7,3,FALSE)),"")</f>
        <v>0.23</v>
      </c>
      <c r="G309" s="27"/>
      <c r="H309" s="135" t="str">
        <f>IFERROR(IF($G309="","",$G309*$S$311/$G$311/Cadastro!$E$33),"")</f>
        <v/>
      </c>
      <c r="I309" s="136">
        <f>IFERROR(IF($D309="","",VLOOKUP($D309,Cadastro!$C$4:$G$7,5,FALSE)),"")</f>
        <v>0.6</v>
      </c>
      <c r="J309" s="137" t="str">
        <f t="shared" si="66"/>
        <v/>
      </c>
      <c r="K309" s="34" t="str">
        <f t="shared" si="67"/>
        <v/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8">
        <v>46246</v>
      </c>
      <c r="B310" s="25">
        <f t="shared" si="69"/>
        <v>0.79166666666666619</v>
      </c>
      <c r="C310" s="33" t="s">
        <v>34</v>
      </c>
      <c r="D310" s="62" t="s">
        <v>35</v>
      </c>
      <c r="E310" s="62" t="s">
        <v>256</v>
      </c>
      <c r="F310" s="138">
        <f>IFERROR(IF($D310="","",VLOOKUP($D310,Cadastro!$C$4:$E$7,3,FALSE)),"")</f>
        <v>0.23</v>
      </c>
      <c r="G310" s="27"/>
      <c r="H310" s="138" t="str">
        <f>IFERROR(IF($G310="","",$G310*$S$311/$G$311/Cadastro!$E$33),"")</f>
        <v/>
      </c>
      <c r="I310" s="139">
        <f>IFERROR(IF($D310="","",VLOOKUP($D310,Cadastro!$C$4:$G$7,5,FALSE)),"")</f>
        <v>0.6</v>
      </c>
      <c r="J310" s="140" t="str">
        <f t="shared" si="66"/>
        <v/>
      </c>
      <c r="K310" s="28" t="str">
        <f t="shared" si="67"/>
        <v/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2" t="s">
        <v>241</v>
      </c>
      <c r="B311" s="153"/>
      <c r="C311" s="153"/>
      <c r="D311" s="153"/>
      <c r="E311" s="153">
        <f>SUM(E299:E310)</f>
        <v>0</v>
      </c>
      <c r="F311" s="111"/>
      <c r="G311" s="81">
        <f>SUM(G299:G310)</f>
        <v>110</v>
      </c>
      <c r="H311" s="111">
        <f>IFERROR(SUM(H299:H310),"")</f>
        <v>0</v>
      </c>
      <c r="I311" s="115"/>
      <c r="J311" s="124">
        <f>IFERROR(SUM(J299:J310),"")</f>
        <v>0</v>
      </c>
      <c r="K311" s="36">
        <f>SUM(K299:K310)</f>
        <v>462.00000000000006</v>
      </c>
      <c r="L311" s="37"/>
      <c r="M311" s="37"/>
      <c r="N311" s="37"/>
      <c r="O311" s="37"/>
      <c r="P311" s="37"/>
      <c r="Q311" s="38">
        <f ca="1">IFERROR(SUM(Q299:Q310),"")</f>
        <v>2.9861111111111116E-2</v>
      </c>
      <c r="R311" s="36" t="s">
        <v>242</v>
      </c>
      <c r="S311" s="45"/>
      <c r="T311" s="123">
        <f>IFERROR(J311,"")</f>
        <v>0</v>
      </c>
    </row>
    <row r="312" spans="1:20" ht="15" customHeight="1">
      <c r="A312" s="68">
        <v>46246</v>
      </c>
      <c r="B312" s="25">
        <v>0.83333333333333304</v>
      </c>
      <c r="C312" s="33"/>
      <c r="D312" s="62"/>
      <c r="E312" s="62"/>
      <c r="F312" s="141" t="str">
        <f>IFERROR(IF($D312="","",VLOOKUP($D312,Cadastro!$C$4:$E$7,3,FALSE)),"")</f>
        <v/>
      </c>
      <c r="G312" s="27"/>
      <c r="H312" s="141" t="str">
        <f>IFERROR(IF($G312="","",$G312*$S$324/$G$324/Cadastro!$E$33),"")</f>
        <v/>
      </c>
      <c r="I312" s="142" t="str">
        <f>IFERROR(IF($D312="","",VLOOKUP($D312,Cadastro!$C$4:$G$7,5,FALSE)),"")</f>
        <v/>
      </c>
      <c r="J312" s="143" t="str">
        <f t="shared" ref="J312:J323" si="70">IFERROR(IF($H312="","",$H312*$F312*$I312),"")</f>
        <v/>
      </c>
      <c r="K312" s="28" t="str">
        <f t="shared" ref="K312:K323" si="71">IF(G312="","",IF(E312="PC 17",G312*4.2,IF(E312="PC 19",G312*5,IF(E312="CB",G312*24,""))))</f>
        <v/>
      </c>
      <c r="L312" s="26"/>
      <c r="M312" s="26"/>
      <c r="N312" s="26"/>
      <c r="O312" s="29"/>
      <c r="P312" s="29"/>
      <c r="Q312" s="30" t="str">
        <f t="shared" ref="Q312:Q323" ca="1" si="72">IFERROR(IF(O312="","",IF(P312="",MOD(NOW()-O312,1),IF(P312&gt;=O312,P312-O312,P312+1-O312))),"")</f>
        <v/>
      </c>
      <c r="R312" s="46"/>
      <c r="S312" s="47"/>
    </row>
    <row r="313" spans="1:20" ht="15" customHeight="1">
      <c r="A313" s="69">
        <v>46246</v>
      </c>
      <c r="B313" s="32">
        <f t="shared" ref="B313:B323" si="73">B312+TIME(0,60,0)</f>
        <v>0.87499999999999967</v>
      </c>
      <c r="C313" s="33"/>
      <c r="D313" s="62"/>
      <c r="E313" s="62"/>
      <c r="F313" s="135" t="str">
        <f>IFERROR(IF($D313="","",VLOOKUP($D313,Cadastro!$C$4:$E$7,3,FALSE)),"")</f>
        <v/>
      </c>
      <c r="G313" s="27"/>
      <c r="H313" s="135" t="str">
        <f>IFERROR(IF($G313="","",$G313*$S$324/$G$324/Cadastro!$E$33),"")</f>
        <v/>
      </c>
      <c r="I313" s="136" t="str">
        <f>IFERROR(IF($D313="","",VLOOKUP($D313,Cadastro!$C$4:$G$7,5,FALSE)),"")</f>
        <v/>
      </c>
      <c r="J313" s="137" t="str">
        <f t="shared" si="70"/>
        <v/>
      </c>
      <c r="K313" s="34" t="str">
        <f t="shared" si="71"/>
        <v/>
      </c>
      <c r="L313" s="33"/>
      <c r="M313" s="33"/>
      <c r="N313" s="33"/>
      <c r="O313" s="29"/>
      <c r="P313" s="29"/>
      <c r="Q313" s="35" t="str">
        <f t="shared" ca="1" si="72"/>
        <v/>
      </c>
      <c r="R313" s="46"/>
      <c r="S313" s="47"/>
    </row>
    <row r="314" spans="1:20" ht="15" customHeight="1">
      <c r="A314" s="68">
        <v>46246</v>
      </c>
      <c r="B314" s="25">
        <f t="shared" si="73"/>
        <v>0.9166666666666663</v>
      </c>
      <c r="C314" s="33"/>
      <c r="D314" s="62"/>
      <c r="E314" s="62"/>
      <c r="F314" s="135" t="str">
        <f>IFERROR(IF($D314="","",VLOOKUP($D314,Cadastro!$C$4:$E$7,3,FALSE)),"")</f>
        <v/>
      </c>
      <c r="G314" s="27"/>
      <c r="H314" s="135" t="str">
        <f>IFERROR(IF($G314="","",$G314*$S$324/$G$324/Cadastro!$E$33),"")</f>
        <v/>
      </c>
      <c r="I314" s="136" t="str">
        <f>IFERROR(IF($D314="","",VLOOKUP($D314,Cadastro!$C$4:$G$7,5,FALSE)),"")</f>
        <v/>
      </c>
      <c r="J314" s="137" t="str">
        <f t="shared" si="70"/>
        <v/>
      </c>
      <c r="K314" s="28" t="str">
        <f t="shared" si="71"/>
        <v/>
      </c>
      <c r="L314" s="26"/>
      <c r="M314" s="26"/>
      <c r="N314" s="26"/>
      <c r="O314" s="29"/>
      <c r="P314" s="29"/>
      <c r="Q314" s="30" t="str">
        <f t="shared" ca="1" si="72"/>
        <v/>
      </c>
      <c r="R314" s="46"/>
      <c r="S314" s="47"/>
    </row>
    <row r="315" spans="1:20" ht="15" customHeight="1">
      <c r="A315" s="69">
        <v>46246</v>
      </c>
      <c r="B315" s="32">
        <f t="shared" si="73"/>
        <v>0.95833333333333293</v>
      </c>
      <c r="C315" s="33"/>
      <c r="D315" s="62"/>
      <c r="E315" s="62"/>
      <c r="F315" s="135" t="str">
        <f>IFERROR(IF($D315="","",VLOOKUP($D315,Cadastro!$C$4:$E$7,3,FALSE)),"")</f>
        <v/>
      </c>
      <c r="G315" s="27"/>
      <c r="H315" s="135" t="str">
        <f>IFERROR(IF($G315="","",$G315*$S$324/$G$324/Cadastro!$E$33),"")</f>
        <v/>
      </c>
      <c r="I315" s="136" t="str">
        <f>IFERROR(IF($D315="","",VLOOKUP($D315,Cadastro!$C$4:$G$7,5,FALSE)),"")</f>
        <v/>
      </c>
      <c r="J315" s="137" t="str">
        <f t="shared" si="70"/>
        <v/>
      </c>
      <c r="K315" s="34" t="str">
        <f t="shared" si="71"/>
        <v/>
      </c>
      <c r="L315" s="33"/>
      <c r="M315" s="33"/>
      <c r="N315" s="33"/>
      <c r="O315" s="29"/>
      <c r="P315" s="29"/>
      <c r="Q315" s="35" t="str">
        <f t="shared" ca="1" si="72"/>
        <v/>
      </c>
      <c r="R315" s="46"/>
      <c r="S315" s="47"/>
    </row>
    <row r="316" spans="1:20" ht="15" customHeight="1">
      <c r="A316" s="68">
        <v>46246</v>
      </c>
      <c r="B316" s="25">
        <f t="shared" si="73"/>
        <v>0.99999999999999956</v>
      </c>
      <c r="C316" s="33"/>
      <c r="D316" s="62"/>
      <c r="E316" s="62"/>
      <c r="F316" s="135" t="str">
        <f>IFERROR(IF($D316="","",VLOOKUP($D316,Cadastro!$C$4:$E$7,3,FALSE)),"")</f>
        <v/>
      </c>
      <c r="G316" s="27"/>
      <c r="H316" s="135" t="str">
        <f>IFERROR(IF($G316="","",$G316*$S$324/$G$324/Cadastro!$E$33),"")</f>
        <v/>
      </c>
      <c r="I316" s="136" t="str">
        <f>IFERROR(IF($D316="","",VLOOKUP($D316,Cadastro!$C$4:$G$7,5,FALSE)),"")</f>
        <v/>
      </c>
      <c r="J316" s="137" t="str">
        <f t="shared" si="70"/>
        <v/>
      </c>
      <c r="K316" s="28" t="str">
        <f t="shared" si="71"/>
        <v/>
      </c>
      <c r="L316" s="26"/>
      <c r="M316" s="26"/>
      <c r="N316" s="26"/>
      <c r="O316" s="29"/>
      <c r="P316" s="29"/>
      <c r="Q316" s="30" t="str">
        <f t="shared" ca="1" si="72"/>
        <v/>
      </c>
      <c r="R316" s="46"/>
      <c r="S316" s="47"/>
    </row>
    <row r="317" spans="1:20" ht="15" customHeight="1">
      <c r="A317" s="69">
        <v>46246</v>
      </c>
      <c r="B317" s="32">
        <f t="shared" si="73"/>
        <v>1.0416666666666663</v>
      </c>
      <c r="C317" s="33"/>
      <c r="D317" s="62"/>
      <c r="E317" s="62"/>
      <c r="F317" s="135" t="str">
        <f>IFERROR(IF($D317="","",VLOOKUP($D317,Cadastro!$C$4:$E$7,3,FALSE)),"")</f>
        <v/>
      </c>
      <c r="G317" s="127"/>
      <c r="H317" s="135" t="str">
        <f>IFERROR(IF($G317="","",$G317*$S$324/$G$324/Cadastro!$E$33),"")</f>
        <v/>
      </c>
      <c r="I317" s="136" t="str">
        <f>IFERROR(IF($D317="","",VLOOKUP($D317,Cadastro!$C$4:$G$7,5,FALSE)),"")</f>
        <v/>
      </c>
      <c r="J317" s="137" t="str">
        <f t="shared" si="70"/>
        <v/>
      </c>
      <c r="K317" s="34" t="str">
        <f t="shared" si="71"/>
        <v/>
      </c>
      <c r="L317" s="33"/>
      <c r="M317" s="33"/>
      <c r="N317" s="33"/>
      <c r="O317" s="29"/>
      <c r="P317" s="29"/>
      <c r="Q317" s="35" t="str">
        <f t="shared" ca="1" si="72"/>
        <v/>
      </c>
      <c r="R317" s="46"/>
      <c r="S317" s="47"/>
    </row>
    <row r="318" spans="1:20" ht="15" customHeight="1">
      <c r="A318" s="68">
        <v>46246</v>
      </c>
      <c r="B318" s="25">
        <f t="shared" si="73"/>
        <v>1.083333333333333</v>
      </c>
      <c r="C318" s="33"/>
      <c r="D318" s="62"/>
      <c r="E318" s="62"/>
      <c r="F318" s="135" t="str">
        <f>IFERROR(IF($D318="","",VLOOKUP($D318,Cadastro!$C$4:$E$7,3,FALSE)),"")</f>
        <v/>
      </c>
      <c r="G318" s="27"/>
      <c r="H318" s="135" t="str">
        <f>IFERROR(IF($G318="","",$G318*$S$324/$G$324/Cadastro!$E$33),"")</f>
        <v/>
      </c>
      <c r="I318" s="136" t="str">
        <f>IFERROR(IF($D318="","",VLOOKUP($D318,Cadastro!$C$4:$G$7,5,FALSE)),"")</f>
        <v/>
      </c>
      <c r="J318" s="137" t="str">
        <f t="shared" si="70"/>
        <v/>
      </c>
      <c r="K318" s="28" t="str">
        <f t="shared" si="71"/>
        <v/>
      </c>
      <c r="L318" s="26"/>
      <c r="M318" s="26"/>
      <c r="N318" s="26"/>
      <c r="O318" s="29"/>
      <c r="P318" s="29"/>
      <c r="Q318" s="30" t="str">
        <f t="shared" ca="1" si="72"/>
        <v/>
      </c>
      <c r="R318" s="46"/>
      <c r="S318" s="47"/>
    </row>
    <row r="319" spans="1:20" ht="15" customHeight="1">
      <c r="A319" s="69">
        <v>46246</v>
      </c>
      <c r="B319" s="32">
        <f t="shared" si="73"/>
        <v>1.1249999999999998</v>
      </c>
      <c r="C319" s="33"/>
      <c r="D319" s="62"/>
      <c r="E319" s="62"/>
      <c r="F319" s="135" t="str">
        <f>IFERROR(IF($D319="","",VLOOKUP($D319,Cadastro!$C$4:$E$7,3,FALSE)),"")</f>
        <v/>
      </c>
      <c r="G319" s="27"/>
      <c r="H319" s="135" t="str">
        <f>IFERROR(IF($G319="","",$G319*$S$324/$G$324/Cadastro!$E$33),"")</f>
        <v/>
      </c>
      <c r="I319" s="136" t="str">
        <f>IFERROR(IF($D319="","",VLOOKUP($D319,Cadastro!$C$4:$G$7,5,FALSE)),"")</f>
        <v/>
      </c>
      <c r="J319" s="137" t="str">
        <f t="shared" si="70"/>
        <v/>
      </c>
      <c r="K319" s="34" t="str">
        <f t="shared" si="71"/>
        <v/>
      </c>
      <c r="L319" s="33"/>
      <c r="M319" s="33"/>
      <c r="N319" s="33"/>
      <c r="O319" s="29"/>
      <c r="P319" s="29"/>
      <c r="Q319" s="35" t="str">
        <f t="shared" ca="1" si="72"/>
        <v/>
      </c>
      <c r="R319" s="46"/>
      <c r="S319" s="47"/>
    </row>
    <row r="320" spans="1:20" ht="15" customHeight="1">
      <c r="A320" s="68">
        <v>46246</v>
      </c>
      <c r="B320" s="25">
        <f t="shared" si="73"/>
        <v>1.1666666666666665</v>
      </c>
      <c r="C320" s="33"/>
      <c r="D320" s="62"/>
      <c r="E320" s="62"/>
      <c r="F320" s="135" t="str">
        <f>IFERROR(IF($D320="","",VLOOKUP($D320,Cadastro!$C$4:$E$7,3,FALSE)),"")</f>
        <v/>
      </c>
      <c r="G320" s="27"/>
      <c r="H320" s="135" t="str">
        <f>IFERROR(IF($G320="","",$G320*$S$324/$G$324/Cadastro!$E$33),"")</f>
        <v/>
      </c>
      <c r="I320" s="136" t="str">
        <f>IFERROR(IF($D320="","",VLOOKUP($D320,Cadastro!$C$4:$G$7,5,FALSE)),"")</f>
        <v/>
      </c>
      <c r="J320" s="137" t="str">
        <f t="shared" si="70"/>
        <v/>
      </c>
      <c r="K320" s="28" t="str">
        <f t="shared" si="71"/>
        <v/>
      </c>
      <c r="L320" s="26"/>
      <c r="M320" s="26"/>
      <c r="N320" s="26"/>
      <c r="O320" s="29"/>
      <c r="P320" s="29"/>
      <c r="Q320" s="30" t="str">
        <f t="shared" ca="1" si="72"/>
        <v/>
      </c>
      <c r="R320" s="46"/>
      <c r="S320" s="47"/>
    </row>
    <row r="321" spans="1:20" ht="15" customHeight="1">
      <c r="A321" s="69">
        <v>46246</v>
      </c>
      <c r="B321" s="32">
        <f t="shared" si="73"/>
        <v>1.2083333333333333</v>
      </c>
      <c r="C321" s="33"/>
      <c r="D321" s="62"/>
      <c r="E321" s="62"/>
      <c r="F321" s="135" t="str">
        <f>IFERROR(IF($D321="","",VLOOKUP($D321,Cadastro!$C$4:$E$7,3,FALSE)),"")</f>
        <v/>
      </c>
      <c r="G321" s="27"/>
      <c r="H321" s="135" t="str">
        <f>IFERROR(IF($G321="","",$G321*$S$324/$G$324/Cadastro!$E$33),"")</f>
        <v/>
      </c>
      <c r="I321" s="136" t="str">
        <f>IFERROR(IF($D321="","",VLOOKUP($D321,Cadastro!$C$4:$G$7,5,FALSE)),"")</f>
        <v/>
      </c>
      <c r="J321" s="137" t="str">
        <f t="shared" si="70"/>
        <v/>
      </c>
      <c r="K321" s="34" t="str">
        <f t="shared" si="71"/>
        <v/>
      </c>
      <c r="L321" s="33"/>
      <c r="M321" s="33"/>
      <c r="N321" s="33"/>
      <c r="O321" s="29"/>
      <c r="P321" s="29"/>
      <c r="Q321" s="35" t="str">
        <f t="shared" ca="1" si="72"/>
        <v/>
      </c>
      <c r="R321" s="46"/>
      <c r="S321" s="47"/>
    </row>
    <row r="322" spans="1:20" ht="15" customHeight="1">
      <c r="A322" s="68">
        <v>46246</v>
      </c>
      <c r="B322" s="25">
        <f t="shared" si="73"/>
        <v>1.25</v>
      </c>
      <c r="C322" s="33"/>
      <c r="D322" s="62"/>
      <c r="E322" s="62"/>
      <c r="F322" s="135" t="str">
        <f>IFERROR(IF($D322="","",VLOOKUP($D322,Cadastro!$C$4:$E$7,3,FALSE)),"")</f>
        <v/>
      </c>
      <c r="G322" s="27"/>
      <c r="H322" s="135" t="str">
        <f>IFERROR(IF($G322="","",$G322*$S$324/$G$324/Cadastro!$E$33),"")</f>
        <v/>
      </c>
      <c r="I322" s="136" t="str">
        <f>IFERROR(IF($D322="","",VLOOKUP($D322,Cadastro!$C$4:$G$7,5,FALSE)),"")</f>
        <v/>
      </c>
      <c r="J322" s="137" t="str">
        <f t="shared" si="70"/>
        <v/>
      </c>
      <c r="K322" s="28" t="str">
        <f t="shared" si="71"/>
        <v/>
      </c>
      <c r="L322" s="26"/>
      <c r="M322" s="26"/>
      <c r="N322" s="26"/>
      <c r="O322" s="29"/>
      <c r="P322" s="29"/>
      <c r="Q322" s="30" t="str">
        <f t="shared" ca="1" si="72"/>
        <v/>
      </c>
      <c r="R322" s="46"/>
      <c r="S322" s="47"/>
    </row>
    <row r="323" spans="1:20" ht="15" customHeight="1" thickBot="1">
      <c r="A323" s="69">
        <v>46246</v>
      </c>
      <c r="B323" s="32">
        <f t="shared" si="73"/>
        <v>1.2916666666666667</v>
      </c>
      <c r="C323" s="33"/>
      <c r="D323" s="62"/>
      <c r="E323" s="62"/>
      <c r="F323" s="138" t="str">
        <f>IFERROR(IF($D323="","",VLOOKUP($D323,Cadastro!$C$4:$E$7,3,FALSE)),"")</f>
        <v/>
      </c>
      <c r="G323" s="27"/>
      <c r="H323" s="138" t="str">
        <f>IFERROR(IF($G323="","",$G323*$S$324/$G$324/Cadastro!$E$33),"")</f>
        <v/>
      </c>
      <c r="I323" s="139" t="str">
        <f>IFERROR(IF($D323="","",VLOOKUP($D323,Cadastro!$C$4:$G$7,5,FALSE)),"")</f>
        <v/>
      </c>
      <c r="J323" s="140" t="str">
        <f t="shared" si="70"/>
        <v/>
      </c>
      <c r="K323" s="34" t="str">
        <f t="shared" si="71"/>
        <v/>
      </c>
      <c r="L323" s="33"/>
      <c r="M323" s="33"/>
      <c r="N323" s="33"/>
      <c r="O323" s="29"/>
      <c r="P323" s="29"/>
      <c r="Q323" s="35" t="str">
        <f t="shared" ca="1" si="72"/>
        <v/>
      </c>
      <c r="R323" s="46"/>
      <c r="S323" s="47"/>
    </row>
    <row r="324" spans="1:20" ht="15.75" customHeight="1" thickBot="1">
      <c r="A324" s="152" t="s">
        <v>244</v>
      </c>
      <c r="B324" s="153"/>
      <c r="C324" s="153"/>
      <c r="D324" s="153"/>
      <c r="E324" s="153">
        <f>SUM(E312:E323)</f>
        <v>0</v>
      </c>
      <c r="F324" s="112"/>
      <c r="G324" s="81">
        <f>SUM(G312:G323)</f>
        <v>0</v>
      </c>
      <c r="H324" s="112">
        <f>IFERROR(SUM(H312:H323),"")</f>
        <v>0</v>
      </c>
      <c r="I324" s="116"/>
      <c r="J324" s="125">
        <f>IFERROR(SUM(J312:J323),"")</f>
        <v>0</v>
      </c>
      <c r="K324" s="36">
        <f>SUM(K312:K323)</f>
        <v>0</v>
      </c>
      <c r="L324" s="37"/>
      <c r="M324" s="37"/>
      <c r="N324" s="37"/>
      <c r="O324" s="37"/>
      <c r="P324" s="37"/>
      <c r="Q324" s="38">
        <f ca="1">IFERROR(SUM(Q312:Q323),"")</f>
        <v>0</v>
      </c>
      <c r="R324" s="36" t="s">
        <v>242</v>
      </c>
      <c r="S324" s="45"/>
      <c r="T324" s="123">
        <f>IFERROR(J324,"")</f>
        <v>0</v>
      </c>
    </row>
    <row r="325" spans="1:20" ht="18" customHeight="1">
      <c r="A325" s="150" t="s">
        <v>245</v>
      </c>
      <c r="B325" s="151"/>
      <c r="C325" s="151"/>
      <c r="D325" s="151"/>
      <c r="E325" s="151">
        <f>E311+E324</f>
        <v>0</v>
      </c>
      <c r="F325" s="113"/>
      <c r="G325" s="92">
        <f>G311+G324</f>
        <v>110</v>
      </c>
      <c r="H325" s="113">
        <f>IFERROR(H311+H324,"")</f>
        <v>0</v>
      </c>
      <c r="I325" s="117"/>
      <c r="J325" s="126">
        <f>IFERROR(J311+J324,"")</f>
        <v>0</v>
      </c>
      <c r="K325" s="40">
        <f>K311+K324</f>
        <v>462.00000000000006</v>
      </c>
      <c r="L325" s="41"/>
      <c r="M325" s="41"/>
      <c r="N325" s="41"/>
      <c r="O325" s="41"/>
      <c r="P325" s="41"/>
      <c r="Q325" s="42">
        <f ca="1">IFERROR(Q311+Q324,"")</f>
        <v>2.9861111111111116E-2</v>
      </c>
      <c r="R325" s="40" t="s">
        <v>246</v>
      </c>
      <c r="S325" s="144">
        <f>IFERROR(S311+S324,"")</f>
        <v>0</v>
      </c>
      <c r="T325" s="145">
        <f>IFERROR(J325,"")</f>
        <v>0</v>
      </c>
    </row>
    <row r="326" spans="1:20" ht="15" customHeight="1">
      <c r="A326" s="68">
        <v>46247</v>
      </c>
      <c r="B326" s="25">
        <v>0.33333333333333298</v>
      </c>
      <c r="C326" s="26" t="s">
        <v>34</v>
      </c>
      <c r="D326" s="59" t="s">
        <v>35</v>
      </c>
      <c r="E326" s="109"/>
      <c r="F326" s="141">
        <f>IFERROR(IF($D326="","",VLOOKUP($D326,Cadastro!$C$4:$E$7,3,FALSE)),"")</f>
        <v>0.23</v>
      </c>
      <c r="G326" s="106"/>
      <c r="H326" s="141" t="str">
        <f>IFERROR(IF($G326="","",$G326*$S$338/$G$338/Cadastro!$E$33),"")</f>
        <v/>
      </c>
      <c r="I326" s="142">
        <f>IFERROR(IF($D326="","",VLOOKUP($D326,Cadastro!$C$4:$G$7,5,FALSE)),"")</f>
        <v>0.6</v>
      </c>
      <c r="J326" s="143" t="str">
        <f t="shared" ref="J326:J337" si="74">IFERROR(IF($H326="","",$H326*$F326*$I326),"")</f>
        <v/>
      </c>
      <c r="K326" s="28" t="str">
        <f t="shared" ref="K326:K337" si="75">IF(G326="","",IF(E326="PC 17",G326*4.2,IF(E326="PC 19",G326*5,IF(E326="CB",G326*24,""))))</f>
        <v/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/>
      <c r="Q326" s="30">
        <f t="shared" ref="Q326:Q337" ca="1" si="76">IFERROR(IF(O326="","",IF(P326="",MOD(NOW()-O326,1),IF(P326&gt;=O326,P326-O326,P326+1-O326))),"")</f>
        <v>9.4849536981200799E-4</v>
      </c>
      <c r="R326" s="46" t="s">
        <v>291</v>
      </c>
      <c r="S326" s="47"/>
    </row>
    <row r="327" spans="1:20" ht="15" customHeight="1">
      <c r="A327" s="69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9"/>
      <c r="F327" s="135">
        <f>IFERROR(IF($D327="","",VLOOKUP($D327,Cadastro!$C$4:$E$7,3,FALSE)),"")</f>
        <v>0.23</v>
      </c>
      <c r="G327" s="106"/>
      <c r="H327" s="135" t="str">
        <f>IFERROR(IF($G327="","",$G327*$S$338/$G$338/Cadastro!$E$33),"")</f>
        <v/>
      </c>
      <c r="I327" s="136">
        <f>IFERROR(IF($D327="","",VLOOKUP($D327,Cadastro!$C$4:$G$7,5,FALSE)),"")</f>
        <v>0.6</v>
      </c>
      <c r="J327" s="137" t="str">
        <f t="shared" si="74"/>
        <v/>
      </c>
      <c r="K327" s="34" t="str">
        <f t="shared" si="75"/>
        <v/>
      </c>
      <c r="L327" s="33"/>
      <c r="M327" s="33"/>
      <c r="N327" s="33"/>
      <c r="O327" s="29"/>
      <c r="P327" s="29"/>
      <c r="Q327" s="35" t="str">
        <f t="shared" ca="1" si="76"/>
        <v/>
      </c>
      <c r="R327" s="46"/>
      <c r="S327" s="47"/>
    </row>
    <row r="328" spans="1:20" ht="15" customHeight="1">
      <c r="A328" s="68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9"/>
      <c r="F328" s="135">
        <f>IFERROR(IF($D328="","",VLOOKUP($D328,Cadastro!$C$4:$E$7,3,FALSE)),"")</f>
        <v>0.23</v>
      </c>
      <c r="G328" s="106"/>
      <c r="H328" s="135" t="str">
        <f>IFERROR(IF($G328="","",$G328*$S$338/$G$338/Cadastro!$E$33),"")</f>
        <v/>
      </c>
      <c r="I328" s="136">
        <f>IFERROR(IF($D328="","",VLOOKUP($D328,Cadastro!$C$4:$G$7,5,FALSE)),"")</f>
        <v>0.6</v>
      </c>
      <c r="J328" s="137" t="str">
        <f t="shared" si="74"/>
        <v/>
      </c>
      <c r="K328" s="28" t="str">
        <f t="shared" si="75"/>
        <v/>
      </c>
      <c r="L328" s="26"/>
      <c r="M328" s="26"/>
      <c r="N328" s="26"/>
      <c r="O328" s="29"/>
      <c r="P328" s="29"/>
      <c r="Q328" s="30" t="str">
        <f t="shared" ca="1" si="76"/>
        <v/>
      </c>
      <c r="R328" s="46"/>
      <c r="S328" s="47"/>
    </row>
    <row r="329" spans="1:20" ht="15" customHeight="1">
      <c r="A329" s="69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9"/>
      <c r="F329" s="135">
        <f>IFERROR(IF($D329="","",VLOOKUP($D329,Cadastro!$C$4:$E$7,3,FALSE)),"")</f>
        <v>0.23</v>
      </c>
      <c r="G329" s="106"/>
      <c r="H329" s="135" t="str">
        <f>IFERROR(IF($G329="","",$G329*$S$338/$G$338/Cadastro!$E$33),"")</f>
        <v/>
      </c>
      <c r="I329" s="136">
        <f>IFERROR(IF($D329="","",VLOOKUP($D329,Cadastro!$C$4:$G$7,5,FALSE)),"")</f>
        <v>0.6</v>
      </c>
      <c r="J329" s="137" t="str">
        <f t="shared" si="74"/>
        <v/>
      </c>
      <c r="K329" s="34" t="str">
        <f t="shared" si="75"/>
        <v/>
      </c>
      <c r="L329" s="33"/>
      <c r="M329" s="33"/>
      <c r="N329" s="33"/>
      <c r="O329" s="29"/>
      <c r="P329" s="29"/>
      <c r="Q329" s="35" t="str">
        <f t="shared" ca="1" si="76"/>
        <v/>
      </c>
      <c r="R329" s="46"/>
      <c r="S329" s="47"/>
    </row>
    <row r="330" spans="1:20" ht="15" customHeight="1">
      <c r="A330" s="68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9"/>
      <c r="F330" s="135">
        <f>IFERROR(IF($D330="","",VLOOKUP($D330,Cadastro!$C$4:$E$7,3,FALSE)),"")</f>
        <v>0.23</v>
      </c>
      <c r="G330" s="106"/>
      <c r="H330" s="135" t="str">
        <f>IFERROR(IF($G330="","",$G330*$S$338/$G$338/Cadastro!$E$33),"")</f>
        <v/>
      </c>
      <c r="I330" s="136">
        <f>IFERROR(IF($D330="","",VLOOKUP($D330,Cadastro!$C$4:$G$7,5,FALSE)),"")</f>
        <v>0.6</v>
      </c>
      <c r="J330" s="137" t="str">
        <f t="shared" si="74"/>
        <v/>
      </c>
      <c r="K330" s="28" t="str">
        <f t="shared" si="75"/>
        <v/>
      </c>
      <c r="L330" s="26"/>
      <c r="M330" s="26"/>
      <c r="N330" s="26"/>
      <c r="O330" s="29"/>
      <c r="P330" s="29"/>
      <c r="Q330" s="30" t="str">
        <f t="shared" ca="1" si="76"/>
        <v/>
      </c>
      <c r="R330" s="46"/>
      <c r="S330" s="47"/>
    </row>
    <row r="331" spans="1:20" ht="15" customHeight="1">
      <c r="A331" s="69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9"/>
      <c r="F331" s="135">
        <f>IFERROR(IF($D331="","",VLOOKUP($D331,Cadastro!$C$4:$E$7,3,FALSE)),"")</f>
        <v>0.23</v>
      </c>
      <c r="G331" s="106"/>
      <c r="H331" s="135" t="str">
        <f>IFERROR(IF($G331="","",$G331*$S$338/$G$338/Cadastro!$E$33),"")</f>
        <v/>
      </c>
      <c r="I331" s="136">
        <f>IFERROR(IF($D331="","",VLOOKUP($D331,Cadastro!$C$4:$G$7,5,FALSE)),"")</f>
        <v>0.6</v>
      </c>
      <c r="J331" s="137" t="str">
        <f t="shared" si="74"/>
        <v/>
      </c>
      <c r="K331" s="34" t="str">
        <f t="shared" si="75"/>
        <v/>
      </c>
      <c r="L331" s="33"/>
      <c r="M331" s="33"/>
      <c r="N331" s="33"/>
      <c r="O331" s="29"/>
      <c r="P331" s="29"/>
      <c r="Q331" s="35" t="str">
        <f t="shared" ca="1" si="76"/>
        <v/>
      </c>
      <c r="R331" s="46"/>
      <c r="S331" s="47"/>
    </row>
    <row r="332" spans="1:20" ht="15" customHeight="1">
      <c r="A332" s="68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9"/>
      <c r="F332" s="135">
        <f>IFERROR(IF($D332="","",VLOOKUP($D332,Cadastro!$C$4:$E$7,3,FALSE)),"")</f>
        <v>0.23</v>
      </c>
      <c r="G332" s="106"/>
      <c r="H332" s="135" t="str">
        <f>IFERROR(IF($G332="","",$G332*$S$338/$G$338/Cadastro!$E$33),"")</f>
        <v/>
      </c>
      <c r="I332" s="136">
        <f>IFERROR(IF($D332="","",VLOOKUP($D332,Cadastro!$C$4:$G$7,5,FALSE)),"")</f>
        <v>0.6</v>
      </c>
      <c r="J332" s="137" t="str">
        <f t="shared" si="74"/>
        <v/>
      </c>
      <c r="K332" s="28" t="str">
        <f t="shared" si="75"/>
        <v/>
      </c>
      <c r="L332" s="26"/>
      <c r="M332" s="26"/>
      <c r="N332" s="26"/>
      <c r="O332" s="29"/>
      <c r="P332" s="29"/>
      <c r="Q332" s="30" t="str">
        <f t="shared" ca="1" si="76"/>
        <v/>
      </c>
      <c r="R332" s="46"/>
      <c r="S332" s="47"/>
    </row>
    <row r="333" spans="1:20" ht="15" customHeight="1">
      <c r="A333" s="69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9"/>
      <c r="F333" s="135">
        <f>IFERROR(IF($D333="","",VLOOKUP($D333,Cadastro!$C$4:$E$7,3,FALSE)),"")</f>
        <v>0.23</v>
      </c>
      <c r="G333" s="106"/>
      <c r="H333" s="135" t="str">
        <f>IFERROR(IF($G333="","",$G333*$S$338/$G$338/Cadastro!$E$33),"")</f>
        <v/>
      </c>
      <c r="I333" s="136">
        <f>IFERROR(IF($D333="","",VLOOKUP($D333,Cadastro!$C$4:$G$7,5,FALSE)),"")</f>
        <v>0.6</v>
      </c>
      <c r="J333" s="137" t="str">
        <f t="shared" si="74"/>
        <v/>
      </c>
      <c r="K333" s="34" t="str">
        <f t="shared" si="75"/>
        <v/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8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9"/>
      <c r="F334" s="135">
        <f>IFERROR(IF($D334="","",VLOOKUP($D334,Cadastro!$C$4:$E$7,3,FALSE)),"")</f>
        <v>0.23</v>
      </c>
      <c r="G334" s="106"/>
      <c r="H334" s="135" t="str">
        <f>IFERROR(IF($G334="","",$G334*$S$338/$G$338/Cadastro!$E$33),"")</f>
        <v/>
      </c>
      <c r="I334" s="136">
        <f>IFERROR(IF($D334="","",VLOOKUP($D334,Cadastro!$C$4:$G$7,5,FALSE)),"")</f>
        <v>0.6</v>
      </c>
      <c r="J334" s="137" t="str">
        <f t="shared" si="74"/>
        <v/>
      </c>
      <c r="K334" s="28" t="str">
        <f t="shared" si="75"/>
        <v/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9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9"/>
      <c r="F335" s="135">
        <f>IFERROR(IF($D335="","",VLOOKUP($D335,Cadastro!$C$4:$E$7,3,FALSE)),"")</f>
        <v>0.23</v>
      </c>
      <c r="G335" s="106"/>
      <c r="H335" s="135" t="str">
        <f>IFERROR(IF($G335="","",$G335*$S$338/$G$338/Cadastro!$E$33),"")</f>
        <v/>
      </c>
      <c r="I335" s="136">
        <f>IFERROR(IF($D335="","",VLOOKUP($D335,Cadastro!$C$4:$G$7,5,FALSE)),"")</f>
        <v>0.6</v>
      </c>
      <c r="J335" s="137" t="str">
        <f t="shared" si="74"/>
        <v/>
      </c>
      <c r="K335" s="34" t="str">
        <f t="shared" si="75"/>
        <v/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8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9"/>
      <c r="F336" s="135">
        <f>IFERROR(IF($D336="","",VLOOKUP($D336,Cadastro!$C$4:$E$7,3,FALSE)),"")</f>
        <v>0.23</v>
      </c>
      <c r="G336" s="106"/>
      <c r="H336" s="135" t="str">
        <f>IFERROR(IF($G336="","",$G336*$S$338/$G$338/Cadastro!$E$33),"")</f>
        <v/>
      </c>
      <c r="I336" s="136">
        <f>IFERROR(IF($D336="","",VLOOKUP($D336,Cadastro!$C$4:$G$7,5,FALSE)),"")</f>
        <v>0.6</v>
      </c>
      <c r="J336" s="137" t="str">
        <f t="shared" si="74"/>
        <v/>
      </c>
      <c r="K336" s="28" t="str">
        <f t="shared" si="75"/>
        <v/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9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9"/>
      <c r="F337" s="138">
        <f>IFERROR(IF($D337="","",VLOOKUP($D337,Cadastro!$C$4:$E$7,3,FALSE)),"")</f>
        <v>0.23</v>
      </c>
      <c r="G337" s="106"/>
      <c r="H337" s="138" t="str">
        <f>IFERROR(IF($G337="","",$G337*$S$338/$G$338/Cadastro!$E$33),"")</f>
        <v/>
      </c>
      <c r="I337" s="139">
        <f>IFERROR(IF($D337="","",VLOOKUP($D337,Cadastro!$C$4:$G$7,5,FALSE)),"")</f>
        <v>0.6</v>
      </c>
      <c r="J337" s="140" t="str">
        <f t="shared" si="74"/>
        <v/>
      </c>
      <c r="K337" s="34" t="str">
        <f t="shared" si="75"/>
        <v/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2" t="s">
        <v>241</v>
      </c>
      <c r="B338" s="153"/>
      <c r="C338" s="153"/>
      <c r="D338" s="153"/>
      <c r="E338" s="153">
        <f>SUM(E326:E337)</f>
        <v>0</v>
      </c>
      <c r="F338" s="111"/>
      <c r="G338" s="81">
        <f>SUM(G326:G337)</f>
        <v>0</v>
      </c>
      <c r="H338" s="111">
        <f>IFERROR(SUM(H326:H337),"")</f>
        <v>0</v>
      </c>
      <c r="I338" s="115"/>
      <c r="J338" s="124">
        <f>IFERROR(SUM(J326:J337),"")</f>
        <v>0</v>
      </c>
      <c r="K338" s="36">
        <f>SUM(K326:K337)</f>
        <v>0</v>
      </c>
      <c r="L338" s="37"/>
      <c r="M338" s="37"/>
      <c r="N338" s="37"/>
      <c r="O338" s="37"/>
      <c r="P338" s="37"/>
      <c r="Q338" s="38">
        <f ca="1">IFERROR(SUM(Q326:Q337),"")</f>
        <v>9.4849536981200799E-4</v>
      </c>
      <c r="R338" s="36" t="s">
        <v>242</v>
      </c>
      <c r="S338" s="45"/>
      <c r="T338" s="123">
        <f>IFERROR(J338,"")</f>
        <v>0</v>
      </c>
    </row>
    <row r="339" spans="1:20" ht="15" customHeight="1">
      <c r="A339" s="69">
        <v>46247</v>
      </c>
      <c r="B339" s="32">
        <v>0.83333333333333304</v>
      </c>
      <c r="C339" s="33"/>
      <c r="D339" s="62"/>
      <c r="E339" s="110"/>
      <c r="F339" s="141" t="str">
        <f>IFERROR(IF($D339="","",VLOOKUP($D339,Cadastro!$C$4:$E$7,3,FALSE)),"")</f>
        <v/>
      </c>
      <c r="G339" s="106"/>
      <c r="H339" s="141" t="str">
        <f>IFERROR(IF($G339="","",$G339*$S$351/$G$351/Cadastro!$E$33),"")</f>
        <v/>
      </c>
      <c r="I339" s="142" t="str">
        <f>IFERROR(IF($D339="","",VLOOKUP($D339,Cadastro!$C$4:$G$7,5,FALSE)),"")</f>
        <v/>
      </c>
      <c r="J339" s="143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46"/>
      <c r="S339" s="47"/>
    </row>
    <row r="340" spans="1:20" ht="15" customHeight="1">
      <c r="A340" s="68">
        <v>46247</v>
      </c>
      <c r="B340" s="25">
        <f t="shared" ref="B340:B350" si="81">B339+TIME(0,60,0)</f>
        <v>0.87499999999999967</v>
      </c>
      <c r="C340" s="33"/>
      <c r="D340" s="62"/>
      <c r="E340" s="110"/>
      <c r="F340" s="135" t="str">
        <f>IFERROR(IF($D340="","",VLOOKUP($D340,Cadastro!$C$4:$E$7,3,FALSE)),"")</f>
        <v/>
      </c>
      <c r="G340" s="106"/>
      <c r="H340" s="135" t="str">
        <f>IFERROR(IF($G340="","",$G340*$S$351/$G$351/Cadastro!$E$33),"")</f>
        <v/>
      </c>
      <c r="I340" s="136" t="str">
        <f>IFERROR(IF($D340="","",VLOOKUP($D340,Cadastro!$C$4:$G$7,5,FALSE)),"")</f>
        <v/>
      </c>
      <c r="J340" s="137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9">
        <v>46247</v>
      </c>
      <c r="B341" s="32">
        <f t="shared" si="81"/>
        <v>0.9166666666666663</v>
      </c>
      <c r="C341" s="33"/>
      <c r="D341" s="62"/>
      <c r="E341" s="110"/>
      <c r="F341" s="135" t="str">
        <f>IFERROR(IF($D341="","",VLOOKUP($D341,Cadastro!$C$4:$E$7,3,FALSE)),"")</f>
        <v/>
      </c>
      <c r="G341" s="106"/>
      <c r="H341" s="135" t="str">
        <f>IFERROR(IF($G341="","",$G341*$S$351/$G$351/Cadastro!$E$33),"")</f>
        <v/>
      </c>
      <c r="I341" s="136" t="str">
        <f>IFERROR(IF($D341="","",VLOOKUP($D341,Cadastro!$C$4:$G$7,5,FALSE)),"")</f>
        <v/>
      </c>
      <c r="J341" s="137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8">
        <v>46247</v>
      </c>
      <c r="B342" s="25">
        <f t="shared" si="81"/>
        <v>0.95833333333333293</v>
      </c>
      <c r="C342" s="33"/>
      <c r="D342" s="62"/>
      <c r="E342" s="110"/>
      <c r="F342" s="135" t="str">
        <f>IFERROR(IF($D342="","",VLOOKUP($D342,Cadastro!$C$4:$E$7,3,FALSE)),"")</f>
        <v/>
      </c>
      <c r="G342" s="106"/>
      <c r="H342" s="135" t="str">
        <f>IFERROR(IF($G342="","",$G342*$S$351/$G$351/Cadastro!$E$33),"")</f>
        <v/>
      </c>
      <c r="I342" s="136" t="str">
        <f>IFERROR(IF($D342="","",VLOOKUP($D342,Cadastro!$C$4:$G$7,5,FALSE)),"")</f>
        <v/>
      </c>
      <c r="J342" s="137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9">
        <v>46247</v>
      </c>
      <c r="B343" s="32">
        <f t="shared" si="81"/>
        <v>0.99999999999999956</v>
      </c>
      <c r="C343" s="33"/>
      <c r="D343" s="62"/>
      <c r="E343" s="110"/>
      <c r="F343" s="135" t="str">
        <f>IFERROR(IF($D343="","",VLOOKUP($D343,Cadastro!$C$4:$E$7,3,FALSE)),"")</f>
        <v/>
      </c>
      <c r="G343" s="106"/>
      <c r="H343" s="135" t="str">
        <f>IFERROR(IF($G343="","",$G343*$S$351/$G$351/Cadastro!$E$33),"")</f>
        <v/>
      </c>
      <c r="I343" s="136" t="str">
        <f>IFERROR(IF($D343="","",VLOOKUP($D343,Cadastro!$C$4:$G$7,5,FALSE)),"")</f>
        <v/>
      </c>
      <c r="J343" s="137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8">
        <v>46247</v>
      </c>
      <c r="B344" s="25">
        <f t="shared" si="81"/>
        <v>1.0416666666666663</v>
      </c>
      <c r="C344" s="33"/>
      <c r="D344" s="62"/>
      <c r="E344" s="110"/>
      <c r="F344" s="135" t="str">
        <f>IFERROR(IF($D344="","",VLOOKUP($D344,Cadastro!$C$4:$E$7,3,FALSE)),"")</f>
        <v/>
      </c>
      <c r="G344" s="106"/>
      <c r="H344" s="135" t="str">
        <f>IFERROR(IF($G344="","",$G344*$S$351/$G$351/Cadastro!$E$33),"")</f>
        <v/>
      </c>
      <c r="I344" s="136" t="str">
        <f>IFERROR(IF($D344="","",VLOOKUP($D344,Cadastro!$C$4:$G$7,5,FALSE)),"")</f>
        <v/>
      </c>
      <c r="J344" s="137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9">
        <v>46247</v>
      </c>
      <c r="B345" s="32">
        <f t="shared" si="81"/>
        <v>1.083333333333333</v>
      </c>
      <c r="C345" s="33"/>
      <c r="D345" s="62"/>
      <c r="E345" s="110"/>
      <c r="F345" s="135" t="str">
        <f>IFERROR(IF($D345="","",VLOOKUP($D345,Cadastro!$C$4:$E$7,3,FALSE)),"")</f>
        <v/>
      </c>
      <c r="G345" s="106"/>
      <c r="H345" s="135" t="str">
        <f>IFERROR(IF($G345="","",$G345*$S$351/$G$351/Cadastro!$E$33),"")</f>
        <v/>
      </c>
      <c r="I345" s="136" t="str">
        <f>IFERROR(IF($D345="","",VLOOKUP($D345,Cadastro!$C$4:$G$7,5,FALSE)),"")</f>
        <v/>
      </c>
      <c r="J345" s="137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8">
        <v>46247</v>
      </c>
      <c r="B346" s="25">
        <f t="shared" si="81"/>
        <v>1.1249999999999998</v>
      </c>
      <c r="C346" s="33"/>
      <c r="D346" s="62"/>
      <c r="E346" s="110"/>
      <c r="F346" s="135" t="str">
        <f>IFERROR(IF($D346="","",VLOOKUP($D346,Cadastro!$C$4:$E$7,3,FALSE)),"")</f>
        <v/>
      </c>
      <c r="G346" s="106"/>
      <c r="H346" s="135" t="str">
        <f>IFERROR(IF($G346="","",$G346*$S$351/$G$351/Cadastro!$E$33),"")</f>
        <v/>
      </c>
      <c r="I346" s="136" t="str">
        <f>IFERROR(IF($D346="","",VLOOKUP($D346,Cadastro!$C$4:$G$7,5,FALSE)),"")</f>
        <v/>
      </c>
      <c r="J346" s="137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9">
        <v>46247</v>
      </c>
      <c r="B347" s="32">
        <f t="shared" si="81"/>
        <v>1.1666666666666665</v>
      </c>
      <c r="C347" s="33"/>
      <c r="D347" s="62"/>
      <c r="E347" s="110"/>
      <c r="F347" s="135" t="str">
        <f>IFERROR(IF($D347="","",VLOOKUP($D347,Cadastro!$C$4:$E$7,3,FALSE)),"")</f>
        <v/>
      </c>
      <c r="G347" s="106"/>
      <c r="H347" s="135" t="str">
        <f>IFERROR(IF($G347="","",$G347*$S$351/$G$351/Cadastro!$E$33),"")</f>
        <v/>
      </c>
      <c r="I347" s="136" t="str">
        <f>IFERROR(IF($D347="","",VLOOKUP($D347,Cadastro!$C$4:$G$7,5,FALSE)),"")</f>
        <v/>
      </c>
      <c r="J347" s="137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8">
        <v>46247</v>
      </c>
      <c r="B348" s="25">
        <f t="shared" si="81"/>
        <v>1.2083333333333333</v>
      </c>
      <c r="C348" s="33"/>
      <c r="D348" s="62"/>
      <c r="E348" s="110"/>
      <c r="F348" s="135" t="str">
        <f>IFERROR(IF($D348="","",VLOOKUP($D348,Cadastro!$C$4:$E$7,3,FALSE)),"")</f>
        <v/>
      </c>
      <c r="G348" s="106"/>
      <c r="H348" s="135" t="str">
        <f>IFERROR(IF($G348="","",$G348*$S$351/$G$351/Cadastro!$E$33),"")</f>
        <v/>
      </c>
      <c r="I348" s="136" t="str">
        <f>IFERROR(IF($D348="","",VLOOKUP($D348,Cadastro!$C$4:$G$7,5,FALSE)),"")</f>
        <v/>
      </c>
      <c r="J348" s="137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9">
        <v>46247</v>
      </c>
      <c r="B349" s="32">
        <f t="shared" si="81"/>
        <v>1.25</v>
      </c>
      <c r="C349" s="33"/>
      <c r="D349" s="62"/>
      <c r="E349" s="110"/>
      <c r="F349" s="135" t="str">
        <f>IFERROR(IF($D349="","",VLOOKUP($D349,Cadastro!$C$4:$E$7,3,FALSE)),"")</f>
        <v/>
      </c>
      <c r="G349" s="106"/>
      <c r="H349" s="135" t="str">
        <f>IFERROR(IF($G349="","",$G349*$S$351/$G$351/Cadastro!$E$33),"")</f>
        <v/>
      </c>
      <c r="I349" s="136" t="str">
        <f>IFERROR(IF($D349="","",VLOOKUP($D349,Cadastro!$C$4:$G$7,5,FALSE)),"")</f>
        <v/>
      </c>
      <c r="J349" s="137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8">
        <v>46247</v>
      </c>
      <c r="B350" s="25">
        <f t="shared" si="81"/>
        <v>1.2916666666666667</v>
      </c>
      <c r="C350" s="33"/>
      <c r="D350" s="62"/>
      <c r="E350" s="110"/>
      <c r="F350" s="138" t="str">
        <f>IFERROR(IF($D350="","",VLOOKUP($D350,Cadastro!$C$4:$E$7,3,FALSE)),"")</f>
        <v/>
      </c>
      <c r="G350" s="106"/>
      <c r="H350" s="138" t="str">
        <f>IFERROR(IF($G350="","",$G350*$S$351/$G$351/Cadastro!$E$33),"")</f>
        <v/>
      </c>
      <c r="I350" s="139" t="str">
        <f>IFERROR(IF($D350="","",VLOOKUP($D350,Cadastro!$C$4:$G$7,5,FALSE)),"")</f>
        <v/>
      </c>
      <c r="J350" s="140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2" t="s">
        <v>244</v>
      </c>
      <c r="B351" s="153"/>
      <c r="C351" s="153"/>
      <c r="D351" s="153"/>
      <c r="E351" s="153">
        <f>SUM(E339:E350)</f>
        <v>0</v>
      </c>
      <c r="F351" s="112"/>
      <c r="G351" s="81">
        <f>SUM(G339:G350)</f>
        <v>0</v>
      </c>
      <c r="H351" s="112">
        <f>IFERROR(SUM(H339:H350),"")</f>
        <v>0</v>
      </c>
      <c r="I351" s="116"/>
      <c r="J351" s="125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45"/>
      <c r="T351" s="123">
        <f>IFERROR(J351,"")</f>
        <v>0</v>
      </c>
    </row>
    <row r="352" spans="1:20" ht="18" customHeight="1">
      <c r="A352" s="150" t="s">
        <v>245</v>
      </c>
      <c r="B352" s="151"/>
      <c r="C352" s="151"/>
      <c r="D352" s="151"/>
      <c r="E352" s="151">
        <f>E338+E351</f>
        <v>0</v>
      </c>
      <c r="F352" s="113"/>
      <c r="G352" s="92">
        <f>G338+G351</f>
        <v>0</v>
      </c>
      <c r="H352" s="113">
        <f>IFERROR(H338+H351,"")</f>
        <v>0</v>
      </c>
      <c r="I352" s="117"/>
      <c r="J352" s="126">
        <f>IFERROR(J338+J351,"")</f>
        <v>0</v>
      </c>
      <c r="K352" s="40">
        <f>K338+K351</f>
        <v>0</v>
      </c>
      <c r="L352" s="41"/>
      <c r="M352" s="41"/>
      <c r="N352" s="41"/>
      <c r="O352" s="41"/>
      <c r="P352" s="41"/>
      <c r="Q352" s="42">
        <f ca="1">IFERROR(Q338+Q351,"")</f>
        <v>9.4849536981200799E-4</v>
      </c>
      <c r="R352" s="40" t="s">
        <v>246</v>
      </c>
      <c r="S352" s="144">
        <f>IFERROR(S338+S351,"")</f>
        <v>0</v>
      </c>
      <c r="T352" s="145">
        <f>IFERROR(J352,"")</f>
        <v>0</v>
      </c>
    </row>
    <row r="353" spans="1:20" ht="15" customHeight="1">
      <c r="A353" s="69">
        <v>46248</v>
      </c>
      <c r="B353" s="32">
        <v>0.33333333333333298</v>
      </c>
      <c r="C353" s="33"/>
      <c r="D353" s="62"/>
      <c r="E353" s="110"/>
      <c r="F353" s="141" t="str">
        <f>IFERROR(IF($D353="","",VLOOKUP($D353,Cadastro!$C$4:$E$7,3,FALSE)),"")</f>
        <v/>
      </c>
      <c r="G353" s="106"/>
      <c r="H353" s="141" t="str">
        <f>IFERROR(IF($G353="","",$G353*$S$365/$G$365/Cadastro!$E$33),"")</f>
        <v/>
      </c>
      <c r="I353" s="142" t="str">
        <f>IFERROR(IF($D353="","",VLOOKUP($D353,Cadastro!$C$4:$G$7,5,FALSE)),"")</f>
        <v/>
      </c>
      <c r="J353" s="143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8">
        <v>46248</v>
      </c>
      <c r="B354" s="25">
        <f t="shared" ref="B354:B364" si="85">B353+TIME(0,60,0)</f>
        <v>0.37499999999999967</v>
      </c>
      <c r="C354" s="33"/>
      <c r="D354" s="62"/>
      <c r="E354" s="110"/>
      <c r="F354" s="135" t="str">
        <f>IFERROR(IF($D354="","",VLOOKUP($D354,Cadastro!$C$4:$E$7,3,FALSE)),"")</f>
        <v/>
      </c>
      <c r="G354" s="106"/>
      <c r="H354" s="135" t="str">
        <f>IFERROR(IF($G354="","",$G354*$S$365/$G$365/Cadastro!$E$33),"")</f>
        <v/>
      </c>
      <c r="I354" s="136" t="str">
        <f>IFERROR(IF($D354="","",VLOOKUP($D354,Cadastro!$C$4:$G$7,5,FALSE)),"")</f>
        <v/>
      </c>
      <c r="J354" s="137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9">
        <v>46248</v>
      </c>
      <c r="B355" s="32">
        <f t="shared" si="85"/>
        <v>0.41666666666666635</v>
      </c>
      <c r="C355" s="33"/>
      <c r="D355" s="62"/>
      <c r="E355" s="110"/>
      <c r="F355" s="135" t="str">
        <f>IFERROR(IF($D355="","",VLOOKUP($D355,Cadastro!$C$4:$E$7,3,FALSE)),"")</f>
        <v/>
      </c>
      <c r="G355" s="106"/>
      <c r="H355" s="135" t="str">
        <f>IFERROR(IF($G355="","",$G355*$S$365/$G$365/Cadastro!$E$33),"")</f>
        <v/>
      </c>
      <c r="I355" s="136" t="str">
        <f>IFERROR(IF($D355="","",VLOOKUP($D355,Cadastro!$C$4:$G$7,5,FALSE)),"")</f>
        <v/>
      </c>
      <c r="J355" s="137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8">
        <v>46248</v>
      </c>
      <c r="B356" s="25">
        <f t="shared" si="85"/>
        <v>0.45833333333333304</v>
      </c>
      <c r="C356" s="33"/>
      <c r="D356" s="62"/>
      <c r="E356" s="110"/>
      <c r="F356" s="135" t="str">
        <f>IFERROR(IF($D356="","",VLOOKUP($D356,Cadastro!$C$4:$E$7,3,FALSE)),"")</f>
        <v/>
      </c>
      <c r="G356" s="106"/>
      <c r="H356" s="135" t="str">
        <f>IFERROR(IF($G356="","",$G356*$S$365/$G$365/Cadastro!$E$33),"")</f>
        <v/>
      </c>
      <c r="I356" s="136" t="str">
        <f>IFERROR(IF($D356="","",VLOOKUP($D356,Cadastro!$C$4:$G$7,5,FALSE)),"")</f>
        <v/>
      </c>
      <c r="J356" s="137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9">
        <v>46248</v>
      </c>
      <c r="B357" s="32">
        <f t="shared" si="85"/>
        <v>0.49999999999999972</v>
      </c>
      <c r="C357" s="33"/>
      <c r="D357" s="62"/>
      <c r="E357" s="110"/>
      <c r="F357" s="135" t="str">
        <f>IFERROR(IF($D357="","",VLOOKUP($D357,Cadastro!$C$4:$E$7,3,FALSE)),"")</f>
        <v/>
      </c>
      <c r="G357" s="106"/>
      <c r="H357" s="135" t="str">
        <f>IFERROR(IF($G357="","",$G357*$S$365/$G$365/Cadastro!$E$33),"")</f>
        <v/>
      </c>
      <c r="I357" s="136" t="str">
        <f>IFERROR(IF($D357="","",VLOOKUP($D357,Cadastro!$C$4:$G$7,5,FALSE)),"")</f>
        <v/>
      </c>
      <c r="J357" s="137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8">
        <v>46248</v>
      </c>
      <c r="B358" s="25">
        <f t="shared" si="85"/>
        <v>0.54166666666666641</v>
      </c>
      <c r="C358" s="33"/>
      <c r="D358" s="62"/>
      <c r="E358" s="110"/>
      <c r="F358" s="135" t="str">
        <f>IFERROR(IF($D358="","",VLOOKUP($D358,Cadastro!$C$4:$E$7,3,FALSE)),"")</f>
        <v/>
      </c>
      <c r="G358" s="106"/>
      <c r="H358" s="135" t="str">
        <f>IFERROR(IF($G358="","",$G358*$S$365/$G$365/Cadastro!$E$33),"")</f>
        <v/>
      </c>
      <c r="I358" s="136" t="str">
        <f>IFERROR(IF($D358="","",VLOOKUP($D358,Cadastro!$C$4:$G$7,5,FALSE)),"")</f>
        <v/>
      </c>
      <c r="J358" s="137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9">
        <v>46248</v>
      </c>
      <c r="B359" s="32">
        <f t="shared" si="85"/>
        <v>0.58333333333333304</v>
      </c>
      <c r="C359" s="33"/>
      <c r="D359" s="62"/>
      <c r="E359" s="110"/>
      <c r="F359" s="135" t="str">
        <f>IFERROR(IF($D359="","",VLOOKUP($D359,Cadastro!$C$4:$E$7,3,FALSE)),"")</f>
        <v/>
      </c>
      <c r="G359" s="106"/>
      <c r="H359" s="135" t="str">
        <f>IFERROR(IF($G359="","",$G359*$S$365/$G$365/Cadastro!$E$33),"")</f>
        <v/>
      </c>
      <c r="I359" s="136" t="str">
        <f>IFERROR(IF($D359="","",VLOOKUP($D359,Cadastro!$C$4:$G$7,5,FALSE)),"")</f>
        <v/>
      </c>
      <c r="J359" s="137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8">
        <v>46248</v>
      </c>
      <c r="B360" s="25">
        <f t="shared" si="85"/>
        <v>0.62499999999999967</v>
      </c>
      <c r="C360" s="33"/>
      <c r="D360" s="62"/>
      <c r="E360" s="110"/>
      <c r="F360" s="135" t="str">
        <f>IFERROR(IF($D360="","",VLOOKUP($D360,Cadastro!$C$4:$E$7,3,FALSE)),"")</f>
        <v/>
      </c>
      <c r="G360" s="106"/>
      <c r="H360" s="135" t="str">
        <f>IFERROR(IF($G360="","",$G360*$S$365/$G$365/Cadastro!$E$33),"")</f>
        <v/>
      </c>
      <c r="I360" s="136" t="str">
        <f>IFERROR(IF($D360="","",VLOOKUP($D360,Cadastro!$C$4:$G$7,5,FALSE)),"")</f>
        <v/>
      </c>
      <c r="J360" s="137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9">
        <v>46248</v>
      </c>
      <c r="B361" s="32">
        <f t="shared" si="85"/>
        <v>0.6666666666666663</v>
      </c>
      <c r="C361" s="33"/>
      <c r="D361" s="62"/>
      <c r="E361" s="110"/>
      <c r="F361" s="135" t="str">
        <f>IFERROR(IF($D361="","",VLOOKUP($D361,Cadastro!$C$4:$E$7,3,FALSE)),"")</f>
        <v/>
      </c>
      <c r="G361" s="106"/>
      <c r="H361" s="135" t="str">
        <f>IFERROR(IF($G361="","",$G361*$S$365/$G$365/Cadastro!$E$33),"")</f>
        <v/>
      </c>
      <c r="I361" s="136" t="str">
        <f>IFERROR(IF($D361="","",VLOOKUP($D361,Cadastro!$C$4:$G$7,5,FALSE)),"")</f>
        <v/>
      </c>
      <c r="J361" s="137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8">
        <v>46248</v>
      </c>
      <c r="B362" s="25">
        <f t="shared" si="85"/>
        <v>0.70833333333333293</v>
      </c>
      <c r="C362" s="33"/>
      <c r="D362" s="62"/>
      <c r="E362" s="110"/>
      <c r="F362" s="135" t="str">
        <f>IFERROR(IF($D362="","",VLOOKUP($D362,Cadastro!$C$4:$E$7,3,FALSE)),"")</f>
        <v/>
      </c>
      <c r="G362" s="106"/>
      <c r="H362" s="135" t="str">
        <f>IFERROR(IF($G362="","",$G362*$S$365/$G$365/Cadastro!$E$33),"")</f>
        <v/>
      </c>
      <c r="I362" s="136" t="str">
        <f>IFERROR(IF($D362="","",VLOOKUP($D362,Cadastro!$C$4:$G$7,5,FALSE)),"")</f>
        <v/>
      </c>
      <c r="J362" s="137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9">
        <v>46248</v>
      </c>
      <c r="B363" s="32">
        <f t="shared" si="85"/>
        <v>0.74999999999999956</v>
      </c>
      <c r="C363" s="33"/>
      <c r="D363" s="62"/>
      <c r="E363" s="110"/>
      <c r="F363" s="135" t="str">
        <f>IFERROR(IF($D363="","",VLOOKUP($D363,Cadastro!$C$4:$E$7,3,FALSE)),"")</f>
        <v/>
      </c>
      <c r="G363" s="106"/>
      <c r="H363" s="135" t="str">
        <f>IFERROR(IF($G363="","",$G363*$S$365/$G$365/Cadastro!$E$33),"")</f>
        <v/>
      </c>
      <c r="I363" s="136" t="str">
        <f>IFERROR(IF($D363="","",VLOOKUP($D363,Cadastro!$C$4:$G$7,5,FALSE)),"")</f>
        <v/>
      </c>
      <c r="J363" s="137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8">
        <v>46248</v>
      </c>
      <c r="B364" s="25">
        <f t="shared" si="85"/>
        <v>0.79166666666666619</v>
      </c>
      <c r="C364" s="33"/>
      <c r="D364" s="62"/>
      <c r="E364" s="110"/>
      <c r="F364" s="138" t="str">
        <f>IFERROR(IF($D364="","",VLOOKUP($D364,Cadastro!$C$4:$E$7,3,FALSE)),"")</f>
        <v/>
      </c>
      <c r="G364" s="106"/>
      <c r="H364" s="138" t="str">
        <f>IFERROR(IF($G364="","",$G364*$S$365/$G$365/Cadastro!$E$33),"")</f>
        <v/>
      </c>
      <c r="I364" s="139" t="str">
        <f>IFERROR(IF($D364="","",VLOOKUP($D364,Cadastro!$C$4:$G$7,5,FALSE)),"")</f>
        <v/>
      </c>
      <c r="J364" s="140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2" t="s">
        <v>241</v>
      </c>
      <c r="B365" s="153"/>
      <c r="C365" s="153"/>
      <c r="D365" s="153"/>
      <c r="E365" s="153">
        <f>SUM(E353:E364)</f>
        <v>0</v>
      </c>
      <c r="F365" s="111"/>
      <c r="G365" s="81">
        <f>SUM(G353:G364)</f>
        <v>0</v>
      </c>
      <c r="H365" s="111">
        <f>IFERROR(SUM(H353:H364),"")</f>
        <v>0</v>
      </c>
      <c r="I365" s="115"/>
      <c r="J365" s="124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3">
        <f>IFERROR(J365,"")</f>
        <v>0</v>
      </c>
    </row>
    <row r="366" spans="1:20" ht="15" customHeight="1">
      <c r="A366" s="68">
        <v>46248</v>
      </c>
      <c r="B366" s="25">
        <v>0.83333333333333304</v>
      </c>
      <c r="C366" s="26"/>
      <c r="D366" s="59"/>
      <c r="E366" s="109"/>
      <c r="F366" s="141" t="str">
        <f>IFERROR(IF($D366="","",VLOOKUP($D366,Cadastro!$C$4:$E$7,3,FALSE)),"")</f>
        <v/>
      </c>
      <c r="G366" s="106"/>
      <c r="H366" s="141" t="str">
        <f>IFERROR(IF($G366="","",$G366*$S$378/$G$378/Cadastro!$E$33),"")</f>
        <v/>
      </c>
      <c r="I366" s="142" t="str">
        <f>IFERROR(IF($D366="","",VLOOKUP($D366,Cadastro!$C$4:$G$7,5,FALSE)),"")</f>
        <v/>
      </c>
      <c r="J366" s="143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9">
        <v>46248</v>
      </c>
      <c r="B367" s="32">
        <f t="shared" ref="B367:B377" si="89">B366+TIME(0,60,0)</f>
        <v>0.87499999999999967</v>
      </c>
      <c r="C367" s="26"/>
      <c r="D367" s="59"/>
      <c r="E367" s="109"/>
      <c r="F367" s="135" t="str">
        <f>IFERROR(IF($D367="","",VLOOKUP($D367,Cadastro!$C$4:$E$7,3,FALSE)),"")</f>
        <v/>
      </c>
      <c r="G367" s="106"/>
      <c r="H367" s="135" t="str">
        <f>IFERROR(IF($G367="","",$G367*$S$378/$G$378/Cadastro!$E$33),"")</f>
        <v/>
      </c>
      <c r="I367" s="136" t="str">
        <f>IFERROR(IF($D367="","",VLOOKUP($D367,Cadastro!$C$4:$G$7,5,FALSE)),"")</f>
        <v/>
      </c>
      <c r="J367" s="137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8">
        <v>46248</v>
      </c>
      <c r="B368" s="25">
        <f t="shared" si="89"/>
        <v>0.9166666666666663</v>
      </c>
      <c r="C368" s="26"/>
      <c r="D368" s="59"/>
      <c r="E368" s="109"/>
      <c r="F368" s="135" t="str">
        <f>IFERROR(IF($D368="","",VLOOKUP($D368,Cadastro!$C$4:$E$7,3,FALSE)),"")</f>
        <v/>
      </c>
      <c r="G368" s="106"/>
      <c r="H368" s="135" t="str">
        <f>IFERROR(IF($G368="","",$G368*$S$378/$G$378/Cadastro!$E$33),"")</f>
        <v/>
      </c>
      <c r="I368" s="136" t="str">
        <f>IFERROR(IF($D368="","",VLOOKUP($D368,Cadastro!$C$4:$G$7,5,FALSE)),"")</f>
        <v/>
      </c>
      <c r="J368" s="137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9">
        <v>46248</v>
      </c>
      <c r="B369" s="32">
        <f t="shared" si="89"/>
        <v>0.95833333333333293</v>
      </c>
      <c r="C369" s="26"/>
      <c r="D369" s="59"/>
      <c r="E369" s="109"/>
      <c r="F369" s="135" t="str">
        <f>IFERROR(IF($D369="","",VLOOKUP($D369,Cadastro!$C$4:$E$7,3,FALSE)),"")</f>
        <v/>
      </c>
      <c r="G369" s="106"/>
      <c r="H369" s="135" t="str">
        <f>IFERROR(IF($G369="","",$G369*$S$378/$G$378/Cadastro!$E$33),"")</f>
        <v/>
      </c>
      <c r="I369" s="136" t="str">
        <f>IFERROR(IF($D369="","",VLOOKUP($D369,Cadastro!$C$4:$G$7,5,FALSE)),"")</f>
        <v/>
      </c>
      <c r="J369" s="137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8">
        <v>46248</v>
      </c>
      <c r="B370" s="25">
        <f t="shared" si="89"/>
        <v>0.99999999999999956</v>
      </c>
      <c r="C370" s="26"/>
      <c r="D370" s="59"/>
      <c r="E370" s="109"/>
      <c r="F370" s="135" t="str">
        <f>IFERROR(IF($D370="","",VLOOKUP($D370,Cadastro!$C$4:$E$7,3,FALSE)),"")</f>
        <v/>
      </c>
      <c r="G370" s="106"/>
      <c r="H370" s="135" t="str">
        <f>IFERROR(IF($G370="","",$G370*$S$378/$G$378/Cadastro!$E$33),"")</f>
        <v/>
      </c>
      <c r="I370" s="136" t="str">
        <f>IFERROR(IF($D370="","",VLOOKUP($D370,Cadastro!$C$4:$G$7,5,FALSE)),"")</f>
        <v/>
      </c>
      <c r="J370" s="137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9">
        <v>46248</v>
      </c>
      <c r="B371" s="32">
        <f t="shared" si="89"/>
        <v>1.0416666666666663</v>
      </c>
      <c r="C371" s="26"/>
      <c r="D371" s="59"/>
      <c r="E371" s="109"/>
      <c r="F371" s="135" t="str">
        <f>IFERROR(IF($D371="","",VLOOKUP($D371,Cadastro!$C$4:$E$7,3,FALSE)),"")</f>
        <v/>
      </c>
      <c r="G371" s="106"/>
      <c r="H371" s="135" t="str">
        <f>IFERROR(IF($G371="","",$G371*$S$378/$G$378/Cadastro!$E$33),"")</f>
        <v/>
      </c>
      <c r="I371" s="136" t="str">
        <f>IFERROR(IF($D371="","",VLOOKUP($D371,Cadastro!$C$4:$G$7,5,FALSE)),"")</f>
        <v/>
      </c>
      <c r="J371" s="137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8">
        <v>46248</v>
      </c>
      <c r="B372" s="25">
        <f t="shared" si="89"/>
        <v>1.083333333333333</v>
      </c>
      <c r="C372" s="26"/>
      <c r="D372" s="59"/>
      <c r="E372" s="109"/>
      <c r="F372" s="135" t="str">
        <f>IFERROR(IF($D372="","",VLOOKUP($D372,Cadastro!$C$4:$E$7,3,FALSE)),"")</f>
        <v/>
      </c>
      <c r="G372" s="106"/>
      <c r="H372" s="135" t="str">
        <f>IFERROR(IF($G372="","",$G372*$S$378/$G$378/Cadastro!$E$33),"")</f>
        <v/>
      </c>
      <c r="I372" s="136" t="str">
        <f>IFERROR(IF($D372="","",VLOOKUP($D372,Cadastro!$C$4:$G$7,5,FALSE)),"")</f>
        <v/>
      </c>
      <c r="J372" s="137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9">
        <v>46248</v>
      </c>
      <c r="B373" s="32">
        <f t="shared" si="89"/>
        <v>1.1249999999999998</v>
      </c>
      <c r="C373" s="26"/>
      <c r="D373" s="59"/>
      <c r="E373" s="109"/>
      <c r="F373" s="135" t="str">
        <f>IFERROR(IF($D373="","",VLOOKUP($D373,Cadastro!$C$4:$E$7,3,FALSE)),"")</f>
        <v/>
      </c>
      <c r="G373" s="106"/>
      <c r="H373" s="135" t="str">
        <f>IFERROR(IF($G373="","",$G373*$S$378/$G$378/Cadastro!$E$33),"")</f>
        <v/>
      </c>
      <c r="I373" s="136" t="str">
        <f>IFERROR(IF($D373="","",VLOOKUP($D373,Cadastro!$C$4:$G$7,5,FALSE)),"")</f>
        <v/>
      </c>
      <c r="J373" s="137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8">
        <v>46248</v>
      </c>
      <c r="B374" s="25">
        <f t="shared" si="89"/>
        <v>1.1666666666666665</v>
      </c>
      <c r="C374" s="26"/>
      <c r="D374" s="59"/>
      <c r="E374" s="109"/>
      <c r="F374" s="135" t="str">
        <f>IFERROR(IF($D374="","",VLOOKUP($D374,Cadastro!$C$4:$E$7,3,FALSE)),"")</f>
        <v/>
      </c>
      <c r="G374" s="106"/>
      <c r="H374" s="135" t="str">
        <f>IFERROR(IF($G374="","",$G374*$S$378/$G$378/Cadastro!$E$33),"")</f>
        <v/>
      </c>
      <c r="I374" s="136" t="str">
        <f>IFERROR(IF($D374="","",VLOOKUP($D374,Cadastro!$C$4:$G$7,5,FALSE)),"")</f>
        <v/>
      </c>
      <c r="J374" s="137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9">
        <v>46248</v>
      </c>
      <c r="B375" s="32">
        <f t="shared" si="89"/>
        <v>1.2083333333333333</v>
      </c>
      <c r="C375" s="26"/>
      <c r="D375" s="59"/>
      <c r="E375" s="109"/>
      <c r="F375" s="135" t="str">
        <f>IFERROR(IF($D375="","",VLOOKUP($D375,Cadastro!$C$4:$E$7,3,FALSE)),"")</f>
        <v/>
      </c>
      <c r="G375" s="106"/>
      <c r="H375" s="135" t="str">
        <f>IFERROR(IF($G375="","",$G375*$S$378/$G$378/Cadastro!$E$33),"")</f>
        <v/>
      </c>
      <c r="I375" s="136" t="str">
        <f>IFERROR(IF($D375="","",VLOOKUP($D375,Cadastro!$C$4:$G$7,5,FALSE)),"")</f>
        <v/>
      </c>
      <c r="J375" s="137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8">
        <v>46248</v>
      </c>
      <c r="B376" s="25">
        <f t="shared" si="89"/>
        <v>1.25</v>
      </c>
      <c r="C376" s="26"/>
      <c r="D376" s="59"/>
      <c r="E376" s="109"/>
      <c r="F376" s="135" t="str">
        <f>IFERROR(IF($D376="","",VLOOKUP($D376,Cadastro!$C$4:$E$7,3,FALSE)),"")</f>
        <v/>
      </c>
      <c r="G376" s="106"/>
      <c r="H376" s="135" t="str">
        <f>IFERROR(IF($G376="","",$G376*$S$378/$G$378/Cadastro!$E$33),"")</f>
        <v/>
      </c>
      <c r="I376" s="136" t="str">
        <f>IFERROR(IF($D376="","",VLOOKUP($D376,Cadastro!$C$4:$G$7,5,FALSE)),"")</f>
        <v/>
      </c>
      <c r="J376" s="137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9">
        <v>46248</v>
      </c>
      <c r="B377" s="32">
        <f t="shared" si="89"/>
        <v>1.2916666666666667</v>
      </c>
      <c r="C377" s="26"/>
      <c r="D377" s="59"/>
      <c r="E377" s="109"/>
      <c r="F377" s="138" t="str">
        <f>IFERROR(IF($D377="","",VLOOKUP($D377,Cadastro!$C$4:$E$7,3,FALSE)),"")</f>
        <v/>
      </c>
      <c r="G377" s="106"/>
      <c r="H377" s="138" t="str">
        <f>IFERROR(IF($G377="","",$G377*$S$378/$G$378/Cadastro!$E$33),"")</f>
        <v/>
      </c>
      <c r="I377" s="139" t="str">
        <f>IFERROR(IF($D377="","",VLOOKUP($D377,Cadastro!$C$4:$G$7,5,FALSE)),"")</f>
        <v/>
      </c>
      <c r="J377" s="140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2" t="s">
        <v>244</v>
      </c>
      <c r="B378" s="153"/>
      <c r="C378" s="153"/>
      <c r="D378" s="153"/>
      <c r="E378" s="153">
        <f>SUM(E366:E377)</f>
        <v>0</v>
      </c>
      <c r="F378" s="112"/>
      <c r="G378" s="81">
        <f>SUM(G366:G377)</f>
        <v>0</v>
      </c>
      <c r="H378" s="112">
        <f>IFERROR(SUM(H366:H377),"")</f>
        <v>0</v>
      </c>
      <c r="I378" s="116"/>
      <c r="J378" s="125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3">
        <f>IFERROR(J378,"")</f>
        <v>0</v>
      </c>
    </row>
    <row r="379" spans="1:20" ht="18" customHeight="1">
      <c r="A379" s="150" t="s">
        <v>245</v>
      </c>
      <c r="B379" s="151"/>
      <c r="C379" s="151"/>
      <c r="D379" s="151"/>
      <c r="E379" s="151">
        <f>E365+E378</f>
        <v>0</v>
      </c>
      <c r="F379" s="113"/>
      <c r="G379" s="92">
        <f>G365+G378</f>
        <v>0</v>
      </c>
      <c r="H379" s="113">
        <f>IFERROR(H365+H378,"")</f>
        <v>0</v>
      </c>
      <c r="I379" s="117"/>
      <c r="J379" s="126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4">
        <f>IFERROR(S365+S378,"")</f>
        <v>0</v>
      </c>
      <c r="T379" s="145">
        <f>IFERROR(J379,"")</f>
        <v>0</v>
      </c>
    </row>
    <row r="380" spans="1:20" ht="15" customHeight="1">
      <c r="A380" s="68">
        <v>46249</v>
      </c>
      <c r="B380" s="25">
        <v>0.33333333333333298</v>
      </c>
      <c r="C380" s="26"/>
      <c r="D380" s="59"/>
      <c r="E380" s="109"/>
      <c r="F380" s="141" t="str">
        <f>IFERROR(IF($D380="","",VLOOKUP($D380,Cadastro!$C$4:$E$7,3,FALSE)),"")</f>
        <v/>
      </c>
      <c r="G380" s="106"/>
      <c r="H380" s="141" t="str">
        <f>IFERROR(IF($G380="","",$G380*$S$392/$G$392/Cadastro!$E$33),"")</f>
        <v/>
      </c>
      <c r="I380" s="142" t="str">
        <f>IFERROR(IF($D380="","",VLOOKUP($D380,Cadastro!$C$4:$G$7,5,FALSE)),"")</f>
        <v/>
      </c>
      <c r="J380" s="143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9">
        <v>46249</v>
      </c>
      <c r="B381" s="32">
        <f t="shared" ref="B381:B391" si="93">B380+TIME(0,60,0)</f>
        <v>0.37499999999999967</v>
      </c>
      <c r="C381" s="26"/>
      <c r="D381" s="59"/>
      <c r="E381" s="109"/>
      <c r="F381" s="135" t="str">
        <f>IFERROR(IF($D381="","",VLOOKUP($D381,Cadastro!$C$4:$E$7,3,FALSE)),"")</f>
        <v/>
      </c>
      <c r="G381" s="106"/>
      <c r="H381" s="135" t="str">
        <f>IFERROR(IF($G381="","",$G381*$S$392/$G$392/Cadastro!$E$33),"")</f>
        <v/>
      </c>
      <c r="I381" s="136" t="str">
        <f>IFERROR(IF($D381="","",VLOOKUP($D381,Cadastro!$C$4:$G$7,5,FALSE)),"")</f>
        <v/>
      </c>
      <c r="J381" s="137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8">
        <v>46249</v>
      </c>
      <c r="B382" s="25">
        <f t="shared" si="93"/>
        <v>0.41666666666666635</v>
      </c>
      <c r="C382" s="26"/>
      <c r="D382" s="59"/>
      <c r="E382" s="109"/>
      <c r="F382" s="135" t="str">
        <f>IFERROR(IF($D382="","",VLOOKUP($D382,Cadastro!$C$4:$E$7,3,FALSE)),"")</f>
        <v/>
      </c>
      <c r="G382" s="106"/>
      <c r="H382" s="135" t="str">
        <f>IFERROR(IF($G382="","",$G382*$S$392/$G$392/Cadastro!$E$33),"")</f>
        <v/>
      </c>
      <c r="I382" s="136" t="str">
        <f>IFERROR(IF($D382="","",VLOOKUP($D382,Cadastro!$C$4:$G$7,5,FALSE)),"")</f>
        <v/>
      </c>
      <c r="J382" s="137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9">
        <v>46249</v>
      </c>
      <c r="B383" s="32">
        <f t="shared" si="93"/>
        <v>0.45833333333333304</v>
      </c>
      <c r="C383" s="26"/>
      <c r="D383" s="59"/>
      <c r="E383" s="109"/>
      <c r="F383" s="135" t="str">
        <f>IFERROR(IF($D383="","",VLOOKUP($D383,Cadastro!$C$4:$E$7,3,FALSE)),"")</f>
        <v/>
      </c>
      <c r="G383" s="106"/>
      <c r="H383" s="135" t="str">
        <f>IFERROR(IF($G383="","",$G383*$S$392/$G$392/Cadastro!$E$33),"")</f>
        <v/>
      </c>
      <c r="I383" s="136" t="str">
        <f>IFERROR(IF($D383="","",VLOOKUP($D383,Cadastro!$C$4:$G$7,5,FALSE)),"")</f>
        <v/>
      </c>
      <c r="J383" s="137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8">
        <v>46249</v>
      </c>
      <c r="B384" s="25">
        <f t="shared" si="93"/>
        <v>0.49999999999999972</v>
      </c>
      <c r="C384" s="26"/>
      <c r="D384" s="59"/>
      <c r="E384" s="109"/>
      <c r="F384" s="135" t="str">
        <f>IFERROR(IF($D384="","",VLOOKUP($D384,Cadastro!$C$4:$E$7,3,FALSE)),"")</f>
        <v/>
      </c>
      <c r="G384" s="106"/>
      <c r="H384" s="135" t="str">
        <f>IFERROR(IF($G384="","",$G384*$S$392/$G$392/Cadastro!$E$33),"")</f>
        <v/>
      </c>
      <c r="I384" s="136" t="str">
        <f>IFERROR(IF($D384="","",VLOOKUP($D384,Cadastro!$C$4:$G$7,5,FALSE)),"")</f>
        <v/>
      </c>
      <c r="J384" s="137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9">
        <v>46249</v>
      </c>
      <c r="B385" s="32">
        <f t="shared" si="93"/>
        <v>0.54166666666666641</v>
      </c>
      <c r="C385" s="26"/>
      <c r="D385" s="59"/>
      <c r="E385" s="109"/>
      <c r="F385" s="135" t="str">
        <f>IFERROR(IF($D385="","",VLOOKUP($D385,Cadastro!$C$4:$E$7,3,FALSE)),"")</f>
        <v/>
      </c>
      <c r="G385" s="106"/>
      <c r="H385" s="135" t="str">
        <f>IFERROR(IF($G385="","",$G385*$S$392/$G$392/Cadastro!$E$33),"")</f>
        <v/>
      </c>
      <c r="I385" s="136" t="str">
        <f>IFERROR(IF($D385="","",VLOOKUP($D385,Cadastro!$C$4:$G$7,5,FALSE)),"")</f>
        <v/>
      </c>
      <c r="J385" s="137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8">
        <v>46249</v>
      </c>
      <c r="B386" s="25">
        <f t="shared" si="93"/>
        <v>0.58333333333333304</v>
      </c>
      <c r="C386" s="26"/>
      <c r="D386" s="59"/>
      <c r="E386" s="109"/>
      <c r="F386" s="135" t="str">
        <f>IFERROR(IF($D386="","",VLOOKUP($D386,Cadastro!$C$4:$E$7,3,FALSE)),"")</f>
        <v/>
      </c>
      <c r="G386" s="106"/>
      <c r="H386" s="135" t="str">
        <f>IFERROR(IF($G386="","",$G386*$S$392/$G$392/Cadastro!$E$33),"")</f>
        <v/>
      </c>
      <c r="I386" s="136" t="str">
        <f>IFERROR(IF($D386="","",VLOOKUP($D386,Cadastro!$C$4:$G$7,5,FALSE)),"")</f>
        <v/>
      </c>
      <c r="J386" s="137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9">
        <v>46249</v>
      </c>
      <c r="B387" s="32">
        <f t="shared" si="93"/>
        <v>0.62499999999999967</v>
      </c>
      <c r="C387" s="26"/>
      <c r="D387" s="59"/>
      <c r="E387" s="109"/>
      <c r="F387" s="135" t="str">
        <f>IFERROR(IF($D387="","",VLOOKUP($D387,Cadastro!$C$4:$E$7,3,FALSE)),"")</f>
        <v/>
      </c>
      <c r="G387" s="106"/>
      <c r="H387" s="135" t="str">
        <f>IFERROR(IF($G387="","",$G387*$S$392/$G$392/Cadastro!$E$33),"")</f>
        <v/>
      </c>
      <c r="I387" s="136" t="str">
        <f>IFERROR(IF($D387="","",VLOOKUP($D387,Cadastro!$C$4:$G$7,5,FALSE)),"")</f>
        <v/>
      </c>
      <c r="J387" s="137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8">
        <v>46249</v>
      </c>
      <c r="B388" s="25">
        <f t="shared" si="93"/>
        <v>0.6666666666666663</v>
      </c>
      <c r="C388" s="26"/>
      <c r="D388" s="59"/>
      <c r="E388" s="109"/>
      <c r="F388" s="135" t="str">
        <f>IFERROR(IF($D388="","",VLOOKUP($D388,Cadastro!$C$4:$E$7,3,FALSE)),"")</f>
        <v/>
      </c>
      <c r="G388" s="106"/>
      <c r="H388" s="135" t="str">
        <f>IFERROR(IF($G388="","",$G388*$S$392/$G$392/Cadastro!$E$33),"")</f>
        <v/>
      </c>
      <c r="I388" s="136" t="str">
        <f>IFERROR(IF($D388="","",VLOOKUP($D388,Cadastro!$C$4:$G$7,5,FALSE)),"")</f>
        <v/>
      </c>
      <c r="J388" s="137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9">
        <v>46249</v>
      </c>
      <c r="B389" s="32">
        <f t="shared" si="93"/>
        <v>0.70833333333333293</v>
      </c>
      <c r="C389" s="26"/>
      <c r="D389" s="59"/>
      <c r="E389" s="109"/>
      <c r="F389" s="135" t="str">
        <f>IFERROR(IF($D389="","",VLOOKUP($D389,Cadastro!$C$4:$E$7,3,FALSE)),"")</f>
        <v/>
      </c>
      <c r="G389" s="106"/>
      <c r="H389" s="135" t="str">
        <f>IFERROR(IF($G389="","",$G389*$S$392/$G$392/Cadastro!$E$33),"")</f>
        <v/>
      </c>
      <c r="I389" s="136" t="str">
        <f>IFERROR(IF($D389="","",VLOOKUP($D389,Cadastro!$C$4:$G$7,5,FALSE)),"")</f>
        <v/>
      </c>
      <c r="J389" s="137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8">
        <v>46249</v>
      </c>
      <c r="B390" s="25">
        <f t="shared" si="93"/>
        <v>0.74999999999999956</v>
      </c>
      <c r="C390" s="26"/>
      <c r="D390" s="59"/>
      <c r="E390" s="109"/>
      <c r="F390" s="135" t="str">
        <f>IFERROR(IF($D390="","",VLOOKUP($D390,Cadastro!$C$4:$E$7,3,FALSE)),"")</f>
        <v/>
      </c>
      <c r="G390" s="106"/>
      <c r="H390" s="135" t="str">
        <f>IFERROR(IF($G390="","",$G390*$S$392/$G$392/Cadastro!$E$33),"")</f>
        <v/>
      </c>
      <c r="I390" s="136" t="str">
        <f>IFERROR(IF($D390="","",VLOOKUP($D390,Cadastro!$C$4:$G$7,5,FALSE)),"")</f>
        <v/>
      </c>
      <c r="J390" s="137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9">
        <v>46249</v>
      </c>
      <c r="B391" s="32">
        <f t="shared" si="93"/>
        <v>0.79166666666666619</v>
      </c>
      <c r="C391" s="26"/>
      <c r="D391" s="59"/>
      <c r="E391" s="109"/>
      <c r="F391" s="138" t="str">
        <f>IFERROR(IF($D391="","",VLOOKUP($D391,Cadastro!$C$4:$E$7,3,FALSE)),"")</f>
        <v/>
      </c>
      <c r="G391" s="106"/>
      <c r="H391" s="138" t="str">
        <f>IFERROR(IF($G391="","",$G391*$S$392/$G$392/Cadastro!$E$33),"")</f>
        <v/>
      </c>
      <c r="I391" s="139" t="str">
        <f>IFERROR(IF($D391="","",VLOOKUP($D391,Cadastro!$C$4:$G$7,5,FALSE)),"")</f>
        <v/>
      </c>
      <c r="J391" s="140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2" t="s">
        <v>241</v>
      </c>
      <c r="B392" s="153"/>
      <c r="C392" s="153"/>
      <c r="D392" s="153"/>
      <c r="E392" s="153">
        <f>SUM(E380:E391)</f>
        <v>0</v>
      </c>
      <c r="F392" s="111"/>
      <c r="G392" s="81">
        <f>SUM(G380:G391)</f>
        <v>0</v>
      </c>
      <c r="H392" s="111">
        <f>IFERROR(SUM(H380:H391),"")</f>
        <v>0</v>
      </c>
      <c r="I392" s="115"/>
      <c r="J392" s="124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3">
        <f>IFERROR(J392,"")</f>
        <v>0</v>
      </c>
    </row>
    <row r="393" spans="1:20" ht="15" customHeight="1">
      <c r="A393" s="69">
        <v>46249</v>
      </c>
      <c r="B393" s="32">
        <v>0.83333333333333304</v>
      </c>
      <c r="C393" s="33"/>
      <c r="D393" s="62"/>
      <c r="E393" s="110"/>
      <c r="F393" s="141" t="str">
        <f>IFERROR(IF($D393="","",VLOOKUP($D393,Cadastro!$C$4:$E$7,3,FALSE)),"")</f>
        <v/>
      </c>
      <c r="G393" s="106"/>
      <c r="H393" s="141" t="str">
        <f>IFERROR(IF($G393="","",$G393*$S$405/$G$405/Cadastro!$E$33),"")</f>
        <v/>
      </c>
      <c r="I393" s="142" t="str">
        <f>IFERROR(IF($D393="","",VLOOKUP($D393,Cadastro!$C$4:$G$7,5,FALSE)),"")</f>
        <v/>
      </c>
      <c r="J393" s="143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8">
        <v>46249</v>
      </c>
      <c r="B394" s="25">
        <f t="shared" ref="B394:B404" si="97">B393+TIME(0,60,0)</f>
        <v>0.87499999999999967</v>
      </c>
      <c r="C394" s="33"/>
      <c r="D394" s="62"/>
      <c r="E394" s="110"/>
      <c r="F394" s="135" t="str">
        <f>IFERROR(IF($D394="","",VLOOKUP($D394,Cadastro!$C$4:$E$7,3,FALSE)),"")</f>
        <v/>
      </c>
      <c r="G394" s="106"/>
      <c r="H394" s="135" t="str">
        <f>IFERROR(IF($G394="","",$G394*$S$405/$G$405/Cadastro!$E$33),"")</f>
        <v/>
      </c>
      <c r="I394" s="136" t="str">
        <f>IFERROR(IF($D394="","",VLOOKUP($D394,Cadastro!$C$4:$G$7,5,FALSE)),"")</f>
        <v/>
      </c>
      <c r="J394" s="137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9">
        <v>46249</v>
      </c>
      <c r="B395" s="32">
        <f t="shared" si="97"/>
        <v>0.9166666666666663</v>
      </c>
      <c r="C395" s="33"/>
      <c r="D395" s="62"/>
      <c r="E395" s="110"/>
      <c r="F395" s="135" t="str">
        <f>IFERROR(IF($D395="","",VLOOKUP($D395,Cadastro!$C$4:$E$7,3,FALSE)),"")</f>
        <v/>
      </c>
      <c r="G395" s="106"/>
      <c r="H395" s="135" t="str">
        <f>IFERROR(IF($G395="","",$G395*$S$405/$G$405/Cadastro!$E$33),"")</f>
        <v/>
      </c>
      <c r="I395" s="136" t="str">
        <f>IFERROR(IF($D395="","",VLOOKUP($D395,Cadastro!$C$4:$G$7,5,FALSE)),"")</f>
        <v/>
      </c>
      <c r="J395" s="137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8">
        <v>46249</v>
      </c>
      <c r="B396" s="25">
        <f t="shared" si="97"/>
        <v>0.95833333333333293</v>
      </c>
      <c r="C396" s="33"/>
      <c r="D396" s="62"/>
      <c r="E396" s="110"/>
      <c r="F396" s="135" t="str">
        <f>IFERROR(IF($D396="","",VLOOKUP($D396,Cadastro!$C$4:$E$7,3,FALSE)),"")</f>
        <v/>
      </c>
      <c r="G396" s="106"/>
      <c r="H396" s="135" t="str">
        <f>IFERROR(IF($G396="","",$G396*$S$405/$G$405/Cadastro!$E$33),"")</f>
        <v/>
      </c>
      <c r="I396" s="136" t="str">
        <f>IFERROR(IF($D396="","",VLOOKUP($D396,Cadastro!$C$4:$G$7,5,FALSE)),"")</f>
        <v/>
      </c>
      <c r="J396" s="137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9">
        <v>46249</v>
      </c>
      <c r="B397" s="32">
        <f t="shared" si="97"/>
        <v>0.99999999999999956</v>
      </c>
      <c r="C397" s="33"/>
      <c r="D397" s="62"/>
      <c r="E397" s="110"/>
      <c r="F397" s="135" t="str">
        <f>IFERROR(IF($D397="","",VLOOKUP($D397,Cadastro!$C$4:$E$7,3,FALSE)),"")</f>
        <v/>
      </c>
      <c r="G397" s="106"/>
      <c r="H397" s="135" t="str">
        <f>IFERROR(IF($G397="","",$G397*$S$405/$G$405/Cadastro!$E$33),"")</f>
        <v/>
      </c>
      <c r="I397" s="136" t="str">
        <f>IFERROR(IF($D397="","",VLOOKUP($D397,Cadastro!$C$4:$G$7,5,FALSE)),"")</f>
        <v/>
      </c>
      <c r="J397" s="137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8">
        <v>46249</v>
      </c>
      <c r="B398" s="25">
        <f t="shared" si="97"/>
        <v>1.0416666666666663</v>
      </c>
      <c r="C398" s="33"/>
      <c r="D398" s="62"/>
      <c r="E398" s="110"/>
      <c r="F398" s="135" t="str">
        <f>IFERROR(IF($D398="","",VLOOKUP($D398,Cadastro!$C$4:$E$7,3,FALSE)),"")</f>
        <v/>
      </c>
      <c r="G398" s="106"/>
      <c r="H398" s="135" t="str">
        <f>IFERROR(IF($G398="","",$G398*$S$405/$G$405/Cadastro!$E$33),"")</f>
        <v/>
      </c>
      <c r="I398" s="136" t="str">
        <f>IFERROR(IF($D398="","",VLOOKUP($D398,Cadastro!$C$4:$G$7,5,FALSE)),"")</f>
        <v/>
      </c>
      <c r="J398" s="137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9">
        <v>46249</v>
      </c>
      <c r="B399" s="32">
        <f t="shared" si="97"/>
        <v>1.083333333333333</v>
      </c>
      <c r="C399" s="33"/>
      <c r="D399" s="62"/>
      <c r="E399" s="110"/>
      <c r="F399" s="135" t="str">
        <f>IFERROR(IF($D399="","",VLOOKUP($D399,Cadastro!$C$4:$E$7,3,FALSE)),"")</f>
        <v/>
      </c>
      <c r="G399" s="106"/>
      <c r="H399" s="135" t="str">
        <f>IFERROR(IF($G399="","",$G399*$S$405/$G$405/Cadastro!$E$33),"")</f>
        <v/>
      </c>
      <c r="I399" s="136" t="str">
        <f>IFERROR(IF($D399="","",VLOOKUP($D399,Cadastro!$C$4:$G$7,5,FALSE)),"")</f>
        <v/>
      </c>
      <c r="J399" s="137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8">
        <v>46249</v>
      </c>
      <c r="B400" s="25">
        <f t="shared" si="97"/>
        <v>1.1249999999999998</v>
      </c>
      <c r="C400" s="33"/>
      <c r="D400" s="62"/>
      <c r="E400" s="110"/>
      <c r="F400" s="135" t="str">
        <f>IFERROR(IF($D400="","",VLOOKUP($D400,Cadastro!$C$4:$E$7,3,FALSE)),"")</f>
        <v/>
      </c>
      <c r="G400" s="106"/>
      <c r="H400" s="135" t="str">
        <f>IFERROR(IF($G400="","",$G400*$S$405/$G$405/Cadastro!$E$33),"")</f>
        <v/>
      </c>
      <c r="I400" s="136" t="str">
        <f>IFERROR(IF($D400="","",VLOOKUP($D400,Cadastro!$C$4:$G$7,5,FALSE)),"")</f>
        <v/>
      </c>
      <c r="J400" s="137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9">
        <v>46249</v>
      </c>
      <c r="B401" s="32">
        <f t="shared" si="97"/>
        <v>1.1666666666666665</v>
      </c>
      <c r="C401" s="33"/>
      <c r="D401" s="62"/>
      <c r="E401" s="110"/>
      <c r="F401" s="135" t="str">
        <f>IFERROR(IF($D401="","",VLOOKUP($D401,Cadastro!$C$4:$E$7,3,FALSE)),"")</f>
        <v/>
      </c>
      <c r="G401" s="106"/>
      <c r="H401" s="135" t="str">
        <f>IFERROR(IF($G401="","",$G401*$S$405/$G$405/Cadastro!$E$33),"")</f>
        <v/>
      </c>
      <c r="I401" s="136" t="str">
        <f>IFERROR(IF($D401="","",VLOOKUP($D401,Cadastro!$C$4:$G$7,5,FALSE)),"")</f>
        <v/>
      </c>
      <c r="J401" s="137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8">
        <v>46249</v>
      </c>
      <c r="B402" s="25">
        <f t="shared" si="97"/>
        <v>1.2083333333333333</v>
      </c>
      <c r="C402" s="33"/>
      <c r="D402" s="62"/>
      <c r="E402" s="110"/>
      <c r="F402" s="135" t="str">
        <f>IFERROR(IF($D402="","",VLOOKUP($D402,Cadastro!$C$4:$E$7,3,FALSE)),"")</f>
        <v/>
      </c>
      <c r="G402" s="106"/>
      <c r="H402" s="135" t="str">
        <f>IFERROR(IF($G402="","",$G402*$S$405/$G$405/Cadastro!$E$33),"")</f>
        <v/>
      </c>
      <c r="I402" s="136" t="str">
        <f>IFERROR(IF($D402="","",VLOOKUP($D402,Cadastro!$C$4:$G$7,5,FALSE)),"")</f>
        <v/>
      </c>
      <c r="J402" s="137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9">
        <v>46249</v>
      </c>
      <c r="B403" s="32">
        <f t="shared" si="97"/>
        <v>1.25</v>
      </c>
      <c r="C403" s="33"/>
      <c r="D403" s="62"/>
      <c r="E403" s="110"/>
      <c r="F403" s="135" t="str">
        <f>IFERROR(IF($D403="","",VLOOKUP($D403,Cadastro!$C$4:$E$7,3,FALSE)),"")</f>
        <v/>
      </c>
      <c r="G403" s="106"/>
      <c r="H403" s="135" t="str">
        <f>IFERROR(IF($G403="","",$G403*$S$405/$G$405/Cadastro!$E$33),"")</f>
        <v/>
      </c>
      <c r="I403" s="136" t="str">
        <f>IFERROR(IF($D403="","",VLOOKUP($D403,Cadastro!$C$4:$G$7,5,FALSE)),"")</f>
        <v/>
      </c>
      <c r="J403" s="137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8">
        <v>46249</v>
      </c>
      <c r="B404" s="25">
        <f t="shared" si="97"/>
        <v>1.2916666666666667</v>
      </c>
      <c r="C404" s="33"/>
      <c r="D404" s="62"/>
      <c r="E404" s="110"/>
      <c r="F404" s="138" t="str">
        <f>IFERROR(IF($D404="","",VLOOKUP($D404,Cadastro!$C$4:$E$7,3,FALSE)),"")</f>
        <v/>
      </c>
      <c r="G404" s="106"/>
      <c r="H404" s="138" t="str">
        <f>IFERROR(IF($G404="","",$G404*$S$405/$G$405/Cadastro!$E$33),"")</f>
        <v/>
      </c>
      <c r="I404" s="139" t="str">
        <f>IFERROR(IF($D404="","",VLOOKUP($D404,Cadastro!$C$4:$G$7,5,FALSE)),"")</f>
        <v/>
      </c>
      <c r="J404" s="140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2" t="s">
        <v>244</v>
      </c>
      <c r="B405" s="153"/>
      <c r="C405" s="153"/>
      <c r="D405" s="153"/>
      <c r="E405" s="153">
        <f>SUM(E393:E404)</f>
        <v>0</v>
      </c>
      <c r="F405" s="112"/>
      <c r="G405" s="81">
        <f>SUM(G393:G404)</f>
        <v>0</v>
      </c>
      <c r="H405" s="112">
        <f>IFERROR(SUM(H393:H404),"")</f>
        <v>0</v>
      </c>
      <c r="I405" s="116"/>
      <c r="J405" s="125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3">
        <f>IFERROR(J405,"")</f>
        <v>0</v>
      </c>
    </row>
    <row r="406" spans="1:20" ht="18" customHeight="1">
      <c r="A406" s="150" t="s">
        <v>245</v>
      </c>
      <c r="B406" s="151"/>
      <c r="C406" s="151"/>
      <c r="D406" s="151"/>
      <c r="E406" s="151">
        <f>E392+E405</f>
        <v>0</v>
      </c>
      <c r="F406" s="113"/>
      <c r="G406" s="92">
        <f>G392+G405</f>
        <v>0</v>
      </c>
      <c r="H406" s="113">
        <f>IFERROR(H392+H405,"")</f>
        <v>0</v>
      </c>
      <c r="I406" s="117"/>
      <c r="J406" s="126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4">
        <f>IFERROR(S392+S405,"")</f>
        <v>0</v>
      </c>
      <c r="T406" s="145">
        <f>IFERROR(J406,"")</f>
        <v>0</v>
      </c>
    </row>
    <row r="407" spans="1:20" ht="15" customHeight="1">
      <c r="A407" s="69">
        <v>46250</v>
      </c>
      <c r="B407" s="32">
        <v>0.33333333333333298</v>
      </c>
      <c r="C407" s="33"/>
      <c r="D407" s="62"/>
      <c r="E407" s="110"/>
      <c r="F407" s="141" t="str">
        <f>IFERROR(IF($D407="","",VLOOKUP($D407,Cadastro!$C$4:$E$7,3,FALSE)),"")</f>
        <v/>
      </c>
      <c r="G407" s="106"/>
      <c r="H407" s="141" t="str">
        <f>IFERROR(IF($G407="","",$G407*$S$419/$G$419/Cadastro!$E$33),"")</f>
        <v/>
      </c>
      <c r="I407" s="142" t="str">
        <f>IFERROR(IF($D407="","",VLOOKUP($D407,Cadastro!$C$4:$G$7,5,FALSE)),"")</f>
        <v/>
      </c>
      <c r="J407" s="143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8">
        <v>46250</v>
      </c>
      <c r="B408" s="25">
        <f t="shared" ref="B408:B418" si="101">B407+TIME(0,60,0)</f>
        <v>0.37499999999999967</v>
      </c>
      <c r="C408" s="33"/>
      <c r="D408" s="62"/>
      <c r="E408" s="110"/>
      <c r="F408" s="135" t="str">
        <f>IFERROR(IF($D408="","",VLOOKUP($D408,Cadastro!$C$4:$E$7,3,FALSE)),"")</f>
        <v/>
      </c>
      <c r="G408" s="106"/>
      <c r="H408" s="135" t="str">
        <f>IFERROR(IF($G408="","",$G408*$S$419/$G$419/Cadastro!$E$33),"")</f>
        <v/>
      </c>
      <c r="I408" s="136" t="str">
        <f>IFERROR(IF($D408="","",VLOOKUP($D408,Cadastro!$C$4:$G$7,5,FALSE)),"")</f>
        <v/>
      </c>
      <c r="J408" s="137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9">
        <v>46250</v>
      </c>
      <c r="B409" s="32">
        <f t="shared" si="101"/>
        <v>0.41666666666666635</v>
      </c>
      <c r="C409" s="33"/>
      <c r="D409" s="62"/>
      <c r="E409" s="110"/>
      <c r="F409" s="135" t="str">
        <f>IFERROR(IF($D409="","",VLOOKUP($D409,Cadastro!$C$4:$E$7,3,FALSE)),"")</f>
        <v/>
      </c>
      <c r="G409" s="106"/>
      <c r="H409" s="135" t="str">
        <f>IFERROR(IF($G409="","",$G409*$S$419/$G$419/Cadastro!$E$33),"")</f>
        <v/>
      </c>
      <c r="I409" s="136" t="str">
        <f>IFERROR(IF($D409="","",VLOOKUP($D409,Cadastro!$C$4:$G$7,5,FALSE)),"")</f>
        <v/>
      </c>
      <c r="J409" s="137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8">
        <v>46250</v>
      </c>
      <c r="B410" s="25">
        <f t="shared" si="101"/>
        <v>0.45833333333333304</v>
      </c>
      <c r="C410" s="33"/>
      <c r="D410" s="62"/>
      <c r="E410" s="110"/>
      <c r="F410" s="135" t="str">
        <f>IFERROR(IF($D410="","",VLOOKUP($D410,Cadastro!$C$4:$E$7,3,FALSE)),"")</f>
        <v/>
      </c>
      <c r="G410" s="106"/>
      <c r="H410" s="135" t="str">
        <f>IFERROR(IF($G410="","",$G410*$S$419/$G$419/Cadastro!$E$33),"")</f>
        <v/>
      </c>
      <c r="I410" s="136" t="str">
        <f>IFERROR(IF($D410="","",VLOOKUP($D410,Cadastro!$C$4:$G$7,5,FALSE)),"")</f>
        <v/>
      </c>
      <c r="J410" s="137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9">
        <v>46250</v>
      </c>
      <c r="B411" s="32">
        <f t="shared" si="101"/>
        <v>0.49999999999999972</v>
      </c>
      <c r="C411" s="33"/>
      <c r="D411" s="62"/>
      <c r="E411" s="110"/>
      <c r="F411" s="135" t="str">
        <f>IFERROR(IF($D411="","",VLOOKUP($D411,Cadastro!$C$4:$E$7,3,FALSE)),"")</f>
        <v/>
      </c>
      <c r="G411" s="106"/>
      <c r="H411" s="135" t="str">
        <f>IFERROR(IF($G411="","",$G411*$S$419/$G$419/Cadastro!$E$33),"")</f>
        <v/>
      </c>
      <c r="I411" s="136" t="str">
        <f>IFERROR(IF($D411="","",VLOOKUP($D411,Cadastro!$C$4:$G$7,5,FALSE)),"")</f>
        <v/>
      </c>
      <c r="J411" s="137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8">
        <v>46250</v>
      </c>
      <c r="B412" s="25">
        <f t="shared" si="101"/>
        <v>0.54166666666666641</v>
      </c>
      <c r="C412" s="33"/>
      <c r="D412" s="62"/>
      <c r="E412" s="110"/>
      <c r="F412" s="135" t="str">
        <f>IFERROR(IF($D412="","",VLOOKUP($D412,Cadastro!$C$4:$E$7,3,FALSE)),"")</f>
        <v/>
      </c>
      <c r="G412" s="106"/>
      <c r="H412" s="135" t="str">
        <f>IFERROR(IF($G412="","",$G412*$S$419/$G$419/Cadastro!$E$33),"")</f>
        <v/>
      </c>
      <c r="I412" s="136" t="str">
        <f>IFERROR(IF($D412="","",VLOOKUP($D412,Cadastro!$C$4:$G$7,5,FALSE)),"")</f>
        <v/>
      </c>
      <c r="J412" s="137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9">
        <v>46250</v>
      </c>
      <c r="B413" s="32">
        <f t="shared" si="101"/>
        <v>0.58333333333333304</v>
      </c>
      <c r="C413" s="33"/>
      <c r="D413" s="62"/>
      <c r="E413" s="110"/>
      <c r="F413" s="135" t="str">
        <f>IFERROR(IF($D413="","",VLOOKUP($D413,Cadastro!$C$4:$E$7,3,FALSE)),"")</f>
        <v/>
      </c>
      <c r="G413" s="106"/>
      <c r="H413" s="135" t="str">
        <f>IFERROR(IF($G413="","",$G413*$S$419/$G$419/Cadastro!$E$33),"")</f>
        <v/>
      </c>
      <c r="I413" s="136" t="str">
        <f>IFERROR(IF($D413="","",VLOOKUP($D413,Cadastro!$C$4:$G$7,5,FALSE)),"")</f>
        <v/>
      </c>
      <c r="J413" s="137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8">
        <v>46250</v>
      </c>
      <c r="B414" s="25">
        <f t="shared" si="101"/>
        <v>0.62499999999999967</v>
      </c>
      <c r="C414" s="33"/>
      <c r="D414" s="62"/>
      <c r="E414" s="110"/>
      <c r="F414" s="135" t="str">
        <f>IFERROR(IF($D414="","",VLOOKUP($D414,Cadastro!$C$4:$E$7,3,FALSE)),"")</f>
        <v/>
      </c>
      <c r="G414" s="106"/>
      <c r="H414" s="135" t="str">
        <f>IFERROR(IF($G414="","",$G414*$S$419/$G$419/Cadastro!$E$33),"")</f>
        <v/>
      </c>
      <c r="I414" s="136" t="str">
        <f>IFERROR(IF($D414="","",VLOOKUP($D414,Cadastro!$C$4:$G$7,5,FALSE)),"")</f>
        <v/>
      </c>
      <c r="J414" s="137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9">
        <v>46250</v>
      </c>
      <c r="B415" s="32">
        <f t="shared" si="101"/>
        <v>0.6666666666666663</v>
      </c>
      <c r="C415" s="33"/>
      <c r="D415" s="62"/>
      <c r="E415" s="110"/>
      <c r="F415" s="135" t="str">
        <f>IFERROR(IF($D415="","",VLOOKUP($D415,Cadastro!$C$4:$E$7,3,FALSE)),"")</f>
        <v/>
      </c>
      <c r="G415" s="106"/>
      <c r="H415" s="135" t="str">
        <f>IFERROR(IF($G415="","",$G415*$S$419/$G$419/Cadastro!$E$33),"")</f>
        <v/>
      </c>
      <c r="I415" s="136" t="str">
        <f>IFERROR(IF($D415="","",VLOOKUP($D415,Cadastro!$C$4:$G$7,5,FALSE)),"")</f>
        <v/>
      </c>
      <c r="J415" s="137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8">
        <v>46250</v>
      </c>
      <c r="B416" s="25">
        <f t="shared" si="101"/>
        <v>0.70833333333333293</v>
      </c>
      <c r="C416" s="33"/>
      <c r="D416" s="62"/>
      <c r="E416" s="110"/>
      <c r="F416" s="135" t="str">
        <f>IFERROR(IF($D416="","",VLOOKUP($D416,Cadastro!$C$4:$E$7,3,FALSE)),"")</f>
        <v/>
      </c>
      <c r="G416" s="106"/>
      <c r="H416" s="135" t="str">
        <f>IFERROR(IF($G416="","",$G416*$S$419/$G$419/Cadastro!$E$33),"")</f>
        <v/>
      </c>
      <c r="I416" s="136" t="str">
        <f>IFERROR(IF($D416="","",VLOOKUP($D416,Cadastro!$C$4:$G$7,5,FALSE)),"")</f>
        <v/>
      </c>
      <c r="J416" s="137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9">
        <v>46250</v>
      </c>
      <c r="B417" s="32">
        <f t="shared" si="101"/>
        <v>0.74999999999999956</v>
      </c>
      <c r="C417" s="33"/>
      <c r="D417" s="62"/>
      <c r="E417" s="110"/>
      <c r="F417" s="135" t="str">
        <f>IFERROR(IF($D417="","",VLOOKUP($D417,Cadastro!$C$4:$E$7,3,FALSE)),"")</f>
        <v/>
      </c>
      <c r="G417" s="106"/>
      <c r="H417" s="135" t="str">
        <f>IFERROR(IF($G417="","",$G417*$S$419/$G$419/Cadastro!$E$33),"")</f>
        <v/>
      </c>
      <c r="I417" s="136" t="str">
        <f>IFERROR(IF($D417="","",VLOOKUP($D417,Cadastro!$C$4:$G$7,5,FALSE)),"")</f>
        <v/>
      </c>
      <c r="J417" s="137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8">
        <v>46250</v>
      </c>
      <c r="B418" s="25">
        <f t="shared" si="101"/>
        <v>0.79166666666666619</v>
      </c>
      <c r="C418" s="33"/>
      <c r="D418" s="62"/>
      <c r="E418" s="110"/>
      <c r="F418" s="138" t="str">
        <f>IFERROR(IF($D418="","",VLOOKUP($D418,Cadastro!$C$4:$E$7,3,FALSE)),"")</f>
        <v/>
      </c>
      <c r="G418" s="106"/>
      <c r="H418" s="138" t="str">
        <f>IFERROR(IF($G418="","",$G418*$S$419/$G$419/Cadastro!$E$33),"")</f>
        <v/>
      </c>
      <c r="I418" s="139" t="str">
        <f>IFERROR(IF($D418="","",VLOOKUP($D418,Cadastro!$C$4:$G$7,5,FALSE)),"")</f>
        <v/>
      </c>
      <c r="J418" s="140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2" t="s">
        <v>241</v>
      </c>
      <c r="B419" s="153"/>
      <c r="C419" s="153"/>
      <c r="D419" s="153"/>
      <c r="E419" s="153">
        <f>SUM(E407:E418)</f>
        <v>0</v>
      </c>
      <c r="F419" s="111"/>
      <c r="G419" s="81">
        <f>SUM(G407:G418)</f>
        <v>0</v>
      </c>
      <c r="H419" s="111">
        <f>IFERROR(SUM(H407:H418),"")</f>
        <v>0</v>
      </c>
      <c r="I419" s="115"/>
      <c r="J419" s="124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3">
        <f>IFERROR(J419,"")</f>
        <v>0</v>
      </c>
    </row>
    <row r="420" spans="1:20" ht="15" customHeight="1">
      <c r="A420" s="68">
        <v>46250</v>
      </c>
      <c r="B420" s="25">
        <v>0.83333333333333304</v>
      </c>
      <c r="C420" s="26"/>
      <c r="D420" s="59"/>
      <c r="E420" s="109"/>
      <c r="F420" s="141" t="str">
        <f>IFERROR(IF($D420="","",VLOOKUP($D420,Cadastro!$C$4:$E$7,3,FALSE)),"")</f>
        <v/>
      </c>
      <c r="G420" s="106"/>
      <c r="H420" s="141" t="str">
        <f>IFERROR(IF($G420="","",$G420*$S$432/$G$432/Cadastro!$E$33),"")</f>
        <v/>
      </c>
      <c r="I420" s="142" t="str">
        <f>IFERROR(IF($D420="","",VLOOKUP($D420,Cadastro!$C$4:$G$7,5,FALSE)),"")</f>
        <v/>
      </c>
      <c r="J420" s="143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9">
        <v>46250</v>
      </c>
      <c r="B421" s="32">
        <f t="shared" ref="B421:B431" si="105">B420+TIME(0,60,0)</f>
        <v>0.87499999999999967</v>
      </c>
      <c r="C421" s="26"/>
      <c r="D421" s="59"/>
      <c r="E421" s="109"/>
      <c r="F421" s="135" t="str">
        <f>IFERROR(IF($D421="","",VLOOKUP($D421,Cadastro!$C$4:$E$7,3,FALSE)),"")</f>
        <v/>
      </c>
      <c r="G421" s="106"/>
      <c r="H421" s="135" t="str">
        <f>IFERROR(IF($G421="","",$G421*$S$432/$G$432/Cadastro!$E$33),"")</f>
        <v/>
      </c>
      <c r="I421" s="136" t="str">
        <f>IFERROR(IF($D421="","",VLOOKUP($D421,Cadastro!$C$4:$G$7,5,FALSE)),"")</f>
        <v/>
      </c>
      <c r="J421" s="137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8">
        <v>46250</v>
      </c>
      <c r="B422" s="25">
        <f t="shared" si="105"/>
        <v>0.9166666666666663</v>
      </c>
      <c r="C422" s="26"/>
      <c r="D422" s="59"/>
      <c r="E422" s="109"/>
      <c r="F422" s="135" t="str">
        <f>IFERROR(IF($D422="","",VLOOKUP($D422,Cadastro!$C$4:$E$7,3,FALSE)),"")</f>
        <v/>
      </c>
      <c r="G422" s="106"/>
      <c r="H422" s="135" t="str">
        <f>IFERROR(IF($G422="","",$G422*$S$432/$G$432/Cadastro!$E$33),"")</f>
        <v/>
      </c>
      <c r="I422" s="136" t="str">
        <f>IFERROR(IF($D422="","",VLOOKUP($D422,Cadastro!$C$4:$G$7,5,FALSE)),"")</f>
        <v/>
      </c>
      <c r="J422" s="137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9">
        <v>46250</v>
      </c>
      <c r="B423" s="32">
        <f t="shared" si="105"/>
        <v>0.95833333333333293</v>
      </c>
      <c r="C423" s="26"/>
      <c r="D423" s="59"/>
      <c r="E423" s="109"/>
      <c r="F423" s="135" t="str">
        <f>IFERROR(IF($D423="","",VLOOKUP($D423,Cadastro!$C$4:$E$7,3,FALSE)),"")</f>
        <v/>
      </c>
      <c r="G423" s="106"/>
      <c r="H423" s="135" t="str">
        <f>IFERROR(IF($G423="","",$G423*$S$432/$G$432/Cadastro!$E$33),"")</f>
        <v/>
      </c>
      <c r="I423" s="136" t="str">
        <f>IFERROR(IF($D423="","",VLOOKUP($D423,Cadastro!$C$4:$G$7,5,FALSE)),"")</f>
        <v/>
      </c>
      <c r="J423" s="137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8">
        <v>46250</v>
      </c>
      <c r="B424" s="25">
        <f t="shared" si="105"/>
        <v>0.99999999999999956</v>
      </c>
      <c r="C424" s="26"/>
      <c r="D424" s="59"/>
      <c r="E424" s="109"/>
      <c r="F424" s="135" t="str">
        <f>IFERROR(IF($D424="","",VLOOKUP($D424,Cadastro!$C$4:$E$7,3,FALSE)),"")</f>
        <v/>
      </c>
      <c r="G424" s="106"/>
      <c r="H424" s="135" t="str">
        <f>IFERROR(IF($G424="","",$G424*$S$432/$G$432/Cadastro!$E$33),"")</f>
        <v/>
      </c>
      <c r="I424" s="136" t="str">
        <f>IFERROR(IF($D424="","",VLOOKUP($D424,Cadastro!$C$4:$G$7,5,FALSE)),"")</f>
        <v/>
      </c>
      <c r="J424" s="137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9">
        <v>46250</v>
      </c>
      <c r="B425" s="32">
        <f t="shared" si="105"/>
        <v>1.0416666666666663</v>
      </c>
      <c r="C425" s="26"/>
      <c r="D425" s="59"/>
      <c r="E425" s="109"/>
      <c r="F425" s="135" t="str">
        <f>IFERROR(IF($D425="","",VLOOKUP($D425,Cadastro!$C$4:$E$7,3,FALSE)),"")</f>
        <v/>
      </c>
      <c r="G425" s="106"/>
      <c r="H425" s="135" t="str">
        <f>IFERROR(IF($G425="","",$G425*$S$432/$G$432/Cadastro!$E$33),"")</f>
        <v/>
      </c>
      <c r="I425" s="136" t="str">
        <f>IFERROR(IF($D425="","",VLOOKUP($D425,Cadastro!$C$4:$G$7,5,FALSE)),"")</f>
        <v/>
      </c>
      <c r="J425" s="137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8">
        <v>46250</v>
      </c>
      <c r="B426" s="25">
        <f t="shared" si="105"/>
        <v>1.083333333333333</v>
      </c>
      <c r="C426" s="26"/>
      <c r="D426" s="59"/>
      <c r="E426" s="109"/>
      <c r="F426" s="135" t="str">
        <f>IFERROR(IF($D426="","",VLOOKUP($D426,Cadastro!$C$4:$E$7,3,FALSE)),"")</f>
        <v/>
      </c>
      <c r="G426" s="106"/>
      <c r="H426" s="135" t="str">
        <f>IFERROR(IF($G426="","",$G426*$S$432/$G$432/Cadastro!$E$33),"")</f>
        <v/>
      </c>
      <c r="I426" s="136" t="str">
        <f>IFERROR(IF($D426="","",VLOOKUP($D426,Cadastro!$C$4:$G$7,5,FALSE)),"")</f>
        <v/>
      </c>
      <c r="J426" s="137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9">
        <v>46250</v>
      </c>
      <c r="B427" s="32">
        <f t="shared" si="105"/>
        <v>1.1249999999999998</v>
      </c>
      <c r="C427" s="26"/>
      <c r="D427" s="59"/>
      <c r="E427" s="109"/>
      <c r="F427" s="135" t="str">
        <f>IFERROR(IF($D427="","",VLOOKUP($D427,Cadastro!$C$4:$E$7,3,FALSE)),"")</f>
        <v/>
      </c>
      <c r="G427" s="106"/>
      <c r="H427" s="135" t="str">
        <f>IFERROR(IF($G427="","",$G427*$S$432/$G$432/Cadastro!$E$33),"")</f>
        <v/>
      </c>
      <c r="I427" s="136" t="str">
        <f>IFERROR(IF($D427="","",VLOOKUP($D427,Cadastro!$C$4:$G$7,5,FALSE)),"")</f>
        <v/>
      </c>
      <c r="J427" s="137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8">
        <v>46250</v>
      </c>
      <c r="B428" s="25">
        <f t="shared" si="105"/>
        <v>1.1666666666666665</v>
      </c>
      <c r="C428" s="26"/>
      <c r="D428" s="59"/>
      <c r="E428" s="109"/>
      <c r="F428" s="135" t="str">
        <f>IFERROR(IF($D428="","",VLOOKUP($D428,Cadastro!$C$4:$E$7,3,FALSE)),"")</f>
        <v/>
      </c>
      <c r="G428" s="106"/>
      <c r="H428" s="135" t="str">
        <f>IFERROR(IF($G428="","",$G428*$S$432/$G$432/Cadastro!$E$33),"")</f>
        <v/>
      </c>
      <c r="I428" s="136" t="str">
        <f>IFERROR(IF($D428="","",VLOOKUP($D428,Cadastro!$C$4:$G$7,5,FALSE)),"")</f>
        <v/>
      </c>
      <c r="J428" s="137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9">
        <v>46250</v>
      </c>
      <c r="B429" s="32">
        <f t="shared" si="105"/>
        <v>1.2083333333333333</v>
      </c>
      <c r="C429" s="26"/>
      <c r="D429" s="59"/>
      <c r="E429" s="109"/>
      <c r="F429" s="135" t="str">
        <f>IFERROR(IF($D429="","",VLOOKUP($D429,Cadastro!$C$4:$E$7,3,FALSE)),"")</f>
        <v/>
      </c>
      <c r="G429" s="106"/>
      <c r="H429" s="135" t="str">
        <f>IFERROR(IF($G429="","",$G429*$S$432/$G$432/Cadastro!$E$33),"")</f>
        <v/>
      </c>
      <c r="I429" s="136" t="str">
        <f>IFERROR(IF($D429="","",VLOOKUP($D429,Cadastro!$C$4:$G$7,5,FALSE)),"")</f>
        <v/>
      </c>
      <c r="J429" s="137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8">
        <v>46250</v>
      </c>
      <c r="B430" s="25">
        <f t="shared" si="105"/>
        <v>1.25</v>
      </c>
      <c r="C430" s="26"/>
      <c r="D430" s="59"/>
      <c r="E430" s="109"/>
      <c r="F430" s="135" t="str">
        <f>IFERROR(IF($D430="","",VLOOKUP($D430,Cadastro!$C$4:$E$7,3,FALSE)),"")</f>
        <v/>
      </c>
      <c r="G430" s="106"/>
      <c r="H430" s="135" t="str">
        <f>IFERROR(IF($G430="","",$G430*$S$432/$G$432/Cadastro!$E$33),"")</f>
        <v/>
      </c>
      <c r="I430" s="136" t="str">
        <f>IFERROR(IF($D430="","",VLOOKUP($D430,Cadastro!$C$4:$G$7,5,FALSE)),"")</f>
        <v/>
      </c>
      <c r="J430" s="137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9">
        <v>46250</v>
      </c>
      <c r="B431" s="32">
        <f t="shared" si="105"/>
        <v>1.2916666666666667</v>
      </c>
      <c r="C431" s="26"/>
      <c r="D431" s="59"/>
      <c r="E431" s="109"/>
      <c r="F431" s="138" t="str">
        <f>IFERROR(IF($D431="","",VLOOKUP($D431,Cadastro!$C$4:$E$7,3,FALSE)),"")</f>
        <v/>
      </c>
      <c r="G431" s="106"/>
      <c r="H431" s="138" t="str">
        <f>IFERROR(IF($G431="","",$G431*$S$432/$G$432/Cadastro!$E$33),"")</f>
        <v/>
      </c>
      <c r="I431" s="139" t="str">
        <f>IFERROR(IF($D431="","",VLOOKUP($D431,Cadastro!$C$4:$G$7,5,FALSE)),"")</f>
        <v/>
      </c>
      <c r="J431" s="140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9" t="s">
        <v>244</v>
      </c>
      <c r="B432" s="80"/>
      <c r="C432" s="80"/>
      <c r="D432" s="80"/>
      <c r="E432" s="80"/>
      <c r="F432" s="112"/>
      <c r="G432" s="81">
        <f>SUM(G420:G431)</f>
        <v>0</v>
      </c>
      <c r="H432" s="112">
        <f>IFERROR(SUM(H420:H431),"")</f>
        <v>0</v>
      </c>
      <c r="I432" s="116"/>
      <c r="J432" s="125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3">
        <f>IFERROR(J432,"")</f>
        <v>0</v>
      </c>
    </row>
    <row r="433" spans="1:20" ht="18" customHeight="1">
      <c r="A433" s="84" t="s">
        <v>245</v>
      </c>
      <c r="B433" s="83"/>
      <c r="C433" s="83"/>
      <c r="D433" s="83"/>
      <c r="E433" s="83"/>
      <c r="F433" s="113"/>
      <c r="G433" s="92">
        <f>G419+G432</f>
        <v>0</v>
      </c>
      <c r="H433" s="113">
        <f>IFERROR(H419+H432,"")</f>
        <v>0</v>
      </c>
      <c r="I433" s="117"/>
      <c r="J433" s="126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4">
        <f>IFERROR(S419+S432,"")</f>
        <v>0</v>
      </c>
      <c r="T433" s="145">
        <f>IFERROR(J433,"")</f>
        <v>0</v>
      </c>
    </row>
    <row r="434" spans="1:20" ht="15" customHeight="1">
      <c r="A434" s="68">
        <v>46251</v>
      </c>
      <c r="B434" s="25">
        <v>0.33333333333333298</v>
      </c>
      <c r="C434" s="26"/>
      <c r="D434" s="59"/>
      <c r="E434" s="109"/>
      <c r="F434" s="141" t="str">
        <f>IFERROR(IF($D434="","",VLOOKUP($D434,Cadastro!$C$4:$E$7,3,FALSE)),"")</f>
        <v/>
      </c>
      <c r="G434" s="106"/>
      <c r="H434" s="141" t="str">
        <f>IFERROR(IF($G434="","",$G434*$S$446/$G$446/Cadastro!$E$33),"")</f>
        <v/>
      </c>
      <c r="I434" s="142" t="str">
        <f>IFERROR(IF($D434="","",VLOOKUP($D434,Cadastro!$C$4:$G$7,5,FALSE)),"")</f>
        <v/>
      </c>
      <c r="J434" s="143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9">
        <v>46251</v>
      </c>
      <c r="B435" s="32">
        <f t="shared" ref="B435:B445" si="109">B434+TIME(0,60,0)</f>
        <v>0.37499999999999967</v>
      </c>
      <c r="C435" s="26"/>
      <c r="D435" s="59"/>
      <c r="E435" s="109"/>
      <c r="F435" s="135" t="str">
        <f>IFERROR(IF($D435="","",VLOOKUP($D435,Cadastro!$C$4:$E$7,3,FALSE)),"")</f>
        <v/>
      </c>
      <c r="G435" s="106"/>
      <c r="H435" s="135" t="str">
        <f>IFERROR(IF($G435="","",$G435*$S$446/$G$446/Cadastro!$E$33),"")</f>
        <v/>
      </c>
      <c r="I435" s="136" t="str">
        <f>IFERROR(IF($D435="","",VLOOKUP($D435,Cadastro!$C$4:$G$7,5,FALSE)),"")</f>
        <v/>
      </c>
      <c r="J435" s="137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8">
        <v>46251</v>
      </c>
      <c r="B436" s="25">
        <f t="shared" si="109"/>
        <v>0.41666666666666635</v>
      </c>
      <c r="C436" s="26"/>
      <c r="D436" s="59"/>
      <c r="E436" s="109"/>
      <c r="F436" s="135" t="str">
        <f>IFERROR(IF($D436="","",VLOOKUP($D436,Cadastro!$C$4:$E$7,3,FALSE)),"")</f>
        <v/>
      </c>
      <c r="G436" s="106"/>
      <c r="H436" s="135" t="str">
        <f>IFERROR(IF($G436="","",$G436*$S$446/$G$446/Cadastro!$E$33),"")</f>
        <v/>
      </c>
      <c r="I436" s="136" t="str">
        <f>IFERROR(IF($D436="","",VLOOKUP($D436,Cadastro!$C$4:$G$7,5,FALSE)),"")</f>
        <v/>
      </c>
      <c r="J436" s="137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9">
        <v>46251</v>
      </c>
      <c r="B437" s="32">
        <f t="shared" si="109"/>
        <v>0.45833333333333304</v>
      </c>
      <c r="C437" s="26"/>
      <c r="D437" s="59"/>
      <c r="E437" s="109"/>
      <c r="F437" s="135" t="str">
        <f>IFERROR(IF($D437="","",VLOOKUP($D437,Cadastro!$C$4:$E$7,3,FALSE)),"")</f>
        <v/>
      </c>
      <c r="G437" s="106"/>
      <c r="H437" s="135" t="str">
        <f>IFERROR(IF($G437="","",$G437*$S$446/$G$446/Cadastro!$E$33),"")</f>
        <v/>
      </c>
      <c r="I437" s="136" t="str">
        <f>IFERROR(IF($D437="","",VLOOKUP($D437,Cadastro!$C$4:$G$7,5,FALSE)),"")</f>
        <v/>
      </c>
      <c r="J437" s="137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8">
        <v>46251</v>
      </c>
      <c r="B438" s="25">
        <f t="shared" si="109"/>
        <v>0.49999999999999972</v>
      </c>
      <c r="C438" s="26"/>
      <c r="D438" s="59"/>
      <c r="E438" s="109"/>
      <c r="F438" s="135" t="str">
        <f>IFERROR(IF($D438="","",VLOOKUP($D438,Cadastro!$C$4:$E$7,3,FALSE)),"")</f>
        <v/>
      </c>
      <c r="G438" s="106"/>
      <c r="H438" s="135" t="str">
        <f>IFERROR(IF($G438="","",$G438*$S$446/$G$446/Cadastro!$E$33),"")</f>
        <v/>
      </c>
      <c r="I438" s="136" t="str">
        <f>IFERROR(IF($D438="","",VLOOKUP($D438,Cadastro!$C$4:$G$7,5,FALSE)),"")</f>
        <v/>
      </c>
      <c r="J438" s="137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9">
        <v>46251</v>
      </c>
      <c r="B439" s="32">
        <f t="shared" si="109"/>
        <v>0.54166666666666641</v>
      </c>
      <c r="C439" s="26"/>
      <c r="D439" s="59"/>
      <c r="E439" s="109"/>
      <c r="F439" s="135" t="str">
        <f>IFERROR(IF($D439="","",VLOOKUP($D439,Cadastro!$C$4:$E$7,3,FALSE)),"")</f>
        <v/>
      </c>
      <c r="G439" s="106"/>
      <c r="H439" s="135" t="str">
        <f>IFERROR(IF($G439="","",$G439*$S$446/$G$446/Cadastro!$E$33),"")</f>
        <v/>
      </c>
      <c r="I439" s="136" t="str">
        <f>IFERROR(IF($D439="","",VLOOKUP($D439,Cadastro!$C$4:$G$7,5,FALSE)),"")</f>
        <v/>
      </c>
      <c r="J439" s="137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8">
        <v>46251</v>
      </c>
      <c r="B440" s="25">
        <f t="shared" si="109"/>
        <v>0.58333333333333304</v>
      </c>
      <c r="C440" s="26"/>
      <c r="D440" s="59"/>
      <c r="E440" s="109"/>
      <c r="F440" s="135" t="str">
        <f>IFERROR(IF($D440="","",VLOOKUP($D440,Cadastro!$C$4:$E$7,3,FALSE)),"")</f>
        <v/>
      </c>
      <c r="G440" s="106"/>
      <c r="H440" s="135" t="str">
        <f>IFERROR(IF($G440="","",$G440*$S$446/$G$446/Cadastro!$E$33),"")</f>
        <v/>
      </c>
      <c r="I440" s="136" t="str">
        <f>IFERROR(IF($D440="","",VLOOKUP($D440,Cadastro!$C$4:$G$7,5,FALSE)),"")</f>
        <v/>
      </c>
      <c r="J440" s="137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9">
        <v>46251</v>
      </c>
      <c r="B441" s="32">
        <f t="shared" si="109"/>
        <v>0.62499999999999967</v>
      </c>
      <c r="C441" s="26"/>
      <c r="D441" s="59"/>
      <c r="E441" s="109"/>
      <c r="F441" s="135" t="str">
        <f>IFERROR(IF($D441="","",VLOOKUP($D441,Cadastro!$C$4:$E$7,3,FALSE)),"")</f>
        <v/>
      </c>
      <c r="G441" s="106"/>
      <c r="H441" s="135" t="str">
        <f>IFERROR(IF($G441="","",$G441*$S$446/$G$446/Cadastro!$E$33),"")</f>
        <v/>
      </c>
      <c r="I441" s="136" t="str">
        <f>IFERROR(IF($D441="","",VLOOKUP($D441,Cadastro!$C$4:$G$7,5,FALSE)),"")</f>
        <v/>
      </c>
      <c r="J441" s="137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8">
        <v>46251</v>
      </c>
      <c r="B442" s="25">
        <f t="shared" si="109"/>
        <v>0.6666666666666663</v>
      </c>
      <c r="C442" s="26"/>
      <c r="D442" s="59"/>
      <c r="E442" s="109"/>
      <c r="F442" s="135" t="str">
        <f>IFERROR(IF($D442="","",VLOOKUP($D442,Cadastro!$C$4:$E$7,3,FALSE)),"")</f>
        <v/>
      </c>
      <c r="G442" s="106"/>
      <c r="H442" s="135" t="str">
        <f>IFERROR(IF($G442="","",$G442*$S$446/$G$446/Cadastro!$E$33),"")</f>
        <v/>
      </c>
      <c r="I442" s="136" t="str">
        <f>IFERROR(IF($D442="","",VLOOKUP($D442,Cadastro!$C$4:$G$7,5,FALSE)),"")</f>
        <v/>
      </c>
      <c r="J442" s="137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9">
        <v>46251</v>
      </c>
      <c r="B443" s="32">
        <f t="shared" si="109"/>
        <v>0.70833333333333293</v>
      </c>
      <c r="C443" s="26"/>
      <c r="D443" s="59"/>
      <c r="E443" s="109"/>
      <c r="F443" s="135" t="str">
        <f>IFERROR(IF($D443="","",VLOOKUP($D443,Cadastro!$C$4:$E$7,3,FALSE)),"")</f>
        <v/>
      </c>
      <c r="G443" s="106"/>
      <c r="H443" s="135" t="str">
        <f>IFERROR(IF($G443="","",$G443*$S$446/$G$446/Cadastro!$E$33),"")</f>
        <v/>
      </c>
      <c r="I443" s="136" t="str">
        <f>IFERROR(IF($D443="","",VLOOKUP($D443,Cadastro!$C$4:$G$7,5,FALSE)),"")</f>
        <v/>
      </c>
      <c r="J443" s="137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8">
        <v>46251</v>
      </c>
      <c r="B444" s="25">
        <f t="shared" si="109"/>
        <v>0.74999999999999956</v>
      </c>
      <c r="C444" s="26"/>
      <c r="D444" s="59"/>
      <c r="E444" s="109"/>
      <c r="F444" s="135" t="str">
        <f>IFERROR(IF($D444="","",VLOOKUP($D444,Cadastro!$C$4:$E$7,3,FALSE)),"")</f>
        <v/>
      </c>
      <c r="G444" s="106"/>
      <c r="H444" s="135" t="str">
        <f>IFERROR(IF($G444="","",$G444*$S$446/$G$446/Cadastro!$E$33),"")</f>
        <v/>
      </c>
      <c r="I444" s="136" t="str">
        <f>IFERROR(IF($D444="","",VLOOKUP($D444,Cadastro!$C$4:$G$7,5,FALSE)),"")</f>
        <v/>
      </c>
      <c r="J444" s="137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9">
        <v>46251</v>
      </c>
      <c r="B445" s="32">
        <f t="shared" si="109"/>
        <v>0.79166666666666619</v>
      </c>
      <c r="C445" s="26"/>
      <c r="D445" s="59"/>
      <c r="E445" s="109"/>
      <c r="F445" s="138" t="str">
        <f>IFERROR(IF($D445="","",VLOOKUP($D445,Cadastro!$C$4:$E$7,3,FALSE)),"")</f>
        <v/>
      </c>
      <c r="G445" s="106"/>
      <c r="H445" s="138" t="str">
        <f>IFERROR(IF($G445="","",$G445*$S$446/$G$446/Cadastro!$E$33),"")</f>
        <v/>
      </c>
      <c r="I445" s="139" t="str">
        <f>IFERROR(IF($D445="","",VLOOKUP($D445,Cadastro!$C$4:$G$7,5,FALSE)),"")</f>
        <v/>
      </c>
      <c r="J445" s="140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2" t="s">
        <v>241</v>
      </c>
      <c r="B446" s="153"/>
      <c r="C446" s="153"/>
      <c r="D446" s="153"/>
      <c r="E446" s="153">
        <f>SUM(E434:E445)</f>
        <v>0</v>
      </c>
      <c r="F446" s="111"/>
      <c r="G446" s="81">
        <f>SUM(G434:G445)</f>
        <v>0</v>
      </c>
      <c r="H446" s="111">
        <f>IFERROR(SUM(H434:H445),"")</f>
        <v>0</v>
      </c>
      <c r="I446" s="115"/>
      <c r="J446" s="124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3">
        <f>IFERROR(J446,"")</f>
        <v>0</v>
      </c>
    </row>
    <row r="447" spans="1:20" ht="15" customHeight="1">
      <c r="A447" s="69">
        <v>46251</v>
      </c>
      <c r="B447" s="32">
        <v>0.83333333333333304</v>
      </c>
      <c r="C447" s="33"/>
      <c r="D447" s="62"/>
      <c r="E447" s="110"/>
      <c r="F447" s="141" t="str">
        <f>IFERROR(IF($D447="","",VLOOKUP($D447,Cadastro!$C$4:$E$7,3,FALSE)),"")</f>
        <v/>
      </c>
      <c r="G447" s="106"/>
      <c r="H447" s="141" t="str">
        <f>IFERROR(IF($G447="","",$G447*$S$459/$G$459/Cadastro!$E$33),"")</f>
        <v/>
      </c>
      <c r="I447" s="142" t="str">
        <f>IFERROR(IF($D447="","",VLOOKUP($D447,Cadastro!$C$4:$G$7,5,FALSE)),"")</f>
        <v/>
      </c>
      <c r="J447" s="143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8">
        <v>46251</v>
      </c>
      <c r="B448" s="25">
        <f t="shared" ref="B448:B458" si="113">B447+TIME(0,60,0)</f>
        <v>0.87499999999999967</v>
      </c>
      <c r="C448" s="33"/>
      <c r="D448" s="62"/>
      <c r="E448" s="110"/>
      <c r="F448" s="135" t="str">
        <f>IFERROR(IF($D448="","",VLOOKUP($D448,Cadastro!$C$4:$E$7,3,FALSE)),"")</f>
        <v/>
      </c>
      <c r="G448" s="106"/>
      <c r="H448" s="135" t="str">
        <f>IFERROR(IF($G448="","",$G448*$S$459/$G$459/Cadastro!$E$33),"")</f>
        <v/>
      </c>
      <c r="I448" s="136" t="str">
        <f>IFERROR(IF($D448="","",VLOOKUP($D448,Cadastro!$C$4:$G$7,5,FALSE)),"")</f>
        <v/>
      </c>
      <c r="J448" s="137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9">
        <v>46251</v>
      </c>
      <c r="B449" s="32">
        <f t="shared" si="113"/>
        <v>0.9166666666666663</v>
      </c>
      <c r="C449" s="33"/>
      <c r="D449" s="62"/>
      <c r="E449" s="110"/>
      <c r="F449" s="135" t="str">
        <f>IFERROR(IF($D449="","",VLOOKUP($D449,Cadastro!$C$4:$E$7,3,FALSE)),"")</f>
        <v/>
      </c>
      <c r="G449" s="106"/>
      <c r="H449" s="135" t="str">
        <f>IFERROR(IF($G449="","",$G449*$S$459/$G$459/Cadastro!$E$33),"")</f>
        <v/>
      </c>
      <c r="I449" s="136" t="str">
        <f>IFERROR(IF($D449="","",VLOOKUP($D449,Cadastro!$C$4:$G$7,5,FALSE)),"")</f>
        <v/>
      </c>
      <c r="J449" s="137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8">
        <v>46251</v>
      </c>
      <c r="B450" s="25">
        <f t="shared" si="113"/>
        <v>0.95833333333333293</v>
      </c>
      <c r="C450" s="33"/>
      <c r="D450" s="62"/>
      <c r="E450" s="110"/>
      <c r="F450" s="135" t="str">
        <f>IFERROR(IF($D450="","",VLOOKUP($D450,Cadastro!$C$4:$E$7,3,FALSE)),"")</f>
        <v/>
      </c>
      <c r="G450" s="106"/>
      <c r="H450" s="135" t="str">
        <f>IFERROR(IF($G450="","",$G450*$S$459/$G$459/Cadastro!$E$33),"")</f>
        <v/>
      </c>
      <c r="I450" s="136" t="str">
        <f>IFERROR(IF($D450="","",VLOOKUP($D450,Cadastro!$C$4:$G$7,5,FALSE)),"")</f>
        <v/>
      </c>
      <c r="J450" s="137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9">
        <v>46251</v>
      </c>
      <c r="B451" s="32">
        <f t="shared" si="113"/>
        <v>0.99999999999999956</v>
      </c>
      <c r="C451" s="33"/>
      <c r="D451" s="62"/>
      <c r="E451" s="110"/>
      <c r="F451" s="135" t="str">
        <f>IFERROR(IF($D451="","",VLOOKUP($D451,Cadastro!$C$4:$E$7,3,FALSE)),"")</f>
        <v/>
      </c>
      <c r="G451" s="106"/>
      <c r="H451" s="135" t="str">
        <f>IFERROR(IF($G451="","",$G451*$S$459/$G$459/Cadastro!$E$33),"")</f>
        <v/>
      </c>
      <c r="I451" s="136" t="str">
        <f>IFERROR(IF($D451="","",VLOOKUP($D451,Cadastro!$C$4:$G$7,5,FALSE)),"")</f>
        <v/>
      </c>
      <c r="J451" s="137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8">
        <v>46251</v>
      </c>
      <c r="B452" s="25">
        <f t="shared" si="113"/>
        <v>1.0416666666666663</v>
      </c>
      <c r="C452" s="33"/>
      <c r="D452" s="62"/>
      <c r="E452" s="110"/>
      <c r="F452" s="135" t="str">
        <f>IFERROR(IF($D452="","",VLOOKUP($D452,Cadastro!$C$4:$E$7,3,FALSE)),"")</f>
        <v/>
      </c>
      <c r="G452" s="106"/>
      <c r="H452" s="135" t="str">
        <f>IFERROR(IF($G452="","",$G452*$S$459/$G$459/Cadastro!$E$33),"")</f>
        <v/>
      </c>
      <c r="I452" s="136" t="str">
        <f>IFERROR(IF($D452="","",VLOOKUP($D452,Cadastro!$C$4:$G$7,5,FALSE)),"")</f>
        <v/>
      </c>
      <c r="J452" s="137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9">
        <v>46251</v>
      </c>
      <c r="B453" s="32">
        <f t="shared" si="113"/>
        <v>1.083333333333333</v>
      </c>
      <c r="C453" s="33"/>
      <c r="D453" s="62"/>
      <c r="E453" s="110"/>
      <c r="F453" s="135" t="str">
        <f>IFERROR(IF($D453="","",VLOOKUP($D453,Cadastro!$C$4:$E$7,3,FALSE)),"")</f>
        <v/>
      </c>
      <c r="G453" s="106"/>
      <c r="H453" s="135" t="str">
        <f>IFERROR(IF($G453="","",$G453*$S$459/$G$459/Cadastro!$E$33),"")</f>
        <v/>
      </c>
      <c r="I453" s="136" t="str">
        <f>IFERROR(IF($D453="","",VLOOKUP($D453,Cadastro!$C$4:$G$7,5,FALSE)),"")</f>
        <v/>
      </c>
      <c r="J453" s="137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8">
        <v>46251</v>
      </c>
      <c r="B454" s="25">
        <f t="shared" si="113"/>
        <v>1.1249999999999998</v>
      </c>
      <c r="C454" s="33"/>
      <c r="D454" s="62"/>
      <c r="E454" s="110"/>
      <c r="F454" s="135" t="str">
        <f>IFERROR(IF($D454="","",VLOOKUP($D454,Cadastro!$C$4:$E$7,3,FALSE)),"")</f>
        <v/>
      </c>
      <c r="G454" s="106"/>
      <c r="H454" s="135" t="str">
        <f>IFERROR(IF($G454="","",$G454*$S$459/$G$459/Cadastro!$E$33),"")</f>
        <v/>
      </c>
      <c r="I454" s="136" t="str">
        <f>IFERROR(IF($D454="","",VLOOKUP($D454,Cadastro!$C$4:$G$7,5,FALSE)),"")</f>
        <v/>
      </c>
      <c r="J454" s="137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9">
        <v>46251</v>
      </c>
      <c r="B455" s="32">
        <f t="shared" si="113"/>
        <v>1.1666666666666665</v>
      </c>
      <c r="C455" s="33"/>
      <c r="D455" s="62"/>
      <c r="E455" s="110"/>
      <c r="F455" s="135" t="str">
        <f>IFERROR(IF($D455="","",VLOOKUP($D455,Cadastro!$C$4:$E$7,3,FALSE)),"")</f>
        <v/>
      </c>
      <c r="G455" s="106"/>
      <c r="H455" s="135" t="str">
        <f>IFERROR(IF($G455="","",$G455*$S$459/$G$459/Cadastro!$E$33),"")</f>
        <v/>
      </c>
      <c r="I455" s="136" t="str">
        <f>IFERROR(IF($D455="","",VLOOKUP($D455,Cadastro!$C$4:$G$7,5,FALSE)),"")</f>
        <v/>
      </c>
      <c r="J455" s="137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8">
        <v>46251</v>
      </c>
      <c r="B456" s="25">
        <f t="shared" si="113"/>
        <v>1.2083333333333333</v>
      </c>
      <c r="C456" s="33"/>
      <c r="D456" s="62"/>
      <c r="E456" s="110"/>
      <c r="F456" s="135" t="str">
        <f>IFERROR(IF($D456="","",VLOOKUP($D456,Cadastro!$C$4:$E$7,3,FALSE)),"")</f>
        <v/>
      </c>
      <c r="G456" s="106"/>
      <c r="H456" s="135" t="str">
        <f>IFERROR(IF($G456="","",$G456*$S$459/$G$459/Cadastro!$E$33),"")</f>
        <v/>
      </c>
      <c r="I456" s="136" t="str">
        <f>IFERROR(IF($D456="","",VLOOKUP($D456,Cadastro!$C$4:$G$7,5,FALSE)),"")</f>
        <v/>
      </c>
      <c r="J456" s="137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9">
        <v>46251</v>
      </c>
      <c r="B457" s="32">
        <f t="shared" si="113"/>
        <v>1.25</v>
      </c>
      <c r="C457" s="33"/>
      <c r="D457" s="62"/>
      <c r="E457" s="110"/>
      <c r="F457" s="135" t="str">
        <f>IFERROR(IF($D457="","",VLOOKUP($D457,Cadastro!$C$4:$E$7,3,FALSE)),"")</f>
        <v/>
      </c>
      <c r="G457" s="106"/>
      <c r="H457" s="135" t="str">
        <f>IFERROR(IF($G457="","",$G457*$S$459/$G$459/Cadastro!$E$33),"")</f>
        <v/>
      </c>
      <c r="I457" s="136" t="str">
        <f>IFERROR(IF($D457="","",VLOOKUP($D457,Cadastro!$C$4:$G$7,5,FALSE)),"")</f>
        <v/>
      </c>
      <c r="J457" s="137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8">
        <v>46251</v>
      </c>
      <c r="B458" s="25">
        <f t="shared" si="113"/>
        <v>1.2916666666666667</v>
      </c>
      <c r="C458" s="33"/>
      <c r="D458" s="62"/>
      <c r="E458" s="110"/>
      <c r="F458" s="138" t="str">
        <f>IFERROR(IF($D458="","",VLOOKUP($D458,Cadastro!$C$4:$E$7,3,FALSE)),"")</f>
        <v/>
      </c>
      <c r="G458" s="106"/>
      <c r="H458" s="138" t="str">
        <f>IFERROR(IF($G458="","",$G458*$S$459/$G$459/Cadastro!$E$33),"")</f>
        <v/>
      </c>
      <c r="I458" s="139" t="str">
        <f>IFERROR(IF($D458="","",VLOOKUP($D458,Cadastro!$C$4:$G$7,5,FALSE)),"")</f>
        <v/>
      </c>
      <c r="J458" s="140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2" t="s">
        <v>244</v>
      </c>
      <c r="B459" s="153"/>
      <c r="C459" s="153"/>
      <c r="D459" s="153"/>
      <c r="E459" s="153">
        <f>SUM(E447:E458)</f>
        <v>0</v>
      </c>
      <c r="F459" s="112"/>
      <c r="G459" s="81">
        <f>SUM(G447:G458)</f>
        <v>0</v>
      </c>
      <c r="H459" s="112">
        <f>IFERROR(SUM(H447:H458),"")</f>
        <v>0</v>
      </c>
      <c r="I459" s="116"/>
      <c r="J459" s="125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3">
        <f>IFERROR(J459,"")</f>
        <v>0</v>
      </c>
    </row>
    <row r="460" spans="1:20" ht="18" customHeight="1">
      <c r="A460" s="150" t="s">
        <v>245</v>
      </c>
      <c r="B460" s="151"/>
      <c r="C460" s="151"/>
      <c r="D460" s="151"/>
      <c r="E460" s="151">
        <f>E446+E459</f>
        <v>0</v>
      </c>
      <c r="F460" s="113"/>
      <c r="G460" s="92">
        <f>G446+G459</f>
        <v>0</v>
      </c>
      <c r="H460" s="113">
        <f>IFERROR(H446+H459,"")</f>
        <v>0</v>
      </c>
      <c r="I460" s="117"/>
      <c r="J460" s="126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4">
        <f>IFERROR(S446+S459,"")</f>
        <v>0</v>
      </c>
      <c r="T460" s="145">
        <f>IFERROR(J460,"")</f>
        <v>0</v>
      </c>
    </row>
    <row r="461" spans="1:20" ht="15" customHeight="1">
      <c r="A461" s="69">
        <v>46252</v>
      </c>
      <c r="B461" s="32">
        <v>0.33333333333333298</v>
      </c>
      <c r="C461" s="33"/>
      <c r="D461" s="62"/>
      <c r="E461" s="110"/>
      <c r="F461" s="141" t="str">
        <f>IFERROR(IF($D461="","",VLOOKUP($D461,Cadastro!$C$4:$E$7,3,FALSE)),"")</f>
        <v/>
      </c>
      <c r="G461" s="106"/>
      <c r="H461" s="141" t="str">
        <f>IFERROR(IF($G461="","",$G461*$S$473/$G$473/Cadastro!$E$33),"")</f>
        <v/>
      </c>
      <c r="I461" s="142" t="str">
        <f>IFERROR(IF($D461="","",VLOOKUP($D461,Cadastro!$C$4:$G$7,5,FALSE)),"")</f>
        <v/>
      </c>
      <c r="J461" s="143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8">
        <v>46252</v>
      </c>
      <c r="B462" s="25">
        <f t="shared" ref="B462:B472" si="117">B461+TIME(0,60,0)</f>
        <v>0.37499999999999967</v>
      </c>
      <c r="C462" s="33"/>
      <c r="D462" s="62"/>
      <c r="E462" s="110"/>
      <c r="F462" s="135" t="str">
        <f>IFERROR(IF($D462="","",VLOOKUP($D462,Cadastro!$C$4:$E$7,3,FALSE)),"")</f>
        <v/>
      </c>
      <c r="G462" s="106"/>
      <c r="H462" s="135" t="str">
        <f>IFERROR(IF($G462="","",$G462*$S$473/$G$473/Cadastro!$E$33),"")</f>
        <v/>
      </c>
      <c r="I462" s="136" t="str">
        <f>IFERROR(IF($D462="","",VLOOKUP($D462,Cadastro!$C$4:$G$7,5,FALSE)),"")</f>
        <v/>
      </c>
      <c r="J462" s="137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9">
        <v>46252</v>
      </c>
      <c r="B463" s="32">
        <f t="shared" si="117"/>
        <v>0.41666666666666635</v>
      </c>
      <c r="C463" s="33"/>
      <c r="D463" s="62"/>
      <c r="E463" s="110"/>
      <c r="F463" s="135" t="str">
        <f>IFERROR(IF($D463="","",VLOOKUP($D463,Cadastro!$C$4:$E$7,3,FALSE)),"")</f>
        <v/>
      </c>
      <c r="G463" s="106"/>
      <c r="H463" s="135" t="str">
        <f>IFERROR(IF($G463="","",$G463*$S$473/$G$473/Cadastro!$E$33),"")</f>
        <v/>
      </c>
      <c r="I463" s="136" t="str">
        <f>IFERROR(IF($D463="","",VLOOKUP($D463,Cadastro!$C$4:$G$7,5,FALSE)),"")</f>
        <v/>
      </c>
      <c r="J463" s="137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8">
        <v>46252</v>
      </c>
      <c r="B464" s="25">
        <f t="shared" si="117"/>
        <v>0.45833333333333304</v>
      </c>
      <c r="C464" s="33"/>
      <c r="D464" s="62"/>
      <c r="E464" s="110"/>
      <c r="F464" s="135" t="str">
        <f>IFERROR(IF($D464="","",VLOOKUP($D464,Cadastro!$C$4:$E$7,3,FALSE)),"")</f>
        <v/>
      </c>
      <c r="G464" s="106"/>
      <c r="H464" s="135" t="str">
        <f>IFERROR(IF($G464="","",$G464*$S$473/$G$473/Cadastro!$E$33),"")</f>
        <v/>
      </c>
      <c r="I464" s="136" t="str">
        <f>IFERROR(IF($D464="","",VLOOKUP($D464,Cadastro!$C$4:$G$7,5,FALSE)),"")</f>
        <v/>
      </c>
      <c r="J464" s="137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9">
        <v>46252</v>
      </c>
      <c r="B465" s="32">
        <f t="shared" si="117"/>
        <v>0.49999999999999972</v>
      </c>
      <c r="C465" s="33"/>
      <c r="D465" s="62"/>
      <c r="E465" s="110"/>
      <c r="F465" s="135" t="str">
        <f>IFERROR(IF($D465="","",VLOOKUP($D465,Cadastro!$C$4:$E$7,3,FALSE)),"")</f>
        <v/>
      </c>
      <c r="G465" s="106"/>
      <c r="H465" s="135" t="str">
        <f>IFERROR(IF($G465="","",$G465*$S$473/$G$473/Cadastro!$E$33),"")</f>
        <v/>
      </c>
      <c r="I465" s="136" t="str">
        <f>IFERROR(IF($D465="","",VLOOKUP($D465,Cadastro!$C$4:$G$7,5,FALSE)),"")</f>
        <v/>
      </c>
      <c r="J465" s="137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8">
        <v>46252</v>
      </c>
      <c r="B466" s="25">
        <f t="shared" si="117"/>
        <v>0.54166666666666641</v>
      </c>
      <c r="C466" s="33"/>
      <c r="D466" s="62"/>
      <c r="E466" s="110"/>
      <c r="F466" s="135" t="str">
        <f>IFERROR(IF($D466="","",VLOOKUP($D466,Cadastro!$C$4:$E$7,3,FALSE)),"")</f>
        <v/>
      </c>
      <c r="G466" s="106"/>
      <c r="H466" s="135" t="str">
        <f>IFERROR(IF($G466="","",$G466*$S$473/$G$473/Cadastro!$E$33),"")</f>
        <v/>
      </c>
      <c r="I466" s="136" t="str">
        <f>IFERROR(IF($D466="","",VLOOKUP($D466,Cadastro!$C$4:$G$7,5,FALSE)),"")</f>
        <v/>
      </c>
      <c r="J466" s="137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9">
        <v>46252</v>
      </c>
      <c r="B467" s="32">
        <f t="shared" si="117"/>
        <v>0.58333333333333304</v>
      </c>
      <c r="C467" s="33"/>
      <c r="D467" s="62"/>
      <c r="E467" s="110"/>
      <c r="F467" s="135" t="str">
        <f>IFERROR(IF($D467="","",VLOOKUP($D467,Cadastro!$C$4:$E$7,3,FALSE)),"")</f>
        <v/>
      </c>
      <c r="G467" s="106"/>
      <c r="H467" s="135" t="str">
        <f>IFERROR(IF($G467="","",$G467*$S$473/$G$473/Cadastro!$E$33),"")</f>
        <v/>
      </c>
      <c r="I467" s="136" t="str">
        <f>IFERROR(IF($D467="","",VLOOKUP($D467,Cadastro!$C$4:$G$7,5,FALSE)),"")</f>
        <v/>
      </c>
      <c r="J467" s="137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8">
        <v>46252</v>
      </c>
      <c r="B468" s="25">
        <f t="shared" si="117"/>
        <v>0.62499999999999967</v>
      </c>
      <c r="C468" s="33"/>
      <c r="D468" s="62"/>
      <c r="E468" s="110"/>
      <c r="F468" s="135" t="str">
        <f>IFERROR(IF($D468="","",VLOOKUP($D468,Cadastro!$C$4:$E$7,3,FALSE)),"")</f>
        <v/>
      </c>
      <c r="G468" s="106"/>
      <c r="H468" s="135" t="str">
        <f>IFERROR(IF($G468="","",$G468*$S$473/$G$473/Cadastro!$E$33),"")</f>
        <v/>
      </c>
      <c r="I468" s="136" t="str">
        <f>IFERROR(IF($D468="","",VLOOKUP($D468,Cadastro!$C$4:$G$7,5,FALSE)),"")</f>
        <v/>
      </c>
      <c r="J468" s="137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9">
        <v>46252</v>
      </c>
      <c r="B469" s="32">
        <f t="shared" si="117"/>
        <v>0.6666666666666663</v>
      </c>
      <c r="C469" s="33"/>
      <c r="D469" s="62"/>
      <c r="E469" s="110"/>
      <c r="F469" s="135" t="str">
        <f>IFERROR(IF($D469="","",VLOOKUP($D469,Cadastro!$C$4:$E$7,3,FALSE)),"")</f>
        <v/>
      </c>
      <c r="G469" s="106"/>
      <c r="H469" s="135" t="str">
        <f>IFERROR(IF($G469="","",$G469*$S$473/$G$473/Cadastro!$E$33),"")</f>
        <v/>
      </c>
      <c r="I469" s="136" t="str">
        <f>IFERROR(IF($D469="","",VLOOKUP($D469,Cadastro!$C$4:$G$7,5,FALSE)),"")</f>
        <v/>
      </c>
      <c r="J469" s="137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8">
        <v>46252</v>
      </c>
      <c r="B470" s="25">
        <f t="shared" si="117"/>
        <v>0.70833333333333293</v>
      </c>
      <c r="C470" s="33"/>
      <c r="D470" s="62"/>
      <c r="E470" s="110"/>
      <c r="F470" s="135" t="str">
        <f>IFERROR(IF($D470="","",VLOOKUP($D470,Cadastro!$C$4:$E$7,3,FALSE)),"")</f>
        <v/>
      </c>
      <c r="G470" s="106"/>
      <c r="H470" s="135" t="str">
        <f>IFERROR(IF($G470="","",$G470*$S$473/$G$473/Cadastro!$E$33),"")</f>
        <v/>
      </c>
      <c r="I470" s="136" t="str">
        <f>IFERROR(IF($D470="","",VLOOKUP($D470,Cadastro!$C$4:$G$7,5,FALSE)),"")</f>
        <v/>
      </c>
      <c r="J470" s="137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9">
        <v>46252</v>
      </c>
      <c r="B471" s="32">
        <f t="shared" si="117"/>
        <v>0.74999999999999956</v>
      </c>
      <c r="C471" s="33"/>
      <c r="D471" s="62"/>
      <c r="E471" s="110"/>
      <c r="F471" s="135" t="str">
        <f>IFERROR(IF($D471="","",VLOOKUP($D471,Cadastro!$C$4:$E$7,3,FALSE)),"")</f>
        <v/>
      </c>
      <c r="G471" s="106"/>
      <c r="H471" s="135" t="str">
        <f>IFERROR(IF($G471="","",$G471*$S$473/$G$473/Cadastro!$E$33),"")</f>
        <v/>
      </c>
      <c r="I471" s="136" t="str">
        <f>IFERROR(IF($D471="","",VLOOKUP($D471,Cadastro!$C$4:$G$7,5,FALSE)),"")</f>
        <v/>
      </c>
      <c r="J471" s="137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8">
        <v>46252</v>
      </c>
      <c r="B472" s="25">
        <f t="shared" si="117"/>
        <v>0.79166666666666619</v>
      </c>
      <c r="C472" s="33"/>
      <c r="D472" s="62"/>
      <c r="E472" s="110"/>
      <c r="F472" s="138" t="str">
        <f>IFERROR(IF($D472="","",VLOOKUP($D472,Cadastro!$C$4:$E$7,3,FALSE)),"")</f>
        <v/>
      </c>
      <c r="G472" s="106"/>
      <c r="H472" s="138" t="str">
        <f>IFERROR(IF($G472="","",$G472*$S$473/$G$473/Cadastro!$E$33),"")</f>
        <v/>
      </c>
      <c r="I472" s="139" t="str">
        <f>IFERROR(IF($D472="","",VLOOKUP($D472,Cadastro!$C$4:$G$7,5,FALSE)),"")</f>
        <v/>
      </c>
      <c r="J472" s="140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2" t="s">
        <v>241</v>
      </c>
      <c r="B473" s="153"/>
      <c r="C473" s="153"/>
      <c r="D473" s="153"/>
      <c r="E473" s="153">
        <f>SUM(E461:E472)</f>
        <v>0</v>
      </c>
      <c r="F473" s="111"/>
      <c r="G473" s="81">
        <f>SUM(G461:G472)</f>
        <v>0</v>
      </c>
      <c r="H473" s="111">
        <f>IFERROR(SUM(H461:H472),"")</f>
        <v>0</v>
      </c>
      <c r="I473" s="115"/>
      <c r="J473" s="124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3">
        <f>IFERROR(J473,"")</f>
        <v>0</v>
      </c>
    </row>
    <row r="474" spans="1:20" ht="15" customHeight="1">
      <c r="A474" s="68">
        <v>46252</v>
      </c>
      <c r="B474" s="25">
        <v>0.83333333333333304</v>
      </c>
      <c r="C474" s="26"/>
      <c r="D474" s="59"/>
      <c r="E474" s="109"/>
      <c r="F474" s="141" t="str">
        <f>IFERROR(IF($D474="","",VLOOKUP($D474,Cadastro!$C$4:$E$7,3,FALSE)),"")</f>
        <v/>
      </c>
      <c r="G474" s="106"/>
      <c r="H474" s="141" t="str">
        <f>IFERROR(IF($G474="","",$G474*$S$486/$G$486/Cadastro!$E$33),"")</f>
        <v/>
      </c>
      <c r="I474" s="142" t="str">
        <f>IFERROR(IF($D474="","",VLOOKUP($D474,Cadastro!$C$4:$G$7,5,FALSE)),"")</f>
        <v/>
      </c>
      <c r="J474" s="143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9">
        <v>46252</v>
      </c>
      <c r="B475" s="32">
        <f t="shared" ref="B475:B485" si="121">B474+TIME(0,60,0)</f>
        <v>0.87499999999999967</v>
      </c>
      <c r="C475" s="26"/>
      <c r="D475" s="59"/>
      <c r="E475" s="109"/>
      <c r="F475" s="135" t="str">
        <f>IFERROR(IF($D475="","",VLOOKUP($D475,Cadastro!$C$4:$E$7,3,FALSE)),"")</f>
        <v/>
      </c>
      <c r="G475" s="106"/>
      <c r="H475" s="135" t="str">
        <f>IFERROR(IF($G475="","",$G475*$S$486/$G$486/Cadastro!$E$33),"")</f>
        <v/>
      </c>
      <c r="I475" s="136" t="str">
        <f>IFERROR(IF($D475="","",VLOOKUP($D475,Cadastro!$C$4:$G$7,5,FALSE)),"")</f>
        <v/>
      </c>
      <c r="J475" s="137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8">
        <v>46252</v>
      </c>
      <c r="B476" s="25">
        <f t="shared" si="121"/>
        <v>0.9166666666666663</v>
      </c>
      <c r="C476" s="26"/>
      <c r="D476" s="59"/>
      <c r="E476" s="109"/>
      <c r="F476" s="135" t="str">
        <f>IFERROR(IF($D476="","",VLOOKUP($D476,Cadastro!$C$4:$E$7,3,FALSE)),"")</f>
        <v/>
      </c>
      <c r="G476" s="106"/>
      <c r="H476" s="135" t="str">
        <f>IFERROR(IF($G476="","",$G476*$S$486/$G$486/Cadastro!$E$33),"")</f>
        <v/>
      </c>
      <c r="I476" s="136" t="str">
        <f>IFERROR(IF($D476="","",VLOOKUP($D476,Cadastro!$C$4:$G$7,5,FALSE)),"")</f>
        <v/>
      </c>
      <c r="J476" s="137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9">
        <v>46252</v>
      </c>
      <c r="B477" s="32">
        <f t="shared" si="121"/>
        <v>0.95833333333333293</v>
      </c>
      <c r="C477" s="26"/>
      <c r="D477" s="59"/>
      <c r="E477" s="109"/>
      <c r="F477" s="135" t="str">
        <f>IFERROR(IF($D477="","",VLOOKUP($D477,Cadastro!$C$4:$E$7,3,FALSE)),"")</f>
        <v/>
      </c>
      <c r="G477" s="106"/>
      <c r="H477" s="135" t="str">
        <f>IFERROR(IF($G477="","",$G477*$S$486/$G$486/Cadastro!$E$33),"")</f>
        <v/>
      </c>
      <c r="I477" s="136" t="str">
        <f>IFERROR(IF($D477="","",VLOOKUP($D477,Cadastro!$C$4:$G$7,5,FALSE)),"")</f>
        <v/>
      </c>
      <c r="J477" s="137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8">
        <v>46252</v>
      </c>
      <c r="B478" s="25">
        <f t="shared" si="121"/>
        <v>0.99999999999999956</v>
      </c>
      <c r="C478" s="26"/>
      <c r="D478" s="59"/>
      <c r="E478" s="109"/>
      <c r="F478" s="135" t="str">
        <f>IFERROR(IF($D478="","",VLOOKUP($D478,Cadastro!$C$4:$E$7,3,FALSE)),"")</f>
        <v/>
      </c>
      <c r="G478" s="106"/>
      <c r="H478" s="135" t="str">
        <f>IFERROR(IF($G478="","",$G478*$S$486/$G$486/Cadastro!$E$33),"")</f>
        <v/>
      </c>
      <c r="I478" s="136" t="str">
        <f>IFERROR(IF($D478="","",VLOOKUP($D478,Cadastro!$C$4:$G$7,5,FALSE)),"")</f>
        <v/>
      </c>
      <c r="J478" s="137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9">
        <v>46252</v>
      </c>
      <c r="B479" s="32">
        <f t="shared" si="121"/>
        <v>1.0416666666666663</v>
      </c>
      <c r="C479" s="26"/>
      <c r="D479" s="59"/>
      <c r="E479" s="109"/>
      <c r="F479" s="135" t="str">
        <f>IFERROR(IF($D479="","",VLOOKUP($D479,Cadastro!$C$4:$E$7,3,FALSE)),"")</f>
        <v/>
      </c>
      <c r="G479" s="106"/>
      <c r="H479" s="135" t="str">
        <f>IFERROR(IF($G479="","",$G479*$S$486/$G$486/Cadastro!$E$33),"")</f>
        <v/>
      </c>
      <c r="I479" s="136" t="str">
        <f>IFERROR(IF($D479="","",VLOOKUP($D479,Cadastro!$C$4:$G$7,5,FALSE)),"")</f>
        <v/>
      </c>
      <c r="J479" s="137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8">
        <v>46252</v>
      </c>
      <c r="B480" s="25">
        <f t="shared" si="121"/>
        <v>1.083333333333333</v>
      </c>
      <c r="C480" s="26"/>
      <c r="D480" s="59"/>
      <c r="E480" s="109"/>
      <c r="F480" s="135" t="str">
        <f>IFERROR(IF($D480="","",VLOOKUP($D480,Cadastro!$C$4:$E$7,3,FALSE)),"")</f>
        <v/>
      </c>
      <c r="G480" s="106"/>
      <c r="H480" s="135" t="str">
        <f>IFERROR(IF($G480="","",$G480*$S$486/$G$486/Cadastro!$E$33),"")</f>
        <v/>
      </c>
      <c r="I480" s="136" t="str">
        <f>IFERROR(IF($D480="","",VLOOKUP($D480,Cadastro!$C$4:$G$7,5,FALSE)),"")</f>
        <v/>
      </c>
      <c r="J480" s="137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9">
        <v>46252</v>
      </c>
      <c r="B481" s="32">
        <f t="shared" si="121"/>
        <v>1.1249999999999998</v>
      </c>
      <c r="C481" s="26"/>
      <c r="D481" s="59"/>
      <c r="E481" s="109"/>
      <c r="F481" s="135" t="str">
        <f>IFERROR(IF($D481="","",VLOOKUP($D481,Cadastro!$C$4:$E$7,3,FALSE)),"")</f>
        <v/>
      </c>
      <c r="G481" s="106"/>
      <c r="H481" s="135" t="str">
        <f>IFERROR(IF($G481="","",$G481*$S$486/$G$486/Cadastro!$E$33),"")</f>
        <v/>
      </c>
      <c r="I481" s="136" t="str">
        <f>IFERROR(IF($D481="","",VLOOKUP($D481,Cadastro!$C$4:$G$7,5,FALSE)),"")</f>
        <v/>
      </c>
      <c r="J481" s="137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8">
        <v>46252</v>
      </c>
      <c r="B482" s="25">
        <f t="shared" si="121"/>
        <v>1.1666666666666665</v>
      </c>
      <c r="C482" s="26"/>
      <c r="D482" s="59"/>
      <c r="E482" s="109"/>
      <c r="F482" s="135" t="str">
        <f>IFERROR(IF($D482="","",VLOOKUP($D482,Cadastro!$C$4:$E$7,3,FALSE)),"")</f>
        <v/>
      </c>
      <c r="G482" s="106"/>
      <c r="H482" s="135" t="str">
        <f>IFERROR(IF($G482="","",$G482*$S$486/$G$486/Cadastro!$E$33),"")</f>
        <v/>
      </c>
      <c r="I482" s="136" t="str">
        <f>IFERROR(IF($D482="","",VLOOKUP($D482,Cadastro!$C$4:$G$7,5,FALSE)),"")</f>
        <v/>
      </c>
      <c r="J482" s="137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9">
        <v>46252</v>
      </c>
      <c r="B483" s="32">
        <f t="shared" si="121"/>
        <v>1.2083333333333333</v>
      </c>
      <c r="C483" s="26"/>
      <c r="D483" s="59"/>
      <c r="E483" s="109"/>
      <c r="F483" s="135" t="str">
        <f>IFERROR(IF($D483="","",VLOOKUP($D483,Cadastro!$C$4:$E$7,3,FALSE)),"")</f>
        <v/>
      </c>
      <c r="G483" s="106"/>
      <c r="H483" s="135" t="str">
        <f>IFERROR(IF($G483="","",$G483*$S$486/$G$486/Cadastro!$E$33),"")</f>
        <v/>
      </c>
      <c r="I483" s="136" t="str">
        <f>IFERROR(IF($D483="","",VLOOKUP($D483,Cadastro!$C$4:$G$7,5,FALSE)),"")</f>
        <v/>
      </c>
      <c r="J483" s="137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8">
        <v>46252</v>
      </c>
      <c r="B484" s="25">
        <f t="shared" si="121"/>
        <v>1.25</v>
      </c>
      <c r="C484" s="26"/>
      <c r="D484" s="59"/>
      <c r="E484" s="109"/>
      <c r="F484" s="135" t="str">
        <f>IFERROR(IF($D484="","",VLOOKUP($D484,Cadastro!$C$4:$E$7,3,FALSE)),"")</f>
        <v/>
      </c>
      <c r="G484" s="106"/>
      <c r="H484" s="135" t="str">
        <f>IFERROR(IF($G484="","",$G484*$S$486/$G$486/Cadastro!$E$33),"")</f>
        <v/>
      </c>
      <c r="I484" s="136" t="str">
        <f>IFERROR(IF($D484="","",VLOOKUP($D484,Cadastro!$C$4:$G$7,5,FALSE)),"")</f>
        <v/>
      </c>
      <c r="J484" s="137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9">
        <v>46252</v>
      </c>
      <c r="B485" s="32">
        <f t="shared" si="121"/>
        <v>1.2916666666666667</v>
      </c>
      <c r="C485" s="26"/>
      <c r="D485" s="59"/>
      <c r="E485" s="109"/>
      <c r="F485" s="138" t="str">
        <f>IFERROR(IF($D485="","",VLOOKUP($D485,Cadastro!$C$4:$E$7,3,FALSE)),"")</f>
        <v/>
      </c>
      <c r="G485" s="106"/>
      <c r="H485" s="138" t="str">
        <f>IFERROR(IF($G485="","",$G485*$S$486/$G$486/Cadastro!$E$33),"")</f>
        <v/>
      </c>
      <c r="I485" s="139" t="str">
        <f>IFERROR(IF($D485="","",VLOOKUP($D485,Cadastro!$C$4:$G$7,5,FALSE)),"")</f>
        <v/>
      </c>
      <c r="J485" s="140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2" t="s">
        <v>244</v>
      </c>
      <c r="B486" s="153"/>
      <c r="C486" s="153"/>
      <c r="D486" s="153"/>
      <c r="E486" s="153">
        <f>SUM(E474:E485)</f>
        <v>0</v>
      </c>
      <c r="F486" s="112"/>
      <c r="G486" s="81">
        <f>SUM(G474:G485)</f>
        <v>0</v>
      </c>
      <c r="H486" s="112">
        <f>IFERROR(SUM(H474:H485),"")</f>
        <v>0</v>
      </c>
      <c r="I486" s="116"/>
      <c r="J486" s="125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3">
        <f>IFERROR(J486,"")</f>
        <v>0</v>
      </c>
    </row>
    <row r="487" spans="1:20" ht="18" customHeight="1">
      <c r="A487" s="150" t="s">
        <v>245</v>
      </c>
      <c r="B487" s="151"/>
      <c r="C487" s="151"/>
      <c r="D487" s="151"/>
      <c r="E487" s="151">
        <f>E473+E486</f>
        <v>0</v>
      </c>
      <c r="F487" s="113"/>
      <c r="G487" s="92">
        <f>G473+G486</f>
        <v>0</v>
      </c>
      <c r="H487" s="113">
        <f>IFERROR(H473+H486,"")</f>
        <v>0</v>
      </c>
      <c r="I487" s="117"/>
      <c r="J487" s="126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4">
        <f>IFERROR(S473+S486,"")</f>
        <v>0</v>
      </c>
      <c r="T487" s="145">
        <f>IFERROR(J487,"")</f>
        <v>0</v>
      </c>
    </row>
    <row r="488" spans="1:20" ht="15" customHeight="1">
      <c r="A488" s="68">
        <v>46253</v>
      </c>
      <c r="B488" s="25">
        <v>0.33333333333333298</v>
      </c>
      <c r="C488" s="26"/>
      <c r="D488" s="59"/>
      <c r="E488" s="109"/>
      <c r="F488" s="141" t="str">
        <f>IFERROR(IF($D488="","",VLOOKUP($D488,Cadastro!$C$4:$E$7,3,FALSE)),"")</f>
        <v/>
      </c>
      <c r="G488" s="106"/>
      <c r="H488" s="141" t="str">
        <f>IFERROR(IF($G488="","",$G488*$S$500/$G$500/Cadastro!$E$33),"")</f>
        <v/>
      </c>
      <c r="I488" s="142" t="str">
        <f>IFERROR(IF($D488="","",VLOOKUP($D488,Cadastro!$C$4:$G$7,5,FALSE)),"")</f>
        <v/>
      </c>
      <c r="J488" s="143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9">
        <v>46253</v>
      </c>
      <c r="B489" s="32">
        <f t="shared" ref="B489:B499" si="125">B488+TIME(0,60,0)</f>
        <v>0.37499999999999967</v>
      </c>
      <c r="C489" s="26"/>
      <c r="D489" s="59"/>
      <c r="E489" s="109"/>
      <c r="F489" s="135" t="str">
        <f>IFERROR(IF($D489="","",VLOOKUP($D489,Cadastro!$C$4:$E$7,3,FALSE)),"")</f>
        <v/>
      </c>
      <c r="G489" s="106"/>
      <c r="H489" s="135" t="str">
        <f>IFERROR(IF($G489="","",$G489*$S$500/$G$500/Cadastro!$E$33),"")</f>
        <v/>
      </c>
      <c r="I489" s="136" t="str">
        <f>IFERROR(IF($D489="","",VLOOKUP($D489,Cadastro!$C$4:$G$7,5,FALSE)),"")</f>
        <v/>
      </c>
      <c r="J489" s="137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8">
        <v>46253</v>
      </c>
      <c r="B490" s="25">
        <f t="shared" si="125"/>
        <v>0.41666666666666635</v>
      </c>
      <c r="C490" s="26"/>
      <c r="D490" s="59"/>
      <c r="E490" s="109"/>
      <c r="F490" s="135" t="str">
        <f>IFERROR(IF($D490="","",VLOOKUP($D490,Cadastro!$C$4:$E$7,3,FALSE)),"")</f>
        <v/>
      </c>
      <c r="G490" s="106"/>
      <c r="H490" s="135" t="str">
        <f>IFERROR(IF($G490="","",$G490*$S$500/$G$500/Cadastro!$E$33),"")</f>
        <v/>
      </c>
      <c r="I490" s="136" t="str">
        <f>IFERROR(IF($D490="","",VLOOKUP($D490,Cadastro!$C$4:$G$7,5,FALSE)),"")</f>
        <v/>
      </c>
      <c r="J490" s="137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9">
        <v>46253</v>
      </c>
      <c r="B491" s="32">
        <f t="shared" si="125"/>
        <v>0.45833333333333304</v>
      </c>
      <c r="C491" s="26"/>
      <c r="D491" s="59"/>
      <c r="E491" s="109"/>
      <c r="F491" s="135" t="str">
        <f>IFERROR(IF($D491="","",VLOOKUP($D491,Cadastro!$C$4:$E$7,3,FALSE)),"")</f>
        <v/>
      </c>
      <c r="G491" s="106"/>
      <c r="H491" s="135" t="str">
        <f>IFERROR(IF($G491="","",$G491*$S$500/$G$500/Cadastro!$E$33),"")</f>
        <v/>
      </c>
      <c r="I491" s="136" t="str">
        <f>IFERROR(IF($D491="","",VLOOKUP($D491,Cadastro!$C$4:$G$7,5,FALSE)),"")</f>
        <v/>
      </c>
      <c r="J491" s="137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8">
        <v>46253</v>
      </c>
      <c r="B492" s="25">
        <f t="shared" si="125"/>
        <v>0.49999999999999972</v>
      </c>
      <c r="C492" s="26"/>
      <c r="D492" s="59"/>
      <c r="E492" s="109"/>
      <c r="F492" s="135" t="str">
        <f>IFERROR(IF($D492="","",VLOOKUP($D492,Cadastro!$C$4:$E$7,3,FALSE)),"")</f>
        <v/>
      </c>
      <c r="G492" s="106"/>
      <c r="H492" s="135" t="str">
        <f>IFERROR(IF($G492="","",$G492*$S$500/$G$500/Cadastro!$E$33),"")</f>
        <v/>
      </c>
      <c r="I492" s="136" t="str">
        <f>IFERROR(IF($D492="","",VLOOKUP($D492,Cadastro!$C$4:$G$7,5,FALSE)),"")</f>
        <v/>
      </c>
      <c r="J492" s="137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9">
        <v>46253</v>
      </c>
      <c r="B493" s="32">
        <f t="shared" si="125"/>
        <v>0.54166666666666641</v>
      </c>
      <c r="C493" s="26"/>
      <c r="D493" s="59"/>
      <c r="E493" s="109"/>
      <c r="F493" s="135" t="str">
        <f>IFERROR(IF($D493="","",VLOOKUP($D493,Cadastro!$C$4:$E$7,3,FALSE)),"")</f>
        <v/>
      </c>
      <c r="G493" s="106"/>
      <c r="H493" s="135" t="str">
        <f>IFERROR(IF($G493="","",$G493*$S$500/$G$500/Cadastro!$E$33),"")</f>
        <v/>
      </c>
      <c r="I493" s="136" t="str">
        <f>IFERROR(IF($D493="","",VLOOKUP($D493,Cadastro!$C$4:$G$7,5,FALSE)),"")</f>
        <v/>
      </c>
      <c r="J493" s="137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8">
        <v>46253</v>
      </c>
      <c r="B494" s="25">
        <f t="shared" si="125"/>
        <v>0.58333333333333304</v>
      </c>
      <c r="C494" s="26"/>
      <c r="D494" s="59"/>
      <c r="E494" s="109"/>
      <c r="F494" s="135" t="str">
        <f>IFERROR(IF($D494="","",VLOOKUP($D494,Cadastro!$C$4:$E$7,3,FALSE)),"")</f>
        <v/>
      </c>
      <c r="G494" s="106"/>
      <c r="H494" s="135" t="str">
        <f>IFERROR(IF($G494="","",$G494*$S$500/$G$500/Cadastro!$E$33),"")</f>
        <v/>
      </c>
      <c r="I494" s="136" t="str">
        <f>IFERROR(IF($D494="","",VLOOKUP($D494,Cadastro!$C$4:$G$7,5,FALSE)),"")</f>
        <v/>
      </c>
      <c r="J494" s="137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9">
        <v>46253</v>
      </c>
      <c r="B495" s="32">
        <f t="shared" si="125"/>
        <v>0.62499999999999967</v>
      </c>
      <c r="C495" s="26"/>
      <c r="D495" s="59"/>
      <c r="E495" s="109"/>
      <c r="F495" s="135" t="str">
        <f>IFERROR(IF($D495="","",VLOOKUP($D495,Cadastro!$C$4:$E$7,3,FALSE)),"")</f>
        <v/>
      </c>
      <c r="G495" s="106"/>
      <c r="H495" s="135" t="str">
        <f>IFERROR(IF($G495="","",$G495*$S$500/$G$500/Cadastro!$E$33),"")</f>
        <v/>
      </c>
      <c r="I495" s="136" t="str">
        <f>IFERROR(IF($D495="","",VLOOKUP($D495,Cadastro!$C$4:$G$7,5,FALSE)),"")</f>
        <v/>
      </c>
      <c r="J495" s="137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8">
        <v>46253</v>
      </c>
      <c r="B496" s="25">
        <f t="shared" si="125"/>
        <v>0.6666666666666663</v>
      </c>
      <c r="C496" s="26"/>
      <c r="D496" s="59"/>
      <c r="E496" s="109"/>
      <c r="F496" s="135" t="str">
        <f>IFERROR(IF($D496="","",VLOOKUP($D496,Cadastro!$C$4:$E$7,3,FALSE)),"")</f>
        <v/>
      </c>
      <c r="G496" s="106"/>
      <c r="H496" s="135" t="str">
        <f>IFERROR(IF($G496="","",$G496*$S$500/$G$500/Cadastro!$E$33),"")</f>
        <v/>
      </c>
      <c r="I496" s="136" t="str">
        <f>IFERROR(IF($D496="","",VLOOKUP($D496,Cadastro!$C$4:$G$7,5,FALSE)),"")</f>
        <v/>
      </c>
      <c r="J496" s="137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9">
        <v>46253</v>
      </c>
      <c r="B497" s="32">
        <f t="shared" si="125"/>
        <v>0.70833333333333293</v>
      </c>
      <c r="C497" s="26"/>
      <c r="D497" s="59"/>
      <c r="E497" s="109"/>
      <c r="F497" s="135" t="str">
        <f>IFERROR(IF($D497="","",VLOOKUP($D497,Cadastro!$C$4:$E$7,3,FALSE)),"")</f>
        <v/>
      </c>
      <c r="G497" s="106"/>
      <c r="H497" s="135" t="str">
        <f>IFERROR(IF($G497="","",$G497*$S$500/$G$500/Cadastro!$E$33),"")</f>
        <v/>
      </c>
      <c r="I497" s="136" t="str">
        <f>IFERROR(IF($D497="","",VLOOKUP($D497,Cadastro!$C$4:$G$7,5,FALSE)),"")</f>
        <v/>
      </c>
      <c r="J497" s="137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8">
        <v>46253</v>
      </c>
      <c r="B498" s="25">
        <f t="shared" si="125"/>
        <v>0.74999999999999956</v>
      </c>
      <c r="C498" s="26"/>
      <c r="D498" s="59"/>
      <c r="E498" s="109"/>
      <c r="F498" s="135" t="str">
        <f>IFERROR(IF($D498="","",VLOOKUP($D498,Cadastro!$C$4:$E$7,3,FALSE)),"")</f>
        <v/>
      </c>
      <c r="G498" s="106"/>
      <c r="H498" s="135" t="str">
        <f>IFERROR(IF($G498="","",$G498*$S$500/$G$500/Cadastro!$E$33),"")</f>
        <v/>
      </c>
      <c r="I498" s="136" t="str">
        <f>IFERROR(IF($D498="","",VLOOKUP($D498,Cadastro!$C$4:$G$7,5,FALSE)),"")</f>
        <v/>
      </c>
      <c r="J498" s="137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9">
        <v>46253</v>
      </c>
      <c r="B499" s="32">
        <f t="shared" si="125"/>
        <v>0.79166666666666619</v>
      </c>
      <c r="C499" s="26"/>
      <c r="D499" s="59"/>
      <c r="E499" s="109"/>
      <c r="F499" s="138" t="str">
        <f>IFERROR(IF($D499="","",VLOOKUP($D499,Cadastro!$C$4:$E$7,3,FALSE)),"")</f>
        <v/>
      </c>
      <c r="G499" s="106"/>
      <c r="H499" s="138" t="str">
        <f>IFERROR(IF($G499="","",$G499*$S$500/$G$500/Cadastro!$E$33),"")</f>
        <v/>
      </c>
      <c r="I499" s="139" t="str">
        <f>IFERROR(IF($D499="","",VLOOKUP($D499,Cadastro!$C$4:$G$7,5,FALSE)),"")</f>
        <v/>
      </c>
      <c r="J499" s="140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2" t="s">
        <v>241</v>
      </c>
      <c r="B500" s="153"/>
      <c r="C500" s="153"/>
      <c r="D500" s="153"/>
      <c r="E500" s="153">
        <f>SUM(E488:E499)</f>
        <v>0</v>
      </c>
      <c r="F500" s="111"/>
      <c r="G500" s="81">
        <f>SUM(G488:G499)</f>
        <v>0</v>
      </c>
      <c r="H500" s="111">
        <f>IFERROR(SUM(H488:H499),"")</f>
        <v>0</v>
      </c>
      <c r="I500" s="115"/>
      <c r="J500" s="124">
        <f>IFERROR(SUM(J488:J499),"")</f>
        <v>0</v>
      </c>
      <c r="K500" s="82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3">
        <f>IFERROR(J500,"")</f>
        <v>0</v>
      </c>
    </row>
    <row r="501" spans="1:20" ht="15" customHeight="1">
      <c r="A501" s="69">
        <v>46253</v>
      </c>
      <c r="B501" s="32">
        <v>0.83333333333333304</v>
      </c>
      <c r="C501" s="33"/>
      <c r="D501" s="62"/>
      <c r="E501" s="110"/>
      <c r="F501" s="141" t="str">
        <f>IFERROR(IF($D501="","",VLOOKUP($D501,Cadastro!$C$4:$E$7,3,FALSE)),"")</f>
        <v/>
      </c>
      <c r="G501" s="106"/>
      <c r="H501" s="141" t="str">
        <f>IFERROR(IF($G501="","",$G501*$S$513/$G$513/Cadastro!$E$33),"")</f>
        <v/>
      </c>
      <c r="I501" s="142" t="str">
        <f>IFERROR(IF($D501="","",VLOOKUP($D501,Cadastro!$C$4:$G$7,5,FALSE)),"")</f>
        <v/>
      </c>
      <c r="J501" s="143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8">
        <v>46253</v>
      </c>
      <c r="B502" s="25">
        <f t="shared" ref="B502:B512" si="129">B501+TIME(0,60,0)</f>
        <v>0.87499999999999967</v>
      </c>
      <c r="C502" s="33"/>
      <c r="D502" s="62"/>
      <c r="E502" s="110"/>
      <c r="F502" s="135" t="str">
        <f>IFERROR(IF($D502="","",VLOOKUP($D502,Cadastro!$C$4:$E$7,3,FALSE)),"")</f>
        <v/>
      </c>
      <c r="G502" s="106"/>
      <c r="H502" s="135" t="str">
        <f>IFERROR(IF($G502="","",$G502*$S$513/$G$513/Cadastro!$E$33),"")</f>
        <v/>
      </c>
      <c r="I502" s="136" t="str">
        <f>IFERROR(IF($D502="","",VLOOKUP($D502,Cadastro!$C$4:$G$7,5,FALSE)),"")</f>
        <v/>
      </c>
      <c r="J502" s="137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9">
        <v>46253</v>
      </c>
      <c r="B503" s="32">
        <f t="shared" si="129"/>
        <v>0.9166666666666663</v>
      </c>
      <c r="C503" s="33"/>
      <c r="D503" s="62"/>
      <c r="E503" s="110"/>
      <c r="F503" s="135" t="str">
        <f>IFERROR(IF($D503="","",VLOOKUP($D503,Cadastro!$C$4:$E$7,3,FALSE)),"")</f>
        <v/>
      </c>
      <c r="G503" s="106"/>
      <c r="H503" s="135" t="str">
        <f>IFERROR(IF($G503="","",$G503*$S$513/$G$513/Cadastro!$E$33),"")</f>
        <v/>
      </c>
      <c r="I503" s="136" t="str">
        <f>IFERROR(IF($D503="","",VLOOKUP($D503,Cadastro!$C$4:$G$7,5,FALSE)),"")</f>
        <v/>
      </c>
      <c r="J503" s="137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8">
        <v>46253</v>
      </c>
      <c r="B504" s="25">
        <f t="shared" si="129"/>
        <v>0.95833333333333293</v>
      </c>
      <c r="C504" s="33"/>
      <c r="D504" s="62"/>
      <c r="E504" s="110"/>
      <c r="F504" s="135" t="str">
        <f>IFERROR(IF($D504="","",VLOOKUP($D504,Cadastro!$C$4:$E$7,3,FALSE)),"")</f>
        <v/>
      </c>
      <c r="G504" s="106"/>
      <c r="H504" s="135" t="str">
        <f>IFERROR(IF($G504="","",$G504*$S$513/$G$513/Cadastro!$E$33),"")</f>
        <v/>
      </c>
      <c r="I504" s="136" t="str">
        <f>IFERROR(IF($D504="","",VLOOKUP($D504,Cadastro!$C$4:$G$7,5,FALSE)),"")</f>
        <v/>
      </c>
      <c r="J504" s="137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9">
        <v>46253</v>
      </c>
      <c r="B505" s="32">
        <f t="shared" si="129"/>
        <v>0.99999999999999956</v>
      </c>
      <c r="C505" s="33"/>
      <c r="D505" s="62"/>
      <c r="E505" s="110"/>
      <c r="F505" s="135" t="str">
        <f>IFERROR(IF($D505="","",VLOOKUP($D505,Cadastro!$C$4:$E$7,3,FALSE)),"")</f>
        <v/>
      </c>
      <c r="G505" s="106"/>
      <c r="H505" s="135" t="str">
        <f>IFERROR(IF($G505="","",$G505*$S$513/$G$513/Cadastro!$E$33),"")</f>
        <v/>
      </c>
      <c r="I505" s="136" t="str">
        <f>IFERROR(IF($D505="","",VLOOKUP($D505,Cadastro!$C$4:$G$7,5,FALSE)),"")</f>
        <v/>
      </c>
      <c r="J505" s="137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8">
        <v>46253</v>
      </c>
      <c r="B506" s="25">
        <f t="shared" si="129"/>
        <v>1.0416666666666663</v>
      </c>
      <c r="C506" s="33"/>
      <c r="D506" s="62"/>
      <c r="E506" s="110"/>
      <c r="F506" s="135" t="str">
        <f>IFERROR(IF($D506="","",VLOOKUP($D506,Cadastro!$C$4:$E$7,3,FALSE)),"")</f>
        <v/>
      </c>
      <c r="G506" s="106"/>
      <c r="H506" s="135" t="str">
        <f>IFERROR(IF($G506="","",$G506*$S$513/$G$513/Cadastro!$E$33),"")</f>
        <v/>
      </c>
      <c r="I506" s="136" t="str">
        <f>IFERROR(IF($D506="","",VLOOKUP($D506,Cadastro!$C$4:$G$7,5,FALSE)),"")</f>
        <v/>
      </c>
      <c r="J506" s="137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9">
        <v>46253</v>
      </c>
      <c r="B507" s="32">
        <f t="shared" si="129"/>
        <v>1.083333333333333</v>
      </c>
      <c r="C507" s="33"/>
      <c r="D507" s="62"/>
      <c r="E507" s="110"/>
      <c r="F507" s="135" t="str">
        <f>IFERROR(IF($D507="","",VLOOKUP($D507,Cadastro!$C$4:$E$7,3,FALSE)),"")</f>
        <v/>
      </c>
      <c r="G507" s="106"/>
      <c r="H507" s="135" t="str">
        <f>IFERROR(IF($G507="","",$G507*$S$513/$G$513/Cadastro!$E$33),"")</f>
        <v/>
      </c>
      <c r="I507" s="136" t="str">
        <f>IFERROR(IF($D507="","",VLOOKUP($D507,Cadastro!$C$4:$G$7,5,FALSE)),"")</f>
        <v/>
      </c>
      <c r="J507" s="137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8">
        <v>46253</v>
      </c>
      <c r="B508" s="25">
        <f t="shared" si="129"/>
        <v>1.1249999999999998</v>
      </c>
      <c r="C508" s="33"/>
      <c r="D508" s="62"/>
      <c r="E508" s="110"/>
      <c r="F508" s="135" t="str">
        <f>IFERROR(IF($D508="","",VLOOKUP($D508,Cadastro!$C$4:$E$7,3,FALSE)),"")</f>
        <v/>
      </c>
      <c r="G508" s="106"/>
      <c r="H508" s="135" t="str">
        <f>IFERROR(IF($G508="","",$G508*$S$513/$G$513/Cadastro!$E$33),"")</f>
        <v/>
      </c>
      <c r="I508" s="136" t="str">
        <f>IFERROR(IF($D508="","",VLOOKUP($D508,Cadastro!$C$4:$G$7,5,FALSE)),"")</f>
        <v/>
      </c>
      <c r="J508" s="137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9">
        <v>46253</v>
      </c>
      <c r="B509" s="32">
        <f t="shared" si="129"/>
        <v>1.1666666666666665</v>
      </c>
      <c r="C509" s="33"/>
      <c r="D509" s="62"/>
      <c r="E509" s="110"/>
      <c r="F509" s="135" t="str">
        <f>IFERROR(IF($D509="","",VLOOKUP($D509,Cadastro!$C$4:$E$7,3,FALSE)),"")</f>
        <v/>
      </c>
      <c r="G509" s="106"/>
      <c r="H509" s="135" t="str">
        <f>IFERROR(IF($G509="","",$G509*$S$513/$G$513/Cadastro!$E$33),"")</f>
        <v/>
      </c>
      <c r="I509" s="136" t="str">
        <f>IFERROR(IF($D509="","",VLOOKUP($D509,Cadastro!$C$4:$G$7,5,FALSE)),"")</f>
        <v/>
      </c>
      <c r="J509" s="137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8">
        <v>46253</v>
      </c>
      <c r="B510" s="25">
        <f t="shared" si="129"/>
        <v>1.2083333333333333</v>
      </c>
      <c r="C510" s="33"/>
      <c r="D510" s="62"/>
      <c r="E510" s="110"/>
      <c r="F510" s="135" t="str">
        <f>IFERROR(IF($D510="","",VLOOKUP($D510,Cadastro!$C$4:$E$7,3,FALSE)),"")</f>
        <v/>
      </c>
      <c r="G510" s="106"/>
      <c r="H510" s="135" t="str">
        <f>IFERROR(IF($G510="","",$G510*$S$513/$G$513/Cadastro!$E$33),"")</f>
        <v/>
      </c>
      <c r="I510" s="136" t="str">
        <f>IFERROR(IF($D510="","",VLOOKUP($D510,Cadastro!$C$4:$G$7,5,FALSE)),"")</f>
        <v/>
      </c>
      <c r="J510" s="137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9">
        <v>46253</v>
      </c>
      <c r="B511" s="32">
        <f t="shared" si="129"/>
        <v>1.25</v>
      </c>
      <c r="C511" s="33"/>
      <c r="D511" s="62"/>
      <c r="E511" s="110"/>
      <c r="F511" s="135" t="str">
        <f>IFERROR(IF($D511="","",VLOOKUP($D511,Cadastro!$C$4:$E$7,3,FALSE)),"")</f>
        <v/>
      </c>
      <c r="G511" s="106"/>
      <c r="H511" s="135" t="str">
        <f>IFERROR(IF($G511="","",$G511*$S$513/$G$513/Cadastro!$E$33),"")</f>
        <v/>
      </c>
      <c r="I511" s="136" t="str">
        <f>IFERROR(IF($D511="","",VLOOKUP($D511,Cadastro!$C$4:$G$7,5,FALSE)),"")</f>
        <v/>
      </c>
      <c r="J511" s="137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8">
        <v>46253</v>
      </c>
      <c r="B512" s="25">
        <f t="shared" si="129"/>
        <v>1.2916666666666667</v>
      </c>
      <c r="C512" s="33"/>
      <c r="D512" s="62"/>
      <c r="E512" s="110"/>
      <c r="F512" s="138" t="str">
        <f>IFERROR(IF($D512="","",VLOOKUP($D512,Cadastro!$C$4:$E$7,3,FALSE)),"")</f>
        <v/>
      </c>
      <c r="G512" s="106"/>
      <c r="H512" s="138" t="str">
        <f>IFERROR(IF($G512="","",$G512*$S$513/$G$513/Cadastro!$E$33),"")</f>
        <v/>
      </c>
      <c r="I512" s="139" t="str">
        <f>IFERROR(IF($D512="","",VLOOKUP($D512,Cadastro!$C$4:$G$7,5,FALSE)),"")</f>
        <v/>
      </c>
      <c r="J512" s="140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9" t="s">
        <v>244</v>
      </c>
      <c r="B513" s="80"/>
      <c r="C513" s="80"/>
      <c r="D513" s="80"/>
      <c r="E513" s="80"/>
      <c r="F513" s="112"/>
      <c r="G513" s="81">
        <f>SUM(G501:G512)</f>
        <v>0</v>
      </c>
      <c r="H513" s="112">
        <f>IFERROR(SUM(H501:H512),"")</f>
        <v>0</v>
      </c>
      <c r="I513" s="116"/>
      <c r="J513" s="125">
        <f>IFERROR(SUM(J501:J512),"")</f>
        <v>0</v>
      </c>
      <c r="K513" s="82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3">
        <f>IFERROR(J513,"")</f>
        <v>0</v>
      </c>
    </row>
    <row r="514" spans="1:20" ht="18" customHeight="1">
      <c r="A514" s="84" t="s">
        <v>245</v>
      </c>
      <c r="B514" s="83"/>
      <c r="C514" s="83"/>
      <c r="D514" s="83"/>
      <c r="E514" s="83"/>
      <c r="F514" s="113"/>
      <c r="G514" s="92">
        <f>G500+G513</f>
        <v>0</v>
      </c>
      <c r="H514" s="113">
        <f>IFERROR(H500+H513,"")</f>
        <v>0</v>
      </c>
      <c r="I514" s="117"/>
      <c r="J514" s="126">
        <f>IFERROR(J500+J513,"")</f>
        <v>0</v>
      </c>
      <c r="K514" s="89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4">
        <f>IFERROR(S500+S513,"")</f>
        <v>0</v>
      </c>
      <c r="T514" s="145">
        <f>IFERROR(J514,"")</f>
        <v>0</v>
      </c>
    </row>
    <row r="515" spans="1:20" ht="15" customHeight="1">
      <c r="A515" s="69">
        <v>46254</v>
      </c>
      <c r="B515" s="32">
        <v>0.33333333333333298</v>
      </c>
      <c r="C515" s="33"/>
      <c r="D515" s="62"/>
      <c r="E515" s="110"/>
      <c r="F515" s="141" t="str">
        <f>IFERROR(IF($D515="","",VLOOKUP($D515,Cadastro!$C$4:$E$7,3,FALSE)),"")</f>
        <v/>
      </c>
      <c r="G515" s="106"/>
      <c r="H515" s="141" t="str">
        <f>IFERROR(IF($G515="","",$G515*$S$527/$G$527/Cadastro!$E$33),"")</f>
        <v/>
      </c>
      <c r="I515" s="142" t="str">
        <f>IFERROR(IF($D515="","",VLOOKUP($D515,Cadastro!$C$4:$G$7,5,FALSE)),"")</f>
        <v/>
      </c>
      <c r="J515" s="143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8">
        <v>46254</v>
      </c>
      <c r="B516" s="25">
        <f t="shared" ref="B516:B526" si="133">B515+TIME(0,60,0)</f>
        <v>0.37499999999999967</v>
      </c>
      <c r="C516" s="33"/>
      <c r="D516" s="62"/>
      <c r="E516" s="110"/>
      <c r="F516" s="135" t="str">
        <f>IFERROR(IF($D516="","",VLOOKUP($D516,Cadastro!$C$4:$E$7,3,FALSE)),"")</f>
        <v/>
      </c>
      <c r="G516" s="106"/>
      <c r="H516" s="135" t="str">
        <f>IFERROR(IF($G516="","",$G516*$S$527/$G$527/Cadastro!$E$33),"")</f>
        <v/>
      </c>
      <c r="I516" s="136" t="str">
        <f>IFERROR(IF($D516="","",VLOOKUP($D516,Cadastro!$C$4:$G$7,5,FALSE)),"")</f>
        <v/>
      </c>
      <c r="J516" s="137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9">
        <v>46254</v>
      </c>
      <c r="B517" s="32">
        <f t="shared" si="133"/>
        <v>0.41666666666666635</v>
      </c>
      <c r="C517" s="33"/>
      <c r="D517" s="62"/>
      <c r="E517" s="110"/>
      <c r="F517" s="135" t="str">
        <f>IFERROR(IF($D517="","",VLOOKUP($D517,Cadastro!$C$4:$E$7,3,FALSE)),"")</f>
        <v/>
      </c>
      <c r="G517" s="106"/>
      <c r="H517" s="135" t="str">
        <f>IFERROR(IF($G517="","",$G517*$S$527/$G$527/Cadastro!$E$33),"")</f>
        <v/>
      </c>
      <c r="I517" s="136" t="str">
        <f>IFERROR(IF($D517="","",VLOOKUP($D517,Cadastro!$C$4:$G$7,5,FALSE)),"")</f>
        <v/>
      </c>
      <c r="J517" s="137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8">
        <v>46254</v>
      </c>
      <c r="B518" s="25">
        <f t="shared" si="133"/>
        <v>0.45833333333333304</v>
      </c>
      <c r="C518" s="33"/>
      <c r="D518" s="62"/>
      <c r="E518" s="110"/>
      <c r="F518" s="135" t="str">
        <f>IFERROR(IF($D518="","",VLOOKUP($D518,Cadastro!$C$4:$E$7,3,FALSE)),"")</f>
        <v/>
      </c>
      <c r="G518" s="106"/>
      <c r="H518" s="135" t="str">
        <f>IFERROR(IF($G518="","",$G518*$S$527/$G$527/Cadastro!$E$33),"")</f>
        <v/>
      </c>
      <c r="I518" s="136" t="str">
        <f>IFERROR(IF($D518="","",VLOOKUP($D518,Cadastro!$C$4:$G$7,5,FALSE)),"")</f>
        <v/>
      </c>
      <c r="J518" s="137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9">
        <v>46254</v>
      </c>
      <c r="B519" s="32">
        <f t="shared" si="133"/>
        <v>0.49999999999999972</v>
      </c>
      <c r="C519" s="33"/>
      <c r="D519" s="62"/>
      <c r="E519" s="110"/>
      <c r="F519" s="135" t="str">
        <f>IFERROR(IF($D519="","",VLOOKUP($D519,Cadastro!$C$4:$E$7,3,FALSE)),"")</f>
        <v/>
      </c>
      <c r="G519" s="106"/>
      <c r="H519" s="135" t="str">
        <f>IFERROR(IF($G519="","",$G519*$S$527/$G$527/Cadastro!$E$33),"")</f>
        <v/>
      </c>
      <c r="I519" s="136" t="str">
        <f>IFERROR(IF($D519="","",VLOOKUP($D519,Cadastro!$C$4:$G$7,5,FALSE)),"")</f>
        <v/>
      </c>
      <c r="J519" s="137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8">
        <v>46254</v>
      </c>
      <c r="B520" s="25">
        <f t="shared" si="133"/>
        <v>0.54166666666666641</v>
      </c>
      <c r="C520" s="33"/>
      <c r="D520" s="62"/>
      <c r="E520" s="110"/>
      <c r="F520" s="135" t="str">
        <f>IFERROR(IF($D520="","",VLOOKUP($D520,Cadastro!$C$4:$E$7,3,FALSE)),"")</f>
        <v/>
      </c>
      <c r="G520" s="106"/>
      <c r="H520" s="135" t="str">
        <f>IFERROR(IF($G520="","",$G520*$S$527/$G$527/Cadastro!$E$33),"")</f>
        <v/>
      </c>
      <c r="I520" s="136" t="str">
        <f>IFERROR(IF($D520="","",VLOOKUP($D520,Cadastro!$C$4:$G$7,5,FALSE)),"")</f>
        <v/>
      </c>
      <c r="J520" s="137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9">
        <v>46254</v>
      </c>
      <c r="B521" s="32">
        <f t="shared" si="133"/>
        <v>0.58333333333333304</v>
      </c>
      <c r="C521" s="33"/>
      <c r="D521" s="62"/>
      <c r="E521" s="110"/>
      <c r="F521" s="135" t="str">
        <f>IFERROR(IF($D521="","",VLOOKUP($D521,Cadastro!$C$4:$E$7,3,FALSE)),"")</f>
        <v/>
      </c>
      <c r="G521" s="106"/>
      <c r="H521" s="135" t="str">
        <f>IFERROR(IF($G521="","",$G521*$S$527/$G$527/Cadastro!$E$33),"")</f>
        <v/>
      </c>
      <c r="I521" s="136" t="str">
        <f>IFERROR(IF($D521="","",VLOOKUP($D521,Cadastro!$C$4:$G$7,5,FALSE)),"")</f>
        <v/>
      </c>
      <c r="J521" s="137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8">
        <v>46254</v>
      </c>
      <c r="B522" s="25">
        <f t="shared" si="133"/>
        <v>0.62499999999999967</v>
      </c>
      <c r="C522" s="33"/>
      <c r="D522" s="62"/>
      <c r="E522" s="110"/>
      <c r="F522" s="135" t="str">
        <f>IFERROR(IF($D522="","",VLOOKUP($D522,Cadastro!$C$4:$E$7,3,FALSE)),"")</f>
        <v/>
      </c>
      <c r="G522" s="106"/>
      <c r="H522" s="135" t="str">
        <f>IFERROR(IF($G522="","",$G522*$S$527/$G$527/Cadastro!$E$33),"")</f>
        <v/>
      </c>
      <c r="I522" s="136" t="str">
        <f>IFERROR(IF($D522="","",VLOOKUP($D522,Cadastro!$C$4:$G$7,5,FALSE)),"")</f>
        <v/>
      </c>
      <c r="J522" s="137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9">
        <v>46254</v>
      </c>
      <c r="B523" s="32">
        <f t="shared" si="133"/>
        <v>0.6666666666666663</v>
      </c>
      <c r="C523" s="33"/>
      <c r="D523" s="62"/>
      <c r="E523" s="110"/>
      <c r="F523" s="135" t="str">
        <f>IFERROR(IF($D523="","",VLOOKUP($D523,Cadastro!$C$4:$E$7,3,FALSE)),"")</f>
        <v/>
      </c>
      <c r="G523" s="106"/>
      <c r="H523" s="135" t="str">
        <f>IFERROR(IF($G523="","",$G523*$S$527/$G$527/Cadastro!$E$33),"")</f>
        <v/>
      </c>
      <c r="I523" s="136" t="str">
        <f>IFERROR(IF($D523="","",VLOOKUP($D523,Cadastro!$C$4:$G$7,5,FALSE)),"")</f>
        <v/>
      </c>
      <c r="J523" s="137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8">
        <v>46254</v>
      </c>
      <c r="B524" s="25">
        <f t="shared" si="133"/>
        <v>0.70833333333333293</v>
      </c>
      <c r="C524" s="33"/>
      <c r="D524" s="62"/>
      <c r="E524" s="110"/>
      <c r="F524" s="135" t="str">
        <f>IFERROR(IF($D524="","",VLOOKUP($D524,Cadastro!$C$4:$E$7,3,FALSE)),"")</f>
        <v/>
      </c>
      <c r="G524" s="106"/>
      <c r="H524" s="135" t="str">
        <f>IFERROR(IF($G524="","",$G524*$S$527/$G$527/Cadastro!$E$33),"")</f>
        <v/>
      </c>
      <c r="I524" s="136" t="str">
        <f>IFERROR(IF($D524="","",VLOOKUP($D524,Cadastro!$C$4:$G$7,5,FALSE)),"")</f>
        <v/>
      </c>
      <c r="J524" s="137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9">
        <v>46254</v>
      </c>
      <c r="B525" s="32">
        <f t="shared" si="133"/>
        <v>0.74999999999999956</v>
      </c>
      <c r="C525" s="33"/>
      <c r="D525" s="62"/>
      <c r="E525" s="110"/>
      <c r="F525" s="135" t="str">
        <f>IFERROR(IF($D525="","",VLOOKUP($D525,Cadastro!$C$4:$E$7,3,FALSE)),"")</f>
        <v/>
      </c>
      <c r="G525" s="106"/>
      <c r="H525" s="135" t="str">
        <f>IFERROR(IF($G525="","",$G525*$S$527/$G$527/Cadastro!$E$33),"")</f>
        <v/>
      </c>
      <c r="I525" s="136" t="str">
        <f>IFERROR(IF($D525="","",VLOOKUP($D525,Cadastro!$C$4:$G$7,5,FALSE)),"")</f>
        <v/>
      </c>
      <c r="J525" s="137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8">
        <v>46254</v>
      </c>
      <c r="B526" s="25">
        <f t="shared" si="133"/>
        <v>0.79166666666666619</v>
      </c>
      <c r="C526" s="33"/>
      <c r="D526" s="62"/>
      <c r="E526" s="110"/>
      <c r="F526" s="138" t="str">
        <f>IFERROR(IF($D526="","",VLOOKUP($D526,Cadastro!$C$4:$E$7,3,FALSE)),"")</f>
        <v/>
      </c>
      <c r="G526" s="106"/>
      <c r="H526" s="138" t="str">
        <f>IFERROR(IF($G526="","",$G526*$S$527/$G$527/Cadastro!$E$33),"")</f>
        <v/>
      </c>
      <c r="I526" s="139" t="str">
        <f>IFERROR(IF($D526="","",VLOOKUP($D526,Cadastro!$C$4:$G$7,5,FALSE)),"")</f>
        <v/>
      </c>
      <c r="J526" s="140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2" t="s">
        <v>241</v>
      </c>
      <c r="B527" s="153"/>
      <c r="C527" s="153"/>
      <c r="D527" s="153"/>
      <c r="E527" s="153">
        <f>SUM(E515:E526)</f>
        <v>0</v>
      </c>
      <c r="F527" s="111"/>
      <c r="G527" s="81">
        <f>SUM(G515:G526)</f>
        <v>0</v>
      </c>
      <c r="H527" s="111">
        <f>IFERROR(SUM(H515:H526),"")</f>
        <v>0</v>
      </c>
      <c r="I527" s="115"/>
      <c r="J527" s="124">
        <f>IFERROR(SUM(J515:J526),"")</f>
        <v>0</v>
      </c>
      <c r="K527" s="82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3">
        <f>IFERROR(J527,"")</f>
        <v>0</v>
      </c>
    </row>
    <row r="528" spans="1:20" ht="15" customHeight="1">
      <c r="A528" s="68">
        <v>46254</v>
      </c>
      <c r="B528" s="25">
        <v>0.83333333333333304</v>
      </c>
      <c r="C528" s="26"/>
      <c r="D528" s="59"/>
      <c r="E528" s="109"/>
      <c r="F528" s="141" t="str">
        <f>IFERROR(IF($D528="","",VLOOKUP($D528,Cadastro!$C$4:$E$7,3,FALSE)),"")</f>
        <v/>
      </c>
      <c r="G528" s="106"/>
      <c r="H528" s="141" t="str">
        <f>IFERROR(IF($G528="","",$G528*$S$540/$G$540/Cadastro!$E$33),"")</f>
        <v/>
      </c>
      <c r="I528" s="142" t="str">
        <f>IFERROR(IF($D528="","",VLOOKUP($D528,Cadastro!$C$4:$G$7,5,FALSE)),"")</f>
        <v/>
      </c>
      <c r="J528" s="143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9">
        <v>46254</v>
      </c>
      <c r="B529" s="32">
        <f t="shared" ref="B529:B539" si="137">B528+TIME(0,60,0)</f>
        <v>0.87499999999999967</v>
      </c>
      <c r="C529" s="26"/>
      <c r="D529" s="59"/>
      <c r="E529" s="109"/>
      <c r="F529" s="135" t="str">
        <f>IFERROR(IF($D529="","",VLOOKUP($D529,Cadastro!$C$4:$E$7,3,FALSE)),"")</f>
        <v/>
      </c>
      <c r="G529" s="106"/>
      <c r="H529" s="135" t="str">
        <f>IFERROR(IF($G529="","",$G529*$S$540/$G$540/Cadastro!$E$33),"")</f>
        <v/>
      </c>
      <c r="I529" s="136" t="str">
        <f>IFERROR(IF($D529="","",VLOOKUP($D529,Cadastro!$C$4:$G$7,5,FALSE)),"")</f>
        <v/>
      </c>
      <c r="J529" s="137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8">
        <v>46254</v>
      </c>
      <c r="B530" s="25">
        <f t="shared" si="137"/>
        <v>0.9166666666666663</v>
      </c>
      <c r="C530" s="26"/>
      <c r="D530" s="59"/>
      <c r="E530" s="109"/>
      <c r="F530" s="135" t="str">
        <f>IFERROR(IF($D530="","",VLOOKUP($D530,Cadastro!$C$4:$E$7,3,FALSE)),"")</f>
        <v/>
      </c>
      <c r="G530" s="106"/>
      <c r="H530" s="135" t="str">
        <f>IFERROR(IF($G530="","",$G530*$S$540/$G$540/Cadastro!$E$33),"")</f>
        <v/>
      </c>
      <c r="I530" s="136" t="str">
        <f>IFERROR(IF($D530="","",VLOOKUP($D530,Cadastro!$C$4:$G$7,5,FALSE)),"")</f>
        <v/>
      </c>
      <c r="J530" s="137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9">
        <v>46254</v>
      </c>
      <c r="B531" s="32">
        <f t="shared" si="137"/>
        <v>0.95833333333333293</v>
      </c>
      <c r="C531" s="26"/>
      <c r="D531" s="59"/>
      <c r="E531" s="109"/>
      <c r="F531" s="135" t="str">
        <f>IFERROR(IF($D531="","",VLOOKUP($D531,Cadastro!$C$4:$E$7,3,FALSE)),"")</f>
        <v/>
      </c>
      <c r="G531" s="106"/>
      <c r="H531" s="135" t="str">
        <f>IFERROR(IF($G531="","",$G531*$S$540/$G$540/Cadastro!$E$33),"")</f>
        <v/>
      </c>
      <c r="I531" s="136" t="str">
        <f>IFERROR(IF($D531="","",VLOOKUP($D531,Cadastro!$C$4:$G$7,5,FALSE)),"")</f>
        <v/>
      </c>
      <c r="J531" s="137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8">
        <v>46254</v>
      </c>
      <c r="B532" s="25">
        <f t="shared" si="137"/>
        <v>0.99999999999999956</v>
      </c>
      <c r="C532" s="26"/>
      <c r="D532" s="59"/>
      <c r="E532" s="109"/>
      <c r="F532" s="135" t="str">
        <f>IFERROR(IF($D532="","",VLOOKUP($D532,Cadastro!$C$4:$E$7,3,FALSE)),"")</f>
        <v/>
      </c>
      <c r="G532" s="106"/>
      <c r="H532" s="135" t="str">
        <f>IFERROR(IF($G532="","",$G532*$S$540/$G$540/Cadastro!$E$33),"")</f>
        <v/>
      </c>
      <c r="I532" s="136" t="str">
        <f>IFERROR(IF($D532="","",VLOOKUP($D532,Cadastro!$C$4:$G$7,5,FALSE)),"")</f>
        <v/>
      </c>
      <c r="J532" s="137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9">
        <v>46254</v>
      </c>
      <c r="B533" s="32">
        <f t="shared" si="137"/>
        <v>1.0416666666666663</v>
      </c>
      <c r="C533" s="26"/>
      <c r="D533" s="59"/>
      <c r="E533" s="109"/>
      <c r="F533" s="135" t="str">
        <f>IFERROR(IF($D533="","",VLOOKUP($D533,Cadastro!$C$4:$E$7,3,FALSE)),"")</f>
        <v/>
      </c>
      <c r="G533" s="106"/>
      <c r="H533" s="135" t="str">
        <f>IFERROR(IF($G533="","",$G533*$S$540/$G$540/Cadastro!$E$33),"")</f>
        <v/>
      </c>
      <c r="I533" s="136" t="str">
        <f>IFERROR(IF($D533="","",VLOOKUP($D533,Cadastro!$C$4:$G$7,5,FALSE)),"")</f>
        <v/>
      </c>
      <c r="J533" s="137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8">
        <v>46254</v>
      </c>
      <c r="B534" s="25">
        <f t="shared" si="137"/>
        <v>1.083333333333333</v>
      </c>
      <c r="C534" s="26"/>
      <c r="D534" s="59"/>
      <c r="E534" s="109"/>
      <c r="F534" s="135" t="str">
        <f>IFERROR(IF($D534="","",VLOOKUP($D534,Cadastro!$C$4:$E$7,3,FALSE)),"")</f>
        <v/>
      </c>
      <c r="G534" s="106"/>
      <c r="H534" s="135" t="str">
        <f>IFERROR(IF($G534="","",$G534*$S$540/$G$540/Cadastro!$E$33),"")</f>
        <v/>
      </c>
      <c r="I534" s="136" t="str">
        <f>IFERROR(IF($D534="","",VLOOKUP($D534,Cadastro!$C$4:$G$7,5,FALSE)),"")</f>
        <v/>
      </c>
      <c r="J534" s="137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9">
        <v>46254</v>
      </c>
      <c r="B535" s="32">
        <f t="shared" si="137"/>
        <v>1.1249999999999998</v>
      </c>
      <c r="C535" s="26"/>
      <c r="D535" s="59"/>
      <c r="E535" s="109"/>
      <c r="F535" s="135" t="str">
        <f>IFERROR(IF($D535="","",VLOOKUP($D535,Cadastro!$C$4:$E$7,3,FALSE)),"")</f>
        <v/>
      </c>
      <c r="G535" s="106"/>
      <c r="H535" s="135" t="str">
        <f>IFERROR(IF($G535="","",$G535*$S$540/$G$540/Cadastro!$E$33),"")</f>
        <v/>
      </c>
      <c r="I535" s="136" t="str">
        <f>IFERROR(IF($D535="","",VLOOKUP($D535,Cadastro!$C$4:$G$7,5,FALSE)),"")</f>
        <v/>
      </c>
      <c r="J535" s="137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8">
        <v>46254</v>
      </c>
      <c r="B536" s="25">
        <f t="shared" si="137"/>
        <v>1.1666666666666665</v>
      </c>
      <c r="C536" s="26"/>
      <c r="D536" s="59"/>
      <c r="E536" s="109"/>
      <c r="F536" s="135" t="str">
        <f>IFERROR(IF($D536="","",VLOOKUP($D536,Cadastro!$C$4:$E$7,3,FALSE)),"")</f>
        <v/>
      </c>
      <c r="G536" s="106"/>
      <c r="H536" s="135" t="str">
        <f>IFERROR(IF($G536="","",$G536*$S$540/$G$540/Cadastro!$E$33),"")</f>
        <v/>
      </c>
      <c r="I536" s="136" t="str">
        <f>IFERROR(IF($D536="","",VLOOKUP($D536,Cadastro!$C$4:$G$7,5,FALSE)),"")</f>
        <v/>
      </c>
      <c r="J536" s="137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9">
        <v>46254</v>
      </c>
      <c r="B537" s="32">
        <f t="shared" si="137"/>
        <v>1.2083333333333333</v>
      </c>
      <c r="C537" s="26"/>
      <c r="D537" s="59"/>
      <c r="E537" s="109"/>
      <c r="F537" s="135" t="str">
        <f>IFERROR(IF($D537="","",VLOOKUP($D537,Cadastro!$C$4:$E$7,3,FALSE)),"")</f>
        <v/>
      </c>
      <c r="G537" s="106"/>
      <c r="H537" s="135" t="str">
        <f>IFERROR(IF($G537="","",$G537*$S$540/$G$540/Cadastro!$E$33),"")</f>
        <v/>
      </c>
      <c r="I537" s="136" t="str">
        <f>IFERROR(IF($D537="","",VLOOKUP($D537,Cadastro!$C$4:$G$7,5,FALSE)),"")</f>
        <v/>
      </c>
      <c r="J537" s="137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8">
        <v>46254</v>
      </c>
      <c r="B538" s="25">
        <f t="shared" si="137"/>
        <v>1.25</v>
      </c>
      <c r="C538" s="26"/>
      <c r="D538" s="59"/>
      <c r="E538" s="109"/>
      <c r="F538" s="135" t="str">
        <f>IFERROR(IF($D538="","",VLOOKUP($D538,Cadastro!$C$4:$E$7,3,FALSE)),"")</f>
        <v/>
      </c>
      <c r="G538" s="106"/>
      <c r="H538" s="135" t="str">
        <f>IFERROR(IF($G538="","",$G538*$S$540/$G$540/Cadastro!$E$33),"")</f>
        <v/>
      </c>
      <c r="I538" s="136" t="str">
        <f>IFERROR(IF($D538="","",VLOOKUP($D538,Cadastro!$C$4:$G$7,5,FALSE)),"")</f>
        <v/>
      </c>
      <c r="J538" s="137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9">
        <v>46254</v>
      </c>
      <c r="B539" s="32">
        <f t="shared" si="137"/>
        <v>1.2916666666666667</v>
      </c>
      <c r="C539" s="26"/>
      <c r="D539" s="59"/>
      <c r="E539" s="109"/>
      <c r="F539" s="138" t="str">
        <f>IFERROR(IF($D539="","",VLOOKUP($D539,Cadastro!$C$4:$E$7,3,FALSE)),"")</f>
        <v/>
      </c>
      <c r="G539" s="106"/>
      <c r="H539" s="138" t="str">
        <f>IFERROR(IF($G539="","",$G539*$S$540/$G$540/Cadastro!$E$33),"")</f>
        <v/>
      </c>
      <c r="I539" s="139" t="str">
        <f>IFERROR(IF($D539="","",VLOOKUP($D539,Cadastro!$C$4:$G$7,5,FALSE)),"")</f>
        <v/>
      </c>
      <c r="J539" s="140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2" t="s">
        <v>244</v>
      </c>
      <c r="B540" s="153"/>
      <c r="C540" s="153"/>
      <c r="D540" s="153"/>
      <c r="E540" s="153">
        <f>SUM(E528:E539)</f>
        <v>0</v>
      </c>
      <c r="F540" s="112"/>
      <c r="G540" s="81">
        <f>SUM(G528:G539)</f>
        <v>0</v>
      </c>
      <c r="H540" s="112">
        <f>IFERROR(SUM(H528:H539),"")</f>
        <v>0</v>
      </c>
      <c r="I540" s="116"/>
      <c r="J540" s="125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3">
        <f>IFERROR(J540,"")</f>
        <v>0</v>
      </c>
    </row>
    <row r="541" spans="1:20" ht="18" customHeight="1">
      <c r="A541" s="150" t="s">
        <v>245</v>
      </c>
      <c r="B541" s="151"/>
      <c r="C541" s="151"/>
      <c r="D541" s="151"/>
      <c r="E541" s="151">
        <f>E527+E540</f>
        <v>0</v>
      </c>
      <c r="F541" s="113"/>
      <c r="G541" s="92">
        <f>G527+G540</f>
        <v>0</v>
      </c>
      <c r="H541" s="113">
        <f>IFERROR(H527+H540,"")</f>
        <v>0</v>
      </c>
      <c r="I541" s="117"/>
      <c r="J541" s="126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4">
        <f>IFERROR(S527+S540,"")</f>
        <v>0</v>
      </c>
      <c r="T541" s="145">
        <f>IFERROR(J541,"")</f>
        <v>0</v>
      </c>
    </row>
    <row r="542" spans="1:20" ht="15" customHeight="1">
      <c r="A542" s="68">
        <v>46255</v>
      </c>
      <c r="B542" s="25">
        <v>0.33333333333333298</v>
      </c>
      <c r="C542" s="26"/>
      <c r="D542" s="59"/>
      <c r="E542" s="109"/>
      <c r="F542" s="141" t="str">
        <f>IFERROR(IF($D542="","",VLOOKUP($D542,Cadastro!$C$4:$E$7,3,FALSE)),"")</f>
        <v/>
      </c>
      <c r="G542" s="106"/>
      <c r="H542" s="141" t="str">
        <f>IFERROR(IF($G542="","",$G542*$S$554/$G$554/Cadastro!$E$33),"")</f>
        <v/>
      </c>
      <c r="I542" s="142" t="str">
        <f>IFERROR(IF($D542="","",VLOOKUP($D542,Cadastro!$C$4:$G$7,5,FALSE)),"")</f>
        <v/>
      </c>
      <c r="J542" s="143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9">
        <v>46255</v>
      </c>
      <c r="B543" s="32">
        <f t="shared" ref="B543:B553" si="141">B542+TIME(0,60,0)</f>
        <v>0.37499999999999967</v>
      </c>
      <c r="C543" s="26"/>
      <c r="D543" s="59"/>
      <c r="E543" s="109"/>
      <c r="F543" s="135" t="str">
        <f>IFERROR(IF($D543="","",VLOOKUP($D543,Cadastro!$C$4:$E$7,3,FALSE)),"")</f>
        <v/>
      </c>
      <c r="G543" s="106"/>
      <c r="H543" s="135" t="str">
        <f>IFERROR(IF($G543="","",$G543*$S$554/$G$554/Cadastro!$E$33),"")</f>
        <v/>
      </c>
      <c r="I543" s="136" t="str">
        <f>IFERROR(IF($D543="","",VLOOKUP($D543,Cadastro!$C$4:$G$7,5,FALSE)),"")</f>
        <v/>
      </c>
      <c r="J543" s="137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8">
        <v>46255</v>
      </c>
      <c r="B544" s="25">
        <f t="shared" si="141"/>
        <v>0.41666666666666635</v>
      </c>
      <c r="C544" s="26"/>
      <c r="D544" s="59"/>
      <c r="E544" s="109"/>
      <c r="F544" s="135" t="str">
        <f>IFERROR(IF($D544="","",VLOOKUP($D544,Cadastro!$C$4:$E$7,3,FALSE)),"")</f>
        <v/>
      </c>
      <c r="G544" s="106"/>
      <c r="H544" s="135" t="str">
        <f>IFERROR(IF($G544="","",$G544*$S$554/$G$554/Cadastro!$E$33),"")</f>
        <v/>
      </c>
      <c r="I544" s="136" t="str">
        <f>IFERROR(IF($D544="","",VLOOKUP($D544,Cadastro!$C$4:$G$7,5,FALSE)),"")</f>
        <v/>
      </c>
      <c r="J544" s="137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9">
        <v>46255</v>
      </c>
      <c r="B545" s="32">
        <f t="shared" si="141"/>
        <v>0.45833333333333304</v>
      </c>
      <c r="C545" s="26"/>
      <c r="D545" s="59"/>
      <c r="E545" s="109"/>
      <c r="F545" s="135" t="str">
        <f>IFERROR(IF($D545="","",VLOOKUP($D545,Cadastro!$C$4:$E$7,3,FALSE)),"")</f>
        <v/>
      </c>
      <c r="G545" s="106"/>
      <c r="H545" s="135" t="str">
        <f>IFERROR(IF($G545="","",$G545*$S$554/$G$554/Cadastro!$E$33),"")</f>
        <v/>
      </c>
      <c r="I545" s="136" t="str">
        <f>IFERROR(IF($D545="","",VLOOKUP($D545,Cadastro!$C$4:$G$7,5,FALSE)),"")</f>
        <v/>
      </c>
      <c r="J545" s="137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8">
        <v>46255</v>
      </c>
      <c r="B546" s="25">
        <f t="shared" si="141"/>
        <v>0.49999999999999972</v>
      </c>
      <c r="C546" s="26"/>
      <c r="D546" s="59"/>
      <c r="E546" s="109"/>
      <c r="F546" s="135" t="str">
        <f>IFERROR(IF($D546="","",VLOOKUP($D546,Cadastro!$C$4:$E$7,3,FALSE)),"")</f>
        <v/>
      </c>
      <c r="G546" s="106"/>
      <c r="H546" s="135" t="str">
        <f>IFERROR(IF($G546="","",$G546*$S$554/$G$554/Cadastro!$E$33),"")</f>
        <v/>
      </c>
      <c r="I546" s="136" t="str">
        <f>IFERROR(IF($D546="","",VLOOKUP($D546,Cadastro!$C$4:$G$7,5,FALSE)),"")</f>
        <v/>
      </c>
      <c r="J546" s="137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9">
        <v>46255</v>
      </c>
      <c r="B547" s="32">
        <f t="shared" si="141"/>
        <v>0.54166666666666641</v>
      </c>
      <c r="C547" s="26"/>
      <c r="D547" s="59"/>
      <c r="E547" s="109"/>
      <c r="F547" s="135" t="str">
        <f>IFERROR(IF($D547="","",VLOOKUP($D547,Cadastro!$C$4:$E$7,3,FALSE)),"")</f>
        <v/>
      </c>
      <c r="G547" s="106"/>
      <c r="H547" s="135" t="str">
        <f>IFERROR(IF($G547="","",$G547*$S$554/$G$554/Cadastro!$E$33),"")</f>
        <v/>
      </c>
      <c r="I547" s="136" t="str">
        <f>IFERROR(IF($D547="","",VLOOKUP($D547,Cadastro!$C$4:$G$7,5,FALSE)),"")</f>
        <v/>
      </c>
      <c r="J547" s="137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8">
        <v>46255</v>
      </c>
      <c r="B548" s="25">
        <f t="shared" si="141"/>
        <v>0.58333333333333304</v>
      </c>
      <c r="C548" s="26"/>
      <c r="D548" s="59"/>
      <c r="E548" s="109"/>
      <c r="F548" s="135" t="str">
        <f>IFERROR(IF($D548="","",VLOOKUP($D548,Cadastro!$C$4:$E$7,3,FALSE)),"")</f>
        <v/>
      </c>
      <c r="G548" s="106"/>
      <c r="H548" s="135" t="str">
        <f>IFERROR(IF($G548="","",$G548*$S$554/$G$554/Cadastro!$E$33),"")</f>
        <v/>
      </c>
      <c r="I548" s="136" t="str">
        <f>IFERROR(IF($D548="","",VLOOKUP($D548,Cadastro!$C$4:$G$7,5,FALSE)),"")</f>
        <v/>
      </c>
      <c r="J548" s="137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9">
        <v>46255</v>
      </c>
      <c r="B549" s="32">
        <f t="shared" si="141"/>
        <v>0.62499999999999967</v>
      </c>
      <c r="C549" s="26"/>
      <c r="D549" s="59"/>
      <c r="E549" s="109"/>
      <c r="F549" s="135" t="str">
        <f>IFERROR(IF($D549="","",VLOOKUP($D549,Cadastro!$C$4:$E$7,3,FALSE)),"")</f>
        <v/>
      </c>
      <c r="G549" s="106"/>
      <c r="H549" s="135" t="str">
        <f>IFERROR(IF($G549="","",$G549*$S$554/$G$554/Cadastro!$E$33),"")</f>
        <v/>
      </c>
      <c r="I549" s="136" t="str">
        <f>IFERROR(IF($D549="","",VLOOKUP($D549,Cadastro!$C$4:$G$7,5,FALSE)),"")</f>
        <v/>
      </c>
      <c r="J549" s="137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8">
        <v>46255</v>
      </c>
      <c r="B550" s="25">
        <f t="shared" si="141"/>
        <v>0.6666666666666663</v>
      </c>
      <c r="C550" s="26"/>
      <c r="D550" s="59"/>
      <c r="E550" s="109"/>
      <c r="F550" s="135" t="str">
        <f>IFERROR(IF($D550="","",VLOOKUP($D550,Cadastro!$C$4:$E$7,3,FALSE)),"")</f>
        <v/>
      </c>
      <c r="G550" s="106"/>
      <c r="H550" s="135" t="str">
        <f>IFERROR(IF($G550="","",$G550*$S$554/$G$554/Cadastro!$E$33),"")</f>
        <v/>
      </c>
      <c r="I550" s="136" t="str">
        <f>IFERROR(IF($D550="","",VLOOKUP($D550,Cadastro!$C$4:$G$7,5,FALSE)),"")</f>
        <v/>
      </c>
      <c r="J550" s="137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9">
        <v>46255</v>
      </c>
      <c r="B551" s="32">
        <f t="shared" si="141"/>
        <v>0.70833333333333293</v>
      </c>
      <c r="C551" s="26"/>
      <c r="D551" s="59"/>
      <c r="E551" s="109"/>
      <c r="F551" s="135" t="str">
        <f>IFERROR(IF($D551="","",VLOOKUP($D551,Cadastro!$C$4:$E$7,3,FALSE)),"")</f>
        <v/>
      </c>
      <c r="G551" s="106"/>
      <c r="H551" s="135" t="str">
        <f>IFERROR(IF($G551="","",$G551*$S$554/$G$554/Cadastro!$E$33),"")</f>
        <v/>
      </c>
      <c r="I551" s="136" t="str">
        <f>IFERROR(IF($D551="","",VLOOKUP($D551,Cadastro!$C$4:$G$7,5,FALSE)),"")</f>
        <v/>
      </c>
      <c r="J551" s="137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8">
        <v>46255</v>
      </c>
      <c r="B552" s="25">
        <f t="shared" si="141"/>
        <v>0.74999999999999956</v>
      </c>
      <c r="C552" s="26"/>
      <c r="D552" s="59"/>
      <c r="E552" s="109"/>
      <c r="F552" s="135" t="str">
        <f>IFERROR(IF($D552="","",VLOOKUP($D552,Cadastro!$C$4:$E$7,3,FALSE)),"")</f>
        <v/>
      </c>
      <c r="G552" s="106"/>
      <c r="H552" s="135" t="str">
        <f>IFERROR(IF($G552="","",$G552*$S$554/$G$554/Cadastro!$E$33),"")</f>
        <v/>
      </c>
      <c r="I552" s="136" t="str">
        <f>IFERROR(IF($D552="","",VLOOKUP($D552,Cadastro!$C$4:$G$7,5,FALSE)),"")</f>
        <v/>
      </c>
      <c r="J552" s="137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9">
        <v>46255</v>
      </c>
      <c r="B553" s="32">
        <f t="shared" si="141"/>
        <v>0.79166666666666619</v>
      </c>
      <c r="C553" s="26"/>
      <c r="D553" s="59"/>
      <c r="E553" s="109"/>
      <c r="F553" s="138" t="str">
        <f>IFERROR(IF($D553="","",VLOOKUP($D553,Cadastro!$C$4:$E$7,3,FALSE)),"")</f>
        <v/>
      </c>
      <c r="G553" s="106"/>
      <c r="H553" s="138" t="str">
        <f>IFERROR(IF($G553="","",$G553*$S$554/$G$554/Cadastro!$E$33),"")</f>
        <v/>
      </c>
      <c r="I553" s="139" t="str">
        <f>IFERROR(IF($D553="","",VLOOKUP($D553,Cadastro!$C$4:$G$7,5,FALSE)),"")</f>
        <v/>
      </c>
      <c r="J553" s="140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2" t="s">
        <v>241</v>
      </c>
      <c r="B554" s="153"/>
      <c r="C554" s="153"/>
      <c r="D554" s="153"/>
      <c r="E554" s="153">
        <f>SUM(E542:E553)</f>
        <v>0</v>
      </c>
      <c r="F554" s="111"/>
      <c r="G554" s="81">
        <f>SUM(G542:G553)</f>
        <v>0</v>
      </c>
      <c r="H554" s="111">
        <f>IFERROR(SUM(H542:H553),"")</f>
        <v>0</v>
      </c>
      <c r="I554" s="115"/>
      <c r="J554" s="124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3">
        <f>IFERROR(J554,"")</f>
        <v>0</v>
      </c>
    </row>
    <row r="555" spans="1:20" ht="15" customHeight="1">
      <c r="A555" s="69">
        <v>46255</v>
      </c>
      <c r="B555" s="32">
        <v>0.83333333333333304</v>
      </c>
      <c r="C555" s="33"/>
      <c r="D555" s="62"/>
      <c r="E555" s="110"/>
      <c r="F555" s="141" t="str">
        <f>IFERROR(IF($D555="","",VLOOKUP($D555,Cadastro!$C$4:$E$7,3,FALSE)),"")</f>
        <v/>
      </c>
      <c r="G555" s="106"/>
      <c r="H555" s="141" t="str">
        <f>IFERROR(IF($G555="","",$G555*$S$567/$G$567/Cadastro!$E$33),"")</f>
        <v/>
      </c>
      <c r="I555" s="142" t="str">
        <f>IFERROR(IF($D555="","",VLOOKUP($D555,Cadastro!$C$4:$G$7,5,FALSE)),"")</f>
        <v/>
      </c>
      <c r="J555" s="143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8">
        <v>46255</v>
      </c>
      <c r="B556" s="25">
        <f t="shared" ref="B556:B566" si="145">B555+TIME(0,60,0)</f>
        <v>0.87499999999999967</v>
      </c>
      <c r="C556" s="33"/>
      <c r="D556" s="62"/>
      <c r="E556" s="110"/>
      <c r="F556" s="135" t="str">
        <f>IFERROR(IF($D556="","",VLOOKUP($D556,Cadastro!$C$4:$E$7,3,FALSE)),"")</f>
        <v/>
      </c>
      <c r="G556" s="106"/>
      <c r="H556" s="135" t="str">
        <f>IFERROR(IF($G556="","",$G556*$S$567/$G$567/Cadastro!$E$33),"")</f>
        <v/>
      </c>
      <c r="I556" s="136" t="str">
        <f>IFERROR(IF($D556="","",VLOOKUP($D556,Cadastro!$C$4:$G$7,5,FALSE)),"")</f>
        <v/>
      </c>
      <c r="J556" s="137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9">
        <v>46255</v>
      </c>
      <c r="B557" s="32">
        <f t="shared" si="145"/>
        <v>0.9166666666666663</v>
      </c>
      <c r="C557" s="33"/>
      <c r="D557" s="62"/>
      <c r="E557" s="110"/>
      <c r="F557" s="135" t="str">
        <f>IFERROR(IF($D557="","",VLOOKUP($D557,Cadastro!$C$4:$E$7,3,FALSE)),"")</f>
        <v/>
      </c>
      <c r="G557" s="106"/>
      <c r="H557" s="135" t="str">
        <f>IFERROR(IF($G557="","",$G557*$S$567/$G$567/Cadastro!$E$33),"")</f>
        <v/>
      </c>
      <c r="I557" s="136" t="str">
        <f>IFERROR(IF($D557="","",VLOOKUP($D557,Cadastro!$C$4:$G$7,5,FALSE)),"")</f>
        <v/>
      </c>
      <c r="J557" s="137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8">
        <v>46255</v>
      </c>
      <c r="B558" s="25">
        <f t="shared" si="145"/>
        <v>0.95833333333333293</v>
      </c>
      <c r="C558" s="33"/>
      <c r="D558" s="62"/>
      <c r="E558" s="110"/>
      <c r="F558" s="135" t="str">
        <f>IFERROR(IF($D558="","",VLOOKUP($D558,Cadastro!$C$4:$E$7,3,FALSE)),"")</f>
        <v/>
      </c>
      <c r="G558" s="106"/>
      <c r="H558" s="135" t="str">
        <f>IFERROR(IF($G558="","",$G558*$S$567/$G$567/Cadastro!$E$33),"")</f>
        <v/>
      </c>
      <c r="I558" s="136" t="str">
        <f>IFERROR(IF($D558="","",VLOOKUP($D558,Cadastro!$C$4:$G$7,5,FALSE)),"")</f>
        <v/>
      </c>
      <c r="J558" s="137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9">
        <v>46255</v>
      </c>
      <c r="B559" s="32">
        <f t="shared" si="145"/>
        <v>0.99999999999999956</v>
      </c>
      <c r="C559" s="33"/>
      <c r="D559" s="62"/>
      <c r="E559" s="110"/>
      <c r="F559" s="135" t="str">
        <f>IFERROR(IF($D559="","",VLOOKUP($D559,Cadastro!$C$4:$E$7,3,FALSE)),"")</f>
        <v/>
      </c>
      <c r="G559" s="106"/>
      <c r="H559" s="135" t="str">
        <f>IFERROR(IF($G559="","",$G559*$S$567/$G$567/Cadastro!$E$33),"")</f>
        <v/>
      </c>
      <c r="I559" s="136" t="str">
        <f>IFERROR(IF($D559="","",VLOOKUP($D559,Cadastro!$C$4:$G$7,5,FALSE)),"")</f>
        <v/>
      </c>
      <c r="J559" s="137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8">
        <v>46255</v>
      </c>
      <c r="B560" s="25">
        <f t="shared" si="145"/>
        <v>1.0416666666666663</v>
      </c>
      <c r="C560" s="33"/>
      <c r="D560" s="62"/>
      <c r="E560" s="110"/>
      <c r="F560" s="135" t="str">
        <f>IFERROR(IF($D560="","",VLOOKUP($D560,Cadastro!$C$4:$E$7,3,FALSE)),"")</f>
        <v/>
      </c>
      <c r="G560" s="106"/>
      <c r="H560" s="135" t="str">
        <f>IFERROR(IF($G560="","",$G560*$S$567/$G$567/Cadastro!$E$33),"")</f>
        <v/>
      </c>
      <c r="I560" s="136" t="str">
        <f>IFERROR(IF($D560="","",VLOOKUP($D560,Cadastro!$C$4:$G$7,5,FALSE)),"")</f>
        <v/>
      </c>
      <c r="J560" s="137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9">
        <v>46255</v>
      </c>
      <c r="B561" s="32">
        <f t="shared" si="145"/>
        <v>1.083333333333333</v>
      </c>
      <c r="C561" s="33"/>
      <c r="D561" s="62"/>
      <c r="E561" s="110"/>
      <c r="F561" s="135" t="str">
        <f>IFERROR(IF($D561="","",VLOOKUP($D561,Cadastro!$C$4:$E$7,3,FALSE)),"")</f>
        <v/>
      </c>
      <c r="G561" s="106"/>
      <c r="H561" s="135" t="str">
        <f>IFERROR(IF($G561="","",$G561*$S$567/$G$567/Cadastro!$E$33),"")</f>
        <v/>
      </c>
      <c r="I561" s="136" t="str">
        <f>IFERROR(IF($D561="","",VLOOKUP($D561,Cadastro!$C$4:$G$7,5,FALSE)),"")</f>
        <v/>
      </c>
      <c r="J561" s="137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8">
        <v>46255</v>
      </c>
      <c r="B562" s="25">
        <f t="shared" si="145"/>
        <v>1.1249999999999998</v>
      </c>
      <c r="C562" s="33"/>
      <c r="D562" s="62"/>
      <c r="E562" s="110"/>
      <c r="F562" s="135" t="str">
        <f>IFERROR(IF($D562="","",VLOOKUP($D562,Cadastro!$C$4:$E$7,3,FALSE)),"")</f>
        <v/>
      </c>
      <c r="G562" s="106"/>
      <c r="H562" s="135" t="str">
        <f>IFERROR(IF($G562="","",$G562*$S$567/$G$567/Cadastro!$E$33),"")</f>
        <v/>
      </c>
      <c r="I562" s="136" t="str">
        <f>IFERROR(IF($D562="","",VLOOKUP($D562,Cadastro!$C$4:$G$7,5,FALSE)),"")</f>
        <v/>
      </c>
      <c r="J562" s="137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9">
        <v>46255</v>
      </c>
      <c r="B563" s="32">
        <f t="shared" si="145"/>
        <v>1.1666666666666665</v>
      </c>
      <c r="C563" s="33"/>
      <c r="D563" s="62"/>
      <c r="E563" s="110"/>
      <c r="F563" s="135" t="str">
        <f>IFERROR(IF($D563="","",VLOOKUP($D563,Cadastro!$C$4:$E$7,3,FALSE)),"")</f>
        <v/>
      </c>
      <c r="G563" s="106"/>
      <c r="H563" s="135" t="str">
        <f>IFERROR(IF($G563="","",$G563*$S$567/$G$567/Cadastro!$E$33),"")</f>
        <v/>
      </c>
      <c r="I563" s="136" t="str">
        <f>IFERROR(IF($D563="","",VLOOKUP($D563,Cadastro!$C$4:$G$7,5,FALSE)),"")</f>
        <v/>
      </c>
      <c r="J563" s="137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8">
        <v>46255</v>
      </c>
      <c r="B564" s="25">
        <f t="shared" si="145"/>
        <v>1.2083333333333333</v>
      </c>
      <c r="C564" s="33"/>
      <c r="D564" s="62"/>
      <c r="E564" s="110"/>
      <c r="F564" s="135" t="str">
        <f>IFERROR(IF($D564="","",VLOOKUP($D564,Cadastro!$C$4:$E$7,3,FALSE)),"")</f>
        <v/>
      </c>
      <c r="G564" s="106"/>
      <c r="H564" s="135" t="str">
        <f>IFERROR(IF($G564="","",$G564*$S$567/$G$567/Cadastro!$E$33),"")</f>
        <v/>
      </c>
      <c r="I564" s="136" t="str">
        <f>IFERROR(IF($D564="","",VLOOKUP($D564,Cadastro!$C$4:$G$7,5,FALSE)),"")</f>
        <v/>
      </c>
      <c r="J564" s="137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9">
        <v>46255</v>
      </c>
      <c r="B565" s="32">
        <f t="shared" si="145"/>
        <v>1.25</v>
      </c>
      <c r="C565" s="33"/>
      <c r="D565" s="62"/>
      <c r="E565" s="110"/>
      <c r="F565" s="135" t="str">
        <f>IFERROR(IF($D565="","",VLOOKUP($D565,Cadastro!$C$4:$E$7,3,FALSE)),"")</f>
        <v/>
      </c>
      <c r="G565" s="106"/>
      <c r="H565" s="135" t="str">
        <f>IFERROR(IF($G565="","",$G565*$S$567/$G$567/Cadastro!$E$33),"")</f>
        <v/>
      </c>
      <c r="I565" s="136" t="str">
        <f>IFERROR(IF($D565="","",VLOOKUP($D565,Cadastro!$C$4:$G$7,5,FALSE)),"")</f>
        <v/>
      </c>
      <c r="J565" s="137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8">
        <v>46255</v>
      </c>
      <c r="B566" s="25">
        <f t="shared" si="145"/>
        <v>1.2916666666666667</v>
      </c>
      <c r="C566" s="33"/>
      <c r="D566" s="62"/>
      <c r="E566" s="110"/>
      <c r="F566" s="138" t="str">
        <f>IFERROR(IF($D566="","",VLOOKUP($D566,Cadastro!$C$4:$E$7,3,FALSE)),"")</f>
        <v/>
      </c>
      <c r="G566" s="106"/>
      <c r="H566" s="138" t="str">
        <f>IFERROR(IF($G566="","",$G566*$S$567/$G$567/Cadastro!$E$33),"")</f>
        <v/>
      </c>
      <c r="I566" s="139" t="str">
        <f>IFERROR(IF($D566="","",VLOOKUP($D566,Cadastro!$C$4:$G$7,5,FALSE)),"")</f>
        <v/>
      </c>
      <c r="J566" s="140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2" t="s">
        <v>244</v>
      </c>
      <c r="B567" s="153"/>
      <c r="C567" s="153"/>
      <c r="D567" s="153"/>
      <c r="E567" s="153">
        <f>SUM(E555:E566)</f>
        <v>0</v>
      </c>
      <c r="F567" s="112"/>
      <c r="G567" s="81">
        <f>SUM(G555:G566)</f>
        <v>0</v>
      </c>
      <c r="H567" s="112">
        <f>IFERROR(SUM(H555:H566),"")</f>
        <v>0</v>
      </c>
      <c r="I567" s="116"/>
      <c r="J567" s="125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3">
        <f>IFERROR(J567,"")</f>
        <v>0</v>
      </c>
    </row>
    <row r="568" spans="1:20" ht="18" customHeight="1">
      <c r="A568" s="150" t="s">
        <v>245</v>
      </c>
      <c r="B568" s="151"/>
      <c r="C568" s="151"/>
      <c r="D568" s="151"/>
      <c r="E568" s="151">
        <f>E554+E567</f>
        <v>0</v>
      </c>
      <c r="F568" s="113"/>
      <c r="G568" s="92">
        <f>G554+G567</f>
        <v>0</v>
      </c>
      <c r="H568" s="113">
        <f>IFERROR(H554+H567,"")</f>
        <v>0</v>
      </c>
      <c r="I568" s="117"/>
      <c r="J568" s="126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4">
        <f>IFERROR(S554+S567,"")</f>
        <v>0</v>
      </c>
      <c r="T568" s="145">
        <f>IFERROR(J568,"")</f>
        <v>0</v>
      </c>
    </row>
    <row r="569" spans="1:20" ht="15" customHeight="1">
      <c r="A569" s="69">
        <v>46256</v>
      </c>
      <c r="B569" s="32">
        <v>0.33333333333333298</v>
      </c>
      <c r="C569" s="33"/>
      <c r="D569" s="62"/>
      <c r="E569" s="110"/>
      <c r="F569" s="141" t="str">
        <f>IFERROR(IF($D569="","",VLOOKUP($D569,Cadastro!$C$4:$E$7,3,FALSE)),"")</f>
        <v/>
      </c>
      <c r="G569" s="106"/>
      <c r="H569" s="141" t="str">
        <f>IFERROR(IF($G569="","",$G569*$S$581/$G$581/Cadastro!$E$33),"")</f>
        <v/>
      </c>
      <c r="I569" s="142" t="str">
        <f>IFERROR(IF($D569="","",VLOOKUP($D569,Cadastro!$C$4:$G$7,5,FALSE)),"")</f>
        <v/>
      </c>
      <c r="J569" s="143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8">
        <v>46256</v>
      </c>
      <c r="B570" s="25">
        <f t="shared" ref="B570:B580" si="149">B569+TIME(0,60,0)</f>
        <v>0.37499999999999967</v>
      </c>
      <c r="C570" s="33"/>
      <c r="D570" s="62"/>
      <c r="E570" s="110"/>
      <c r="F570" s="135" t="str">
        <f>IFERROR(IF($D570="","",VLOOKUP($D570,Cadastro!$C$4:$E$7,3,FALSE)),"")</f>
        <v/>
      </c>
      <c r="G570" s="106"/>
      <c r="H570" s="135" t="str">
        <f>IFERROR(IF($G570="","",$G570*$S$581/$G$581/Cadastro!$E$33),"")</f>
        <v/>
      </c>
      <c r="I570" s="136" t="str">
        <f>IFERROR(IF($D570="","",VLOOKUP($D570,Cadastro!$C$4:$G$7,5,FALSE)),"")</f>
        <v/>
      </c>
      <c r="J570" s="137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9">
        <v>46256</v>
      </c>
      <c r="B571" s="32">
        <f t="shared" si="149"/>
        <v>0.41666666666666635</v>
      </c>
      <c r="C571" s="33"/>
      <c r="D571" s="62"/>
      <c r="E571" s="110"/>
      <c r="F571" s="135" t="str">
        <f>IFERROR(IF($D571="","",VLOOKUP($D571,Cadastro!$C$4:$E$7,3,FALSE)),"")</f>
        <v/>
      </c>
      <c r="G571" s="106"/>
      <c r="H571" s="135" t="str">
        <f>IFERROR(IF($G571="","",$G571*$S$581/$G$581/Cadastro!$E$33),"")</f>
        <v/>
      </c>
      <c r="I571" s="136" t="str">
        <f>IFERROR(IF($D571="","",VLOOKUP($D571,Cadastro!$C$4:$G$7,5,FALSE)),"")</f>
        <v/>
      </c>
      <c r="J571" s="137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8">
        <v>46256</v>
      </c>
      <c r="B572" s="25">
        <f t="shared" si="149"/>
        <v>0.45833333333333304</v>
      </c>
      <c r="C572" s="33"/>
      <c r="D572" s="62"/>
      <c r="E572" s="110"/>
      <c r="F572" s="135" t="str">
        <f>IFERROR(IF($D572="","",VLOOKUP($D572,Cadastro!$C$4:$E$7,3,FALSE)),"")</f>
        <v/>
      </c>
      <c r="G572" s="106"/>
      <c r="H572" s="135" t="str">
        <f>IFERROR(IF($G572="","",$G572*$S$581/$G$581/Cadastro!$E$33),"")</f>
        <v/>
      </c>
      <c r="I572" s="136" t="str">
        <f>IFERROR(IF($D572="","",VLOOKUP($D572,Cadastro!$C$4:$G$7,5,FALSE)),"")</f>
        <v/>
      </c>
      <c r="J572" s="137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9">
        <v>46256</v>
      </c>
      <c r="B573" s="32">
        <f t="shared" si="149"/>
        <v>0.49999999999999972</v>
      </c>
      <c r="C573" s="33"/>
      <c r="D573" s="62"/>
      <c r="E573" s="110"/>
      <c r="F573" s="135" t="str">
        <f>IFERROR(IF($D573="","",VLOOKUP($D573,Cadastro!$C$4:$E$7,3,FALSE)),"")</f>
        <v/>
      </c>
      <c r="G573" s="106"/>
      <c r="H573" s="135" t="str">
        <f>IFERROR(IF($G573="","",$G573*$S$581/$G$581/Cadastro!$E$33),"")</f>
        <v/>
      </c>
      <c r="I573" s="136" t="str">
        <f>IFERROR(IF($D573="","",VLOOKUP($D573,Cadastro!$C$4:$G$7,5,FALSE)),"")</f>
        <v/>
      </c>
      <c r="J573" s="137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8">
        <v>46256</v>
      </c>
      <c r="B574" s="25">
        <f t="shared" si="149"/>
        <v>0.54166666666666641</v>
      </c>
      <c r="C574" s="33"/>
      <c r="D574" s="62"/>
      <c r="E574" s="110"/>
      <c r="F574" s="135" t="str">
        <f>IFERROR(IF($D574="","",VLOOKUP($D574,Cadastro!$C$4:$E$7,3,FALSE)),"")</f>
        <v/>
      </c>
      <c r="G574" s="106"/>
      <c r="H574" s="135" t="str">
        <f>IFERROR(IF($G574="","",$G574*$S$581/$G$581/Cadastro!$E$33),"")</f>
        <v/>
      </c>
      <c r="I574" s="136" t="str">
        <f>IFERROR(IF($D574="","",VLOOKUP($D574,Cadastro!$C$4:$G$7,5,FALSE)),"")</f>
        <v/>
      </c>
      <c r="J574" s="137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9">
        <v>46256</v>
      </c>
      <c r="B575" s="32">
        <f t="shared" si="149"/>
        <v>0.58333333333333304</v>
      </c>
      <c r="C575" s="33"/>
      <c r="D575" s="62"/>
      <c r="E575" s="110"/>
      <c r="F575" s="135" t="str">
        <f>IFERROR(IF($D575="","",VLOOKUP($D575,Cadastro!$C$4:$E$7,3,FALSE)),"")</f>
        <v/>
      </c>
      <c r="G575" s="106"/>
      <c r="H575" s="135" t="str">
        <f>IFERROR(IF($G575="","",$G575*$S$581/$G$581/Cadastro!$E$33),"")</f>
        <v/>
      </c>
      <c r="I575" s="136" t="str">
        <f>IFERROR(IF($D575="","",VLOOKUP($D575,Cadastro!$C$4:$G$7,5,FALSE)),"")</f>
        <v/>
      </c>
      <c r="J575" s="137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8">
        <v>46256</v>
      </c>
      <c r="B576" s="25">
        <f t="shared" si="149"/>
        <v>0.62499999999999967</v>
      </c>
      <c r="C576" s="33"/>
      <c r="D576" s="62"/>
      <c r="E576" s="110"/>
      <c r="F576" s="135" t="str">
        <f>IFERROR(IF($D576="","",VLOOKUP($D576,Cadastro!$C$4:$E$7,3,FALSE)),"")</f>
        <v/>
      </c>
      <c r="G576" s="108"/>
      <c r="H576" s="135" t="str">
        <f>IFERROR(IF($G576="","",$G576*$S$581/$G$581/Cadastro!$E$33),"")</f>
        <v/>
      </c>
      <c r="I576" s="136" t="str">
        <f>IFERROR(IF($D576="","",VLOOKUP($D576,Cadastro!$C$4:$G$7,5,FALSE)),"")</f>
        <v/>
      </c>
      <c r="J576" s="137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9">
        <v>46256</v>
      </c>
      <c r="B577" s="32">
        <f t="shared" si="149"/>
        <v>0.6666666666666663</v>
      </c>
      <c r="C577" s="33"/>
      <c r="D577" s="62"/>
      <c r="E577" s="110"/>
      <c r="F577" s="135" t="str">
        <f>IFERROR(IF($D577="","",VLOOKUP($D577,Cadastro!$C$4:$E$7,3,FALSE)),"")</f>
        <v/>
      </c>
      <c r="G577" s="106"/>
      <c r="H577" s="135" t="str">
        <f>IFERROR(IF($G577="","",$G577*$S$581/$G$581/Cadastro!$E$33),"")</f>
        <v/>
      </c>
      <c r="I577" s="136" t="str">
        <f>IFERROR(IF($D577="","",VLOOKUP($D577,Cadastro!$C$4:$G$7,5,FALSE)),"")</f>
        <v/>
      </c>
      <c r="J577" s="137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8">
        <v>46256</v>
      </c>
      <c r="B578" s="25">
        <f t="shared" si="149"/>
        <v>0.70833333333333293</v>
      </c>
      <c r="C578" s="33"/>
      <c r="D578" s="62"/>
      <c r="E578" s="110"/>
      <c r="F578" s="135" t="str">
        <f>IFERROR(IF($D578="","",VLOOKUP($D578,Cadastro!$C$4:$E$7,3,FALSE)),"")</f>
        <v/>
      </c>
      <c r="G578" s="106"/>
      <c r="H578" s="135" t="str">
        <f>IFERROR(IF($G578="","",$G578*$S$581/$G$581/Cadastro!$E$33),"")</f>
        <v/>
      </c>
      <c r="I578" s="136" t="str">
        <f>IFERROR(IF($D578="","",VLOOKUP($D578,Cadastro!$C$4:$G$7,5,FALSE)),"")</f>
        <v/>
      </c>
      <c r="J578" s="137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9">
        <v>46256</v>
      </c>
      <c r="B579" s="32">
        <f t="shared" si="149"/>
        <v>0.74999999999999956</v>
      </c>
      <c r="C579" s="33"/>
      <c r="D579" s="62"/>
      <c r="E579" s="110"/>
      <c r="F579" s="135" t="str">
        <f>IFERROR(IF($D579="","",VLOOKUP($D579,Cadastro!$C$4:$E$7,3,FALSE)),"")</f>
        <v/>
      </c>
      <c r="G579" s="106"/>
      <c r="H579" s="135" t="str">
        <f>IFERROR(IF($G579="","",$G579*$S$581/$G$581/Cadastro!$E$33),"")</f>
        <v/>
      </c>
      <c r="I579" s="136" t="str">
        <f>IFERROR(IF($D579="","",VLOOKUP($D579,Cadastro!$C$4:$G$7,5,FALSE)),"")</f>
        <v/>
      </c>
      <c r="J579" s="137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8">
        <v>46256</v>
      </c>
      <c r="B580" s="25">
        <f t="shared" si="149"/>
        <v>0.79166666666666619</v>
      </c>
      <c r="C580" s="33"/>
      <c r="D580" s="62"/>
      <c r="E580" s="110"/>
      <c r="F580" s="138" t="str">
        <f>IFERROR(IF($D580="","",VLOOKUP($D580,Cadastro!$C$4:$E$7,3,FALSE)),"")</f>
        <v/>
      </c>
      <c r="G580" s="106"/>
      <c r="H580" s="138" t="str">
        <f>IFERROR(IF($G580="","",$G580*$S$581/$G$581/Cadastro!$E$33),"")</f>
        <v/>
      </c>
      <c r="I580" s="139" t="str">
        <f>IFERROR(IF($D580="","",VLOOKUP($D580,Cadastro!$C$4:$G$7,5,FALSE)),"")</f>
        <v/>
      </c>
      <c r="J580" s="140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2" t="s">
        <v>241</v>
      </c>
      <c r="B581" s="153"/>
      <c r="C581" s="153"/>
      <c r="D581" s="153"/>
      <c r="E581" s="153">
        <f>SUM(E569:E580)</f>
        <v>0</v>
      </c>
      <c r="F581" s="111"/>
      <c r="G581" s="81">
        <f>SUM(G569:G580)</f>
        <v>0</v>
      </c>
      <c r="H581" s="111">
        <f>IFERROR(SUM(H569:H580),"")</f>
        <v>0</v>
      </c>
      <c r="I581" s="115"/>
      <c r="J581" s="124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3">
        <f>IFERROR(J581,"")</f>
        <v>0</v>
      </c>
    </row>
    <row r="582" spans="1:20" ht="15" customHeight="1">
      <c r="A582" s="68">
        <v>46256</v>
      </c>
      <c r="B582" s="25">
        <v>0.83333333333333304</v>
      </c>
      <c r="C582" s="26"/>
      <c r="D582" s="59"/>
      <c r="E582" s="109"/>
      <c r="F582" s="141" t="str">
        <f>IFERROR(IF($D582="","",VLOOKUP($D582,Cadastro!$C$4:$E$7,3,FALSE)),"")</f>
        <v/>
      </c>
      <c r="G582" s="106"/>
      <c r="H582" s="141" t="str">
        <f>IFERROR(IF($G582="","",$G582*$S$594/$G$594/Cadastro!$E$33),"")</f>
        <v/>
      </c>
      <c r="I582" s="142" t="str">
        <f>IFERROR(IF($D582="","",VLOOKUP($D582,Cadastro!$C$4:$G$7,5,FALSE)),"")</f>
        <v/>
      </c>
      <c r="J582" s="143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9">
        <v>46256</v>
      </c>
      <c r="B583" s="32">
        <f t="shared" ref="B583:B593" si="153">B582+TIME(0,60,0)</f>
        <v>0.87499999999999967</v>
      </c>
      <c r="C583" s="26"/>
      <c r="D583" s="59"/>
      <c r="E583" s="109"/>
      <c r="F583" s="135" t="str">
        <f>IFERROR(IF($D583="","",VLOOKUP($D583,Cadastro!$C$4:$E$7,3,FALSE)),"")</f>
        <v/>
      </c>
      <c r="G583" s="106"/>
      <c r="H583" s="135" t="str">
        <f>IFERROR(IF($G583="","",$G583*$S$594/$G$594/Cadastro!$E$33),"")</f>
        <v/>
      </c>
      <c r="I583" s="136" t="str">
        <f>IFERROR(IF($D583="","",VLOOKUP($D583,Cadastro!$C$4:$G$7,5,FALSE)),"")</f>
        <v/>
      </c>
      <c r="J583" s="137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8">
        <v>46256</v>
      </c>
      <c r="B584" s="25">
        <f t="shared" si="153"/>
        <v>0.9166666666666663</v>
      </c>
      <c r="C584" s="26"/>
      <c r="D584" s="59"/>
      <c r="E584" s="109"/>
      <c r="F584" s="135" t="str">
        <f>IFERROR(IF($D584="","",VLOOKUP($D584,Cadastro!$C$4:$E$7,3,FALSE)),"")</f>
        <v/>
      </c>
      <c r="G584" s="106"/>
      <c r="H584" s="135" t="str">
        <f>IFERROR(IF($G584="","",$G584*$S$594/$G$594/Cadastro!$E$33),"")</f>
        <v/>
      </c>
      <c r="I584" s="136" t="str">
        <f>IFERROR(IF($D584="","",VLOOKUP($D584,Cadastro!$C$4:$G$7,5,FALSE)),"")</f>
        <v/>
      </c>
      <c r="J584" s="137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9">
        <v>46256</v>
      </c>
      <c r="B585" s="32">
        <f t="shared" si="153"/>
        <v>0.95833333333333293</v>
      </c>
      <c r="C585" s="26"/>
      <c r="D585" s="59"/>
      <c r="E585" s="109"/>
      <c r="F585" s="135" t="str">
        <f>IFERROR(IF($D585="","",VLOOKUP($D585,Cadastro!$C$4:$E$7,3,FALSE)),"")</f>
        <v/>
      </c>
      <c r="G585" s="106"/>
      <c r="H585" s="135" t="str">
        <f>IFERROR(IF($G585="","",$G585*$S$594/$G$594/Cadastro!$E$33),"")</f>
        <v/>
      </c>
      <c r="I585" s="136" t="str">
        <f>IFERROR(IF($D585="","",VLOOKUP($D585,Cadastro!$C$4:$G$7,5,FALSE)),"")</f>
        <v/>
      </c>
      <c r="J585" s="137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8">
        <v>46256</v>
      </c>
      <c r="B586" s="25">
        <f t="shared" si="153"/>
        <v>0.99999999999999956</v>
      </c>
      <c r="C586" s="26"/>
      <c r="D586" s="59"/>
      <c r="E586" s="109"/>
      <c r="F586" s="135" t="str">
        <f>IFERROR(IF($D586="","",VLOOKUP($D586,Cadastro!$C$4:$E$7,3,FALSE)),"")</f>
        <v/>
      </c>
      <c r="G586" s="106"/>
      <c r="H586" s="135" t="str">
        <f>IFERROR(IF($G586="","",$G586*$S$594/$G$594/Cadastro!$E$33),"")</f>
        <v/>
      </c>
      <c r="I586" s="136" t="str">
        <f>IFERROR(IF($D586="","",VLOOKUP($D586,Cadastro!$C$4:$G$7,5,FALSE)),"")</f>
        <v/>
      </c>
      <c r="J586" s="137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9">
        <v>46256</v>
      </c>
      <c r="B587" s="32">
        <f t="shared" si="153"/>
        <v>1.0416666666666663</v>
      </c>
      <c r="C587" s="26"/>
      <c r="D587" s="59"/>
      <c r="E587" s="109"/>
      <c r="F587" s="135" t="str">
        <f>IFERROR(IF($D587="","",VLOOKUP($D587,Cadastro!$C$4:$E$7,3,FALSE)),"")</f>
        <v/>
      </c>
      <c r="G587" s="106"/>
      <c r="H587" s="135" t="str">
        <f>IFERROR(IF($G587="","",$G587*$S$594/$G$594/Cadastro!$E$33),"")</f>
        <v/>
      </c>
      <c r="I587" s="136" t="str">
        <f>IFERROR(IF($D587="","",VLOOKUP($D587,Cadastro!$C$4:$G$7,5,FALSE)),"")</f>
        <v/>
      </c>
      <c r="J587" s="137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8">
        <v>46256</v>
      </c>
      <c r="B588" s="25">
        <f t="shared" si="153"/>
        <v>1.083333333333333</v>
      </c>
      <c r="C588" s="26"/>
      <c r="D588" s="59"/>
      <c r="E588" s="109"/>
      <c r="F588" s="135" t="str">
        <f>IFERROR(IF($D588="","",VLOOKUP($D588,Cadastro!$C$4:$E$7,3,FALSE)),"")</f>
        <v/>
      </c>
      <c r="G588" s="106"/>
      <c r="H588" s="135" t="str">
        <f>IFERROR(IF($G588="","",$G588*$S$594/$G$594/Cadastro!$E$33),"")</f>
        <v/>
      </c>
      <c r="I588" s="136" t="str">
        <f>IFERROR(IF($D588="","",VLOOKUP($D588,Cadastro!$C$4:$G$7,5,FALSE)),"")</f>
        <v/>
      </c>
      <c r="J588" s="137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9">
        <v>46256</v>
      </c>
      <c r="B589" s="32">
        <f t="shared" si="153"/>
        <v>1.1249999999999998</v>
      </c>
      <c r="C589" s="26"/>
      <c r="D589" s="59"/>
      <c r="E589" s="109"/>
      <c r="F589" s="135" t="str">
        <f>IFERROR(IF($D589="","",VLOOKUP($D589,Cadastro!$C$4:$E$7,3,FALSE)),"")</f>
        <v/>
      </c>
      <c r="G589" s="106"/>
      <c r="H589" s="135" t="str">
        <f>IFERROR(IF($G589="","",$G589*$S$594/$G$594/Cadastro!$E$33),"")</f>
        <v/>
      </c>
      <c r="I589" s="136" t="str">
        <f>IFERROR(IF($D589="","",VLOOKUP($D589,Cadastro!$C$4:$G$7,5,FALSE)),"")</f>
        <v/>
      </c>
      <c r="J589" s="137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8">
        <v>46256</v>
      </c>
      <c r="B590" s="25">
        <f t="shared" si="153"/>
        <v>1.1666666666666665</v>
      </c>
      <c r="C590" s="26"/>
      <c r="D590" s="59"/>
      <c r="E590" s="109"/>
      <c r="F590" s="135" t="str">
        <f>IFERROR(IF($D590="","",VLOOKUP($D590,Cadastro!$C$4:$E$7,3,FALSE)),"")</f>
        <v/>
      </c>
      <c r="G590" s="106"/>
      <c r="H590" s="135" t="str">
        <f>IFERROR(IF($G590="","",$G590*$S$594/$G$594/Cadastro!$E$33),"")</f>
        <v/>
      </c>
      <c r="I590" s="136" t="str">
        <f>IFERROR(IF($D590="","",VLOOKUP($D590,Cadastro!$C$4:$G$7,5,FALSE)),"")</f>
        <v/>
      </c>
      <c r="J590" s="137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9">
        <v>46256</v>
      </c>
      <c r="B591" s="32">
        <f t="shared" si="153"/>
        <v>1.2083333333333333</v>
      </c>
      <c r="C591" s="26"/>
      <c r="D591" s="59"/>
      <c r="E591" s="109"/>
      <c r="F591" s="135" t="str">
        <f>IFERROR(IF($D591="","",VLOOKUP($D591,Cadastro!$C$4:$E$7,3,FALSE)),"")</f>
        <v/>
      </c>
      <c r="G591" s="106"/>
      <c r="H591" s="135" t="str">
        <f>IFERROR(IF($G591="","",$G591*$S$594/$G$594/Cadastro!$E$33),"")</f>
        <v/>
      </c>
      <c r="I591" s="136" t="str">
        <f>IFERROR(IF($D591="","",VLOOKUP($D591,Cadastro!$C$4:$G$7,5,FALSE)),"")</f>
        <v/>
      </c>
      <c r="J591" s="137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8">
        <v>46256</v>
      </c>
      <c r="B592" s="25">
        <f t="shared" si="153"/>
        <v>1.25</v>
      </c>
      <c r="C592" s="26"/>
      <c r="D592" s="59"/>
      <c r="E592" s="109"/>
      <c r="F592" s="135" t="str">
        <f>IFERROR(IF($D592="","",VLOOKUP($D592,Cadastro!$C$4:$E$7,3,FALSE)),"")</f>
        <v/>
      </c>
      <c r="G592" s="106"/>
      <c r="H592" s="135" t="str">
        <f>IFERROR(IF($G592="","",$G592*$S$594/$G$594/Cadastro!$E$33),"")</f>
        <v/>
      </c>
      <c r="I592" s="136" t="str">
        <f>IFERROR(IF($D592="","",VLOOKUP($D592,Cadastro!$C$4:$G$7,5,FALSE)),"")</f>
        <v/>
      </c>
      <c r="J592" s="137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9">
        <v>46256</v>
      </c>
      <c r="B593" s="32">
        <f t="shared" si="153"/>
        <v>1.2916666666666667</v>
      </c>
      <c r="C593" s="26"/>
      <c r="D593" s="59"/>
      <c r="E593" s="109"/>
      <c r="F593" s="138" t="str">
        <f>IFERROR(IF($D593="","",VLOOKUP($D593,Cadastro!$C$4:$E$7,3,FALSE)),"")</f>
        <v/>
      </c>
      <c r="G593" s="106"/>
      <c r="H593" s="138" t="str">
        <f>IFERROR(IF($G593="","",$G593*$S$594/$G$594/Cadastro!$E$33),"")</f>
        <v/>
      </c>
      <c r="I593" s="139" t="str">
        <f>IFERROR(IF($D593="","",VLOOKUP($D593,Cadastro!$C$4:$G$7,5,FALSE)),"")</f>
        <v/>
      </c>
      <c r="J593" s="140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2" t="s">
        <v>244</v>
      </c>
      <c r="B594" s="153"/>
      <c r="C594" s="153"/>
      <c r="D594" s="153"/>
      <c r="E594" s="153">
        <f>SUM(E582:E593)</f>
        <v>0</v>
      </c>
      <c r="F594" s="112"/>
      <c r="G594" s="81">
        <f>SUM(G582:G593)</f>
        <v>0</v>
      </c>
      <c r="H594" s="112">
        <f>IFERROR(SUM(H582:H593),"")</f>
        <v>0</v>
      </c>
      <c r="I594" s="116"/>
      <c r="J594" s="125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3">
        <f>IFERROR(J594,"")</f>
        <v>0</v>
      </c>
    </row>
    <row r="595" spans="1:20" ht="18" customHeight="1">
      <c r="A595" s="150" t="s">
        <v>245</v>
      </c>
      <c r="B595" s="151"/>
      <c r="C595" s="151"/>
      <c r="D595" s="151"/>
      <c r="E595" s="151">
        <f>E581+E594</f>
        <v>0</v>
      </c>
      <c r="F595" s="113"/>
      <c r="G595" s="92">
        <f>G581+G594</f>
        <v>0</v>
      </c>
      <c r="H595" s="113">
        <f>IFERROR(H581+H594,"")</f>
        <v>0</v>
      </c>
      <c r="I595" s="117"/>
      <c r="J595" s="126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4">
        <f>IFERROR(S581+S594,"")</f>
        <v>0</v>
      </c>
      <c r="T595" s="145">
        <f>IFERROR(J595,"")</f>
        <v>0</v>
      </c>
    </row>
    <row r="596" spans="1:20" ht="15" customHeight="1">
      <c r="A596" s="68">
        <v>46257</v>
      </c>
      <c r="B596" s="25">
        <v>0.33333333333333298</v>
      </c>
      <c r="C596" s="26"/>
      <c r="D596" s="59"/>
      <c r="E596" s="109"/>
      <c r="F596" s="141" t="str">
        <f>IFERROR(IF($D596="","",VLOOKUP($D596,Cadastro!$C$4:$E$7,3,FALSE)),"")</f>
        <v/>
      </c>
      <c r="G596" s="106"/>
      <c r="H596" s="141" t="str">
        <f>IFERROR(IF($G596="","",$G596*$S$608/$G$608/Cadastro!$E$33),"")</f>
        <v/>
      </c>
      <c r="I596" s="142" t="str">
        <f>IFERROR(IF($D596="","",VLOOKUP($D596,Cadastro!$C$4:$G$7,5,FALSE)),"")</f>
        <v/>
      </c>
      <c r="J596" s="143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9">
        <v>46257</v>
      </c>
      <c r="B597" s="32">
        <f t="shared" ref="B597:B607" si="157">B596+TIME(0,60,0)</f>
        <v>0.37499999999999967</v>
      </c>
      <c r="C597" s="26"/>
      <c r="D597" s="59"/>
      <c r="E597" s="109"/>
      <c r="F597" s="135" t="str">
        <f>IFERROR(IF($D597="","",VLOOKUP($D597,Cadastro!$C$4:$E$7,3,FALSE)),"")</f>
        <v/>
      </c>
      <c r="G597" s="106"/>
      <c r="H597" s="135" t="str">
        <f>IFERROR(IF($G597="","",$G597*$S$608/$G$608/Cadastro!$E$33),"")</f>
        <v/>
      </c>
      <c r="I597" s="136" t="str">
        <f>IFERROR(IF($D597="","",VLOOKUP($D597,Cadastro!$C$4:$G$7,5,FALSE)),"")</f>
        <v/>
      </c>
      <c r="J597" s="137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8">
        <v>46257</v>
      </c>
      <c r="B598" s="25">
        <f t="shared" si="157"/>
        <v>0.41666666666666635</v>
      </c>
      <c r="C598" s="26"/>
      <c r="D598" s="59"/>
      <c r="E598" s="109"/>
      <c r="F598" s="135" t="str">
        <f>IFERROR(IF($D598="","",VLOOKUP($D598,Cadastro!$C$4:$E$7,3,FALSE)),"")</f>
        <v/>
      </c>
      <c r="G598" s="106"/>
      <c r="H598" s="135" t="str">
        <f>IFERROR(IF($G598="","",$G598*$S$608/$G$608/Cadastro!$E$33),"")</f>
        <v/>
      </c>
      <c r="I598" s="136" t="str">
        <f>IFERROR(IF($D598="","",VLOOKUP($D598,Cadastro!$C$4:$G$7,5,FALSE)),"")</f>
        <v/>
      </c>
      <c r="J598" s="137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9">
        <v>46257</v>
      </c>
      <c r="B599" s="32">
        <f t="shared" si="157"/>
        <v>0.45833333333333304</v>
      </c>
      <c r="C599" s="26"/>
      <c r="D599" s="59"/>
      <c r="E599" s="109"/>
      <c r="F599" s="135" t="str">
        <f>IFERROR(IF($D599="","",VLOOKUP($D599,Cadastro!$C$4:$E$7,3,FALSE)),"")</f>
        <v/>
      </c>
      <c r="G599" s="106"/>
      <c r="H599" s="135" t="str">
        <f>IFERROR(IF($G599="","",$G599*$S$608/$G$608/Cadastro!$E$33),"")</f>
        <v/>
      </c>
      <c r="I599" s="136" t="str">
        <f>IFERROR(IF($D599="","",VLOOKUP($D599,Cadastro!$C$4:$G$7,5,FALSE)),"")</f>
        <v/>
      </c>
      <c r="J599" s="137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8">
        <v>46257</v>
      </c>
      <c r="B600" s="25">
        <f t="shared" si="157"/>
        <v>0.49999999999999972</v>
      </c>
      <c r="C600" s="26"/>
      <c r="D600" s="59"/>
      <c r="E600" s="109"/>
      <c r="F600" s="135" t="str">
        <f>IFERROR(IF($D600="","",VLOOKUP($D600,Cadastro!$C$4:$E$7,3,FALSE)),"")</f>
        <v/>
      </c>
      <c r="G600" s="106"/>
      <c r="H600" s="135" t="str">
        <f>IFERROR(IF($G600="","",$G600*$S$608/$G$608/Cadastro!$E$33),"")</f>
        <v/>
      </c>
      <c r="I600" s="136" t="str">
        <f>IFERROR(IF($D600="","",VLOOKUP($D600,Cadastro!$C$4:$G$7,5,FALSE)),"")</f>
        <v/>
      </c>
      <c r="J600" s="137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9">
        <v>46257</v>
      </c>
      <c r="B601" s="32">
        <f t="shared" si="157"/>
        <v>0.54166666666666641</v>
      </c>
      <c r="C601" s="26"/>
      <c r="D601" s="59"/>
      <c r="E601" s="109"/>
      <c r="F601" s="135" t="str">
        <f>IFERROR(IF($D601="","",VLOOKUP($D601,Cadastro!$C$4:$E$7,3,FALSE)),"")</f>
        <v/>
      </c>
      <c r="G601" s="106"/>
      <c r="H601" s="135" t="str">
        <f>IFERROR(IF($G601="","",$G601*$S$608/$G$608/Cadastro!$E$33),"")</f>
        <v/>
      </c>
      <c r="I601" s="136" t="str">
        <f>IFERROR(IF($D601="","",VLOOKUP($D601,Cadastro!$C$4:$G$7,5,FALSE)),"")</f>
        <v/>
      </c>
      <c r="J601" s="137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8">
        <v>46257</v>
      </c>
      <c r="B602" s="25">
        <f t="shared" si="157"/>
        <v>0.58333333333333304</v>
      </c>
      <c r="C602" s="26"/>
      <c r="D602" s="59"/>
      <c r="E602" s="109"/>
      <c r="F602" s="135" t="str">
        <f>IFERROR(IF($D602="","",VLOOKUP($D602,Cadastro!$C$4:$E$7,3,FALSE)),"")</f>
        <v/>
      </c>
      <c r="G602" s="106"/>
      <c r="H602" s="135" t="str">
        <f>IFERROR(IF($G602="","",$G602*$S$608/$G$608/Cadastro!$E$33),"")</f>
        <v/>
      </c>
      <c r="I602" s="136" t="str">
        <f>IFERROR(IF($D602="","",VLOOKUP($D602,Cadastro!$C$4:$G$7,5,FALSE)),"")</f>
        <v/>
      </c>
      <c r="J602" s="137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9">
        <v>46257</v>
      </c>
      <c r="B603" s="32">
        <f t="shared" si="157"/>
        <v>0.62499999999999967</v>
      </c>
      <c r="C603" s="26"/>
      <c r="D603" s="59"/>
      <c r="E603" s="109"/>
      <c r="F603" s="135" t="str">
        <f>IFERROR(IF($D603="","",VLOOKUP($D603,Cadastro!$C$4:$E$7,3,FALSE)),"")</f>
        <v/>
      </c>
      <c r="G603" s="106"/>
      <c r="H603" s="135" t="str">
        <f>IFERROR(IF($G603="","",$G603*$S$608/$G$608/Cadastro!$E$33),"")</f>
        <v/>
      </c>
      <c r="I603" s="136" t="str">
        <f>IFERROR(IF($D603="","",VLOOKUP($D603,Cadastro!$C$4:$G$7,5,FALSE)),"")</f>
        <v/>
      </c>
      <c r="J603" s="137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8">
        <v>46257</v>
      </c>
      <c r="B604" s="25">
        <f t="shared" si="157"/>
        <v>0.6666666666666663</v>
      </c>
      <c r="C604" s="26"/>
      <c r="D604" s="59"/>
      <c r="E604" s="109"/>
      <c r="F604" s="135" t="str">
        <f>IFERROR(IF($D604="","",VLOOKUP($D604,Cadastro!$C$4:$E$7,3,FALSE)),"")</f>
        <v/>
      </c>
      <c r="G604" s="106"/>
      <c r="H604" s="135" t="str">
        <f>IFERROR(IF($G604="","",$G604*$S$608/$G$608/Cadastro!$E$33),"")</f>
        <v/>
      </c>
      <c r="I604" s="136" t="str">
        <f>IFERROR(IF($D604="","",VLOOKUP($D604,Cadastro!$C$4:$G$7,5,FALSE)),"")</f>
        <v/>
      </c>
      <c r="J604" s="137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9">
        <v>46257</v>
      </c>
      <c r="B605" s="32">
        <f t="shared" si="157"/>
        <v>0.70833333333333293</v>
      </c>
      <c r="C605" s="26"/>
      <c r="D605" s="59"/>
      <c r="E605" s="109"/>
      <c r="F605" s="135" t="str">
        <f>IFERROR(IF($D605="","",VLOOKUP($D605,Cadastro!$C$4:$E$7,3,FALSE)),"")</f>
        <v/>
      </c>
      <c r="G605" s="106"/>
      <c r="H605" s="135" t="str">
        <f>IFERROR(IF($G605="","",$G605*$S$608/$G$608/Cadastro!$E$33),"")</f>
        <v/>
      </c>
      <c r="I605" s="136" t="str">
        <f>IFERROR(IF($D605="","",VLOOKUP($D605,Cadastro!$C$4:$G$7,5,FALSE)),"")</f>
        <v/>
      </c>
      <c r="J605" s="137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8">
        <v>46257</v>
      </c>
      <c r="B606" s="25">
        <f t="shared" si="157"/>
        <v>0.74999999999999956</v>
      </c>
      <c r="C606" s="26"/>
      <c r="D606" s="59"/>
      <c r="E606" s="109"/>
      <c r="F606" s="135" t="str">
        <f>IFERROR(IF($D606="","",VLOOKUP($D606,Cadastro!$C$4:$E$7,3,FALSE)),"")</f>
        <v/>
      </c>
      <c r="G606" s="106"/>
      <c r="H606" s="135" t="str">
        <f>IFERROR(IF($G606="","",$G606*$S$608/$G$608/Cadastro!$E$33),"")</f>
        <v/>
      </c>
      <c r="I606" s="136" t="str">
        <f>IFERROR(IF($D606="","",VLOOKUP($D606,Cadastro!$C$4:$G$7,5,FALSE)),"")</f>
        <v/>
      </c>
      <c r="J606" s="137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9">
        <v>46257</v>
      </c>
      <c r="B607" s="32">
        <f t="shared" si="157"/>
        <v>0.79166666666666619</v>
      </c>
      <c r="C607" s="26"/>
      <c r="D607" s="59"/>
      <c r="E607" s="109"/>
      <c r="F607" s="138" t="str">
        <f>IFERROR(IF($D607="","",VLOOKUP($D607,Cadastro!$C$4:$E$7,3,FALSE)),"")</f>
        <v/>
      </c>
      <c r="G607" s="106"/>
      <c r="H607" s="138" t="str">
        <f>IFERROR(IF($G607="","",$G607*$S$608/$G$608/Cadastro!$E$33),"")</f>
        <v/>
      </c>
      <c r="I607" s="139" t="str">
        <f>IFERROR(IF($D607="","",VLOOKUP($D607,Cadastro!$C$4:$G$7,5,FALSE)),"")</f>
        <v/>
      </c>
      <c r="J607" s="140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2" t="s">
        <v>241</v>
      </c>
      <c r="B608" s="153"/>
      <c r="C608" s="153"/>
      <c r="D608" s="153"/>
      <c r="E608" s="153">
        <f>SUM(E596:E607)</f>
        <v>0</v>
      </c>
      <c r="F608" s="111"/>
      <c r="G608" s="81">
        <f>SUM(G596:G607)</f>
        <v>0</v>
      </c>
      <c r="H608" s="111">
        <f>IFERROR(SUM(H596:H607),"")</f>
        <v>0</v>
      </c>
      <c r="I608" s="115"/>
      <c r="J608" s="124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3">
        <f>IFERROR(J608,"")</f>
        <v>0</v>
      </c>
    </row>
    <row r="609" spans="1:20" ht="15" customHeight="1">
      <c r="A609" s="69">
        <v>46257</v>
      </c>
      <c r="B609" s="32">
        <v>0.83333333333333304</v>
      </c>
      <c r="C609" s="33"/>
      <c r="D609" s="62"/>
      <c r="E609" s="110"/>
      <c r="F609" s="141" t="str">
        <f>IFERROR(IF($D609="","",VLOOKUP($D609,Cadastro!$C$4:$E$7,3,FALSE)),"")</f>
        <v/>
      </c>
      <c r="G609" s="106"/>
      <c r="H609" s="141" t="str">
        <f>IFERROR(IF($G609="","",$G609*$S$621/$G$621/Cadastro!$E$33),"")</f>
        <v/>
      </c>
      <c r="I609" s="142" t="str">
        <f>IFERROR(IF($D609="","",VLOOKUP($D609,Cadastro!$C$4:$G$7,5,FALSE)),"")</f>
        <v/>
      </c>
      <c r="J609" s="143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8">
        <v>46257</v>
      </c>
      <c r="B610" s="25">
        <f t="shared" ref="B610:B620" si="161">B609+TIME(0,60,0)</f>
        <v>0.87499999999999967</v>
      </c>
      <c r="C610" s="33"/>
      <c r="D610" s="62"/>
      <c r="E610" s="110"/>
      <c r="F610" s="135" t="str">
        <f>IFERROR(IF($D610="","",VLOOKUP($D610,Cadastro!$C$4:$E$7,3,FALSE)),"")</f>
        <v/>
      </c>
      <c r="G610" s="106"/>
      <c r="H610" s="135" t="str">
        <f>IFERROR(IF($G610="","",$G610*$S$621/$G$621/Cadastro!$E$33),"")</f>
        <v/>
      </c>
      <c r="I610" s="136" t="str">
        <f>IFERROR(IF($D610="","",VLOOKUP($D610,Cadastro!$C$4:$G$7,5,FALSE)),"")</f>
        <v/>
      </c>
      <c r="J610" s="137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9">
        <v>46257</v>
      </c>
      <c r="B611" s="32">
        <f t="shared" si="161"/>
        <v>0.9166666666666663</v>
      </c>
      <c r="C611" s="33"/>
      <c r="D611" s="62"/>
      <c r="E611" s="110"/>
      <c r="F611" s="135" t="str">
        <f>IFERROR(IF($D611="","",VLOOKUP($D611,Cadastro!$C$4:$E$7,3,FALSE)),"")</f>
        <v/>
      </c>
      <c r="G611" s="106"/>
      <c r="H611" s="135" t="str">
        <f>IFERROR(IF($G611="","",$G611*$S$621/$G$621/Cadastro!$E$33),"")</f>
        <v/>
      </c>
      <c r="I611" s="136" t="str">
        <f>IFERROR(IF($D611="","",VLOOKUP($D611,Cadastro!$C$4:$G$7,5,FALSE)),"")</f>
        <v/>
      </c>
      <c r="J611" s="137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8">
        <v>46257</v>
      </c>
      <c r="B612" s="25">
        <f t="shared" si="161"/>
        <v>0.95833333333333293</v>
      </c>
      <c r="C612" s="33"/>
      <c r="D612" s="62"/>
      <c r="E612" s="110"/>
      <c r="F612" s="135" t="str">
        <f>IFERROR(IF($D612="","",VLOOKUP($D612,Cadastro!$C$4:$E$7,3,FALSE)),"")</f>
        <v/>
      </c>
      <c r="G612" s="106"/>
      <c r="H612" s="135" t="str">
        <f>IFERROR(IF($G612="","",$G612*$S$621/$G$621/Cadastro!$E$33),"")</f>
        <v/>
      </c>
      <c r="I612" s="136" t="str">
        <f>IFERROR(IF($D612="","",VLOOKUP($D612,Cadastro!$C$4:$G$7,5,FALSE)),"")</f>
        <v/>
      </c>
      <c r="J612" s="137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9">
        <v>46257</v>
      </c>
      <c r="B613" s="32">
        <f t="shared" si="161"/>
        <v>0.99999999999999956</v>
      </c>
      <c r="C613" s="33"/>
      <c r="D613" s="62"/>
      <c r="E613" s="110"/>
      <c r="F613" s="135" t="str">
        <f>IFERROR(IF($D613="","",VLOOKUP($D613,Cadastro!$C$4:$E$7,3,FALSE)),"")</f>
        <v/>
      </c>
      <c r="G613" s="106"/>
      <c r="H613" s="135" t="str">
        <f>IFERROR(IF($G613="","",$G613*$S$621/$G$621/Cadastro!$E$33),"")</f>
        <v/>
      </c>
      <c r="I613" s="136" t="str">
        <f>IFERROR(IF($D613="","",VLOOKUP($D613,Cadastro!$C$4:$G$7,5,FALSE)),"")</f>
        <v/>
      </c>
      <c r="J613" s="137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8">
        <v>46257</v>
      </c>
      <c r="B614" s="25">
        <f t="shared" si="161"/>
        <v>1.0416666666666663</v>
      </c>
      <c r="C614" s="33"/>
      <c r="D614" s="62"/>
      <c r="E614" s="110"/>
      <c r="F614" s="135" t="str">
        <f>IFERROR(IF($D614="","",VLOOKUP($D614,Cadastro!$C$4:$E$7,3,FALSE)),"")</f>
        <v/>
      </c>
      <c r="G614" s="106"/>
      <c r="H614" s="135" t="str">
        <f>IFERROR(IF($G614="","",$G614*$S$621/$G$621/Cadastro!$E$33),"")</f>
        <v/>
      </c>
      <c r="I614" s="136" t="str">
        <f>IFERROR(IF($D614="","",VLOOKUP($D614,Cadastro!$C$4:$G$7,5,FALSE)),"")</f>
        <v/>
      </c>
      <c r="J614" s="137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9">
        <v>46257</v>
      </c>
      <c r="B615" s="32">
        <f t="shared" si="161"/>
        <v>1.083333333333333</v>
      </c>
      <c r="C615" s="33"/>
      <c r="D615" s="62"/>
      <c r="E615" s="110"/>
      <c r="F615" s="135" t="str">
        <f>IFERROR(IF($D615="","",VLOOKUP($D615,Cadastro!$C$4:$E$7,3,FALSE)),"")</f>
        <v/>
      </c>
      <c r="G615" s="106"/>
      <c r="H615" s="135" t="str">
        <f>IFERROR(IF($G615="","",$G615*$S$621/$G$621/Cadastro!$E$33),"")</f>
        <v/>
      </c>
      <c r="I615" s="136" t="str">
        <f>IFERROR(IF($D615="","",VLOOKUP($D615,Cadastro!$C$4:$G$7,5,FALSE)),"")</f>
        <v/>
      </c>
      <c r="J615" s="137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8">
        <v>46257</v>
      </c>
      <c r="B616" s="25">
        <f t="shared" si="161"/>
        <v>1.1249999999999998</v>
      </c>
      <c r="C616" s="33"/>
      <c r="D616" s="62"/>
      <c r="E616" s="110"/>
      <c r="F616" s="135" t="str">
        <f>IFERROR(IF($D616="","",VLOOKUP($D616,Cadastro!$C$4:$E$7,3,FALSE)),"")</f>
        <v/>
      </c>
      <c r="G616" s="106"/>
      <c r="H616" s="135" t="str">
        <f>IFERROR(IF($G616="","",$G616*$S$621/$G$621/Cadastro!$E$33),"")</f>
        <v/>
      </c>
      <c r="I616" s="136" t="str">
        <f>IFERROR(IF($D616="","",VLOOKUP($D616,Cadastro!$C$4:$G$7,5,FALSE)),"")</f>
        <v/>
      </c>
      <c r="J616" s="137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9">
        <v>46257</v>
      </c>
      <c r="B617" s="32">
        <f t="shared" si="161"/>
        <v>1.1666666666666665</v>
      </c>
      <c r="C617" s="33"/>
      <c r="D617" s="62"/>
      <c r="E617" s="110"/>
      <c r="F617" s="135" t="str">
        <f>IFERROR(IF($D617="","",VLOOKUP($D617,Cadastro!$C$4:$E$7,3,FALSE)),"")</f>
        <v/>
      </c>
      <c r="G617" s="106"/>
      <c r="H617" s="135" t="str">
        <f>IFERROR(IF($G617="","",$G617*$S$621/$G$621/Cadastro!$E$33),"")</f>
        <v/>
      </c>
      <c r="I617" s="136" t="str">
        <f>IFERROR(IF($D617="","",VLOOKUP($D617,Cadastro!$C$4:$G$7,5,FALSE)),"")</f>
        <v/>
      </c>
      <c r="J617" s="137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8">
        <v>46257</v>
      </c>
      <c r="B618" s="25">
        <f t="shared" si="161"/>
        <v>1.2083333333333333</v>
      </c>
      <c r="C618" s="33"/>
      <c r="D618" s="62"/>
      <c r="E618" s="110"/>
      <c r="F618" s="135" t="str">
        <f>IFERROR(IF($D618="","",VLOOKUP($D618,Cadastro!$C$4:$E$7,3,FALSE)),"")</f>
        <v/>
      </c>
      <c r="G618" s="106"/>
      <c r="H618" s="135" t="str">
        <f>IFERROR(IF($G618="","",$G618*$S$621/$G$621/Cadastro!$E$33),"")</f>
        <v/>
      </c>
      <c r="I618" s="136" t="str">
        <f>IFERROR(IF($D618="","",VLOOKUP($D618,Cadastro!$C$4:$G$7,5,FALSE)),"")</f>
        <v/>
      </c>
      <c r="J618" s="137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9">
        <v>46257</v>
      </c>
      <c r="B619" s="32">
        <f t="shared" si="161"/>
        <v>1.25</v>
      </c>
      <c r="C619" s="33"/>
      <c r="D619" s="62"/>
      <c r="E619" s="110"/>
      <c r="F619" s="135" t="str">
        <f>IFERROR(IF($D619="","",VLOOKUP($D619,Cadastro!$C$4:$E$7,3,FALSE)),"")</f>
        <v/>
      </c>
      <c r="G619" s="106"/>
      <c r="H619" s="135" t="str">
        <f>IFERROR(IF($G619="","",$G619*$S$621/$G$621/Cadastro!$E$33),"")</f>
        <v/>
      </c>
      <c r="I619" s="136" t="str">
        <f>IFERROR(IF($D619="","",VLOOKUP($D619,Cadastro!$C$4:$G$7,5,FALSE)),"")</f>
        <v/>
      </c>
      <c r="J619" s="137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8">
        <v>46257</v>
      </c>
      <c r="B620" s="25">
        <f t="shared" si="161"/>
        <v>1.2916666666666667</v>
      </c>
      <c r="C620" s="33"/>
      <c r="D620" s="62"/>
      <c r="E620" s="110"/>
      <c r="F620" s="138" t="str">
        <f>IFERROR(IF($D620="","",VLOOKUP($D620,Cadastro!$C$4:$E$7,3,FALSE)),"")</f>
        <v/>
      </c>
      <c r="G620" s="106"/>
      <c r="H620" s="138" t="str">
        <f>IFERROR(IF($G620="","",$G620*$S$621/$G$621/Cadastro!$E$33),"")</f>
        <v/>
      </c>
      <c r="I620" s="139" t="str">
        <f>IFERROR(IF($D620="","",VLOOKUP($D620,Cadastro!$C$4:$G$7,5,FALSE)),"")</f>
        <v/>
      </c>
      <c r="J620" s="140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2" t="s">
        <v>244</v>
      </c>
      <c r="B621" s="153"/>
      <c r="C621" s="153"/>
      <c r="D621" s="153"/>
      <c r="E621" s="153">
        <f>SUM(E609:E620)</f>
        <v>0</v>
      </c>
      <c r="F621" s="112"/>
      <c r="G621" s="81">
        <f>SUM(G609:G620)</f>
        <v>0</v>
      </c>
      <c r="H621" s="112">
        <f>IFERROR(SUM(H609:H620),"")</f>
        <v>0</v>
      </c>
      <c r="I621" s="116"/>
      <c r="J621" s="125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3">
        <f>IFERROR(J621,"")</f>
        <v>0</v>
      </c>
    </row>
    <row r="622" spans="1:20" ht="18" customHeight="1">
      <c r="A622" s="150" t="s">
        <v>245</v>
      </c>
      <c r="B622" s="151"/>
      <c r="C622" s="151"/>
      <c r="D622" s="151"/>
      <c r="E622" s="151">
        <f>E608+E621</f>
        <v>0</v>
      </c>
      <c r="F622" s="113"/>
      <c r="G622" s="92">
        <f>G608+G621</f>
        <v>0</v>
      </c>
      <c r="H622" s="113">
        <f>IFERROR(H608+H621,"")</f>
        <v>0</v>
      </c>
      <c r="I622" s="117"/>
      <c r="J622" s="126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4">
        <f>S608+S621</f>
        <v>0</v>
      </c>
      <c r="T622" s="145">
        <f>IFERROR(J622,"")</f>
        <v>0</v>
      </c>
    </row>
    <row r="623" spans="1:20" ht="15" customHeight="1">
      <c r="A623" s="69">
        <v>46258</v>
      </c>
      <c r="B623" s="32">
        <v>0.33333333333333298</v>
      </c>
      <c r="C623" s="33"/>
      <c r="D623" s="62"/>
      <c r="E623" s="110"/>
      <c r="F623" s="141" t="str">
        <f>IFERROR(IF($D623="","",VLOOKUP($D623,Cadastro!$C$4:$E$7,3,FALSE)),"")</f>
        <v/>
      </c>
      <c r="G623" s="106"/>
      <c r="H623" s="141" t="str">
        <f>IFERROR(IF($G623="","",$G623*$S$635/$G$635/Cadastro!$E$33),"")</f>
        <v/>
      </c>
      <c r="I623" s="142" t="str">
        <f>IFERROR(IF($D623="","",VLOOKUP($D623,Cadastro!$C$4:$G$7,5,FALSE)),"")</f>
        <v/>
      </c>
      <c r="J623" s="143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8">
        <v>46258</v>
      </c>
      <c r="B624" s="25">
        <f t="shared" ref="B624:B634" si="165">B623+TIME(0,60,0)</f>
        <v>0.37499999999999967</v>
      </c>
      <c r="C624" s="33"/>
      <c r="D624" s="62"/>
      <c r="E624" s="110"/>
      <c r="F624" s="135" t="str">
        <f>IFERROR(IF($D624="","",VLOOKUP($D624,Cadastro!$C$4:$E$7,3,FALSE)),"")</f>
        <v/>
      </c>
      <c r="G624" s="106"/>
      <c r="H624" s="135" t="str">
        <f>IFERROR(IF($G624="","",$G624*$S$635/$G$635/Cadastro!$E$33),"")</f>
        <v/>
      </c>
      <c r="I624" s="136" t="str">
        <f>IFERROR(IF($D624="","",VLOOKUP($D624,Cadastro!$C$4:$G$7,5,FALSE)),"")</f>
        <v/>
      </c>
      <c r="J624" s="137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9">
        <v>46258</v>
      </c>
      <c r="B625" s="32">
        <f t="shared" si="165"/>
        <v>0.41666666666666635</v>
      </c>
      <c r="C625" s="33"/>
      <c r="D625" s="62"/>
      <c r="E625" s="110"/>
      <c r="F625" s="135" t="str">
        <f>IFERROR(IF($D625="","",VLOOKUP($D625,Cadastro!$C$4:$E$7,3,FALSE)),"")</f>
        <v/>
      </c>
      <c r="G625" s="106"/>
      <c r="H625" s="135" t="str">
        <f>IFERROR(IF($G625="","",$G625*$S$635/$G$635/Cadastro!$E$33),"")</f>
        <v/>
      </c>
      <c r="I625" s="136" t="str">
        <f>IFERROR(IF($D625="","",VLOOKUP($D625,Cadastro!$C$4:$G$7,5,FALSE)),"")</f>
        <v/>
      </c>
      <c r="J625" s="137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8">
        <v>46258</v>
      </c>
      <c r="B626" s="25">
        <f t="shared" si="165"/>
        <v>0.45833333333333304</v>
      </c>
      <c r="C626" s="33"/>
      <c r="D626" s="62"/>
      <c r="E626" s="110"/>
      <c r="F626" s="135" t="str">
        <f>IFERROR(IF($D626="","",VLOOKUP($D626,Cadastro!$C$4:$E$7,3,FALSE)),"")</f>
        <v/>
      </c>
      <c r="G626" s="106"/>
      <c r="H626" s="135" t="str">
        <f>IFERROR(IF($G626="","",$G626*$S$635/$G$635/Cadastro!$E$33),"")</f>
        <v/>
      </c>
      <c r="I626" s="136" t="str">
        <f>IFERROR(IF($D626="","",VLOOKUP($D626,Cadastro!$C$4:$G$7,5,FALSE)),"")</f>
        <v/>
      </c>
      <c r="J626" s="137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9">
        <v>46258</v>
      </c>
      <c r="B627" s="32">
        <f t="shared" si="165"/>
        <v>0.49999999999999972</v>
      </c>
      <c r="C627" s="33"/>
      <c r="D627" s="62"/>
      <c r="E627" s="110"/>
      <c r="F627" s="135" t="str">
        <f>IFERROR(IF($D627="","",VLOOKUP($D627,Cadastro!$C$4:$E$7,3,FALSE)),"")</f>
        <v/>
      </c>
      <c r="G627" s="106"/>
      <c r="H627" s="135" t="str">
        <f>IFERROR(IF($G627="","",$G627*$S$635/$G$635/Cadastro!$E$33),"")</f>
        <v/>
      </c>
      <c r="I627" s="136" t="str">
        <f>IFERROR(IF($D627="","",VLOOKUP($D627,Cadastro!$C$4:$G$7,5,FALSE)),"")</f>
        <v/>
      </c>
      <c r="J627" s="137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8">
        <v>46258</v>
      </c>
      <c r="B628" s="25">
        <f t="shared" si="165"/>
        <v>0.54166666666666641</v>
      </c>
      <c r="C628" s="33"/>
      <c r="D628" s="62"/>
      <c r="E628" s="110"/>
      <c r="F628" s="135" t="str">
        <f>IFERROR(IF($D628="","",VLOOKUP($D628,Cadastro!$C$4:$E$7,3,FALSE)),"")</f>
        <v/>
      </c>
      <c r="G628" s="106"/>
      <c r="H628" s="135" t="str">
        <f>IFERROR(IF($G628="","",$G628*$S$635/$G$635/Cadastro!$E$33),"")</f>
        <v/>
      </c>
      <c r="I628" s="136" t="str">
        <f>IFERROR(IF($D628="","",VLOOKUP($D628,Cadastro!$C$4:$G$7,5,FALSE)),"")</f>
        <v/>
      </c>
      <c r="J628" s="137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9">
        <v>46258</v>
      </c>
      <c r="B629" s="32">
        <f t="shared" si="165"/>
        <v>0.58333333333333304</v>
      </c>
      <c r="C629" s="33"/>
      <c r="D629" s="62"/>
      <c r="E629" s="110"/>
      <c r="F629" s="135" t="str">
        <f>IFERROR(IF($D629="","",VLOOKUP($D629,Cadastro!$C$4:$E$7,3,FALSE)),"")</f>
        <v/>
      </c>
      <c r="G629" s="106"/>
      <c r="H629" s="135" t="str">
        <f>IFERROR(IF($G629="","",$G629*$S$635/$G$635/Cadastro!$E$33),"")</f>
        <v/>
      </c>
      <c r="I629" s="136" t="str">
        <f>IFERROR(IF($D629="","",VLOOKUP($D629,Cadastro!$C$4:$G$7,5,FALSE)),"")</f>
        <v/>
      </c>
      <c r="J629" s="137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8">
        <v>46258</v>
      </c>
      <c r="B630" s="25">
        <f t="shared" si="165"/>
        <v>0.62499999999999967</v>
      </c>
      <c r="C630" s="33"/>
      <c r="D630" s="62"/>
      <c r="E630" s="110"/>
      <c r="F630" s="135" t="str">
        <f>IFERROR(IF($D630="","",VLOOKUP($D630,Cadastro!$C$4:$E$7,3,FALSE)),"")</f>
        <v/>
      </c>
      <c r="G630" s="106"/>
      <c r="H630" s="135" t="str">
        <f>IFERROR(IF($G630="","",$G630*$S$635/$G$635/Cadastro!$E$33),"")</f>
        <v/>
      </c>
      <c r="I630" s="136" t="str">
        <f>IFERROR(IF($D630="","",VLOOKUP($D630,Cadastro!$C$4:$G$7,5,FALSE)),"")</f>
        <v/>
      </c>
      <c r="J630" s="137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9">
        <v>46258</v>
      </c>
      <c r="B631" s="32">
        <f t="shared" si="165"/>
        <v>0.6666666666666663</v>
      </c>
      <c r="C631" s="33"/>
      <c r="D631" s="62"/>
      <c r="E631" s="110"/>
      <c r="F631" s="135" t="str">
        <f>IFERROR(IF($D631="","",VLOOKUP($D631,Cadastro!$C$4:$E$7,3,FALSE)),"")</f>
        <v/>
      </c>
      <c r="G631" s="106"/>
      <c r="H631" s="135" t="str">
        <f>IFERROR(IF($G631="","",$G631*$S$635/$G$635/Cadastro!$E$33),"")</f>
        <v/>
      </c>
      <c r="I631" s="136" t="str">
        <f>IFERROR(IF($D631="","",VLOOKUP($D631,Cadastro!$C$4:$G$7,5,FALSE)),"")</f>
        <v/>
      </c>
      <c r="J631" s="137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8">
        <v>46258</v>
      </c>
      <c r="B632" s="25">
        <f t="shared" si="165"/>
        <v>0.70833333333333293</v>
      </c>
      <c r="C632" s="33"/>
      <c r="D632" s="62"/>
      <c r="E632" s="110"/>
      <c r="F632" s="135" t="str">
        <f>IFERROR(IF($D632="","",VLOOKUP($D632,Cadastro!$C$4:$E$7,3,FALSE)),"")</f>
        <v/>
      </c>
      <c r="G632" s="106"/>
      <c r="H632" s="135" t="str">
        <f>IFERROR(IF($G632="","",$G632*$S$635/$G$635/Cadastro!$E$33),"")</f>
        <v/>
      </c>
      <c r="I632" s="136" t="str">
        <f>IFERROR(IF($D632="","",VLOOKUP($D632,Cadastro!$C$4:$G$7,5,FALSE)),"")</f>
        <v/>
      </c>
      <c r="J632" s="137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9">
        <v>46258</v>
      </c>
      <c r="B633" s="32">
        <f t="shared" si="165"/>
        <v>0.74999999999999956</v>
      </c>
      <c r="C633" s="33"/>
      <c r="D633" s="62"/>
      <c r="E633" s="110"/>
      <c r="F633" s="135" t="str">
        <f>IFERROR(IF($D633="","",VLOOKUP($D633,Cadastro!$C$4:$E$7,3,FALSE)),"")</f>
        <v/>
      </c>
      <c r="G633" s="106"/>
      <c r="H633" s="135" t="str">
        <f>IFERROR(IF($G633="","",$G633*$S$635/$G$635/Cadastro!$E$33),"")</f>
        <v/>
      </c>
      <c r="I633" s="136" t="str">
        <f>IFERROR(IF($D633="","",VLOOKUP($D633,Cadastro!$C$4:$G$7,5,FALSE)),"")</f>
        <v/>
      </c>
      <c r="J633" s="137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8">
        <v>46258</v>
      </c>
      <c r="B634" s="25">
        <f t="shared" si="165"/>
        <v>0.79166666666666619</v>
      </c>
      <c r="C634" s="33"/>
      <c r="D634" s="62"/>
      <c r="E634" s="110"/>
      <c r="F634" s="138" t="str">
        <f>IFERROR(IF($D634="","",VLOOKUP($D634,Cadastro!$C$4:$E$7,3,FALSE)),"")</f>
        <v/>
      </c>
      <c r="G634" s="106"/>
      <c r="H634" s="138" t="str">
        <f>IFERROR(IF($G634="","",$G634*$S$635/$G$635/Cadastro!$E$33),"")</f>
        <v/>
      </c>
      <c r="I634" s="139" t="str">
        <f>IFERROR(IF($D634="","",VLOOKUP($D634,Cadastro!$C$4:$G$7,5,FALSE)),"")</f>
        <v/>
      </c>
      <c r="J634" s="140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2" t="s">
        <v>241</v>
      </c>
      <c r="B635" s="153"/>
      <c r="C635" s="153"/>
      <c r="D635" s="153"/>
      <c r="E635" s="153">
        <f>SUM(E623:E634)</f>
        <v>0</v>
      </c>
      <c r="F635" s="111"/>
      <c r="G635" s="81">
        <f>SUM(G623:G634)</f>
        <v>0</v>
      </c>
      <c r="H635" s="111">
        <f>IFERROR(SUM(H623:H634),"")</f>
        <v>0</v>
      </c>
      <c r="I635" s="115"/>
      <c r="J635" s="124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3">
        <f>IFERROR(J635,"")</f>
        <v>0</v>
      </c>
    </row>
    <row r="636" spans="1:20" ht="15" customHeight="1">
      <c r="A636" s="68">
        <v>46258</v>
      </c>
      <c r="B636" s="25">
        <v>0.83333333333333304</v>
      </c>
      <c r="C636" s="26"/>
      <c r="D636" s="59"/>
      <c r="E636" s="109"/>
      <c r="F636" s="141" t="str">
        <f>IFERROR(IF($D636="","",VLOOKUP($D636,Cadastro!$C$4:$E$7,3,FALSE)),"")</f>
        <v/>
      </c>
      <c r="G636" s="106"/>
      <c r="H636" s="141" t="str">
        <f>IFERROR(IF($G636="","",$G636*$S$648/$G$648/Cadastro!$E$33),"")</f>
        <v/>
      </c>
      <c r="I636" s="142" t="str">
        <f>IFERROR(IF($D636="","",VLOOKUP($D636,Cadastro!$C$4:$G$7,5,FALSE)),"")</f>
        <v/>
      </c>
      <c r="J636" s="143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9">
        <v>46258</v>
      </c>
      <c r="B637" s="32">
        <f t="shared" ref="B637:B647" si="169">B636+TIME(0,60,0)</f>
        <v>0.87499999999999967</v>
      </c>
      <c r="C637" s="26"/>
      <c r="D637" s="59"/>
      <c r="E637" s="109"/>
      <c r="F637" s="135" t="str">
        <f>IFERROR(IF($D637="","",VLOOKUP($D637,Cadastro!$C$4:$E$7,3,FALSE)),"")</f>
        <v/>
      </c>
      <c r="G637" s="106"/>
      <c r="H637" s="135" t="str">
        <f>IFERROR(IF($G637="","",$G637*$S$648/$G$648/Cadastro!$E$33),"")</f>
        <v/>
      </c>
      <c r="I637" s="136" t="str">
        <f>IFERROR(IF($D637="","",VLOOKUP($D637,Cadastro!$C$4:$G$7,5,FALSE)),"")</f>
        <v/>
      </c>
      <c r="J637" s="137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8">
        <v>46258</v>
      </c>
      <c r="B638" s="25">
        <f t="shared" si="169"/>
        <v>0.9166666666666663</v>
      </c>
      <c r="C638" s="26"/>
      <c r="D638" s="59"/>
      <c r="E638" s="109"/>
      <c r="F638" s="135" t="str">
        <f>IFERROR(IF($D638="","",VLOOKUP($D638,Cadastro!$C$4:$E$7,3,FALSE)),"")</f>
        <v/>
      </c>
      <c r="G638" s="106"/>
      <c r="H638" s="135" t="str">
        <f>IFERROR(IF($G638="","",$G638*$S$648/$G$648/Cadastro!$E$33),"")</f>
        <v/>
      </c>
      <c r="I638" s="136" t="str">
        <f>IFERROR(IF($D638="","",VLOOKUP($D638,Cadastro!$C$4:$G$7,5,FALSE)),"")</f>
        <v/>
      </c>
      <c r="J638" s="137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9">
        <v>46258</v>
      </c>
      <c r="B639" s="32">
        <f t="shared" si="169"/>
        <v>0.95833333333333293</v>
      </c>
      <c r="C639" s="26"/>
      <c r="D639" s="59"/>
      <c r="E639" s="109"/>
      <c r="F639" s="135" t="str">
        <f>IFERROR(IF($D639="","",VLOOKUP($D639,Cadastro!$C$4:$E$7,3,FALSE)),"")</f>
        <v/>
      </c>
      <c r="G639" s="106"/>
      <c r="H639" s="135" t="str">
        <f>IFERROR(IF($G639="","",$G639*$S$648/$G$648/Cadastro!$E$33),"")</f>
        <v/>
      </c>
      <c r="I639" s="136" t="str">
        <f>IFERROR(IF($D639="","",VLOOKUP($D639,Cadastro!$C$4:$G$7,5,FALSE)),"")</f>
        <v/>
      </c>
      <c r="J639" s="137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8">
        <v>46258</v>
      </c>
      <c r="B640" s="25">
        <f t="shared" si="169"/>
        <v>0.99999999999999956</v>
      </c>
      <c r="C640" s="26"/>
      <c r="D640" s="59"/>
      <c r="E640" s="109"/>
      <c r="F640" s="135" t="str">
        <f>IFERROR(IF($D640="","",VLOOKUP($D640,Cadastro!$C$4:$E$7,3,FALSE)),"")</f>
        <v/>
      </c>
      <c r="G640" s="106"/>
      <c r="H640" s="135" t="str">
        <f>IFERROR(IF($G640="","",$G640*$S$648/$G$648/Cadastro!$E$33),"")</f>
        <v/>
      </c>
      <c r="I640" s="136" t="str">
        <f>IFERROR(IF($D640="","",VLOOKUP($D640,Cadastro!$C$4:$G$7,5,FALSE)),"")</f>
        <v/>
      </c>
      <c r="J640" s="137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9">
        <v>46258</v>
      </c>
      <c r="B641" s="32">
        <f t="shared" si="169"/>
        <v>1.0416666666666663</v>
      </c>
      <c r="C641" s="26"/>
      <c r="D641" s="59"/>
      <c r="E641" s="109"/>
      <c r="F641" s="135" t="str">
        <f>IFERROR(IF($D641="","",VLOOKUP($D641,Cadastro!$C$4:$E$7,3,FALSE)),"")</f>
        <v/>
      </c>
      <c r="G641" s="106"/>
      <c r="H641" s="135" t="str">
        <f>IFERROR(IF($G641="","",$G641*$S$648/$G$648/Cadastro!$E$33),"")</f>
        <v/>
      </c>
      <c r="I641" s="136" t="str">
        <f>IFERROR(IF($D641="","",VLOOKUP($D641,Cadastro!$C$4:$G$7,5,FALSE)),"")</f>
        <v/>
      </c>
      <c r="J641" s="137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8">
        <v>46258</v>
      </c>
      <c r="B642" s="25">
        <f t="shared" si="169"/>
        <v>1.083333333333333</v>
      </c>
      <c r="C642" s="26"/>
      <c r="D642" s="59"/>
      <c r="E642" s="109"/>
      <c r="F642" s="135" t="str">
        <f>IFERROR(IF($D642="","",VLOOKUP($D642,Cadastro!$C$4:$E$7,3,FALSE)),"")</f>
        <v/>
      </c>
      <c r="G642" s="106"/>
      <c r="H642" s="135" t="str">
        <f>IFERROR(IF($G642="","",$G642*$S$648/$G$648/Cadastro!$E$33),"")</f>
        <v/>
      </c>
      <c r="I642" s="136" t="str">
        <f>IFERROR(IF($D642="","",VLOOKUP($D642,Cadastro!$C$4:$G$7,5,FALSE)),"")</f>
        <v/>
      </c>
      <c r="J642" s="137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9">
        <v>46258</v>
      </c>
      <c r="B643" s="32">
        <f t="shared" si="169"/>
        <v>1.1249999999999998</v>
      </c>
      <c r="C643" s="26"/>
      <c r="D643" s="59"/>
      <c r="E643" s="109"/>
      <c r="F643" s="135" t="str">
        <f>IFERROR(IF($D643="","",VLOOKUP($D643,Cadastro!$C$4:$E$7,3,FALSE)),"")</f>
        <v/>
      </c>
      <c r="G643" s="106"/>
      <c r="H643" s="135" t="str">
        <f>IFERROR(IF($G643="","",$G643*$S$648/$G$648/Cadastro!$E$33),"")</f>
        <v/>
      </c>
      <c r="I643" s="136" t="str">
        <f>IFERROR(IF($D643="","",VLOOKUP($D643,Cadastro!$C$4:$G$7,5,FALSE)),"")</f>
        <v/>
      </c>
      <c r="J643" s="137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8">
        <v>46258</v>
      </c>
      <c r="B644" s="25">
        <f t="shared" si="169"/>
        <v>1.1666666666666665</v>
      </c>
      <c r="C644" s="26"/>
      <c r="D644" s="59"/>
      <c r="E644" s="109"/>
      <c r="F644" s="135" t="str">
        <f>IFERROR(IF($D644="","",VLOOKUP($D644,Cadastro!$C$4:$E$7,3,FALSE)),"")</f>
        <v/>
      </c>
      <c r="G644" s="106"/>
      <c r="H644" s="135" t="str">
        <f>IFERROR(IF($G644="","",$G644*$S$648/$G$648/Cadastro!$E$33),"")</f>
        <v/>
      </c>
      <c r="I644" s="136" t="str">
        <f>IFERROR(IF($D644="","",VLOOKUP($D644,Cadastro!$C$4:$G$7,5,FALSE)),"")</f>
        <v/>
      </c>
      <c r="J644" s="137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9">
        <v>46258</v>
      </c>
      <c r="B645" s="32">
        <f t="shared" si="169"/>
        <v>1.2083333333333333</v>
      </c>
      <c r="C645" s="26"/>
      <c r="D645" s="59"/>
      <c r="E645" s="109"/>
      <c r="F645" s="135" t="str">
        <f>IFERROR(IF($D645="","",VLOOKUP($D645,Cadastro!$C$4:$E$7,3,FALSE)),"")</f>
        <v/>
      </c>
      <c r="G645" s="106"/>
      <c r="H645" s="135" t="str">
        <f>IFERROR(IF($G645="","",$G645*$S$648/$G$648/Cadastro!$E$33),"")</f>
        <v/>
      </c>
      <c r="I645" s="136" t="str">
        <f>IFERROR(IF($D645="","",VLOOKUP($D645,Cadastro!$C$4:$G$7,5,FALSE)),"")</f>
        <v/>
      </c>
      <c r="J645" s="137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8">
        <v>46258</v>
      </c>
      <c r="B646" s="25">
        <f t="shared" si="169"/>
        <v>1.25</v>
      </c>
      <c r="C646" s="26"/>
      <c r="D646" s="59"/>
      <c r="E646" s="109"/>
      <c r="F646" s="135" t="str">
        <f>IFERROR(IF($D646="","",VLOOKUP($D646,Cadastro!$C$4:$E$7,3,FALSE)),"")</f>
        <v/>
      </c>
      <c r="G646" s="106"/>
      <c r="H646" s="135" t="str">
        <f>IFERROR(IF($G646="","",$G646*$S$648/$G$648/Cadastro!$E$33),"")</f>
        <v/>
      </c>
      <c r="I646" s="136" t="str">
        <f>IFERROR(IF($D646="","",VLOOKUP($D646,Cadastro!$C$4:$G$7,5,FALSE)),"")</f>
        <v/>
      </c>
      <c r="J646" s="137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9">
        <v>46258</v>
      </c>
      <c r="B647" s="32">
        <f t="shared" si="169"/>
        <v>1.2916666666666667</v>
      </c>
      <c r="C647" s="26"/>
      <c r="D647" s="59"/>
      <c r="E647" s="109"/>
      <c r="F647" s="138" t="str">
        <f>IFERROR(IF($D647="","",VLOOKUP($D647,Cadastro!$C$4:$E$7,3,FALSE)),"")</f>
        <v/>
      </c>
      <c r="G647" s="106"/>
      <c r="H647" s="138" t="str">
        <f>IFERROR(IF($G647="","",$G647*$S$648/$G$648/Cadastro!$E$33),"")</f>
        <v/>
      </c>
      <c r="I647" s="139" t="str">
        <f>IFERROR(IF($D647="","",VLOOKUP($D647,Cadastro!$C$4:$G$7,5,FALSE)),"")</f>
        <v/>
      </c>
      <c r="J647" s="140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2" t="s">
        <v>244</v>
      </c>
      <c r="B648" s="153"/>
      <c r="C648" s="153"/>
      <c r="D648" s="153"/>
      <c r="E648" s="153">
        <f>SUM(E636:E647)</f>
        <v>0</v>
      </c>
      <c r="F648" s="112"/>
      <c r="G648" s="81">
        <f>SUM(G636:G647)</f>
        <v>0</v>
      </c>
      <c r="H648" s="112">
        <f>IFERROR(SUM(H636:H647),"")</f>
        <v>0</v>
      </c>
      <c r="I648" s="116"/>
      <c r="J648" s="125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3">
        <f>IFERROR(J648,"")</f>
        <v>0</v>
      </c>
    </row>
    <row r="649" spans="1:20" ht="18" customHeight="1">
      <c r="A649" s="150" t="s">
        <v>245</v>
      </c>
      <c r="B649" s="151"/>
      <c r="C649" s="151"/>
      <c r="D649" s="151"/>
      <c r="E649" s="151">
        <f>E635+E648</f>
        <v>0</v>
      </c>
      <c r="F649" s="113"/>
      <c r="G649" s="92">
        <f>G635+G648</f>
        <v>0</v>
      </c>
      <c r="H649" s="113">
        <f>IFERROR(H635+H648,"")</f>
        <v>0</v>
      </c>
      <c r="I649" s="117"/>
      <c r="J649" s="126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4">
        <f>S635+S648</f>
        <v>0</v>
      </c>
      <c r="T649" s="145">
        <f>IFERROR(J649,"")</f>
        <v>0</v>
      </c>
    </row>
    <row r="650" spans="1:20" ht="15" customHeight="1">
      <c r="A650" s="68">
        <v>46259</v>
      </c>
      <c r="B650" s="25">
        <v>0.33333333333333298</v>
      </c>
      <c r="C650" s="26"/>
      <c r="D650" s="59"/>
      <c r="E650" s="109"/>
      <c r="F650" s="141" t="str">
        <f>IFERROR(IF($D650="","",VLOOKUP($D650,Cadastro!$C$4:$E$7,3,FALSE)),"")</f>
        <v/>
      </c>
      <c r="G650" s="106"/>
      <c r="H650" s="141" t="str">
        <f>IFERROR(IF($G650="","",$G650*$S$662/$G$662/Cadastro!$E$33),"")</f>
        <v/>
      </c>
      <c r="I650" s="142" t="str">
        <f>IFERROR(IF($D650="","",VLOOKUP($D650,Cadastro!$C$4:$G$7,5,FALSE)),"")</f>
        <v/>
      </c>
      <c r="J650" s="143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9">
        <v>46259</v>
      </c>
      <c r="B651" s="32">
        <f t="shared" ref="B651:B661" si="173">B650+TIME(0,60,0)</f>
        <v>0.37499999999999967</v>
      </c>
      <c r="C651" s="26"/>
      <c r="D651" s="59"/>
      <c r="E651" s="109"/>
      <c r="F651" s="135" t="str">
        <f>IFERROR(IF($D651="","",VLOOKUP($D651,Cadastro!$C$4:$E$7,3,FALSE)),"")</f>
        <v/>
      </c>
      <c r="G651" s="106"/>
      <c r="H651" s="135" t="str">
        <f>IFERROR(IF($G651="","",$G651*$S$662/$G$662/Cadastro!$E$33),"")</f>
        <v/>
      </c>
      <c r="I651" s="136" t="str">
        <f>IFERROR(IF($D651="","",VLOOKUP($D651,Cadastro!$C$4:$G$7,5,FALSE)),"")</f>
        <v/>
      </c>
      <c r="J651" s="137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8">
        <v>46259</v>
      </c>
      <c r="B652" s="25">
        <f t="shared" si="173"/>
        <v>0.41666666666666635</v>
      </c>
      <c r="C652" s="26"/>
      <c r="D652" s="59"/>
      <c r="E652" s="109"/>
      <c r="F652" s="135" t="str">
        <f>IFERROR(IF($D652="","",VLOOKUP($D652,Cadastro!$C$4:$E$7,3,FALSE)),"")</f>
        <v/>
      </c>
      <c r="G652" s="106"/>
      <c r="H652" s="135" t="str">
        <f>IFERROR(IF($G652="","",$G652*$S$662/$G$662/Cadastro!$E$33),"")</f>
        <v/>
      </c>
      <c r="I652" s="136" t="str">
        <f>IFERROR(IF($D652="","",VLOOKUP($D652,Cadastro!$C$4:$G$7,5,FALSE)),"")</f>
        <v/>
      </c>
      <c r="J652" s="137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9">
        <v>46259</v>
      </c>
      <c r="B653" s="32">
        <f t="shared" si="173"/>
        <v>0.45833333333333304</v>
      </c>
      <c r="C653" s="26"/>
      <c r="D653" s="59"/>
      <c r="E653" s="109"/>
      <c r="F653" s="135" t="str">
        <f>IFERROR(IF($D653="","",VLOOKUP($D653,Cadastro!$C$4:$E$7,3,FALSE)),"")</f>
        <v/>
      </c>
      <c r="G653" s="106"/>
      <c r="H653" s="135" t="str">
        <f>IFERROR(IF($G653="","",$G653*$S$662/$G$662/Cadastro!$E$33),"")</f>
        <v/>
      </c>
      <c r="I653" s="136" t="str">
        <f>IFERROR(IF($D653="","",VLOOKUP($D653,Cadastro!$C$4:$G$7,5,FALSE)),"")</f>
        <v/>
      </c>
      <c r="J653" s="137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8">
        <v>46259</v>
      </c>
      <c r="B654" s="25">
        <f t="shared" si="173"/>
        <v>0.49999999999999972</v>
      </c>
      <c r="C654" s="26"/>
      <c r="D654" s="59"/>
      <c r="E654" s="109"/>
      <c r="F654" s="135" t="str">
        <f>IFERROR(IF($D654="","",VLOOKUP($D654,Cadastro!$C$4:$E$7,3,FALSE)),"")</f>
        <v/>
      </c>
      <c r="G654" s="106"/>
      <c r="H654" s="135" t="str">
        <f>IFERROR(IF($G654="","",$G654*$S$662/$G$662/Cadastro!$E$33),"")</f>
        <v/>
      </c>
      <c r="I654" s="136" t="str">
        <f>IFERROR(IF($D654="","",VLOOKUP($D654,Cadastro!$C$4:$G$7,5,FALSE)),"")</f>
        <v/>
      </c>
      <c r="J654" s="137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9">
        <v>46259</v>
      </c>
      <c r="B655" s="32">
        <f t="shared" si="173"/>
        <v>0.54166666666666641</v>
      </c>
      <c r="C655" s="26"/>
      <c r="D655" s="59"/>
      <c r="E655" s="109"/>
      <c r="F655" s="135" t="str">
        <f>IFERROR(IF($D655="","",VLOOKUP($D655,Cadastro!$C$4:$E$7,3,FALSE)),"")</f>
        <v/>
      </c>
      <c r="G655" s="106"/>
      <c r="H655" s="135" t="str">
        <f>IFERROR(IF($G655="","",$G655*$S$662/$G$662/Cadastro!$E$33),"")</f>
        <v/>
      </c>
      <c r="I655" s="136" t="str">
        <f>IFERROR(IF($D655="","",VLOOKUP($D655,Cadastro!$C$4:$G$7,5,FALSE)),"")</f>
        <v/>
      </c>
      <c r="J655" s="137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8">
        <v>46259</v>
      </c>
      <c r="B656" s="25">
        <f t="shared" si="173"/>
        <v>0.58333333333333304</v>
      </c>
      <c r="C656" s="26"/>
      <c r="D656" s="59"/>
      <c r="E656" s="109"/>
      <c r="F656" s="135" t="str">
        <f>IFERROR(IF($D656="","",VLOOKUP($D656,Cadastro!$C$4:$E$7,3,FALSE)),"")</f>
        <v/>
      </c>
      <c r="G656" s="106"/>
      <c r="H656" s="135" t="str">
        <f>IFERROR(IF($G656="","",$G656*$S$662/$G$662/Cadastro!$E$33),"")</f>
        <v/>
      </c>
      <c r="I656" s="136" t="str">
        <f>IFERROR(IF($D656="","",VLOOKUP($D656,Cadastro!$C$4:$G$7,5,FALSE)),"")</f>
        <v/>
      </c>
      <c r="J656" s="137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9">
        <v>46259</v>
      </c>
      <c r="B657" s="32">
        <f t="shared" si="173"/>
        <v>0.62499999999999967</v>
      </c>
      <c r="C657" s="26"/>
      <c r="D657" s="59"/>
      <c r="E657" s="109"/>
      <c r="F657" s="135" t="str">
        <f>IFERROR(IF($D657="","",VLOOKUP($D657,Cadastro!$C$4:$E$7,3,FALSE)),"")</f>
        <v/>
      </c>
      <c r="G657" s="106"/>
      <c r="H657" s="135" t="str">
        <f>IFERROR(IF($G657="","",$G657*$S$662/$G$662/Cadastro!$E$33),"")</f>
        <v/>
      </c>
      <c r="I657" s="136" t="str">
        <f>IFERROR(IF($D657="","",VLOOKUP($D657,Cadastro!$C$4:$G$7,5,FALSE)),"")</f>
        <v/>
      </c>
      <c r="J657" s="137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8">
        <v>46259</v>
      </c>
      <c r="B658" s="25">
        <f t="shared" si="173"/>
        <v>0.6666666666666663</v>
      </c>
      <c r="C658" s="26"/>
      <c r="D658" s="59"/>
      <c r="E658" s="109"/>
      <c r="F658" s="135" t="str">
        <f>IFERROR(IF($D658="","",VLOOKUP($D658,Cadastro!$C$4:$E$7,3,FALSE)),"")</f>
        <v/>
      </c>
      <c r="G658" s="106"/>
      <c r="H658" s="135" t="str">
        <f>IFERROR(IF($G658="","",$G658*$S$662/$G$662/Cadastro!$E$33),"")</f>
        <v/>
      </c>
      <c r="I658" s="136" t="str">
        <f>IFERROR(IF($D658="","",VLOOKUP($D658,Cadastro!$C$4:$G$7,5,FALSE)),"")</f>
        <v/>
      </c>
      <c r="J658" s="137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9">
        <v>46259</v>
      </c>
      <c r="B659" s="32">
        <f t="shared" si="173"/>
        <v>0.70833333333333293</v>
      </c>
      <c r="C659" s="26"/>
      <c r="D659" s="59"/>
      <c r="E659" s="109"/>
      <c r="F659" s="135" t="str">
        <f>IFERROR(IF($D659="","",VLOOKUP($D659,Cadastro!$C$4:$E$7,3,FALSE)),"")</f>
        <v/>
      </c>
      <c r="G659" s="106"/>
      <c r="H659" s="135" t="str">
        <f>IFERROR(IF($G659="","",$G659*$S$662/$G$662/Cadastro!$E$33),"")</f>
        <v/>
      </c>
      <c r="I659" s="136" t="str">
        <f>IFERROR(IF($D659="","",VLOOKUP($D659,Cadastro!$C$4:$G$7,5,FALSE)),"")</f>
        <v/>
      </c>
      <c r="J659" s="137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8">
        <v>46259</v>
      </c>
      <c r="B660" s="25">
        <f t="shared" si="173"/>
        <v>0.74999999999999956</v>
      </c>
      <c r="C660" s="26"/>
      <c r="D660" s="59"/>
      <c r="E660" s="109"/>
      <c r="F660" s="135" t="str">
        <f>IFERROR(IF($D660="","",VLOOKUP($D660,Cadastro!$C$4:$E$7,3,FALSE)),"")</f>
        <v/>
      </c>
      <c r="G660" s="106"/>
      <c r="H660" s="135" t="str">
        <f>IFERROR(IF($G660="","",$G660*$S$662/$G$662/Cadastro!$E$33),"")</f>
        <v/>
      </c>
      <c r="I660" s="136" t="str">
        <f>IFERROR(IF($D660="","",VLOOKUP($D660,Cadastro!$C$4:$G$7,5,FALSE)),"")</f>
        <v/>
      </c>
      <c r="J660" s="137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9">
        <v>46259</v>
      </c>
      <c r="B661" s="32">
        <f t="shared" si="173"/>
        <v>0.79166666666666619</v>
      </c>
      <c r="C661" s="26"/>
      <c r="D661" s="59"/>
      <c r="E661" s="109"/>
      <c r="F661" s="138" t="str">
        <f>IFERROR(IF($D661="","",VLOOKUP($D661,Cadastro!$C$4:$E$7,3,FALSE)),"")</f>
        <v/>
      </c>
      <c r="G661" s="106"/>
      <c r="H661" s="138" t="str">
        <f>IFERROR(IF($G661="","",$G661*$S$662/$G$662/Cadastro!$E$33),"")</f>
        <v/>
      </c>
      <c r="I661" s="139" t="str">
        <f>IFERROR(IF($D661="","",VLOOKUP($D661,Cadastro!$C$4:$G$7,5,FALSE)),"")</f>
        <v/>
      </c>
      <c r="J661" s="140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2" t="s">
        <v>241</v>
      </c>
      <c r="B662" s="153"/>
      <c r="C662" s="153"/>
      <c r="D662" s="153"/>
      <c r="E662" s="153">
        <f>SUM(E650:E661)</f>
        <v>0</v>
      </c>
      <c r="F662" s="111"/>
      <c r="G662" s="81">
        <f>SUM(G650:G661)</f>
        <v>0</v>
      </c>
      <c r="H662" s="111">
        <f>IFERROR(SUM(H650:H661),"")</f>
        <v>0</v>
      </c>
      <c r="I662" s="115"/>
      <c r="J662" s="124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3">
        <f>IFERROR(J662,"")</f>
        <v>0</v>
      </c>
    </row>
    <row r="663" spans="1:20" ht="15" customHeight="1">
      <c r="A663" s="69">
        <v>46259</v>
      </c>
      <c r="B663" s="32">
        <v>0.83333333333333304</v>
      </c>
      <c r="C663" s="33"/>
      <c r="D663" s="62"/>
      <c r="E663" s="110"/>
      <c r="F663" s="141" t="str">
        <f>IFERROR(IF($D663="","",VLOOKUP($D663,Cadastro!$C$4:$E$7,3,FALSE)),"")</f>
        <v/>
      </c>
      <c r="G663" s="106"/>
      <c r="H663" s="141" t="str">
        <f>IFERROR(IF($G663="","",$G663*$S$675/$G$675/Cadastro!$E$33),"")</f>
        <v/>
      </c>
      <c r="I663" s="142" t="str">
        <f>IFERROR(IF($D663="","",VLOOKUP($D663,Cadastro!$C$4:$G$7,5,FALSE)),"")</f>
        <v/>
      </c>
      <c r="J663" s="143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8">
        <v>46259</v>
      </c>
      <c r="B664" s="25">
        <f t="shared" ref="B664:B674" si="177">B663+TIME(0,60,0)</f>
        <v>0.87499999999999967</v>
      </c>
      <c r="C664" s="33"/>
      <c r="D664" s="62"/>
      <c r="E664" s="110"/>
      <c r="F664" s="135" t="str">
        <f>IFERROR(IF($D664="","",VLOOKUP($D664,Cadastro!$C$4:$E$7,3,FALSE)),"")</f>
        <v/>
      </c>
      <c r="G664" s="106"/>
      <c r="H664" s="135" t="str">
        <f>IFERROR(IF($G664="","",$G664*$S$675/$G$675/Cadastro!$E$33),"")</f>
        <v/>
      </c>
      <c r="I664" s="136" t="str">
        <f>IFERROR(IF($D664="","",VLOOKUP($D664,Cadastro!$C$4:$G$7,5,FALSE)),"")</f>
        <v/>
      </c>
      <c r="J664" s="137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9">
        <v>46259</v>
      </c>
      <c r="B665" s="32">
        <f t="shared" si="177"/>
        <v>0.9166666666666663</v>
      </c>
      <c r="C665" s="33"/>
      <c r="D665" s="62"/>
      <c r="E665" s="110"/>
      <c r="F665" s="135" t="str">
        <f>IFERROR(IF($D665="","",VLOOKUP($D665,Cadastro!$C$4:$E$7,3,FALSE)),"")</f>
        <v/>
      </c>
      <c r="G665" s="106"/>
      <c r="H665" s="135" t="str">
        <f>IFERROR(IF($G665="","",$G665*$S$675/$G$675/Cadastro!$E$33),"")</f>
        <v/>
      </c>
      <c r="I665" s="136" t="str">
        <f>IFERROR(IF($D665="","",VLOOKUP($D665,Cadastro!$C$4:$G$7,5,FALSE)),"")</f>
        <v/>
      </c>
      <c r="J665" s="137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8">
        <v>46259</v>
      </c>
      <c r="B666" s="25">
        <f t="shared" si="177"/>
        <v>0.95833333333333293</v>
      </c>
      <c r="C666" s="33"/>
      <c r="D666" s="62"/>
      <c r="E666" s="110"/>
      <c r="F666" s="135" t="str">
        <f>IFERROR(IF($D666="","",VLOOKUP($D666,Cadastro!$C$4:$E$7,3,FALSE)),"")</f>
        <v/>
      </c>
      <c r="G666" s="106"/>
      <c r="H666" s="135" t="str">
        <f>IFERROR(IF($G666="","",$G666*$S$675/$G$675/Cadastro!$E$33),"")</f>
        <v/>
      </c>
      <c r="I666" s="136" t="str">
        <f>IFERROR(IF($D666="","",VLOOKUP($D666,Cadastro!$C$4:$G$7,5,FALSE)),"")</f>
        <v/>
      </c>
      <c r="J666" s="137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9">
        <v>46259</v>
      </c>
      <c r="B667" s="32">
        <f t="shared" si="177"/>
        <v>0.99999999999999956</v>
      </c>
      <c r="C667" s="33"/>
      <c r="D667" s="62"/>
      <c r="E667" s="110"/>
      <c r="F667" s="135" t="str">
        <f>IFERROR(IF($D667="","",VLOOKUP($D667,Cadastro!$C$4:$E$7,3,FALSE)),"")</f>
        <v/>
      </c>
      <c r="G667" s="106"/>
      <c r="H667" s="135" t="str">
        <f>IFERROR(IF($G667="","",$G667*$S$675/$G$675/Cadastro!$E$33),"")</f>
        <v/>
      </c>
      <c r="I667" s="136" t="str">
        <f>IFERROR(IF($D667="","",VLOOKUP($D667,Cadastro!$C$4:$G$7,5,FALSE)),"")</f>
        <v/>
      </c>
      <c r="J667" s="137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8">
        <v>46259</v>
      </c>
      <c r="B668" s="25">
        <f t="shared" si="177"/>
        <v>1.0416666666666663</v>
      </c>
      <c r="C668" s="33"/>
      <c r="D668" s="62"/>
      <c r="E668" s="110"/>
      <c r="F668" s="135" t="str">
        <f>IFERROR(IF($D668="","",VLOOKUP($D668,Cadastro!$C$4:$E$7,3,FALSE)),"")</f>
        <v/>
      </c>
      <c r="G668" s="106"/>
      <c r="H668" s="135" t="str">
        <f>IFERROR(IF($G668="","",$G668*$S$675/$G$675/Cadastro!$E$33),"")</f>
        <v/>
      </c>
      <c r="I668" s="136" t="str">
        <f>IFERROR(IF($D668="","",VLOOKUP($D668,Cadastro!$C$4:$G$7,5,FALSE)),"")</f>
        <v/>
      </c>
      <c r="J668" s="137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9">
        <v>46259</v>
      </c>
      <c r="B669" s="32">
        <f t="shared" si="177"/>
        <v>1.083333333333333</v>
      </c>
      <c r="C669" s="33"/>
      <c r="D669" s="62"/>
      <c r="E669" s="110"/>
      <c r="F669" s="135" t="str">
        <f>IFERROR(IF($D669="","",VLOOKUP($D669,Cadastro!$C$4:$E$7,3,FALSE)),"")</f>
        <v/>
      </c>
      <c r="G669" s="106"/>
      <c r="H669" s="135" t="str">
        <f>IFERROR(IF($G669="","",$G669*$S$675/$G$675/Cadastro!$E$33),"")</f>
        <v/>
      </c>
      <c r="I669" s="136" t="str">
        <f>IFERROR(IF($D669="","",VLOOKUP($D669,Cadastro!$C$4:$G$7,5,FALSE)),"")</f>
        <v/>
      </c>
      <c r="J669" s="137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8">
        <v>46259</v>
      </c>
      <c r="B670" s="25">
        <f t="shared" si="177"/>
        <v>1.1249999999999998</v>
      </c>
      <c r="C670" s="33"/>
      <c r="D670" s="62"/>
      <c r="E670" s="110"/>
      <c r="F670" s="135" t="str">
        <f>IFERROR(IF($D670="","",VLOOKUP($D670,Cadastro!$C$4:$E$7,3,FALSE)),"")</f>
        <v/>
      </c>
      <c r="G670" s="106"/>
      <c r="H670" s="135" t="str">
        <f>IFERROR(IF($G670="","",$G670*$S$675/$G$675/Cadastro!$E$33),"")</f>
        <v/>
      </c>
      <c r="I670" s="136" t="str">
        <f>IFERROR(IF($D670="","",VLOOKUP($D670,Cadastro!$C$4:$G$7,5,FALSE)),"")</f>
        <v/>
      </c>
      <c r="J670" s="137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9">
        <v>46259</v>
      </c>
      <c r="B671" s="32">
        <f t="shared" si="177"/>
        <v>1.1666666666666665</v>
      </c>
      <c r="C671" s="33"/>
      <c r="D671" s="62"/>
      <c r="E671" s="110"/>
      <c r="F671" s="135" t="str">
        <f>IFERROR(IF($D671="","",VLOOKUP($D671,Cadastro!$C$4:$E$7,3,FALSE)),"")</f>
        <v/>
      </c>
      <c r="G671" s="106"/>
      <c r="H671" s="135" t="str">
        <f>IFERROR(IF($G671="","",$G671*$S$675/$G$675/Cadastro!$E$33),"")</f>
        <v/>
      </c>
      <c r="I671" s="136" t="str">
        <f>IFERROR(IF($D671="","",VLOOKUP($D671,Cadastro!$C$4:$G$7,5,FALSE)),"")</f>
        <v/>
      </c>
      <c r="J671" s="137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8">
        <v>46259</v>
      </c>
      <c r="B672" s="25">
        <f t="shared" si="177"/>
        <v>1.2083333333333333</v>
      </c>
      <c r="C672" s="33"/>
      <c r="D672" s="62"/>
      <c r="E672" s="110"/>
      <c r="F672" s="135" t="str">
        <f>IFERROR(IF($D672="","",VLOOKUP($D672,Cadastro!$C$4:$E$7,3,FALSE)),"")</f>
        <v/>
      </c>
      <c r="G672" s="106"/>
      <c r="H672" s="135" t="str">
        <f>IFERROR(IF($G672="","",$G672*$S$675/$G$675/Cadastro!$E$33),"")</f>
        <v/>
      </c>
      <c r="I672" s="136" t="str">
        <f>IFERROR(IF($D672="","",VLOOKUP($D672,Cadastro!$C$4:$G$7,5,FALSE)),"")</f>
        <v/>
      </c>
      <c r="J672" s="137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9">
        <v>46259</v>
      </c>
      <c r="B673" s="32">
        <f t="shared" si="177"/>
        <v>1.25</v>
      </c>
      <c r="C673" s="33"/>
      <c r="D673" s="62"/>
      <c r="E673" s="110"/>
      <c r="F673" s="135" t="str">
        <f>IFERROR(IF($D673="","",VLOOKUP($D673,Cadastro!$C$4:$E$7,3,FALSE)),"")</f>
        <v/>
      </c>
      <c r="G673" s="106"/>
      <c r="H673" s="135" t="str">
        <f>IFERROR(IF($G673="","",$G673*$S$675/$G$675/Cadastro!$E$33),"")</f>
        <v/>
      </c>
      <c r="I673" s="136" t="str">
        <f>IFERROR(IF($D673="","",VLOOKUP($D673,Cadastro!$C$4:$G$7,5,FALSE)),"")</f>
        <v/>
      </c>
      <c r="J673" s="137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8">
        <v>46259</v>
      </c>
      <c r="B674" s="25">
        <f t="shared" si="177"/>
        <v>1.2916666666666667</v>
      </c>
      <c r="C674" s="26"/>
      <c r="D674" s="59"/>
      <c r="E674" s="109"/>
      <c r="F674" s="138" t="str">
        <f>IFERROR(IF($D674="","",VLOOKUP($D674,Cadastro!$C$4:$E$7,3,FALSE)),"")</f>
        <v/>
      </c>
      <c r="G674" s="106"/>
      <c r="H674" s="138" t="str">
        <f>IFERROR(IF($G674="","",$G674*$S$675/$G$675/Cadastro!$E$33),"")</f>
        <v/>
      </c>
      <c r="I674" s="139" t="str">
        <f>IFERROR(IF($D674="","",VLOOKUP($D674,Cadastro!$C$4:$G$7,5,FALSE)),"")</f>
        <v/>
      </c>
      <c r="J674" s="140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2" t="s">
        <v>244</v>
      </c>
      <c r="B675" s="153"/>
      <c r="C675" s="153"/>
      <c r="D675" s="153"/>
      <c r="E675" s="153">
        <f>SUM(E663:E674)</f>
        <v>0</v>
      </c>
      <c r="F675" s="112"/>
      <c r="G675" s="81">
        <f>SUM(G663:G674)</f>
        <v>0</v>
      </c>
      <c r="H675" s="112">
        <f>IFERROR(SUM(H663:H674),"")</f>
        <v>0</v>
      </c>
      <c r="I675" s="116"/>
      <c r="J675" s="125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3">
        <f>IFERROR(J675,"")</f>
        <v>0</v>
      </c>
    </row>
    <row r="676" spans="1:20" ht="18" customHeight="1">
      <c r="A676" s="150" t="s">
        <v>245</v>
      </c>
      <c r="B676" s="151"/>
      <c r="C676" s="151"/>
      <c r="D676" s="151"/>
      <c r="E676" s="151">
        <f>E662+E675</f>
        <v>0</v>
      </c>
      <c r="F676" s="113"/>
      <c r="G676" s="92">
        <f>G662+G675</f>
        <v>0</v>
      </c>
      <c r="H676" s="113">
        <f>IFERROR(H662+H675,"")</f>
        <v>0</v>
      </c>
      <c r="I676" s="117"/>
      <c r="J676" s="126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4">
        <f>IFERROR(S662+S675,"")</f>
        <v>0</v>
      </c>
      <c r="T676" s="145">
        <f>IFERROR(J676,"")</f>
        <v>0</v>
      </c>
    </row>
    <row r="677" spans="1:20" ht="15" customHeight="1">
      <c r="A677" s="69">
        <v>46260</v>
      </c>
      <c r="B677" s="32">
        <v>0.33333333333333298</v>
      </c>
      <c r="C677" s="33"/>
      <c r="D677" s="62"/>
      <c r="E677" s="110"/>
      <c r="F677" s="141" t="str">
        <f>IFERROR(IF($D677="","",VLOOKUP($D677,Cadastro!$C$4:$E$7,3,FALSE)),"")</f>
        <v/>
      </c>
      <c r="G677" s="106"/>
      <c r="H677" s="141" t="str">
        <f>IFERROR(IF($G677="","",$G677*$S$689/$G$689/Cadastro!$E$33),"")</f>
        <v/>
      </c>
      <c r="I677" s="142" t="str">
        <f>IFERROR(IF($D677="","",VLOOKUP($D677,Cadastro!$C$4:$G$7,5,FALSE)),"")</f>
        <v/>
      </c>
      <c r="J677" s="143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8">
        <v>46260</v>
      </c>
      <c r="B678" s="25">
        <f t="shared" ref="B678:B688" si="181">B677+TIME(0,60,0)</f>
        <v>0.37499999999999967</v>
      </c>
      <c r="C678" s="33"/>
      <c r="D678" s="62"/>
      <c r="E678" s="110"/>
      <c r="F678" s="135" t="str">
        <f>IFERROR(IF($D678="","",VLOOKUP($D678,Cadastro!$C$4:$E$7,3,FALSE)),"")</f>
        <v/>
      </c>
      <c r="G678" s="106"/>
      <c r="H678" s="135" t="str">
        <f>IFERROR(IF($G678="","",$G678*$S$689/$G$689/Cadastro!$E$33),"")</f>
        <v/>
      </c>
      <c r="I678" s="136" t="str">
        <f>IFERROR(IF($D678="","",VLOOKUP($D678,Cadastro!$C$4:$G$7,5,FALSE)),"")</f>
        <v/>
      </c>
      <c r="J678" s="137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9">
        <v>46260</v>
      </c>
      <c r="B679" s="32">
        <f t="shared" si="181"/>
        <v>0.41666666666666635</v>
      </c>
      <c r="C679" s="33"/>
      <c r="D679" s="62"/>
      <c r="E679" s="110"/>
      <c r="F679" s="135" t="str">
        <f>IFERROR(IF($D679="","",VLOOKUP($D679,Cadastro!$C$4:$E$7,3,FALSE)),"")</f>
        <v/>
      </c>
      <c r="G679" s="106"/>
      <c r="H679" s="135" t="str">
        <f>IFERROR(IF($G679="","",$G679*$S$689/$G$689/Cadastro!$E$33),"")</f>
        <v/>
      </c>
      <c r="I679" s="136" t="str">
        <f>IFERROR(IF($D679="","",VLOOKUP($D679,Cadastro!$C$4:$G$7,5,FALSE)),"")</f>
        <v/>
      </c>
      <c r="J679" s="137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8">
        <v>46260</v>
      </c>
      <c r="B680" s="25">
        <f t="shared" si="181"/>
        <v>0.45833333333333304</v>
      </c>
      <c r="C680" s="33"/>
      <c r="D680" s="62"/>
      <c r="E680" s="110"/>
      <c r="F680" s="135" t="str">
        <f>IFERROR(IF($D680="","",VLOOKUP($D680,Cadastro!$C$4:$E$7,3,FALSE)),"")</f>
        <v/>
      </c>
      <c r="G680" s="106"/>
      <c r="H680" s="135" t="str">
        <f>IFERROR(IF($G680="","",$G680*$S$689/$G$689/Cadastro!$E$33),"")</f>
        <v/>
      </c>
      <c r="I680" s="136" t="str">
        <f>IFERROR(IF($D680="","",VLOOKUP($D680,Cadastro!$C$4:$G$7,5,FALSE)),"")</f>
        <v/>
      </c>
      <c r="J680" s="137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9">
        <v>46260</v>
      </c>
      <c r="B681" s="32">
        <f t="shared" si="181"/>
        <v>0.49999999999999972</v>
      </c>
      <c r="C681" s="33"/>
      <c r="D681" s="62"/>
      <c r="E681" s="110"/>
      <c r="F681" s="135" t="str">
        <f>IFERROR(IF($D681="","",VLOOKUP($D681,Cadastro!$C$4:$E$7,3,FALSE)),"")</f>
        <v/>
      </c>
      <c r="G681" s="106"/>
      <c r="H681" s="135" t="str">
        <f>IFERROR(IF($G681="","",$G681*$S$689/$G$689/Cadastro!$E$33),"")</f>
        <v/>
      </c>
      <c r="I681" s="136" t="str">
        <f>IFERROR(IF($D681="","",VLOOKUP($D681,Cadastro!$C$4:$G$7,5,FALSE)),"")</f>
        <v/>
      </c>
      <c r="J681" s="137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8">
        <v>46260</v>
      </c>
      <c r="B682" s="25">
        <f t="shared" si="181"/>
        <v>0.54166666666666641</v>
      </c>
      <c r="C682" s="33"/>
      <c r="D682" s="62"/>
      <c r="E682" s="110"/>
      <c r="F682" s="135" t="str">
        <f>IFERROR(IF($D682="","",VLOOKUP($D682,Cadastro!$C$4:$E$7,3,FALSE)),"")</f>
        <v/>
      </c>
      <c r="G682" s="106"/>
      <c r="H682" s="135" t="str">
        <f>IFERROR(IF($G682="","",$G682*$S$689/$G$689/Cadastro!$E$33),"")</f>
        <v/>
      </c>
      <c r="I682" s="136" t="str">
        <f>IFERROR(IF($D682="","",VLOOKUP($D682,Cadastro!$C$4:$G$7,5,FALSE)),"")</f>
        <v/>
      </c>
      <c r="J682" s="137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9">
        <v>46260</v>
      </c>
      <c r="B683" s="32">
        <f t="shared" si="181"/>
        <v>0.58333333333333304</v>
      </c>
      <c r="C683" s="33"/>
      <c r="D683" s="62"/>
      <c r="E683" s="110"/>
      <c r="F683" s="135" t="str">
        <f>IFERROR(IF($D683="","",VLOOKUP($D683,Cadastro!$C$4:$E$7,3,FALSE)),"")</f>
        <v/>
      </c>
      <c r="G683" s="106"/>
      <c r="H683" s="135" t="str">
        <f>IFERROR(IF($G683="","",$G683*$S$689/$G$689/Cadastro!$E$33),"")</f>
        <v/>
      </c>
      <c r="I683" s="136" t="str">
        <f>IFERROR(IF($D683="","",VLOOKUP($D683,Cadastro!$C$4:$G$7,5,FALSE)),"")</f>
        <v/>
      </c>
      <c r="J683" s="137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8">
        <v>46260</v>
      </c>
      <c r="B684" s="25">
        <f t="shared" si="181"/>
        <v>0.62499999999999967</v>
      </c>
      <c r="C684" s="33"/>
      <c r="D684" s="62"/>
      <c r="E684" s="110"/>
      <c r="F684" s="135" t="str">
        <f>IFERROR(IF($D684="","",VLOOKUP($D684,Cadastro!$C$4:$E$7,3,FALSE)),"")</f>
        <v/>
      </c>
      <c r="G684" s="106"/>
      <c r="H684" s="135" t="str">
        <f>IFERROR(IF($G684="","",$G684*$S$689/$G$689/Cadastro!$E$33),"")</f>
        <v/>
      </c>
      <c r="I684" s="136" t="str">
        <f>IFERROR(IF($D684="","",VLOOKUP($D684,Cadastro!$C$4:$G$7,5,FALSE)),"")</f>
        <v/>
      </c>
      <c r="J684" s="137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9">
        <v>46260</v>
      </c>
      <c r="B685" s="32">
        <f t="shared" si="181"/>
        <v>0.6666666666666663</v>
      </c>
      <c r="C685" s="33"/>
      <c r="D685" s="62"/>
      <c r="E685" s="110"/>
      <c r="F685" s="135" t="str">
        <f>IFERROR(IF($D685="","",VLOOKUP($D685,Cadastro!$C$4:$E$7,3,FALSE)),"")</f>
        <v/>
      </c>
      <c r="G685" s="106"/>
      <c r="H685" s="135" t="str">
        <f>IFERROR(IF($G685="","",$G685*$S$689/$G$689/Cadastro!$E$33),"")</f>
        <v/>
      </c>
      <c r="I685" s="136" t="str">
        <f>IFERROR(IF($D685="","",VLOOKUP($D685,Cadastro!$C$4:$G$7,5,FALSE)),"")</f>
        <v/>
      </c>
      <c r="J685" s="137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8">
        <v>46260</v>
      </c>
      <c r="B686" s="25">
        <f t="shared" si="181"/>
        <v>0.70833333333333293</v>
      </c>
      <c r="C686" s="33"/>
      <c r="D686" s="62"/>
      <c r="E686" s="110"/>
      <c r="F686" s="135" t="str">
        <f>IFERROR(IF($D686="","",VLOOKUP($D686,Cadastro!$C$4:$E$7,3,FALSE)),"")</f>
        <v/>
      </c>
      <c r="G686" s="106"/>
      <c r="H686" s="135" t="str">
        <f>IFERROR(IF($G686="","",$G686*$S$689/$G$689/Cadastro!$E$33),"")</f>
        <v/>
      </c>
      <c r="I686" s="136" t="str">
        <f>IFERROR(IF($D686="","",VLOOKUP($D686,Cadastro!$C$4:$G$7,5,FALSE)),"")</f>
        <v/>
      </c>
      <c r="J686" s="137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9">
        <v>46260</v>
      </c>
      <c r="B687" s="32">
        <f t="shared" si="181"/>
        <v>0.74999999999999956</v>
      </c>
      <c r="C687" s="33"/>
      <c r="D687" s="62"/>
      <c r="E687" s="110"/>
      <c r="F687" s="135" t="str">
        <f>IFERROR(IF($D687="","",VLOOKUP($D687,Cadastro!$C$4:$E$7,3,FALSE)),"")</f>
        <v/>
      </c>
      <c r="G687" s="106"/>
      <c r="H687" s="135" t="str">
        <f>IFERROR(IF($G687="","",$G687*$S$689/$G$689/Cadastro!$E$33),"")</f>
        <v/>
      </c>
      <c r="I687" s="136" t="str">
        <f>IFERROR(IF($D687="","",VLOOKUP($D687,Cadastro!$C$4:$G$7,5,FALSE)),"")</f>
        <v/>
      </c>
      <c r="J687" s="137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8">
        <v>46260</v>
      </c>
      <c r="B688" s="25">
        <f t="shared" si="181"/>
        <v>0.79166666666666619</v>
      </c>
      <c r="C688" s="33"/>
      <c r="D688" s="62"/>
      <c r="E688" s="110"/>
      <c r="F688" s="138" t="str">
        <f>IFERROR(IF($D688="","",VLOOKUP($D688,Cadastro!$C$4:$E$7,3,FALSE)),"")</f>
        <v/>
      </c>
      <c r="G688" s="106"/>
      <c r="H688" s="138" t="str">
        <f>IFERROR(IF($G688="","",$G688*$S$689/$G$689/Cadastro!$E$33),"")</f>
        <v/>
      </c>
      <c r="I688" s="139" t="str">
        <f>IFERROR(IF($D688="","",VLOOKUP($D688,Cadastro!$C$4:$G$7,5,FALSE)),"")</f>
        <v/>
      </c>
      <c r="J688" s="140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2" t="s">
        <v>241</v>
      </c>
      <c r="B689" s="153"/>
      <c r="C689" s="153"/>
      <c r="D689" s="153"/>
      <c r="E689" s="153">
        <f>SUM(E677:E688)</f>
        <v>0</v>
      </c>
      <c r="F689" s="111"/>
      <c r="G689" s="81">
        <f>SUM(G677:G688)</f>
        <v>0</v>
      </c>
      <c r="H689" s="111">
        <f>IFERROR(SUM(H677:H688),"")</f>
        <v>0</v>
      </c>
      <c r="I689" s="115"/>
      <c r="J689" s="124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3">
        <f>IFERROR(J689,"")</f>
        <v>0</v>
      </c>
    </row>
    <row r="690" spans="1:20" ht="15" customHeight="1">
      <c r="A690" s="68">
        <v>46260</v>
      </c>
      <c r="B690" s="25">
        <v>0.83333333333333304</v>
      </c>
      <c r="C690" s="26"/>
      <c r="D690" s="59"/>
      <c r="E690" s="109"/>
      <c r="F690" s="141" t="str">
        <f>IFERROR(IF($D690="","",VLOOKUP($D690,Cadastro!$C$4:$E$7,3,FALSE)),"")</f>
        <v/>
      </c>
      <c r="G690" s="106"/>
      <c r="H690" s="141" t="str">
        <f>IFERROR(IF($G690="","",$G690*$S$702/$G$702/Cadastro!$E$33),"")</f>
        <v/>
      </c>
      <c r="I690" s="142" t="str">
        <f>IFERROR(IF($D690="","",VLOOKUP($D690,Cadastro!$C$4:$G$7,5,FALSE)),"")</f>
        <v/>
      </c>
      <c r="J690" s="143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9">
        <v>46260</v>
      </c>
      <c r="B691" s="32">
        <f t="shared" ref="B691:B701" si="185">B690+TIME(0,60,0)</f>
        <v>0.87499999999999967</v>
      </c>
      <c r="C691" s="26"/>
      <c r="D691" s="59"/>
      <c r="E691" s="109"/>
      <c r="F691" s="135" t="str">
        <f>IFERROR(IF($D691="","",VLOOKUP($D691,Cadastro!$C$4:$E$7,3,FALSE)),"")</f>
        <v/>
      </c>
      <c r="G691" s="106"/>
      <c r="H691" s="135" t="str">
        <f>IFERROR(IF($G691="","",$G691*$S$702/$G$702/Cadastro!$E$33),"")</f>
        <v/>
      </c>
      <c r="I691" s="136" t="str">
        <f>IFERROR(IF($D691="","",VLOOKUP($D691,Cadastro!$C$4:$G$7,5,FALSE)),"")</f>
        <v/>
      </c>
      <c r="J691" s="137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8">
        <v>46260</v>
      </c>
      <c r="B692" s="25">
        <f t="shared" si="185"/>
        <v>0.9166666666666663</v>
      </c>
      <c r="C692" s="26"/>
      <c r="D692" s="59"/>
      <c r="E692" s="109"/>
      <c r="F692" s="135" t="str">
        <f>IFERROR(IF($D692="","",VLOOKUP($D692,Cadastro!$C$4:$E$7,3,FALSE)),"")</f>
        <v/>
      </c>
      <c r="G692" s="106"/>
      <c r="H692" s="135" t="str">
        <f>IFERROR(IF($G692="","",$G692*$S$702/$G$702/Cadastro!$E$33),"")</f>
        <v/>
      </c>
      <c r="I692" s="136" t="str">
        <f>IFERROR(IF($D692="","",VLOOKUP($D692,Cadastro!$C$4:$G$7,5,FALSE)),"")</f>
        <v/>
      </c>
      <c r="J692" s="137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9">
        <v>46260</v>
      </c>
      <c r="B693" s="32">
        <f t="shared" si="185"/>
        <v>0.95833333333333293</v>
      </c>
      <c r="C693" s="26"/>
      <c r="D693" s="59"/>
      <c r="E693" s="109"/>
      <c r="F693" s="135" t="str">
        <f>IFERROR(IF($D693="","",VLOOKUP($D693,Cadastro!$C$4:$E$7,3,FALSE)),"")</f>
        <v/>
      </c>
      <c r="G693" s="106"/>
      <c r="H693" s="135" t="str">
        <f>IFERROR(IF($G693="","",$G693*$S$702/$G$702/Cadastro!$E$33),"")</f>
        <v/>
      </c>
      <c r="I693" s="136" t="str">
        <f>IFERROR(IF($D693="","",VLOOKUP($D693,Cadastro!$C$4:$G$7,5,FALSE)),"")</f>
        <v/>
      </c>
      <c r="J693" s="137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8">
        <v>46260</v>
      </c>
      <c r="B694" s="25">
        <f t="shared" si="185"/>
        <v>0.99999999999999956</v>
      </c>
      <c r="C694" s="26"/>
      <c r="D694" s="59"/>
      <c r="E694" s="109"/>
      <c r="F694" s="135" t="str">
        <f>IFERROR(IF($D694="","",VLOOKUP($D694,Cadastro!$C$4:$E$7,3,FALSE)),"")</f>
        <v/>
      </c>
      <c r="G694" s="106"/>
      <c r="H694" s="135" t="str">
        <f>IFERROR(IF($G694="","",$G694*$S$702/$G$702/Cadastro!$E$33),"")</f>
        <v/>
      </c>
      <c r="I694" s="136" t="str">
        <f>IFERROR(IF($D694="","",VLOOKUP($D694,Cadastro!$C$4:$G$7,5,FALSE)),"")</f>
        <v/>
      </c>
      <c r="J694" s="137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9">
        <v>46260</v>
      </c>
      <c r="B695" s="32">
        <f t="shared" si="185"/>
        <v>1.0416666666666663</v>
      </c>
      <c r="C695" s="26"/>
      <c r="D695" s="59"/>
      <c r="E695" s="109"/>
      <c r="F695" s="135" t="str">
        <f>IFERROR(IF($D695="","",VLOOKUP($D695,Cadastro!$C$4:$E$7,3,FALSE)),"")</f>
        <v/>
      </c>
      <c r="G695" s="106"/>
      <c r="H695" s="135" t="str">
        <f>IFERROR(IF($G695="","",$G695*$S$702/$G$702/Cadastro!$E$33),"")</f>
        <v/>
      </c>
      <c r="I695" s="136" t="str">
        <f>IFERROR(IF($D695="","",VLOOKUP($D695,Cadastro!$C$4:$G$7,5,FALSE)),"")</f>
        <v/>
      </c>
      <c r="J695" s="137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8">
        <v>46260</v>
      </c>
      <c r="B696" s="25">
        <f t="shared" si="185"/>
        <v>1.083333333333333</v>
      </c>
      <c r="C696" s="26"/>
      <c r="D696" s="59"/>
      <c r="E696" s="109"/>
      <c r="F696" s="135" t="str">
        <f>IFERROR(IF($D696="","",VLOOKUP($D696,Cadastro!$C$4:$E$7,3,FALSE)),"")</f>
        <v/>
      </c>
      <c r="G696" s="106"/>
      <c r="H696" s="135" t="str">
        <f>IFERROR(IF($G696="","",$G696*$S$702/$G$702/Cadastro!$E$33),"")</f>
        <v/>
      </c>
      <c r="I696" s="136" t="str">
        <f>IFERROR(IF($D696="","",VLOOKUP($D696,Cadastro!$C$4:$G$7,5,FALSE)),"")</f>
        <v/>
      </c>
      <c r="J696" s="137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9">
        <v>46260</v>
      </c>
      <c r="B697" s="32">
        <f t="shared" si="185"/>
        <v>1.1249999999999998</v>
      </c>
      <c r="C697" s="26"/>
      <c r="D697" s="59"/>
      <c r="E697" s="109"/>
      <c r="F697" s="135" t="str">
        <f>IFERROR(IF($D697="","",VLOOKUP($D697,Cadastro!$C$4:$E$7,3,FALSE)),"")</f>
        <v/>
      </c>
      <c r="G697" s="106"/>
      <c r="H697" s="135" t="str">
        <f>IFERROR(IF($G697="","",$G697*$S$702/$G$702/Cadastro!$E$33),"")</f>
        <v/>
      </c>
      <c r="I697" s="136" t="str">
        <f>IFERROR(IF($D697="","",VLOOKUP($D697,Cadastro!$C$4:$G$7,5,FALSE)),"")</f>
        <v/>
      </c>
      <c r="J697" s="137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8">
        <v>46260</v>
      </c>
      <c r="B698" s="25">
        <f t="shared" si="185"/>
        <v>1.1666666666666665</v>
      </c>
      <c r="C698" s="26"/>
      <c r="D698" s="59"/>
      <c r="E698" s="109"/>
      <c r="F698" s="135" t="str">
        <f>IFERROR(IF($D698="","",VLOOKUP($D698,Cadastro!$C$4:$E$7,3,FALSE)),"")</f>
        <v/>
      </c>
      <c r="G698" s="106"/>
      <c r="H698" s="135" t="str">
        <f>IFERROR(IF($G698="","",$G698*$S$702/$G$702/Cadastro!$E$33),"")</f>
        <v/>
      </c>
      <c r="I698" s="136" t="str">
        <f>IFERROR(IF($D698="","",VLOOKUP($D698,Cadastro!$C$4:$G$7,5,FALSE)),"")</f>
        <v/>
      </c>
      <c r="J698" s="137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9">
        <v>46260</v>
      </c>
      <c r="B699" s="32">
        <f t="shared" si="185"/>
        <v>1.2083333333333333</v>
      </c>
      <c r="C699" s="26"/>
      <c r="D699" s="59"/>
      <c r="E699" s="109"/>
      <c r="F699" s="135" t="str">
        <f>IFERROR(IF($D699="","",VLOOKUP($D699,Cadastro!$C$4:$E$7,3,FALSE)),"")</f>
        <v/>
      </c>
      <c r="G699" s="106"/>
      <c r="H699" s="135" t="str">
        <f>IFERROR(IF($G699="","",$G699*$S$702/$G$702/Cadastro!$E$33),"")</f>
        <v/>
      </c>
      <c r="I699" s="136" t="str">
        <f>IFERROR(IF($D699="","",VLOOKUP($D699,Cadastro!$C$4:$G$7,5,FALSE)),"")</f>
        <v/>
      </c>
      <c r="J699" s="137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8">
        <v>46260</v>
      </c>
      <c r="B700" s="25">
        <f t="shared" si="185"/>
        <v>1.25</v>
      </c>
      <c r="C700" s="26"/>
      <c r="D700" s="59"/>
      <c r="E700" s="109"/>
      <c r="F700" s="135" t="str">
        <f>IFERROR(IF($D700="","",VLOOKUP($D700,Cadastro!$C$4:$E$7,3,FALSE)),"")</f>
        <v/>
      </c>
      <c r="G700" s="106"/>
      <c r="H700" s="135" t="str">
        <f>IFERROR(IF($G700="","",$G700*$S$702/$G$702/Cadastro!$E$33),"")</f>
        <v/>
      </c>
      <c r="I700" s="136" t="str">
        <f>IFERROR(IF($D700="","",VLOOKUP($D700,Cadastro!$C$4:$G$7,5,FALSE)),"")</f>
        <v/>
      </c>
      <c r="J700" s="137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9">
        <v>46260</v>
      </c>
      <c r="B701" s="32">
        <f t="shared" si="185"/>
        <v>1.2916666666666667</v>
      </c>
      <c r="C701" s="26"/>
      <c r="D701" s="59"/>
      <c r="E701" s="109"/>
      <c r="F701" s="138" t="str">
        <f>IFERROR(IF($D701="","",VLOOKUP($D701,Cadastro!$C$4:$E$7,3,FALSE)),"")</f>
        <v/>
      </c>
      <c r="G701" s="106"/>
      <c r="H701" s="138" t="str">
        <f>IFERROR(IF($G701="","",$G701*$S$702/$G$702/Cadastro!$E$33),"")</f>
        <v/>
      </c>
      <c r="I701" s="139" t="str">
        <f>IFERROR(IF($D701="","",VLOOKUP($D701,Cadastro!$C$4:$G$7,5,FALSE)),"")</f>
        <v/>
      </c>
      <c r="J701" s="140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2" t="s">
        <v>244</v>
      </c>
      <c r="B702" s="153"/>
      <c r="C702" s="153"/>
      <c r="D702" s="153"/>
      <c r="E702" s="153">
        <f>SUM(E690:E701)</f>
        <v>0</v>
      </c>
      <c r="F702" s="112"/>
      <c r="G702" s="81">
        <f>SUM(G690:G701)</f>
        <v>0</v>
      </c>
      <c r="H702" s="112">
        <f>IFERROR(SUM(H690:H701),"")</f>
        <v>0</v>
      </c>
      <c r="I702" s="116"/>
      <c r="J702" s="125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3">
        <f>IFERROR(J702,"")</f>
        <v>0</v>
      </c>
    </row>
    <row r="703" spans="1:20" ht="18" customHeight="1">
      <c r="A703" s="150" t="s">
        <v>245</v>
      </c>
      <c r="B703" s="151"/>
      <c r="C703" s="151"/>
      <c r="D703" s="151"/>
      <c r="E703" s="151">
        <f>E689+E702</f>
        <v>0</v>
      </c>
      <c r="F703" s="113"/>
      <c r="G703" s="92">
        <f>G689+G702</f>
        <v>0</v>
      </c>
      <c r="H703" s="113">
        <f>IFERROR(H689+H702,"")</f>
        <v>0</v>
      </c>
      <c r="I703" s="117"/>
      <c r="J703" s="126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4">
        <f>IFERROR(S689+S702,"")</f>
        <v>0</v>
      </c>
      <c r="T703" s="145">
        <f>IFERROR(J703,"")</f>
        <v>0</v>
      </c>
    </row>
    <row r="704" spans="1:20" ht="15" customHeight="1">
      <c r="A704" s="68">
        <v>46261</v>
      </c>
      <c r="B704" s="25">
        <v>0.33333333333333298</v>
      </c>
      <c r="C704" s="26"/>
      <c r="D704" s="59"/>
      <c r="E704" s="109"/>
      <c r="F704" s="141" t="str">
        <f>IFERROR(IF($D704="","",VLOOKUP($D704,Cadastro!$C$4:$E$7,3,FALSE)),"")</f>
        <v/>
      </c>
      <c r="G704" s="106"/>
      <c r="H704" s="141" t="str">
        <f>IFERROR(IF($G704="","",$G704*$S$716/$G$716/Cadastro!$E$33),"")</f>
        <v/>
      </c>
      <c r="I704" s="142" t="str">
        <f>IFERROR(IF($D704="","",VLOOKUP($D704,Cadastro!$C$4:$G$7,5,FALSE)),"")</f>
        <v/>
      </c>
      <c r="J704" s="143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9">
        <v>46261</v>
      </c>
      <c r="B705" s="32">
        <f t="shared" ref="B705:B715" si="189">B704+TIME(0,60,0)</f>
        <v>0.37499999999999967</v>
      </c>
      <c r="C705" s="26"/>
      <c r="D705" s="59"/>
      <c r="E705" s="109"/>
      <c r="F705" s="135" t="str">
        <f>IFERROR(IF($D705="","",VLOOKUP($D705,Cadastro!$C$4:$E$7,3,FALSE)),"")</f>
        <v/>
      </c>
      <c r="G705" s="106"/>
      <c r="H705" s="135" t="str">
        <f>IFERROR(IF($G705="","",$G705*$S$716/$G$716/Cadastro!$E$33),"")</f>
        <v/>
      </c>
      <c r="I705" s="136" t="str">
        <f>IFERROR(IF($D705="","",VLOOKUP($D705,Cadastro!$C$4:$G$7,5,FALSE)),"")</f>
        <v/>
      </c>
      <c r="J705" s="137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8">
        <v>46261</v>
      </c>
      <c r="B706" s="25">
        <f t="shared" si="189"/>
        <v>0.41666666666666635</v>
      </c>
      <c r="C706" s="26"/>
      <c r="D706" s="59"/>
      <c r="E706" s="109"/>
      <c r="F706" s="135" t="str">
        <f>IFERROR(IF($D706="","",VLOOKUP($D706,Cadastro!$C$4:$E$7,3,FALSE)),"")</f>
        <v/>
      </c>
      <c r="G706" s="106"/>
      <c r="H706" s="135" t="str">
        <f>IFERROR(IF($G706="","",$G706*$S$716/$G$716/Cadastro!$E$33),"")</f>
        <v/>
      </c>
      <c r="I706" s="136" t="str">
        <f>IFERROR(IF($D706="","",VLOOKUP($D706,Cadastro!$C$4:$G$7,5,FALSE)),"")</f>
        <v/>
      </c>
      <c r="J706" s="137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9">
        <v>46261</v>
      </c>
      <c r="B707" s="32">
        <f t="shared" si="189"/>
        <v>0.45833333333333304</v>
      </c>
      <c r="C707" s="26"/>
      <c r="D707" s="59"/>
      <c r="E707" s="109"/>
      <c r="F707" s="135" t="str">
        <f>IFERROR(IF($D707="","",VLOOKUP($D707,Cadastro!$C$4:$E$7,3,FALSE)),"")</f>
        <v/>
      </c>
      <c r="G707" s="106"/>
      <c r="H707" s="135" t="str">
        <f>IFERROR(IF($G707="","",$G707*$S$716/$G$716/Cadastro!$E$33),"")</f>
        <v/>
      </c>
      <c r="I707" s="136" t="str">
        <f>IFERROR(IF($D707="","",VLOOKUP($D707,Cadastro!$C$4:$G$7,5,FALSE)),"")</f>
        <v/>
      </c>
      <c r="J707" s="137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8">
        <v>46261</v>
      </c>
      <c r="B708" s="25">
        <f t="shared" si="189"/>
        <v>0.49999999999999972</v>
      </c>
      <c r="C708" s="26"/>
      <c r="D708" s="59"/>
      <c r="E708" s="109"/>
      <c r="F708" s="135" t="str">
        <f>IFERROR(IF($D708="","",VLOOKUP($D708,Cadastro!$C$4:$E$7,3,FALSE)),"")</f>
        <v/>
      </c>
      <c r="G708" s="106"/>
      <c r="H708" s="135" t="str">
        <f>IFERROR(IF($G708="","",$G708*$S$716/$G$716/Cadastro!$E$33),"")</f>
        <v/>
      </c>
      <c r="I708" s="136" t="str">
        <f>IFERROR(IF($D708="","",VLOOKUP($D708,Cadastro!$C$4:$G$7,5,FALSE)),"")</f>
        <v/>
      </c>
      <c r="J708" s="137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9">
        <v>46261</v>
      </c>
      <c r="B709" s="32">
        <f t="shared" si="189"/>
        <v>0.54166666666666641</v>
      </c>
      <c r="C709" s="26"/>
      <c r="D709" s="59"/>
      <c r="E709" s="109"/>
      <c r="F709" s="135" t="str">
        <f>IFERROR(IF($D709="","",VLOOKUP($D709,Cadastro!$C$4:$E$7,3,FALSE)),"")</f>
        <v/>
      </c>
      <c r="G709" s="106"/>
      <c r="H709" s="135" t="str">
        <f>IFERROR(IF($G709="","",$G709*$S$716/$G$716/Cadastro!$E$33),"")</f>
        <v/>
      </c>
      <c r="I709" s="136" t="str">
        <f>IFERROR(IF($D709="","",VLOOKUP($D709,Cadastro!$C$4:$G$7,5,FALSE)),"")</f>
        <v/>
      </c>
      <c r="J709" s="137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8">
        <v>46261</v>
      </c>
      <c r="B710" s="25">
        <f t="shared" si="189"/>
        <v>0.58333333333333304</v>
      </c>
      <c r="C710" s="26"/>
      <c r="D710" s="59"/>
      <c r="E710" s="109"/>
      <c r="F710" s="135" t="str">
        <f>IFERROR(IF($D710="","",VLOOKUP($D710,Cadastro!$C$4:$E$7,3,FALSE)),"")</f>
        <v/>
      </c>
      <c r="G710" s="106"/>
      <c r="H710" s="135" t="str">
        <f>IFERROR(IF($G710="","",$G710*$S$716/$G$716/Cadastro!$E$33),"")</f>
        <v/>
      </c>
      <c r="I710" s="136" t="str">
        <f>IFERROR(IF($D710="","",VLOOKUP($D710,Cadastro!$C$4:$G$7,5,FALSE)),"")</f>
        <v/>
      </c>
      <c r="J710" s="137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9">
        <v>46261</v>
      </c>
      <c r="B711" s="32">
        <f t="shared" si="189"/>
        <v>0.62499999999999967</v>
      </c>
      <c r="C711" s="26"/>
      <c r="D711" s="59"/>
      <c r="E711" s="109"/>
      <c r="F711" s="135" t="str">
        <f>IFERROR(IF($D711="","",VLOOKUP($D711,Cadastro!$C$4:$E$7,3,FALSE)),"")</f>
        <v/>
      </c>
      <c r="G711" s="106"/>
      <c r="H711" s="135" t="str">
        <f>IFERROR(IF($G711="","",$G711*$S$716/$G$716/Cadastro!$E$33),"")</f>
        <v/>
      </c>
      <c r="I711" s="136" t="str">
        <f>IFERROR(IF($D711="","",VLOOKUP($D711,Cadastro!$C$4:$G$7,5,FALSE)),"")</f>
        <v/>
      </c>
      <c r="J711" s="137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8">
        <v>46261</v>
      </c>
      <c r="B712" s="25">
        <f t="shared" si="189"/>
        <v>0.6666666666666663</v>
      </c>
      <c r="C712" s="26"/>
      <c r="D712" s="59"/>
      <c r="E712" s="109"/>
      <c r="F712" s="135" t="str">
        <f>IFERROR(IF($D712="","",VLOOKUP($D712,Cadastro!$C$4:$E$7,3,FALSE)),"")</f>
        <v/>
      </c>
      <c r="G712" s="106"/>
      <c r="H712" s="135" t="str">
        <f>IFERROR(IF($G712="","",$G712*$S$716/$G$716/Cadastro!$E$33),"")</f>
        <v/>
      </c>
      <c r="I712" s="136" t="str">
        <f>IFERROR(IF($D712="","",VLOOKUP($D712,Cadastro!$C$4:$G$7,5,FALSE)),"")</f>
        <v/>
      </c>
      <c r="J712" s="137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9">
        <v>46261</v>
      </c>
      <c r="B713" s="32">
        <f t="shared" si="189"/>
        <v>0.70833333333333293</v>
      </c>
      <c r="C713" s="26"/>
      <c r="D713" s="59"/>
      <c r="E713" s="109"/>
      <c r="F713" s="135" t="str">
        <f>IFERROR(IF($D713="","",VLOOKUP($D713,Cadastro!$C$4:$E$7,3,FALSE)),"")</f>
        <v/>
      </c>
      <c r="G713" s="106"/>
      <c r="H713" s="135" t="str">
        <f>IFERROR(IF($G713="","",$G713*$S$716/$G$716/Cadastro!$E$33),"")</f>
        <v/>
      </c>
      <c r="I713" s="136" t="str">
        <f>IFERROR(IF($D713="","",VLOOKUP($D713,Cadastro!$C$4:$G$7,5,FALSE)),"")</f>
        <v/>
      </c>
      <c r="J713" s="137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8">
        <v>46261</v>
      </c>
      <c r="B714" s="25">
        <f t="shared" si="189"/>
        <v>0.74999999999999956</v>
      </c>
      <c r="C714" s="26"/>
      <c r="D714" s="59"/>
      <c r="E714" s="109"/>
      <c r="F714" s="135" t="str">
        <f>IFERROR(IF($D714="","",VLOOKUP($D714,Cadastro!$C$4:$E$7,3,FALSE)),"")</f>
        <v/>
      </c>
      <c r="G714" s="106"/>
      <c r="H714" s="135" t="str">
        <f>IFERROR(IF($G714="","",$G714*$S$716/$G$716/Cadastro!$E$33),"")</f>
        <v/>
      </c>
      <c r="I714" s="136" t="str">
        <f>IFERROR(IF($D714="","",VLOOKUP($D714,Cadastro!$C$4:$G$7,5,FALSE)),"")</f>
        <v/>
      </c>
      <c r="J714" s="137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9">
        <v>46261</v>
      </c>
      <c r="B715" s="32">
        <f t="shared" si="189"/>
        <v>0.79166666666666619</v>
      </c>
      <c r="C715" s="26"/>
      <c r="D715" s="59"/>
      <c r="E715" s="109"/>
      <c r="F715" s="138" t="str">
        <f>IFERROR(IF($D715="","",VLOOKUP($D715,Cadastro!$C$4:$E$7,3,FALSE)),"")</f>
        <v/>
      </c>
      <c r="G715" s="106"/>
      <c r="H715" s="138" t="str">
        <f>IFERROR(IF($G715="","",$G715*$S$716/$G$716/Cadastro!$E$33),"")</f>
        <v/>
      </c>
      <c r="I715" s="139" t="str">
        <f>IFERROR(IF($D715="","",VLOOKUP($D715,Cadastro!$C$4:$G$7,5,FALSE)),"")</f>
        <v/>
      </c>
      <c r="J715" s="140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2" t="s">
        <v>241</v>
      </c>
      <c r="B716" s="153"/>
      <c r="C716" s="153"/>
      <c r="D716" s="153"/>
      <c r="E716" s="153">
        <f>SUM(E704:E715)</f>
        <v>0</v>
      </c>
      <c r="F716" s="111"/>
      <c r="G716" s="81">
        <f>SUM(G704:G715)</f>
        <v>0</v>
      </c>
      <c r="H716" s="111">
        <f>IFERROR(SUM(H704:H715),"")</f>
        <v>0</v>
      </c>
      <c r="I716" s="115"/>
      <c r="J716" s="124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3">
        <f>IFERROR(J716,"")</f>
        <v>0</v>
      </c>
    </row>
    <row r="717" spans="1:20" ht="15" customHeight="1">
      <c r="A717" s="69">
        <v>46261</v>
      </c>
      <c r="B717" s="32">
        <v>0.83333333333333304</v>
      </c>
      <c r="C717" s="33"/>
      <c r="D717" s="62"/>
      <c r="E717" s="110"/>
      <c r="F717" s="141" t="str">
        <f>IFERROR(IF($D717="","",VLOOKUP($D717,Cadastro!$C$4:$E$7,3,FALSE)),"")</f>
        <v/>
      </c>
      <c r="G717" s="106"/>
      <c r="H717" s="141" t="str">
        <f>IFERROR(IF($G717="","",$G717*$S$729/$G$729/Cadastro!$E$33),"")</f>
        <v/>
      </c>
      <c r="I717" s="142" t="str">
        <f>IFERROR(IF($D717="","",VLOOKUP($D717,Cadastro!$C$4:$G$7,5,FALSE)),"")</f>
        <v/>
      </c>
      <c r="J717" s="143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8">
        <v>46261</v>
      </c>
      <c r="B718" s="25">
        <f t="shared" ref="B718:B728" si="193">B717+TIME(0,60,0)</f>
        <v>0.87499999999999967</v>
      </c>
      <c r="C718" s="26"/>
      <c r="D718" s="59"/>
      <c r="E718" s="109"/>
      <c r="F718" s="135" t="str">
        <f>IFERROR(IF($D718="","",VLOOKUP($D718,Cadastro!$C$4:$E$7,3,FALSE)),"")</f>
        <v/>
      </c>
      <c r="G718" s="106"/>
      <c r="H718" s="135" t="str">
        <f>IFERROR(IF($G718="","",$G718*$S$729/$G$729/Cadastro!$E$33),"")</f>
        <v/>
      </c>
      <c r="I718" s="136" t="str">
        <f>IFERROR(IF($D718="","",VLOOKUP($D718,Cadastro!$C$4:$G$7,5,FALSE)),"")</f>
        <v/>
      </c>
      <c r="J718" s="137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9">
        <v>46261</v>
      </c>
      <c r="B719" s="32">
        <f t="shared" si="193"/>
        <v>0.9166666666666663</v>
      </c>
      <c r="C719" s="33"/>
      <c r="D719" s="62"/>
      <c r="E719" s="110"/>
      <c r="F719" s="135" t="str">
        <f>IFERROR(IF($D719="","",VLOOKUP($D719,Cadastro!$C$4:$E$7,3,FALSE)),"")</f>
        <v/>
      </c>
      <c r="G719" s="106"/>
      <c r="H719" s="135" t="str">
        <f>IFERROR(IF($G719="","",$G719*$S$729/$G$729/Cadastro!$E$33),"")</f>
        <v/>
      </c>
      <c r="I719" s="136" t="str">
        <f>IFERROR(IF($D719="","",VLOOKUP($D719,Cadastro!$C$4:$G$7,5,FALSE)),"")</f>
        <v/>
      </c>
      <c r="J719" s="137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8">
        <v>46261</v>
      </c>
      <c r="B720" s="25">
        <f t="shared" si="193"/>
        <v>0.95833333333333293</v>
      </c>
      <c r="C720" s="26"/>
      <c r="D720" s="59"/>
      <c r="E720" s="109"/>
      <c r="F720" s="135" t="str">
        <f>IFERROR(IF($D720="","",VLOOKUP($D720,Cadastro!$C$4:$E$7,3,FALSE)),"")</f>
        <v/>
      </c>
      <c r="G720" s="106"/>
      <c r="H720" s="135" t="str">
        <f>IFERROR(IF($G720="","",$G720*$S$729/$G$729/Cadastro!$E$33),"")</f>
        <v/>
      </c>
      <c r="I720" s="136" t="str">
        <f>IFERROR(IF($D720="","",VLOOKUP($D720,Cadastro!$C$4:$G$7,5,FALSE)),"")</f>
        <v/>
      </c>
      <c r="J720" s="137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9">
        <v>46261</v>
      </c>
      <c r="B721" s="32">
        <f t="shared" si="193"/>
        <v>0.99999999999999956</v>
      </c>
      <c r="C721" s="33"/>
      <c r="D721" s="62"/>
      <c r="E721" s="110"/>
      <c r="F721" s="135" t="str">
        <f>IFERROR(IF($D721="","",VLOOKUP($D721,Cadastro!$C$4:$E$7,3,FALSE)),"")</f>
        <v/>
      </c>
      <c r="G721" s="106"/>
      <c r="H721" s="135" t="str">
        <f>IFERROR(IF($G721="","",$G721*$S$729/$G$729/Cadastro!$E$33),"")</f>
        <v/>
      </c>
      <c r="I721" s="136" t="str">
        <f>IFERROR(IF($D721="","",VLOOKUP($D721,Cadastro!$C$4:$G$7,5,FALSE)),"")</f>
        <v/>
      </c>
      <c r="J721" s="137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8">
        <v>46261</v>
      </c>
      <c r="B722" s="25">
        <f t="shared" si="193"/>
        <v>1.0416666666666663</v>
      </c>
      <c r="C722" s="26"/>
      <c r="D722" s="59"/>
      <c r="E722" s="109"/>
      <c r="F722" s="135" t="str">
        <f>IFERROR(IF($D722="","",VLOOKUP($D722,Cadastro!$C$4:$E$7,3,FALSE)),"")</f>
        <v/>
      </c>
      <c r="G722" s="106"/>
      <c r="H722" s="135" t="str">
        <f>IFERROR(IF($G722="","",$G722*$S$729/$G$729/Cadastro!$E$33),"")</f>
        <v/>
      </c>
      <c r="I722" s="136" t="str">
        <f>IFERROR(IF($D722="","",VLOOKUP($D722,Cadastro!$C$4:$G$7,5,FALSE)),"")</f>
        <v/>
      </c>
      <c r="J722" s="137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9">
        <v>46261</v>
      </c>
      <c r="B723" s="32">
        <f t="shared" si="193"/>
        <v>1.083333333333333</v>
      </c>
      <c r="C723" s="33"/>
      <c r="D723" s="62"/>
      <c r="E723" s="110"/>
      <c r="F723" s="135" t="str">
        <f>IFERROR(IF($D723="","",VLOOKUP($D723,Cadastro!$C$4:$E$7,3,FALSE)),"")</f>
        <v/>
      </c>
      <c r="G723" s="106"/>
      <c r="H723" s="135" t="str">
        <f>IFERROR(IF($G723="","",$G723*$S$729/$G$729/Cadastro!$E$33),"")</f>
        <v/>
      </c>
      <c r="I723" s="136" t="str">
        <f>IFERROR(IF($D723="","",VLOOKUP($D723,Cadastro!$C$4:$G$7,5,FALSE)),"")</f>
        <v/>
      </c>
      <c r="J723" s="137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8">
        <v>46261</v>
      </c>
      <c r="B724" s="25">
        <f t="shared" si="193"/>
        <v>1.1249999999999998</v>
      </c>
      <c r="C724" s="26"/>
      <c r="D724" s="59"/>
      <c r="E724" s="109"/>
      <c r="F724" s="135" t="str">
        <f>IFERROR(IF($D724="","",VLOOKUP($D724,Cadastro!$C$4:$E$7,3,FALSE)),"")</f>
        <v/>
      </c>
      <c r="G724" s="106"/>
      <c r="H724" s="135" t="str">
        <f>IFERROR(IF($G724="","",$G724*$S$729/$G$729/Cadastro!$E$33),"")</f>
        <v/>
      </c>
      <c r="I724" s="136" t="str">
        <f>IFERROR(IF($D724="","",VLOOKUP($D724,Cadastro!$C$4:$G$7,5,FALSE)),"")</f>
        <v/>
      </c>
      <c r="J724" s="137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9">
        <v>46261</v>
      </c>
      <c r="B725" s="32">
        <f t="shared" si="193"/>
        <v>1.1666666666666665</v>
      </c>
      <c r="C725" s="33"/>
      <c r="D725" s="62"/>
      <c r="E725" s="110"/>
      <c r="F725" s="135" t="str">
        <f>IFERROR(IF($D725="","",VLOOKUP($D725,Cadastro!$C$4:$E$7,3,FALSE)),"")</f>
        <v/>
      </c>
      <c r="G725" s="106"/>
      <c r="H725" s="135" t="str">
        <f>IFERROR(IF($G725="","",$G725*$S$729/$G$729/Cadastro!$E$33),"")</f>
        <v/>
      </c>
      <c r="I725" s="136" t="str">
        <f>IFERROR(IF($D725="","",VLOOKUP($D725,Cadastro!$C$4:$G$7,5,FALSE)),"")</f>
        <v/>
      </c>
      <c r="J725" s="137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8">
        <v>46261</v>
      </c>
      <c r="B726" s="25">
        <f t="shared" si="193"/>
        <v>1.2083333333333333</v>
      </c>
      <c r="C726" s="26"/>
      <c r="D726" s="59"/>
      <c r="E726" s="109"/>
      <c r="F726" s="135" t="str">
        <f>IFERROR(IF($D726="","",VLOOKUP($D726,Cadastro!$C$4:$E$7,3,FALSE)),"")</f>
        <v/>
      </c>
      <c r="G726" s="106"/>
      <c r="H726" s="135" t="str">
        <f>IFERROR(IF($G726="","",$G726*$S$729/$G$729/Cadastro!$E$33),"")</f>
        <v/>
      </c>
      <c r="I726" s="136" t="str">
        <f>IFERROR(IF($D726="","",VLOOKUP($D726,Cadastro!$C$4:$G$7,5,FALSE)),"")</f>
        <v/>
      </c>
      <c r="J726" s="137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9">
        <v>46261</v>
      </c>
      <c r="B727" s="32">
        <f t="shared" si="193"/>
        <v>1.25</v>
      </c>
      <c r="C727" s="33"/>
      <c r="D727" s="62"/>
      <c r="E727" s="110"/>
      <c r="F727" s="135" t="str">
        <f>IFERROR(IF($D727="","",VLOOKUP($D727,Cadastro!$C$4:$E$7,3,FALSE)),"")</f>
        <v/>
      </c>
      <c r="G727" s="106"/>
      <c r="H727" s="135" t="str">
        <f>IFERROR(IF($G727="","",$G727*$S$729/$G$729/Cadastro!$E$33),"")</f>
        <v/>
      </c>
      <c r="I727" s="136" t="str">
        <f>IFERROR(IF($D727="","",VLOOKUP($D727,Cadastro!$C$4:$G$7,5,FALSE)),"")</f>
        <v/>
      </c>
      <c r="J727" s="137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8">
        <v>46261</v>
      </c>
      <c r="B728" s="25">
        <f t="shared" si="193"/>
        <v>1.2916666666666667</v>
      </c>
      <c r="C728" s="26"/>
      <c r="D728" s="59"/>
      <c r="E728" s="109"/>
      <c r="F728" s="138" t="str">
        <f>IFERROR(IF($D728="","",VLOOKUP($D728,Cadastro!$C$4:$E$7,3,FALSE)),"")</f>
        <v/>
      </c>
      <c r="G728" s="106"/>
      <c r="H728" s="138" t="str">
        <f>IFERROR(IF($G728="","",$G728*$S$729/$G$729/Cadastro!$E$33),"")</f>
        <v/>
      </c>
      <c r="I728" s="139" t="str">
        <f>IFERROR(IF($D728="","",VLOOKUP($D728,Cadastro!$C$4:$G$7,5,FALSE)),"")</f>
        <v/>
      </c>
      <c r="J728" s="140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2" t="s">
        <v>244</v>
      </c>
      <c r="B729" s="153"/>
      <c r="C729" s="153"/>
      <c r="D729" s="153"/>
      <c r="E729" s="153">
        <f>SUM(E717:E728)</f>
        <v>0</v>
      </c>
      <c r="F729" s="112"/>
      <c r="G729" s="81">
        <f>SUM(G717:G728)</f>
        <v>0</v>
      </c>
      <c r="H729" s="112">
        <f>IFERROR(SUM(H717:H728),"")</f>
        <v>0</v>
      </c>
      <c r="I729" s="116"/>
      <c r="J729" s="125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3">
        <f>IFERROR(J729,"")</f>
        <v>0</v>
      </c>
    </row>
    <row r="730" spans="1:20" ht="18" customHeight="1">
      <c r="A730" s="150" t="s">
        <v>245</v>
      </c>
      <c r="B730" s="151"/>
      <c r="C730" s="151"/>
      <c r="D730" s="151"/>
      <c r="E730" s="151">
        <f>E716+E729</f>
        <v>0</v>
      </c>
      <c r="F730" s="113"/>
      <c r="G730" s="92">
        <f>G716+G729</f>
        <v>0</v>
      </c>
      <c r="H730" s="113">
        <f>IFERROR(H716+H729,"")</f>
        <v>0</v>
      </c>
      <c r="I730" s="117"/>
      <c r="J730" s="126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4">
        <f>IFERROR(S716+S729,"")</f>
        <v>0</v>
      </c>
      <c r="T730" s="145">
        <f>IFERROR(J730,"")</f>
        <v>0</v>
      </c>
    </row>
    <row r="731" spans="1:20" ht="15" customHeight="1">
      <c r="A731" s="69">
        <v>46262</v>
      </c>
      <c r="B731" s="32">
        <v>0.33333333333333298</v>
      </c>
      <c r="C731" s="33"/>
      <c r="D731" s="62"/>
      <c r="E731" s="110"/>
      <c r="F731" s="141" t="str">
        <f>IFERROR(IF($D731="","",VLOOKUP($D731,Cadastro!$C$4:$E$7,3,FALSE)),"")</f>
        <v/>
      </c>
      <c r="G731" s="106"/>
      <c r="H731" s="141" t="str">
        <f>IFERROR(IF($G731="","",$G731*$S$743/$G$743/Cadastro!$E$33),"")</f>
        <v/>
      </c>
      <c r="I731" s="142" t="str">
        <f>IFERROR(IF($D731="","",VLOOKUP($D731,Cadastro!$C$4:$G$7,5,FALSE)),"")</f>
        <v/>
      </c>
      <c r="J731" s="143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8">
        <v>46262</v>
      </c>
      <c r="B732" s="25">
        <f t="shared" ref="B732:B742" si="197">B731+TIME(0,60,0)</f>
        <v>0.37499999999999967</v>
      </c>
      <c r="C732" s="26"/>
      <c r="D732" s="59"/>
      <c r="E732" s="109"/>
      <c r="F732" s="135" t="str">
        <f>IFERROR(IF($D732="","",VLOOKUP($D732,Cadastro!$C$4:$E$7,3,FALSE)),"")</f>
        <v/>
      </c>
      <c r="G732" s="106"/>
      <c r="H732" s="135" t="str">
        <f>IFERROR(IF($G732="","",$G732*$S$743/$G$743/Cadastro!$E$33),"")</f>
        <v/>
      </c>
      <c r="I732" s="136" t="str">
        <f>IFERROR(IF($D732="","",VLOOKUP($D732,Cadastro!$C$4:$G$7,5,FALSE)),"")</f>
        <v/>
      </c>
      <c r="J732" s="137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9">
        <v>46262</v>
      </c>
      <c r="B733" s="32">
        <f t="shared" si="197"/>
        <v>0.41666666666666635</v>
      </c>
      <c r="C733" s="33"/>
      <c r="D733" s="62"/>
      <c r="E733" s="110"/>
      <c r="F733" s="135" t="str">
        <f>IFERROR(IF($D733="","",VLOOKUP($D733,Cadastro!$C$4:$E$7,3,FALSE)),"")</f>
        <v/>
      </c>
      <c r="G733" s="106"/>
      <c r="H733" s="135" t="str">
        <f>IFERROR(IF($G733="","",$G733*$S$743/$G$743/Cadastro!$E$33),"")</f>
        <v/>
      </c>
      <c r="I733" s="136" t="str">
        <f>IFERROR(IF($D733="","",VLOOKUP($D733,Cadastro!$C$4:$G$7,5,FALSE)),"")</f>
        <v/>
      </c>
      <c r="J733" s="137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8">
        <v>46262</v>
      </c>
      <c r="B734" s="25">
        <f t="shared" si="197"/>
        <v>0.45833333333333304</v>
      </c>
      <c r="C734" s="26"/>
      <c r="D734" s="59"/>
      <c r="E734" s="109"/>
      <c r="F734" s="135" t="str">
        <f>IFERROR(IF($D734="","",VLOOKUP($D734,Cadastro!$C$4:$E$7,3,FALSE)),"")</f>
        <v/>
      </c>
      <c r="G734" s="106"/>
      <c r="H734" s="135" t="str">
        <f>IFERROR(IF($G734="","",$G734*$S$743/$G$743/Cadastro!$E$33),"")</f>
        <v/>
      </c>
      <c r="I734" s="136" t="str">
        <f>IFERROR(IF($D734="","",VLOOKUP($D734,Cadastro!$C$4:$G$7,5,FALSE)),"")</f>
        <v/>
      </c>
      <c r="J734" s="137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9">
        <v>46262</v>
      </c>
      <c r="B735" s="32">
        <f t="shared" si="197"/>
        <v>0.49999999999999972</v>
      </c>
      <c r="C735" s="33"/>
      <c r="D735" s="62"/>
      <c r="E735" s="110"/>
      <c r="F735" s="135" t="str">
        <f>IFERROR(IF($D735="","",VLOOKUP($D735,Cadastro!$C$4:$E$7,3,FALSE)),"")</f>
        <v/>
      </c>
      <c r="G735" s="106"/>
      <c r="H735" s="135" t="str">
        <f>IFERROR(IF($G735="","",$G735*$S$743/$G$743/Cadastro!$E$33),"")</f>
        <v/>
      </c>
      <c r="I735" s="136" t="str">
        <f>IFERROR(IF($D735="","",VLOOKUP($D735,Cadastro!$C$4:$G$7,5,FALSE)),"")</f>
        <v/>
      </c>
      <c r="J735" s="137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8">
        <v>46262</v>
      </c>
      <c r="B736" s="25">
        <f t="shared" si="197"/>
        <v>0.54166666666666641</v>
      </c>
      <c r="C736" s="26"/>
      <c r="D736" s="59"/>
      <c r="E736" s="109"/>
      <c r="F736" s="135" t="str">
        <f>IFERROR(IF($D736="","",VLOOKUP($D736,Cadastro!$C$4:$E$7,3,FALSE)),"")</f>
        <v/>
      </c>
      <c r="G736" s="106"/>
      <c r="H736" s="135" t="str">
        <f>IFERROR(IF($G736="","",$G736*$S$743/$G$743/Cadastro!$E$33),"")</f>
        <v/>
      </c>
      <c r="I736" s="136" t="str">
        <f>IFERROR(IF($D736="","",VLOOKUP($D736,Cadastro!$C$4:$G$7,5,FALSE)),"")</f>
        <v/>
      </c>
      <c r="J736" s="137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9">
        <v>46262</v>
      </c>
      <c r="B737" s="32">
        <f t="shared" si="197"/>
        <v>0.58333333333333304</v>
      </c>
      <c r="C737" s="33"/>
      <c r="D737" s="62"/>
      <c r="E737" s="110"/>
      <c r="F737" s="135" t="str">
        <f>IFERROR(IF($D737="","",VLOOKUP($D737,Cadastro!$C$4:$E$7,3,FALSE)),"")</f>
        <v/>
      </c>
      <c r="G737" s="106"/>
      <c r="H737" s="135" t="str">
        <f>IFERROR(IF($G737="","",$G737*$S$743/$G$743/Cadastro!$E$33),"")</f>
        <v/>
      </c>
      <c r="I737" s="136" t="str">
        <f>IFERROR(IF($D737="","",VLOOKUP($D737,Cadastro!$C$4:$G$7,5,FALSE)),"")</f>
        <v/>
      </c>
      <c r="J737" s="137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8">
        <v>46262</v>
      </c>
      <c r="B738" s="25">
        <f t="shared" si="197"/>
        <v>0.62499999999999967</v>
      </c>
      <c r="C738" s="26"/>
      <c r="D738" s="59"/>
      <c r="E738" s="109"/>
      <c r="F738" s="135" t="str">
        <f>IFERROR(IF($D738="","",VLOOKUP($D738,Cadastro!$C$4:$E$7,3,FALSE)),"")</f>
        <v/>
      </c>
      <c r="G738" s="106"/>
      <c r="H738" s="135" t="str">
        <f>IFERROR(IF($G738="","",$G738*$S$743/$G$743/Cadastro!$E$33),"")</f>
        <v/>
      </c>
      <c r="I738" s="136" t="str">
        <f>IFERROR(IF($D738="","",VLOOKUP($D738,Cadastro!$C$4:$G$7,5,FALSE)),"")</f>
        <v/>
      </c>
      <c r="J738" s="137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9">
        <v>46262</v>
      </c>
      <c r="B739" s="32">
        <f t="shared" si="197"/>
        <v>0.6666666666666663</v>
      </c>
      <c r="C739" s="33"/>
      <c r="D739" s="62"/>
      <c r="E739" s="110"/>
      <c r="F739" s="135" t="str">
        <f>IFERROR(IF($D739="","",VLOOKUP($D739,Cadastro!$C$4:$E$7,3,FALSE)),"")</f>
        <v/>
      </c>
      <c r="G739" s="106"/>
      <c r="H739" s="135" t="str">
        <f>IFERROR(IF($G739="","",$G739*$S$743/$G$743/Cadastro!$E$33),"")</f>
        <v/>
      </c>
      <c r="I739" s="136" t="str">
        <f>IFERROR(IF($D739="","",VLOOKUP($D739,Cadastro!$C$4:$G$7,5,FALSE)),"")</f>
        <v/>
      </c>
      <c r="J739" s="137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8">
        <v>46262</v>
      </c>
      <c r="B740" s="25">
        <f t="shared" si="197"/>
        <v>0.70833333333333293</v>
      </c>
      <c r="C740" s="26"/>
      <c r="D740" s="59"/>
      <c r="E740" s="109"/>
      <c r="F740" s="135" t="str">
        <f>IFERROR(IF($D740="","",VLOOKUP($D740,Cadastro!$C$4:$E$7,3,FALSE)),"")</f>
        <v/>
      </c>
      <c r="G740" s="106"/>
      <c r="H740" s="135" t="str">
        <f>IFERROR(IF($G740="","",$G740*$S$743/$G$743/Cadastro!$E$33),"")</f>
        <v/>
      </c>
      <c r="I740" s="136" t="str">
        <f>IFERROR(IF($D740="","",VLOOKUP($D740,Cadastro!$C$4:$G$7,5,FALSE)),"")</f>
        <v/>
      </c>
      <c r="J740" s="137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9">
        <v>46262</v>
      </c>
      <c r="B741" s="32">
        <f t="shared" si="197"/>
        <v>0.74999999999999956</v>
      </c>
      <c r="C741" s="33"/>
      <c r="D741" s="62"/>
      <c r="E741" s="110"/>
      <c r="F741" s="135" t="str">
        <f>IFERROR(IF($D741="","",VLOOKUP($D741,Cadastro!$C$4:$E$7,3,FALSE)),"")</f>
        <v/>
      </c>
      <c r="G741" s="106"/>
      <c r="H741" s="135" t="str">
        <f>IFERROR(IF($G741="","",$G741*$S$743/$G$743/Cadastro!$E$33),"")</f>
        <v/>
      </c>
      <c r="I741" s="136" t="str">
        <f>IFERROR(IF($D741="","",VLOOKUP($D741,Cadastro!$C$4:$G$7,5,FALSE)),"")</f>
        <v/>
      </c>
      <c r="J741" s="137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8">
        <v>46262</v>
      </c>
      <c r="B742" s="25">
        <f t="shared" si="197"/>
        <v>0.79166666666666619</v>
      </c>
      <c r="C742" s="26"/>
      <c r="D742" s="59"/>
      <c r="E742" s="109"/>
      <c r="F742" s="138" t="str">
        <f>IFERROR(IF($D742="","",VLOOKUP($D742,Cadastro!$C$4:$E$7,3,FALSE)),"")</f>
        <v/>
      </c>
      <c r="G742" s="106"/>
      <c r="H742" s="138" t="str">
        <f>IFERROR(IF($G742="","",$G742*$S$743/$G$743/Cadastro!$E$33),"")</f>
        <v/>
      </c>
      <c r="I742" s="139" t="str">
        <f>IFERROR(IF($D742="","",VLOOKUP($D742,Cadastro!$C$4:$G$7,5,FALSE)),"")</f>
        <v/>
      </c>
      <c r="J742" s="140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2" t="s">
        <v>241</v>
      </c>
      <c r="B743" s="153"/>
      <c r="C743" s="153"/>
      <c r="D743" s="153"/>
      <c r="E743" s="153">
        <f>SUM(E731:E742)</f>
        <v>0</v>
      </c>
      <c r="F743" s="111"/>
      <c r="G743" s="81">
        <f>SUM(G731:G742)</f>
        <v>0</v>
      </c>
      <c r="H743" s="111">
        <f>IFERROR(SUM(H731:H742),"")</f>
        <v>0</v>
      </c>
      <c r="I743" s="115"/>
      <c r="J743" s="124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3">
        <f>IFERROR(J743,"")</f>
        <v>0</v>
      </c>
    </row>
    <row r="744" spans="1:20" ht="15" customHeight="1">
      <c r="A744" s="68">
        <v>46262</v>
      </c>
      <c r="B744" s="25">
        <v>0.83333333333333304</v>
      </c>
      <c r="C744" s="26"/>
      <c r="D744" s="59"/>
      <c r="E744" s="109"/>
      <c r="F744" s="141" t="str">
        <f>IFERROR(IF($D744="","",VLOOKUP($D744,Cadastro!$C$4:$E$7,3,FALSE)),"")</f>
        <v/>
      </c>
      <c r="G744" s="106"/>
      <c r="H744" s="141" t="str">
        <f>IFERROR(IF($G744="","",$G744*$S$756/$G$756/Cadastro!$E$33),"")</f>
        <v/>
      </c>
      <c r="I744" s="142" t="str">
        <f>IFERROR(IF($D744="","",VLOOKUP($D744,Cadastro!$C$4:$G$7,5,FALSE)),"")</f>
        <v/>
      </c>
      <c r="J744" s="143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9">
        <v>46262</v>
      </c>
      <c r="B745" s="32">
        <f t="shared" ref="B745:B755" si="201">B744+TIME(0,60,0)</f>
        <v>0.87499999999999967</v>
      </c>
      <c r="C745" s="33"/>
      <c r="D745" s="62"/>
      <c r="E745" s="110"/>
      <c r="F745" s="135" t="str">
        <f>IFERROR(IF($D745="","",VLOOKUP($D745,Cadastro!$C$4:$E$7,3,FALSE)),"")</f>
        <v/>
      </c>
      <c r="G745" s="106"/>
      <c r="H745" s="135" t="str">
        <f>IFERROR(IF($G745="","",$G745*$S$756/$G$756/Cadastro!$E$33),"")</f>
        <v/>
      </c>
      <c r="I745" s="136" t="str">
        <f>IFERROR(IF($D745="","",VLOOKUP($D745,Cadastro!$C$4:$G$7,5,FALSE)),"")</f>
        <v/>
      </c>
      <c r="J745" s="137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8">
        <v>46262</v>
      </c>
      <c r="B746" s="25">
        <f t="shared" si="201"/>
        <v>0.9166666666666663</v>
      </c>
      <c r="C746" s="26"/>
      <c r="D746" s="59"/>
      <c r="E746" s="109"/>
      <c r="F746" s="135" t="str">
        <f>IFERROR(IF($D746="","",VLOOKUP($D746,Cadastro!$C$4:$E$7,3,FALSE)),"")</f>
        <v/>
      </c>
      <c r="G746" s="106"/>
      <c r="H746" s="135" t="str">
        <f>IFERROR(IF($G746="","",$G746*$S$756/$G$756/Cadastro!$E$33),"")</f>
        <v/>
      </c>
      <c r="I746" s="136" t="str">
        <f>IFERROR(IF($D746="","",VLOOKUP($D746,Cadastro!$C$4:$G$7,5,FALSE)),"")</f>
        <v/>
      </c>
      <c r="J746" s="137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9">
        <v>46262</v>
      </c>
      <c r="B747" s="32">
        <f t="shared" si="201"/>
        <v>0.95833333333333293</v>
      </c>
      <c r="C747" s="33"/>
      <c r="D747" s="62"/>
      <c r="E747" s="110"/>
      <c r="F747" s="135" t="str">
        <f>IFERROR(IF($D747="","",VLOOKUP($D747,Cadastro!$C$4:$E$7,3,FALSE)),"")</f>
        <v/>
      </c>
      <c r="G747" s="106"/>
      <c r="H747" s="135" t="str">
        <f>IFERROR(IF($G747="","",$G747*$S$756/$G$756/Cadastro!$E$33),"")</f>
        <v/>
      </c>
      <c r="I747" s="136" t="str">
        <f>IFERROR(IF($D747="","",VLOOKUP($D747,Cadastro!$C$4:$G$7,5,FALSE)),"")</f>
        <v/>
      </c>
      <c r="J747" s="137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8">
        <v>46262</v>
      </c>
      <c r="B748" s="25">
        <f t="shared" si="201"/>
        <v>0.99999999999999956</v>
      </c>
      <c r="C748" s="26"/>
      <c r="D748" s="59"/>
      <c r="E748" s="109"/>
      <c r="F748" s="135" t="str">
        <f>IFERROR(IF($D748="","",VLOOKUP($D748,Cadastro!$C$4:$E$7,3,FALSE)),"")</f>
        <v/>
      </c>
      <c r="G748" s="106"/>
      <c r="H748" s="135" t="str">
        <f>IFERROR(IF($G748="","",$G748*$S$756/$G$756/Cadastro!$E$33),"")</f>
        <v/>
      </c>
      <c r="I748" s="136" t="str">
        <f>IFERROR(IF($D748="","",VLOOKUP($D748,Cadastro!$C$4:$G$7,5,FALSE)),"")</f>
        <v/>
      </c>
      <c r="J748" s="137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9">
        <v>46262</v>
      </c>
      <c r="B749" s="32">
        <f t="shared" si="201"/>
        <v>1.0416666666666663</v>
      </c>
      <c r="C749" s="33"/>
      <c r="D749" s="62"/>
      <c r="E749" s="110"/>
      <c r="F749" s="135" t="str">
        <f>IFERROR(IF($D749="","",VLOOKUP($D749,Cadastro!$C$4:$E$7,3,FALSE)),"")</f>
        <v/>
      </c>
      <c r="G749" s="106"/>
      <c r="H749" s="135" t="str">
        <f>IFERROR(IF($G749="","",$G749*$S$756/$G$756/Cadastro!$E$33),"")</f>
        <v/>
      </c>
      <c r="I749" s="136" t="str">
        <f>IFERROR(IF($D749="","",VLOOKUP($D749,Cadastro!$C$4:$G$7,5,FALSE)),"")</f>
        <v/>
      </c>
      <c r="J749" s="137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8">
        <v>46262</v>
      </c>
      <c r="B750" s="25">
        <f t="shared" si="201"/>
        <v>1.083333333333333</v>
      </c>
      <c r="C750" s="26"/>
      <c r="D750" s="59"/>
      <c r="E750" s="109"/>
      <c r="F750" s="135" t="str">
        <f>IFERROR(IF($D750="","",VLOOKUP($D750,Cadastro!$C$4:$E$7,3,FALSE)),"")</f>
        <v/>
      </c>
      <c r="G750" s="106"/>
      <c r="H750" s="135" t="str">
        <f>IFERROR(IF($G750="","",$G750*$S$756/$G$756/Cadastro!$E$33),"")</f>
        <v/>
      </c>
      <c r="I750" s="136" t="str">
        <f>IFERROR(IF($D750="","",VLOOKUP($D750,Cadastro!$C$4:$G$7,5,FALSE)),"")</f>
        <v/>
      </c>
      <c r="J750" s="137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9">
        <v>46262</v>
      </c>
      <c r="B751" s="32">
        <f t="shared" si="201"/>
        <v>1.1249999999999998</v>
      </c>
      <c r="C751" s="33"/>
      <c r="D751" s="62"/>
      <c r="E751" s="110"/>
      <c r="F751" s="135" t="str">
        <f>IFERROR(IF($D751="","",VLOOKUP($D751,Cadastro!$C$4:$E$7,3,FALSE)),"")</f>
        <v/>
      </c>
      <c r="G751" s="106"/>
      <c r="H751" s="135" t="str">
        <f>IFERROR(IF($G751="","",$G751*$S$756/$G$756/Cadastro!$E$33),"")</f>
        <v/>
      </c>
      <c r="I751" s="136" t="str">
        <f>IFERROR(IF($D751="","",VLOOKUP($D751,Cadastro!$C$4:$G$7,5,FALSE)),"")</f>
        <v/>
      </c>
      <c r="J751" s="137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8">
        <v>46262</v>
      </c>
      <c r="B752" s="25">
        <f t="shared" si="201"/>
        <v>1.1666666666666665</v>
      </c>
      <c r="C752" s="26"/>
      <c r="D752" s="59"/>
      <c r="E752" s="109"/>
      <c r="F752" s="135" t="str">
        <f>IFERROR(IF($D752="","",VLOOKUP($D752,Cadastro!$C$4:$E$7,3,FALSE)),"")</f>
        <v/>
      </c>
      <c r="G752" s="106"/>
      <c r="H752" s="135" t="str">
        <f>IFERROR(IF($G752="","",$G752*$S$756/$G$756/Cadastro!$E$33),"")</f>
        <v/>
      </c>
      <c r="I752" s="136" t="str">
        <f>IFERROR(IF($D752="","",VLOOKUP($D752,Cadastro!$C$4:$G$7,5,FALSE)),"")</f>
        <v/>
      </c>
      <c r="J752" s="137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9">
        <v>46262</v>
      </c>
      <c r="B753" s="32">
        <f t="shared" si="201"/>
        <v>1.2083333333333333</v>
      </c>
      <c r="C753" s="33"/>
      <c r="D753" s="62"/>
      <c r="E753" s="110"/>
      <c r="F753" s="135" t="str">
        <f>IFERROR(IF($D753="","",VLOOKUP($D753,Cadastro!$C$4:$E$7,3,FALSE)),"")</f>
        <v/>
      </c>
      <c r="G753" s="106"/>
      <c r="H753" s="135" t="str">
        <f>IFERROR(IF($G753="","",$G753*$S$756/$G$756/Cadastro!$E$33),"")</f>
        <v/>
      </c>
      <c r="I753" s="136" t="str">
        <f>IFERROR(IF($D753="","",VLOOKUP($D753,Cadastro!$C$4:$G$7,5,FALSE)),"")</f>
        <v/>
      </c>
      <c r="J753" s="137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8">
        <v>46262</v>
      </c>
      <c r="B754" s="25">
        <f t="shared" si="201"/>
        <v>1.25</v>
      </c>
      <c r="C754" s="26"/>
      <c r="D754" s="59"/>
      <c r="E754" s="109"/>
      <c r="F754" s="135" t="str">
        <f>IFERROR(IF($D754="","",VLOOKUP($D754,Cadastro!$C$4:$E$7,3,FALSE)),"")</f>
        <v/>
      </c>
      <c r="G754" s="106"/>
      <c r="H754" s="135" t="str">
        <f>IFERROR(IF($G754="","",$G754*$S$756/$G$756/Cadastro!$E$33),"")</f>
        <v/>
      </c>
      <c r="I754" s="136" t="str">
        <f>IFERROR(IF($D754="","",VLOOKUP($D754,Cadastro!$C$4:$G$7,5,FALSE)),"")</f>
        <v/>
      </c>
      <c r="J754" s="137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9">
        <v>46262</v>
      </c>
      <c r="B755" s="32">
        <f t="shared" si="201"/>
        <v>1.2916666666666667</v>
      </c>
      <c r="C755" s="33"/>
      <c r="D755" s="62"/>
      <c r="E755" s="110"/>
      <c r="F755" s="138" t="str">
        <f>IFERROR(IF($D755="","",VLOOKUP($D755,Cadastro!$C$4:$E$7,3,FALSE)),"")</f>
        <v/>
      </c>
      <c r="G755" s="106"/>
      <c r="H755" s="138" t="str">
        <f>IFERROR(IF($G755="","",$G755*$S$756/$G$756/Cadastro!$E$33),"")</f>
        <v/>
      </c>
      <c r="I755" s="139" t="str">
        <f>IFERROR(IF($D755="","",VLOOKUP($D755,Cadastro!$C$4:$G$7,5,FALSE)),"")</f>
        <v/>
      </c>
      <c r="J755" s="140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2" t="s">
        <v>244</v>
      </c>
      <c r="B756" s="153"/>
      <c r="C756" s="153"/>
      <c r="D756" s="153"/>
      <c r="E756" s="153">
        <f>SUM(E744:E755)</f>
        <v>0</v>
      </c>
      <c r="F756" s="112"/>
      <c r="G756" s="81">
        <f>SUM(G744:G755)</f>
        <v>0</v>
      </c>
      <c r="H756" s="112">
        <f>IFERROR(SUM(H744:H755),"")</f>
        <v>0</v>
      </c>
      <c r="I756" s="116"/>
      <c r="J756" s="125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20">
        <f>IFERROR(J756,"")</f>
        <v>0</v>
      </c>
    </row>
    <row r="757" spans="1:20" ht="18" customHeight="1">
      <c r="A757" s="150" t="s">
        <v>245</v>
      </c>
      <c r="B757" s="151"/>
      <c r="C757" s="151"/>
      <c r="D757" s="151"/>
      <c r="E757" s="151">
        <f>E743+E756</f>
        <v>0</v>
      </c>
      <c r="F757" s="113"/>
      <c r="G757" s="92">
        <f>G743+G756</f>
        <v>0</v>
      </c>
      <c r="H757" s="113">
        <f>IFERROR(H743+H756,"")</f>
        <v>0</v>
      </c>
      <c r="I757" s="117"/>
      <c r="J757" s="126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4">
        <f>IFERROR(S743+S756,"")</f>
        <v>0</v>
      </c>
      <c r="T757" s="145">
        <f>IFERROR(J757,"")</f>
        <v>0</v>
      </c>
    </row>
    <row r="758" spans="1:20" ht="15" customHeight="1">
      <c r="A758" s="68">
        <v>46263</v>
      </c>
      <c r="B758" s="25">
        <v>0.33333333333333298</v>
      </c>
      <c r="C758" s="26"/>
      <c r="D758" s="59"/>
      <c r="E758" s="109"/>
      <c r="F758" s="141" t="str">
        <f>IFERROR(IF($D758="","",VLOOKUP($D758,Cadastro!$C$4:$E$7,3,FALSE)),"")</f>
        <v/>
      </c>
      <c r="G758" s="106"/>
      <c r="H758" s="141" t="str">
        <f>IFERROR(IF($G758="","",$G758*$S$770/$G$770/Cadastro!$E$33),"")</f>
        <v/>
      </c>
      <c r="I758" s="142" t="str">
        <f>IFERROR(IF($D758="","",VLOOKUP($D758,Cadastro!$C$4:$G$7,5,FALSE)),"")</f>
        <v/>
      </c>
      <c r="J758" s="143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9">
        <v>46263</v>
      </c>
      <c r="B759" s="32">
        <f t="shared" ref="B759:B769" si="205">B758+TIME(0,60,0)</f>
        <v>0.37499999999999967</v>
      </c>
      <c r="C759" s="33"/>
      <c r="D759" s="62"/>
      <c r="E759" s="110"/>
      <c r="F759" s="135" t="str">
        <f>IFERROR(IF($D759="","",VLOOKUP($D759,Cadastro!$C$4:$E$7,3,FALSE)),"")</f>
        <v/>
      </c>
      <c r="G759" s="106"/>
      <c r="H759" s="135" t="str">
        <f>IFERROR(IF($G759="","",$G759*$S$770/$G$770/Cadastro!$E$33),"")</f>
        <v/>
      </c>
      <c r="I759" s="136" t="str">
        <f>IFERROR(IF($D759="","",VLOOKUP($D759,Cadastro!$C$4:$G$7,5,FALSE)),"")</f>
        <v/>
      </c>
      <c r="J759" s="137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8">
        <v>46263</v>
      </c>
      <c r="B760" s="25">
        <f t="shared" si="205"/>
        <v>0.41666666666666635</v>
      </c>
      <c r="C760" s="26"/>
      <c r="D760" s="59"/>
      <c r="E760" s="109"/>
      <c r="F760" s="135" t="str">
        <f>IFERROR(IF($D760="","",VLOOKUP($D760,Cadastro!$C$4:$E$7,3,FALSE)),"")</f>
        <v/>
      </c>
      <c r="G760" s="106"/>
      <c r="H760" s="135" t="str">
        <f>IFERROR(IF($G760="","",$G760*$S$770/$G$770/Cadastro!$E$33),"")</f>
        <v/>
      </c>
      <c r="I760" s="136" t="str">
        <f>IFERROR(IF($D760="","",VLOOKUP($D760,Cadastro!$C$4:$G$7,5,FALSE)),"")</f>
        <v/>
      </c>
      <c r="J760" s="137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9">
        <v>46263</v>
      </c>
      <c r="B761" s="32">
        <f t="shared" si="205"/>
        <v>0.45833333333333304</v>
      </c>
      <c r="C761" s="33"/>
      <c r="D761" s="62"/>
      <c r="E761" s="110"/>
      <c r="F761" s="135" t="str">
        <f>IFERROR(IF($D761="","",VLOOKUP($D761,Cadastro!$C$4:$E$7,3,FALSE)),"")</f>
        <v/>
      </c>
      <c r="G761" s="106"/>
      <c r="H761" s="135" t="str">
        <f>IFERROR(IF($G761="","",$G761*$S$770/$G$770/Cadastro!$E$33),"")</f>
        <v/>
      </c>
      <c r="I761" s="136" t="str">
        <f>IFERROR(IF($D761="","",VLOOKUP($D761,Cadastro!$C$4:$G$7,5,FALSE)),"")</f>
        <v/>
      </c>
      <c r="J761" s="137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8">
        <v>46263</v>
      </c>
      <c r="B762" s="25">
        <f t="shared" si="205"/>
        <v>0.49999999999999972</v>
      </c>
      <c r="C762" s="26"/>
      <c r="D762" s="59"/>
      <c r="E762" s="109"/>
      <c r="F762" s="135" t="str">
        <f>IFERROR(IF($D762="","",VLOOKUP($D762,Cadastro!$C$4:$E$7,3,FALSE)),"")</f>
        <v/>
      </c>
      <c r="G762" s="106"/>
      <c r="H762" s="135" t="str">
        <f>IFERROR(IF($G762="","",$G762*$S$770/$G$770/Cadastro!$E$33),"")</f>
        <v/>
      </c>
      <c r="I762" s="136" t="str">
        <f>IFERROR(IF($D762="","",VLOOKUP($D762,Cadastro!$C$4:$G$7,5,FALSE)),"")</f>
        <v/>
      </c>
      <c r="J762" s="137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9">
        <v>46263</v>
      </c>
      <c r="B763" s="32">
        <f t="shared" si="205"/>
        <v>0.54166666666666641</v>
      </c>
      <c r="C763" s="33"/>
      <c r="D763" s="62"/>
      <c r="E763" s="110"/>
      <c r="F763" s="135" t="str">
        <f>IFERROR(IF($D763="","",VLOOKUP($D763,Cadastro!$C$4:$E$7,3,FALSE)),"")</f>
        <v/>
      </c>
      <c r="G763" s="106"/>
      <c r="H763" s="135" t="str">
        <f>IFERROR(IF($G763="","",$G763*$S$770/$G$770/Cadastro!$E$33),"")</f>
        <v/>
      </c>
      <c r="I763" s="136" t="str">
        <f>IFERROR(IF($D763="","",VLOOKUP($D763,Cadastro!$C$4:$G$7,5,FALSE)),"")</f>
        <v/>
      </c>
      <c r="J763" s="137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8">
        <v>46263</v>
      </c>
      <c r="B764" s="25">
        <f t="shared" si="205"/>
        <v>0.58333333333333304</v>
      </c>
      <c r="C764" s="26"/>
      <c r="D764" s="59"/>
      <c r="E764" s="109"/>
      <c r="F764" s="135" t="str">
        <f>IFERROR(IF($D764="","",VLOOKUP($D764,Cadastro!$C$4:$E$7,3,FALSE)),"")</f>
        <v/>
      </c>
      <c r="G764" s="106"/>
      <c r="H764" s="135" t="str">
        <f>IFERROR(IF($G764="","",$G764*$S$770/$G$770/Cadastro!$E$33),"")</f>
        <v/>
      </c>
      <c r="I764" s="136" t="str">
        <f>IFERROR(IF($D764="","",VLOOKUP($D764,Cadastro!$C$4:$G$7,5,FALSE)),"")</f>
        <v/>
      </c>
      <c r="J764" s="137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9">
        <v>46263</v>
      </c>
      <c r="B765" s="32">
        <f t="shared" si="205"/>
        <v>0.62499999999999967</v>
      </c>
      <c r="C765" s="33"/>
      <c r="D765" s="62"/>
      <c r="E765" s="110"/>
      <c r="F765" s="135" t="str">
        <f>IFERROR(IF($D765="","",VLOOKUP($D765,Cadastro!$C$4:$E$7,3,FALSE)),"")</f>
        <v/>
      </c>
      <c r="G765" s="106"/>
      <c r="H765" s="135" t="str">
        <f>IFERROR(IF($G765="","",$G765*$S$770/$G$770/Cadastro!$E$33),"")</f>
        <v/>
      </c>
      <c r="I765" s="136" t="str">
        <f>IFERROR(IF($D765="","",VLOOKUP($D765,Cadastro!$C$4:$G$7,5,FALSE)),"")</f>
        <v/>
      </c>
      <c r="J765" s="137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8">
        <v>46263</v>
      </c>
      <c r="B766" s="25">
        <f t="shared" si="205"/>
        <v>0.6666666666666663</v>
      </c>
      <c r="C766" s="26"/>
      <c r="D766" s="59"/>
      <c r="E766" s="109"/>
      <c r="F766" s="135" t="str">
        <f>IFERROR(IF($D766="","",VLOOKUP($D766,Cadastro!$C$4:$E$7,3,FALSE)),"")</f>
        <v/>
      </c>
      <c r="G766" s="106"/>
      <c r="H766" s="135" t="str">
        <f>IFERROR(IF($G766="","",$G766*$S$770/$G$770/Cadastro!$E$33),"")</f>
        <v/>
      </c>
      <c r="I766" s="136" t="str">
        <f>IFERROR(IF($D766="","",VLOOKUP($D766,Cadastro!$C$4:$G$7,5,FALSE)),"")</f>
        <v/>
      </c>
      <c r="J766" s="137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9">
        <v>46263</v>
      </c>
      <c r="B767" s="32">
        <f t="shared" si="205"/>
        <v>0.70833333333333293</v>
      </c>
      <c r="C767" s="33"/>
      <c r="D767" s="62"/>
      <c r="E767" s="110"/>
      <c r="F767" s="135" t="str">
        <f>IFERROR(IF($D767="","",VLOOKUP($D767,Cadastro!$C$4:$E$7,3,FALSE)),"")</f>
        <v/>
      </c>
      <c r="G767" s="106"/>
      <c r="H767" s="135" t="str">
        <f>IFERROR(IF($G767="","",$G767*$S$770/$G$770/Cadastro!$E$33),"")</f>
        <v/>
      </c>
      <c r="I767" s="136" t="str">
        <f>IFERROR(IF($D767="","",VLOOKUP($D767,Cadastro!$C$4:$G$7,5,FALSE)),"")</f>
        <v/>
      </c>
      <c r="J767" s="137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8">
        <v>46263</v>
      </c>
      <c r="B768" s="25">
        <f t="shared" si="205"/>
        <v>0.74999999999999956</v>
      </c>
      <c r="C768" s="26"/>
      <c r="D768" s="59"/>
      <c r="E768" s="109"/>
      <c r="F768" s="135" t="str">
        <f>IFERROR(IF($D768="","",VLOOKUP($D768,Cadastro!$C$4:$E$7,3,FALSE)),"")</f>
        <v/>
      </c>
      <c r="G768" s="106"/>
      <c r="H768" s="135" t="str">
        <f>IFERROR(IF($G768="","",$G768*$S$770/$G$770/Cadastro!$E$33),"")</f>
        <v/>
      </c>
      <c r="I768" s="136" t="str">
        <f>IFERROR(IF($D768="","",VLOOKUP($D768,Cadastro!$C$4:$G$7,5,FALSE)),"")</f>
        <v/>
      </c>
      <c r="J768" s="137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9">
        <v>46263</v>
      </c>
      <c r="B769" s="32">
        <f t="shared" si="205"/>
        <v>0.79166666666666619</v>
      </c>
      <c r="C769" s="33"/>
      <c r="D769" s="62"/>
      <c r="E769" s="110"/>
      <c r="F769" s="138" t="str">
        <f>IFERROR(IF($D769="","",VLOOKUP($D769,Cadastro!$C$4:$E$7,3,FALSE)),"")</f>
        <v/>
      </c>
      <c r="G769" s="106"/>
      <c r="H769" s="138" t="str">
        <f>IFERROR(IF($G769="","",$G769*$S$770/$G$770/Cadastro!$E$33),"")</f>
        <v/>
      </c>
      <c r="I769" s="139" t="str">
        <f>IFERROR(IF($D769="","",VLOOKUP($D769,Cadastro!$C$4:$G$7,5,FALSE)),"")</f>
        <v/>
      </c>
      <c r="J769" s="140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2" t="s">
        <v>241</v>
      </c>
      <c r="B770" s="153"/>
      <c r="C770" s="153"/>
      <c r="D770" s="153"/>
      <c r="E770" s="153">
        <f>SUM(E758:E769)</f>
        <v>0</v>
      </c>
      <c r="F770" s="111"/>
      <c r="G770" s="81">
        <f>SUM(G758:G769)</f>
        <v>0</v>
      </c>
      <c r="H770" s="111">
        <f>IFERROR(SUM(H758:H769),"")</f>
        <v>0</v>
      </c>
      <c r="I770" s="115"/>
      <c r="J770" s="124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3">
        <f>IFERROR(J770,"")</f>
        <v>0</v>
      </c>
    </row>
    <row r="771" spans="1:20" ht="15" customHeight="1">
      <c r="A771" s="69">
        <v>46263</v>
      </c>
      <c r="B771" s="32">
        <v>0.83333333333333304</v>
      </c>
      <c r="C771" s="33"/>
      <c r="D771" s="62"/>
      <c r="E771" s="110"/>
      <c r="F771" s="141" t="str">
        <f>IFERROR(IF($D771="","",VLOOKUP($D771,Cadastro!$C$4:$E$7,3,FALSE)),"")</f>
        <v/>
      </c>
      <c r="G771" s="106"/>
      <c r="H771" s="141" t="str">
        <f>IFERROR(IF($G771="","",$G771*$S$783/$G$783/Cadastro!$E$33),"")</f>
        <v/>
      </c>
      <c r="I771" s="142" t="str">
        <f>IFERROR(IF($D771="","",VLOOKUP($D771,Cadastro!$C$4:$G$7,5,FALSE)),"")</f>
        <v/>
      </c>
      <c r="J771" s="143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8">
        <v>46263</v>
      </c>
      <c r="B772" s="25">
        <f t="shared" ref="B772:B782" si="209">B771+TIME(0,60,0)</f>
        <v>0.87499999999999967</v>
      </c>
      <c r="C772" s="26"/>
      <c r="D772" s="59"/>
      <c r="E772" s="109"/>
      <c r="F772" s="135" t="str">
        <f>IFERROR(IF($D772="","",VLOOKUP($D772,Cadastro!$C$4:$E$7,3,FALSE)),"")</f>
        <v/>
      </c>
      <c r="G772" s="106"/>
      <c r="H772" s="135" t="str">
        <f>IFERROR(IF($G772="","",$G772*$S$783/$G$783/Cadastro!$E$33),"")</f>
        <v/>
      </c>
      <c r="I772" s="136" t="str">
        <f>IFERROR(IF($D772="","",VLOOKUP($D772,Cadastro!$C$4:$G$7,5,FALSE)),"")</f>
        <v/>
      </c>
      <c r="J772" s="137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9">
        <v>46263</v>
      </c>
      <c r="B773" s="32">
        <f t="shared" si="209"/>
        <v>0.9166666666666663</v>
      </c>
      <c r="C773" s="33"/>
      <c r="D773" s="62"/>
      <c r="E773" s="110"/>
      <c r="F773" s="135" t="str">
        <f>IFERROR(IF($D773="","",VLOOKUP($D773,Cadastro!$C$4:$E$7,3,FALSE)),"")</f>
        <v/>
      </c>
      <c r="G773" s="106"/>
      <c r="H773" s="135" t="str">
        <f>IFERROR(IF($G773="","",$G773*$S$783/$G$783/Cadastro!$E$33),"")</f>
        <v/>
      </c>
      <c r="I773" s="136" t="str">
        <f>IFERROR(IF($D773="","",VLOOKUP($D773,Cadastro!$C$4:$G$7,5,FALSE)),"")</f>
        <v/>
      </c>
      <c r="J773" s="137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8">
        <v>46263</v>
      </c>
      <c r="B774" s="25">
        <f t="shared" si="209"/>
        <v>0.95833333333333293</v>
      </c>
      <c r="C774" s="26"/>
      <c r="D774" s="59"/>
      <c r="E774" s="109"/>
      <c r="F774" s="135" t="str">
        <f>IFERROR(IF($D774="","",VLOOKUP($D774,Cadastro!$C$4:$E$7,3,FALSE)),"")</f>
        <v/>
      </c>
      <c r="G774" s="106"/>
      <c r="H774" s="135" t="str">
        <f>IFERROR(IF($G774="","",$G774*$S$783/$G$783/Cadastro!$E$33),"")</f>
        <v/>
      </c>
      <c r="I774" s="136" t="str">
        <f>IFERROR(IF($D774="","",VLOOKUP($D774,Cadastro!$C$4:$G$7,5,FALSE)),"")</f>
        <v/>
      </c>
      <c r="J774" s="137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9">
        <v>46263</v>
      </c>
      <c r="B775" s="32">
        <f t="shared" si="209"/>
        <v>0.99999999999999956</v>
      </c>
      <c r="C775" s="33"/>
      <c r="D775" s="62"/>
      <c r="E775" s="110"/>
      <c r="F775" s="135" t="str">
        <f>IFERROR(IF($D775="","",VLOOKUP($D775,Cadastro!$C$4:$E$7,3,FALSE)),"")</f>
        <v/>
      </c>
      <c r="G775" s="106"/>
      <c r="H775" s="135" t="str">
        <f>IFERROR(IF($G775="","",$G775*$S$783/$G$783/Cadastro!$E$33),"")</f>
        <v/>
      </c>
      <c r="I775" s="136" t="str">
        <f>IFERROR(IF($D775="","",VLOOKUP($D775,Cadastro!$C$4:$G$7,5,FALSE)),"")</f>
        <v/>
      </c>
      <c r="J775" s="137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8">
        <v>46263</v>
      </c>
      <c r="B776" s="25">
        <f t="shared" si="209"/>
        <v>1.0416666666666663</v>
      </c>
      <c r="C776" s="26"/>
      <c r="D776" s="59"/>
      <c r="E776" s="109"/>
      <c r="F776" s="135" t="str">
        <f>IFERROR(IF($D776="","",VLOOKUP($D776,Cadastro!$C$4:$E$7,3,FALSE)),"")</f>
        <v/>
      </c>
      <c r="G776" s="106"/>
      <c r="H776" s="135" t="str">
        <f>IFERROR(IF($G776="","",$G776*$S$783/$G$783/Cadastro!$E$33),"")</f>
        <v/>
      </c>
      <c r="I776" s="136" t="str">
        <f>IFERROR(IF($D776="","",VLOOKUP($D776,Cadastro!$C$4:$G$7,5,FALSE)),"")</f>
        <v/>
      </c>
      <c r="J776" s="137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9">
        <v>46263</v>
      </c>
      <c r="B777" s="32">
        <f t="shared" si="209"/>
        <v>1.083333333333333</v>
      </c>
      <c r="C777" s="33"/>
      <c r="D777" s="62"/>
      <c r="E777" s="110"/>
      <c r="F777" s="135" t="str">
        <f>IFERROR(IF($D777="","",VLOOKUP($D777,Cadastro!$C$4:$E$7,3,FALSE)),"")</f>
        <v/>
      </c>
      <c r="G777" s="106"/>
      <c r="H777" s="135" t="str">
        <f>IFERROR(IF($G777="","",$G777*$S$783/$G$783/Cadastro!$E$33),"")</f>
        <v/>
      </c>
      <c r="I777" s="136" t="str">
        <f>IFERROR(IF($D777="","",VLOOKUP($D777,Cadastro!$C$4:$G$7,5,FALSE)),"")</f>
        <v/>
      </c>
      <c r="J777" s="137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8">
        <v>46263</v>
      </c>
      <c r="B778" s="25">
        <f t="shared" si="209"/>
        <v>1.1249999999999998</v>
      </c>
      <c r="C778" s="26"/>
      <c r="D778" s="59"/>
      <c r="E778" s="109"/>
      <c r="F778" s="135" t="str">
        <f>IFERROR(IF($D778="","",VLOOKUP($D778,Cadastro!$C$4:$E$7,3,FALSE)),"")</f>
        <v/>
      </c>
      <c r="G778" s="106"/>
      <c r="H778" s="135" t="str">
        <f>IFERROR(IF($G778="","",$G778*$S$783/$G$783/Cadastro!$E$33),"")</f>
        <v/>
      </c>
      <c r="I778" s="136" t="str">
        <f>IFERROR(IF($D778="","",VLOOKUP($D778,Cadastro!$C$4:$G$7,5,FALSE)),"")</f>
        <v/>
      </c>
      <c r="J778" s="137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9">
        <v>46263</v>
      </c>
      <c r="B779" s="32">
        <f t="shared" si="209"/>
        <v>1.1666666666666665</v>
      </c>
      <c r="C779" s="33"/>
      <c r="D779" s="62"/>
      <c r="E779" s="110"/>
      <c r="F779" s="135" t="str">
        <f>IFERROR(IF($D779="","",VLOOKUP($D779,Cadastro!$C$4:$E$7,3,FALSE)),"")</f>
        <v/>
      </c>
      <c r="G779" s="106"/>
      <c r="H779" s="135" t="str">
        <f>IFERROR(IF($G779="","",$G779*$S$783/$G$783/Cadastro!$E$33),"")</f>
        <v/>
      </c>
      <c r="I779" s="136" t="str">
        <f>IFERROR(IF($D779="","",VLOOKUP($D779,Cadastro!$C$4:$G$7,5,FALSE)),"")</f>
        <v/>
      </c>
      <c r="J779" s="137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8">
        <v>46263</v>
      </c>
      <c r="B780" s="25">
        <f t="shared" si="209"/>
        <v>1.2083333333333333</v>
      </c>
      <c r="C780" s="26"/>
      <c r="D780" s="59"/>
      <c r="E780" s="109"/>
      <c r="F780" s="135" t="str">
        <f>IFERROR(IF($D780="","",VLOOKUP($D780,Cadastro!$C$4:$E$7,3,FALSE)),"")</f>
        <v/>
      </c>
      <c r="G780" s="106"/>
      <c r="H780" s="135" t="str">
        <f>IFERROR(IF($G780="","",$G780*$S$783/$G$783/Cadastro!$E$33),"")</f>
        <v/>
      </c>
      <c r="I780" s="136" t="str">
        <f>IFERROR(IF($D780="","",VLOOKUP($D780,Cadastro!$C$4:$G$7,5,FALSE)),"")</f>
        <v/>
      </c>
      <c r="J780" s="137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9">
        <v>46263</v>
      </c>
      <c r="B781" s="32">
        <f t="shared" si="209"/>
        <v>1.25</v>
      </c>
      <c r="C781" s="33"/>
      <c r="D781" s="62"/>
      <c r="E781" s="110"/>
      <c r="F781" s="135" t="str">
        <f>IFERROR(IF($D781="","",VLOOKUP($D781,Cadastro!$C$4:$E$7,3,FALSE)),"")</f>
        <v/>
      </c>
      <c r="G781" s="106"/>
      <c r="H781" s="135" t="str">
        <f>IFERROR(IF($G781="","",$G781*$S$783/$G$783/Cadastro!$E$33),"")</f>
        <v/>
      </c>
      <c r="I781" s="136" t="str">
        <f>IFERROR(IF($D781="","",VLOOKUP($D781,Cadastro!$C$4:$G$7,5,FALSE)),"")</f>
        <v/>
      </c>
      <c r="J781" s="137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8">
        <v>46263</v>
      </c>
      <c r="B782" s="25">
        <f t="shared" si="209"/>
        <v>1.2916666666666667</v>
      </c>
      <c r="C782" s="26"/>
      <c r="D782" s="59"/>
      <c r="E782" s="109"/>
      <c r="F782" s="138" t="str">
        <f>IFERROR(IF($D782="","",VLOOKUP($D782,Cadastro!$C$4:$E$7,3,FALSE)),"")</f>
        <v/>
      </c>
      <c r="G782" s="106"/>
      <c r="H782" s="138" t="str">
        <f>IFERROR(IF($G782="","",$G782*$S$783/$G$783/Cadastro!$E$33),"")</f>
        <v/>
      </c>
      <c r="I782" s="139" t="str">
        <f>IFERROR(IF($D782="","",VLOOKUP($D782,Cadastro!$C$4:$G$7,5,FALSE)),"")</f>
        <v/>
      </c>
      <c r="J782" s="140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2" t="s">
        <v>244</v>
      </c>
      <c r="B783" s="153"/>
      <c r="C783" s="153"/>
      <c r="D783" s="153"/>
      <c r="E783" s="153">
        <f>SUM(E771:E782)</f>
        <v>0</v>
      </c>
      <c r="F783" s="112"/>
      <c r="G783" s="81">
        <f>SUM(G771:G782)</f>
        <v>0</v>
      </c>
      <c r="H783" s="112">
        <f>IFERROR(SUM(H771:H782),"")</f>
        <v>0</v>
      </c>
      <c r="I783" s="116"/>
      <c r="J783" s="125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20">
        <f>IFERROR(J783,"")</f>
        <v>0</v>
      </c>
    </row>
    <row r="784" spans="1:20" ht="18" customHeight="1">
      <c r="A784" s="150" t="s">
        <v>245</v>
      </c>
      <c r="B784" s="151"/>
      <c r="C784" s="151"/>
      <c r="D784" s="151"/>
      <c r="E784" s="151">
        <f>E770+E783</f>
        <v>0</v>
      </c>
      <c r="F784" s="113"/>
      <c r="G784" s="92">
        <f>G770+G783</f>
        <v>0</v>
      </c>
      <c r="H784" s="113">
        <f>IFERROR(H770+H783,"")</f>
        <v>0</v>
      </c>
      <c r="I784" s="117"/>
      <c r="J784" s="126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4">
        <f>IFERROR(S770+S783,"")</f>
        <v>0</v>
      </c>
      <c r="T784" s="145">
        <f>IFERROR(J784,"")</f>
        <v>0</v>
      </c>
    </row>
    <row r="785" spans="1:20" ht="15" customHeight="1">
      <c r="A785" s="69">
        <v>46264</v>
      </c>
      <c r="B785" s="32">
        <v>0.33333333333333298</v>
      </c>
      <c r="C785" s="33"/>
      <c r="D785" s="62"/>
      <c r="E785" s="110"/>
      <c r="F785" s="141" t="str">
        <f>IFERROR(IF($D785="","",VLOOKUP($D785,Cadastro!$C$4:$E$7,3,FALSE)),"")</f>
        <v/>
      </c>
      <c r="G785" s="106"/>
      <c r="H785" s="141" t="str">
        <f>IFERROR(IF($G785="","",$G785*$S$797/$G$797/Cadastro!$E$33),"")</f>
        <v/>
      </c>
      <c r="I785" s="142" t="str">
        <f>IFERROR(IF($D785="","",VLOOKUP($D785,Cadastro!$C$4:$G$7,5,FALSE)),"")</f>
        <v/>
      </c>
      <c r="J785" s="143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8">
        <v>46264</v>
      </c>
      <c r="B786" s="25">
        <f t="shared" ref="B786:B796" si="212">B785+TIME(0,60,0)</f>
        <v>0.37499999999999967</v>
      </c>
      <c r="C786" s="26"/>
      <c r="D786" s="59"/>
      <c r="E786" s="109"/>
      <c r="F786" s="135" t="str">
        <f>IFERROR(IF($D786="","",VLOOKUP($D786,Cadastro!$C$4:$E$7,3,FALSE)),"")</f>
        <v/>
      </c>
      <c r="G786" s="106"/>
      <c r="H786" s="135" t="str">
        <f>IFERROR(IF($G786="","",$G786*$S$797/$G$797/Cadastro!$E$33),"")</f>
        <v/>
      </c>
      <c r="I786" s="136" t="str">
        <f>IFERROR(IF($D786="","",VLOOKUP($D786,Cadastro!$C$4:$G$7,5,FALSE)),"")</f>
        <v/>
      </c>
      <c r="J786" s="137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9">
        <v>46264</v>
      </c>
      <c r="B787" s="32">
        <f t="shared" si="212"/>
        <v>0.41666666666666635</v>
      </c>
      <c r="C787" s="33"/>
      <c r="D787" s="62"/>
      <c r="E787" s="110"/>
      <c r="F787" s="135" t="str">
        <f>IFERROR(IF($D787="","",VLOOKUP($D787,Cadastro!$C$4:$E$7,3,FALSE)),"")</f>
        <v/>
      </c>
      <c r="G787" s="106"/>
      <c r="H787" s="135" t="str">
        <f>IFERROR(IF($G787="","",$G787*$S$797/$G$797/Cadastro!$E$33),"")</f>
        <v/>
      </c>
      <c r="I787" s="136" t="str">
        <f>IFERROR(IF($D787="","",VLOOKUP($D787,Cadastro!$C$4:$G$7,5,FALSE)),"")</f>
        <v/>
      </c>
      <c r="J787" s="137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8">
        <v>46264</v>
      </c>
      <c r="B788" s="25">
        <f t="shared" si="212"/>
        <v>0.45833333333333304</v>
      </c>
      <c r="C788" s="26"/>
      <c r="D788" s="59"/>
      <c r="E788" s="109"/>
      <c r="F788" s="135" t="str">
        <f>IFERROR(IF($D788="","",VLOOKUP($D788,Cadastro!$C$4:$E$7,3,FALSE)),"")</f>
        <v/>
      </c>
      <c r="G788" s="106"/>
      <c r="H788" s="135" t="str">
        <f>IFERROR(IF($G788="","",$G788*$S$797/$G$797/Cadastro!$E$33),"")</f>
        <v/>
      </c>
      <c r="I788" s="136" t="str">
        <f>IFERROR(IF($D788="","",VLOOKUP($D788,Cadastro!$C$4:$G$7,5,FALSE)),"")</f>
        <v/>
      </c>
      <c r="J788" s="137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9">
        <v>46264</v>
      </c>
      <c r="B789" s="32">
        <f t="shared" si="212"/>
        <v>0.49999999999999972</v>
      </c>
      <c r="C789" s="33"/>
      <c r="D789" s="62"/>
      <c r="E789" s="110"/>
      <c r="F789" s="135" t="str">
        <f>IFERROR(IF($D789="","",VLOOKUP($D789,Cadastro!$C$4:$E$7,3,FALSE)),"")</f>
        <v/>
      </c>
      <c r="G789" s="106"/>
      <c r="H789" s="135" t="str">
        <f>IFERROR(IF($G789="","",$G789*$S$797/$G$797/Cadastro!$E$33),"")</f>
        <v/>
      </c>
      <c r="I789" s="136" t="str">
        <f>IFERROR(IF($D789="","",VLOOKUP($D789,Cadastro!$C$4:$G$7,5,FALSE)),"")</f>
        <v/>
      </c>
      <c r="J789" s="137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8">
        <v>46264</v>
      </c>
      <c r="B790" s="25">
        <f t="shared" si="212"/>
        <v>0.54166666666666641</v>
      </c>
      <c r="C790" s="26"/>
      <c r="D790" s="59"/>
      <c r="E790" s="109"/>
      <c r="F790" s="135" t="str">
        <f>IFERROR(IF($D790="","",VLOOKUP($D790,Cadastro!$C$4:$E$7,3,FALSE)),"")</f>
        <v/>
      </c>
      <c r="G790" s="106"/>
      <c r="H790" s="135" t="str">
        <f>IFERROR(IF($G790="","",$G790*$S$797/$G$797/Cadastro!$E$33),"")</f>
        <v/>
      </c>
      <c r="I790" s="136" t="str">
        <f>IFERROR(IF($D790="","",VLOOKUP($D790,Cadastro!$C$4:$G$7,5,FALSE)),"")</f>
        <v/>
      </c>
      <c r="J790" s="137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9">
        <v>46264</v>
      </c>
      <c r="B791" s="32">
        <f t="shared" si="212"/>
        <v>0.58333333333333304</v>
      </c>
      <c r="C791" s="33"/>
      <c r="D791" s="62"/>
      <c r="E791" s="110"/>
      <c r="F791" s="135" t="str">
        <f>IFERROR(IF($D791="","",VLOOKUP($D791,Cadastro!$C$4:$E$7,3,FALSE)),"")</f>
        <v/>
      </c>
      <c r="G791" s="106"/>
      <c r="H791" s="135" t="str">
        <f>IFERROR(IF($G791="","",$G791*$S$797/$G$797/Cadastro!$E$33),"")</f>
        <v/>
      </c>
      <c r="I791" s="136" t="str">
        <f>IFERROR(IF($D791="","",VLOOKUP($D791,Cadastro!$C$4:$G$7,5,FALSE)),"")</f>
        <v/>
      </c>
      <c r="J791" s="137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8">
        <v>46264</v>
      </c>
      <c r="B792" s="25">
        <f t="shared" si="212"/>
        <v>0.62499999999999967</v>
      </c>
      <c r="C792" s="26"/>
      <c r="D792" s="59"/>
      <c r="E792" s="109"/>
      <c r="F792" s="135" t="str">
        <f>IFERROR(IF($D792="","",VLOOKUP($D792,Cadastro!$C$4:$E$7,3,FALSE)),"")</f>
        <v/>
      </c>
      <c r="G792" s="106"/>
      <c r="H792" s="135" t="str">
        <f>IFERROR(IF($G792="","",$G792*$S$797/$G$797/Cadastro!$E$33),"")</f>
        <v/>
      </c>
      <c r="I792" s="136" t="str">
        <f>IFERROR(IF($D792="","",VLOOKUP($D792,Cadastro!$C$4:$G$7,5,FALSE)),"")</f>
        <v/>
      </c>
      <c r="J792" s="137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9">
        <v>46264</v>
      </c>
      <c r="B793" s="32">
        <f t="shared" si="212"/>
        <v>0.6666666666666663</v>
      </c>
      <c r="C793" s="33"/>
      <c r="D793" s="62"/>
      <c r="E793" s="110"/>
      <c r="F793" s="135" t="str">
        <f>IFERROR(IF($D793="","",VLOOKUP($D793,Cadastro!$C$4:$E$7,3,FALSE)),"")</f>
        <v/>
      </c>
      <c r="G793" s="106"/>
      <c r="H793" s="135" t="str">
        <f>IFERROR(IF($G793="","",$G793*$S$797/$G$797/Cadastro!$E$33),"")</f>
        <v/>
      </c>
      <c r="I793" s="136" t="str">
        <f>IFERROR(IF($D793="","",VLOOKUP($D793,Cadastro!$C$4:$G$7,5,FALSE)),"")</f>
        <v/>
      </c>
      <c r="J793" s="137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8">
        <v>46264</v>
      </c>
      <c r="B794" s="25">
        <f t="shared" si="212"/>
        <v>0.70833333333333293</v>
      </c>
      <c r="C794" s="26"/>
      <c r="D794" s="59"/>
      <c r="E794" s="109"/>
      <c r="F794" s="135" t="str">
        <f>IFERROR(IF($D794="","",VLOOKUP($D794,Cadastro!$C$4:$E$7,3,FALSE)),"")</f>
        <v/>
      </c>
      <c r="G794" s="106"/>
      <c r="H794" s="135" t="str">
        <f>IFERROR(IF($G794="","",$G794*$S$797/$G$797/Cadastro!$E$33),"")</f>
        <v/>
      </c>
      <c r="I794" s="136" t="str">
        <f>IFERROR(IF($D794="","",VLOOKUP($D794,Cadastro!$C$4:$G$7,5,FALSE)),"")</f>
        <v/>
      </c>
      <c r="J794" s="137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9">
        <v>46264</v>
      </c>
      <c r="B795" s="32">
        <f t="shared" si="212"/>
        <v>0.74999999999999956</v>
      </c>
      <c r="C795" s="33"/>
      <c r="D795" s="62"/>
      <c r="E795" s="110"/>
      <c r="F795" s="135" t="str">
        <f>IFERROR(IF($D795="","",VLOOKUP($D795,Cadastro!$C$4:$E$7,3,FALSE)),"")</f>
        <v/>
      </c>
      <c r="G795" s="106"/>
      <c r="H795" s="135" t="str">
        <f>IFERROR(IF($G795="","",$G795*$S$797/$G$797/Cadastro!$E$33),"")</f>
        <v/>
      </c>
      <c r="I795" s="136" t="str">
        <f>IFERROR(IF($D795="","",VLOOKUP($D795,Cadastro!$C$4:$G$7,5,FALSE)),"")</f>
        <v/>
      </c>
      <c r="J795" s="137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8">
        <v>46264</v>
      </c>
      <c r="B796" s="25">
        <f t="shared" si="212"/>
        <v>0.79166666666666619</v>
      </c>
      <c r="C796" s="26"/>
      <c r="D796" s="59"/>
      <c r="E796" s="109"/>
      <c r="F796" s="138" t="str">
        <f>IFERROR(IF($D796="","",VLOOKUP($D796,Cadastro!$C$4:$E$7,3,FALSE)),"")</f>
        <v/>
      </c>
      <c r="G796" s="106"/>
      <c r="H796" s="138" t="str">
        <f>IFERROR(IF($G796="","",$G796*$S$797/$G$797/Cadastro!$E$33),"")</f>
        <v/>
      </c>
      <c r="I796" s="139" t="str">
        <f>IFERROR(IF($D796="","",VLOOKUP($D796,Cadastro!$C$4:$G$7,5,FALSE)),"")</f>
        <v/>
      </c>
      <c r="J796" s="140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2" t="s">
        <v>241</v>
      </c>
      <c r="B797" s="153"/>
      <c r="C797" s="153"/>
      <c r="D797" s="153"/>
      <c r="E797" s="153">
        <f>SUM(E785:E796)</f>
        <v>0</v>
      </c>
      <c r="F797" s="111"/>
      <c r="G797" s="81">
        <f>SUM(G785:G796)</f>
        <v>0</v>
      </c>
      <c r="H797" s="111">
        <f>IFERROR(SUM(H785:H796),"")</f>
        <v>0</v>
      </c>
      <c r="I797" s="115"/>
      <c r="J797" s="124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3">
        <f>IFERROR(J797,"")</f>
        <v>0</v>
      </c>
    </row>
    <row r="798" spans="1:20" ht="15" customHeight="1">
      <c r="A798" s="68">
        <v>46264</v>
      </c>
      <c r="B798" s="25">
        <v>0.83333333333333304</v>
      </c>
      <c r="C798" s="26"/>
      <c r="D798" s="59"/>
      <c r="E798" s="109"/>
      <c r="F798" s="141" t="str">
        <f>IFERROR(IF($D798="","",VLOOKUP($D798,Cadastro!$C$4:$E$7,3,FALSE)),"")</f>
        <v/>
      </c>
      <c r="G798" s="106"/>
      <c r="H798" s="141" t="str">
        <f>IFERROR(IF($G798="","",$G798*$S$810/$G$810/Cadastro!$E$33),"")</f>
        <v/>
      </c>
      <c r="I798" s="142" t="str">
        <f>IFERROR(IF($D798="","",VLOOKUP($D798,Cadastro!$C$4:$G$7,5,FALSE)),"")</f>
        <v/>
      </c>
      <c r="J798" s="143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9">
        <v>46264</v>
      </c>
      <c r="B799" s="32">
        <f t="shared" ref="B799:B809" si="215">B798+TIME(0,60,0)</f>
        <v>0.87499999999999967</v>
      </c>
      <c r="C799" s="33"/>
      <c r="D799" s="62"/>
      <c r="E799" s="110"/>
      <c r="F799" s="135" t="str">
        <f>IFERROR(IF($D799="","",VLOOKUP($D799,Cadastro!$C$4:$E$7,3,FALSE)),"")</f>
        <v/>
      </c>
      <c r="G799" s="106"/>
      <c r="H799" s="135" t="str">
        <f>IFERROR(IF($G799="","",$G799*$S$810/$G$810/Cadastro!$E$33),"")</f>
        <v/>
      </c>
      <c r="I799" s="136" t="str">
        <f>IFERROR(IF($D799="","",VLOOKUP($D799,Cadastro!$C$4:$G$7,5,FALSE)),"")</f>
        <v/>
      </c>
      <c r="J799" s="137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8">
        <v>46264</v>
      </c>
      <c r="B800" s="25">
        <f t="shared" si="215"/>
        <v>0.9166666666666663</v>
      </c>
      <c r="C800" s="26"/>
      <c r="D800" s="59"/>
      <c r="E800" s="109"/>
      <c r="F800" s="135" t="str">
        <f>IFERROR(IF($D800="","",VLOOKUP($D800,Cadastro!$C$4:$E$7,3,FALSE)),"")</f>
        <v/>
      </c>
      <c r="G800" s="106"/>
      <c r="H800" s="135" t="str">
        <f>IFERROR(IF($G800="","",$G800*$S$810/$G$810/Cadastro!$E$33),"")</f>
        <v/>
      </c>
      <c r="I800" s="136" t="str">
        <f>IFERROR(IF($D800="","",VLOOKUP($D800,Cadastro!$C$4:$G$7,5,FALSE)),"")</f>
        <v/>
      </c>
      <c r="J800" s="137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9">
        <v>46264</v>
      </c>
      <c r="B801" s="32">
        <f t="shared" si="215"/>
        <v>0.95833333333333293</v>
      </c>
      <c r="C801" s="33"/>
      <c r="D801" s="62"/>
      <c r="E801" s="110"/>
      <c r="F801" s="135" t="str">
        <f>IFERROR(IF($D801="","",VLOOKUP($D801,Cadastro!$C$4:$E$7,3,FALSE)),"")</f>
        <v/>
      </c>
      <c r="G801" s="106"/>
      <c r="H801" s="135" t="str">
        <f>IFERROR(IF($G801="","",$G801*$S$810/$G$810/Cadastro!$E$33),"")</f>
        <v/>
      </c>
      <c r="I801" s="136" t="str">
        <f>IFERROR(IF($D801="","",VLOOKUP($D801,Cadastro!$C$4:$G$7,5,FALSE)),"")</f>
        <v/>
      </c>
      <c r="J801" s="137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8">
        <v>46264</v>
      </c>
      <c r="B802" s="25">
        <f t="shared" si="215"/>
        <v>0.99999999999999956</v>
      </c>
      <c r="C802" s="26"/>
      <c r="D802" s="59"/>
      <c r="E802" s="109"/>
      <c r="F802" s="135" t="str">
        <f>IFERROR(IF($D802="","",VLOOKUP($D802,Cadastro!$C$4:$E$7,3,FALSE)),"")</f>
        <v/>
      </c>
      <c r="G802" s="106"/>
      <c r="H802" s="135" t="str">
        <f>IFERROR(IF($G802="","",$G802*$S$810/$G$810/Cadastro!$E$33),"")</f>
        <v/>
      </c>
      <c r="I802" s="136" t="str">
        <f>IFERROR(IF($D802="","",VLOOKUP($D802,Cadastro!$C$4:$G$7,5,FALSE)),"")</f>
        <v/>
      </c>
      <c r="J802" s="137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9">
        <v>46264</v>
      </c>
      <c r="B803" s="32">
        <f t="shared" si="215"/>
        <v>1.0416666666666663</v>
      </c>
      <c r="C803" s="33"/>
      <c r="D803" s="62"/>
      <c r="E803" s="110"/>
      <c r="F803" s="135" t="str">
        <f>IFERROR(IF($D803="","",VLOOKUP($D803,Cadastro!$C$4:$E$7,3,FALSE)),"")</f>
        <v/>
      </c>
      <c r="G803" s="106"/>
      <c r="H803" s="135" t="str">
        <f>IFERROR(IF($G803="","",$G803*$S$810/$G$810/Cadastro!$E$33),"")</f>
        <v/>
      </c>
      <c r="I803" s="136" t="str">
        <f>IFERROR(IF($D803="","",VLOOKUP($D803,Cadastro!$C$4:$G$7,5,FALSE)),"")</f>
        <v/>
      </c>
      <c r="J803" s="137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8">
        <v>46264</v>
      </c>
      <c r="B804" s="25">
        <f t="shared" si="215"/>
        <v>1.083333333333333</v>
      </c>
      <c r="C804" s="26"/>
      <c r="D804" s="59"/>
      <c r="E804" s="109"/>
      <c r="F804" s="135" t="str">
        <f>IFERROR(IF($D804="","",VLOOKUP($D804,Cadastro!$C$4:$E$7,3,FALSE)),"")</f>
        <v/>
      </c>
      <c r="G804" s="106"/>
      <c r="H804" s="135" t="str">
        <f>IFERROR(IF($G804="","",$G804*$S$810/$G$810/Cadastro!$E$33),"")</f>
        <v/>
      </c>
      <c r="I804" s="136" t="str">
        <f>IFERROR(IF($D804="","",VLOOKUP($D804,Cadastro!$C$4:$G$7,5,FALSE)),"")</f>
        <v/>
      </c>
      <c r="J804" s="137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9">
        <v>46264</v>
      </c>
      <c r="B805" s="32">
        <f t="shared" si="215"/>
        <v>1.1249999999999998</v>
      </c>
      <c r="C805" s="33"/>
      <c r="D805" s="62"/>
      <c r="E805" s="110"/>
      <c r="F805" s="135" t="str">
        <f>IFERROR(IF($D805="","",VLOOKUP($D805,Cadastro!$C$4:$E$7,3,FALSE)),"")</f>
        <v/>
      </c>
      <c r="G805" s="106"/>
      <c r="H805" s="135" t="str">
        <f>IFERROR(IF($G805="","",$G805*$S$810/$G$810/Cadastro!$E$33),"")</f>
        <v/>
      </c>
      <c r="I805" s="136" t="str">
        <f>IFERROR(IF($D805="","",VLOOKUP($D805,Cadastro!$C$4:$G$7,5,FALSE)),"")</f>
        <v/>
      </c>
      <c r="J805" s="137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8">
        <v>46264</v>
      </c>
      <c r="B806" s="25">
        <f t="shared" si="215"/>
        <v>1.1666666666666665</v>
      </c>
      <c r="C806" s="26"/>
      <c r="D806" s="59"/>
      <c r="E806" s="109"/>
      <c r="F806" s="135" t="str">
        <f>IFERROR(IF($D806="","",VLOOKUP($D806,Cadastro!$C$4:$E$7,3,FALSE)),"")</f>
        <v/>
      </c>
      <c r="G806" s="106"/>
      <c r="H806" s="135" t="str">
        <f>IFERROR(IF($G806="","",$G806*$S$810/$G$810/Cadastro!$E$33),"")</f>
        <v/>
      </c>
      <c r="I806" s="136" t="str">
        <f>IFERROR(IF($D806="","",VLOOKUP($D806,Cadastro!$C$4:$G$7,5,FALSE)),"")</f>
        <v/>
      </c>
      <c r="J806" s="137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9">
        <v>46264</v>
      </c>
      <c r="B807" s="32">
        <f t="shared" si="215"/>
        <v>1.2083333333333333</v>
      </c>
      <c r="C807" s="33"/>
      <c r="D807" s="62"/>
      <c r="E807" s="110"/>
      <c r="F807" s="135" t="str">
        <f>IFERROR(IF($D807="","",VLOOKUP($D807,Cadastro!$C$4:$E$7,3,FALSE)),"")</f>
        <v/>
      </c>
      <c r="G807" s="106"/>
      <c r="H807" s="135" t="str">
        <f>IFERROR(IF($G807="","",$G807*$S$810/$G$810/Cadastro!$E$33),"")</f>
        <v/>
      </c>
      <c r="I807" s="136" t="str">
        <f>IFERROR(IF($D807="","",VLOOKUP($D807,Cadastro!$C$4:$G$7,5,FALSE)),"")</f>
        <v/>
      </c>
      <c r="J807" s="137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8">
        <v>46264</v>
      </c>
      <c r="B808" s="25">
        <f t="shared" si="215"/>
        <v>1.25</v>
      </c>
      <c r="C808" s="26"/>
      <c r="D808" s="59"/>
      <c r="E808" s="109"/>
      <c r="F808" s="135" t="str">
        <f>IFERROR(IF($D808="","",VLOOKUP($D808,Cadastro!$C$4:$E$7,3,FALSE)),"")</f>
        <v/>
      </c>
      <c r="G808" s="106"/>
      <c r="H808" s="135" t="str">
        <f>IFERROR(IF($G808="","",$G808*$S$810/$G$810/Cadastro!$E$33),"")</f>
        <v/>
      </c>
      <c r="I808" s="136" t="str">
        <f>IFERROR(IF($D808="","",VLOOKUP($D808,Cadastro!$C$4:$G$7,5,FALSE)),"")</f>
        <v/>
      </c>
      <c r="J808" s="137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9">
        <v>46264</v>
      </c>
      <c r="B809" s="32">
        <f t="shared" si="215"/>
        <v>1.2916666666666667</v>
      </c>
      <c r="C809" s="33"/>
      <c r="D809" s="62"/>
      <c r="E809" s="110"/>
      <c r="F809" s="138" t="str">
        <f>IFERROR(IF($D809="","",VLOOKUP($D809,Cadastro!$C$4:$E$7,3,FALSE)),"")</f>
        <v/>
      </c>
      <c r="G809" s="106"/>
      <c r="H809" s="138" t="str">
        <f>IFERROR(IF($G809="","",$G809*$S$810/$G$810/Cadastro!$E$33),"")</f>
        <v/>
      </c>
      <c r="I809" s="139" t="str">
        <f>IFERROR(IF($D809="","",VLOOKUP($D809,Cadastro!$C$4:$G$7,5,FALSE)),"")</f>
        <v/>
      </c>
      <c r="J809" s="140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2" t="s">
        <v>244</v>
      </c>
      <c r="B810" s="153"/>
      <c r="C810" s="153"/>
      <c r="D810" s="153"/>
      <c r="E810" s="153">
        <f>SUM(E798:E809)</f>
        <v>0</v>
      </c>
      <c r="F810" s="112"/>
      <c r="G810" s="81">
        <f>SUM(G798:G809)</f>
        <v>0</v>
      </c>
      <c r="H810" s="112">
        <f>IFERROR(SUM(H798:H809),"")</f>
        <v>0</v>
      </c>
      <c r="I810" s="116"/>
      <c r="J810" s="125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20">
        <f>IFERROR(J810,"")</f>
        <v>0</v>
      </c>
    </row>
    <row r="811" spans="1:20" ht="18" customHeight="1">
      <c r="A811" s="150" t="s">
        <v>245</v>
      </c>
      <c r="B811" s="151"/>
      <c r="C811" s="151"/>
      <c r="D811" s="151"/>
      <c r="E811" s="151">
        <f>E797+E810</f>
        <v>0</v>
      </c>
      <c r="F811" s="113"/>
      <c r="G811" s="92">
        <f>G797+G810</f>
        <v>0</v>
      </c>
      <c r="H811" s="113">
        <f>IFERROR(H797+H810,"")</f>
        <v>0</v>
      </c>
      <c r="I811" s="117"/>
      <c r="J811" s="126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8">
        <f>IFERROR(J811,"")</f>
        <v>0</v>
      </c>
    </row>
    <row r="812" spans="1:20" ht="15" customHeight="1">
      <c r="A812" s="68">
        <v>46265</v>
      </c>
      <c r="B812" s="25">
        <v>0.33333333333333298</v>
      </c>
      <c r="C812" s="26"/>
      <c r="D812" s="59"/>
      <c r="E812" s="109"/>
      <c r="F812" s="141" t="str">
        <f>IFERROR(IF($D812="","",VLOOKUP($D812,Cadastro!$C$4:$E$7,3,FALSE)),"")</f>
        <v/>
      </c>
      <c r="G812" s="106"/>
      <c r="H812" s="141" t="str">
        <f>IFERROR(IF($G812="","",$G812*$S$824/$G$824/Cadastro!$E$33),"")</f>
        <v/>
      </c>
      <c r="I812" s="142" t="str">
        <f>IFERROR(IF($D812="","",VLOOKUP($D812,Cadastro!$C$4:$G$7,5,FALSE)),"")</f>
        <v/>
      </c>
      <c r="J812" s="143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9">
        <v>46265</v>
      </c>
      <c r="B813" s="32">
        <f t="shared" ref="B813:B823" si="220">B812+TIME(0,60,0)</f>
        <v>0.37499999999999967</v>
      </c>
      <c r="C813" s="26"/>
      <c r="D813" s="59"/>
      <c r="E813" s="109"/>
      <c r="F813" s="135" t="str">
        <f>IFERROR(IF($D813="","",VLOOKUP($D813,Cadastro!$C$4:$E$7,3,FALSE)),"")</f>
        <v/>
      </c>
      <c r="G813" s="106"/>
      <c r="H813" s="135" t="str">
        <f>IFERROR(IF($G813="","",$G813*$S$824/$G$824/Cadastro!$E$33),"")</f>
        <v/>
      </c>
      <c r="I813" s="136" t="str">
        <f>IFERROR(IF($D813="","",VLOOKUP($D813,Cadastro!$C$4:$G$7,5,FALSE)),"")</f>
        <v/>
      </c>
      <c r="J813" s="137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8">
        <v>46265</v>
      </c>
      <c r="B814" s="25">
        <f t="shared" si="220"/>
        <v>0.41666666666666635</v>
      </c>
      <c r="C814" s="26"/>
      <c r="D814" s="59"/>
      <c r="E814" s="109"/>
      <c r="F814" s="135" t="str">
        <f>IFERROR(IF($D814="","",VLOOKUP($D814,Cadastro!$C$4:$E$7,3,FALSE)),"")</f>
        <v/>
      </c>
      <c r="G814" s="106"/>
      <c r="H814" s="135" t="str">
        <f>IFERROR(IF($G814="","",$G814*$S$824/$G$824/Cadastro!$E$33),"")</f>
        <v/>
      </c>
      <c r="I814" s="136" t="str">
        <f>IFERROR(IF($D814="","",VLOOKUP($D814,Cadastro!$C$4:$G$7,5,FALSE)),"")</f>
        <v/>
      </c>
      <c r="J814" s="137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9">
        <v>46265</v>
      </c>
      <c r="B815" s="32">
        <f t="shared" si="220"/>
        <v>0.45833333333333304</v>
      </c>
      <c r="C815" s="26"/>
      <c r="D815" s="59"/>
      <c r="E815" s="109"/>
      <c r="F815" s="135" t="str">
        <f>IFERROR(IF($D815="","",VLOOKUP($D815,Cadastro!$C$4:$E$7,3,FALSE)),"")</f>
        <v/>
      </c>
      <c r="G815" s="106"/>
      <c r="H815" s="135" t="str">
        <f>IFERROR(IF($G815="","",$G815*$S$824/$G$824/Cadastro!$E$33),"")</f>
        <v/>
      </c>
      <c r="I815" s="136" t="str">
        <f>IFERROR(IF($D815="","",VLOOKUP($D815,Cadastro!$C$4:$G$7,5,FALSE)),"")</f>
        <v/>
      </c>
      <c r="J815" s="137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8">
        <v>46265</v>
      </c>
      <c r="B816" s="25">
        <f t="shared" si="220"/>
        <v>0.49999999999999972</v>
      </c>
      <c r="C816" s="26"/>
      <c r="D816" s="59"/>
      <c r="E816" s="109"/>
      <c r="F816" s="135" t="str">
        <f>IFERROR(IF($D816="","",VLOOKUP($D816,Cadastro!$C$4:$E$7,3,FALSE)),"")</f>
        <v/>
      </c>
      <c r="G816" s="106"/>
      <c r="H816" s="135" t="str">
        <f>IFERROR(IF($G816="","",$G816*$S$824/$G$824/Cadastro!$E$33),"")</f>
        <v/>
      </c>
      <c r="I816" s="136" t="str">
        <f>IFERROR(IF($D816="","",VLOOKUP($D816,Cadastro!$C$4:$G$7,5,FALSE)),"")</f>
        <v/>
      </c>
      <c r="J816" s="137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9">
        <v>46265</v>
      </c>
      <c r="B817" s="32">
        <f t="shared" si="220"/>
        <v>0.54166666666666641</v>
      </c>
      <c r="C817" s="26"/>
      <c r="D817" s="59"/>
      <c r="E817" s="109"/>
      <c r="F817" s="135" t="str">
        <f>IFERROR(IF($D817="","",VLOOKUP($D817,Cadastro!$C$4:$E$7,3,FALSE)),"")</f>
        <v/>
      </c>
      <c r="G817" s="106"/>
      <c r="H817" s="135" t="str">
        <f>IFERROR(IF($G817="","",$G817*$S$824/$G$824/Cadastro!$E$33),"")</f>
        <v/>
      </c>
      <c r="I817" s="136" t="str">
        <f>IFERROR(IF($D817="","",VLOOKUP($D817,Cadastro!$C$4:$G$7,5,FALSE)),"")</f>
        <v/>
      </c>
      <c r="J817" s="137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8">
        <v>46265</v>
      </c>
      <c r="B818" s="25">
        <f t="shared" si="220"/>
        <v>0.58333333333333304</v>
      </c>
      <c r="C818" s="26"/>
      <c r="D818" s="59"/>
      <c r="E818" s="109"/>
      <c r="F818" s="135" t="str">
        <f>IFERROR(IF($D818="","",VLOOKUP($D818,Cadastro!$C$4:$E$7,3,FALSE)),"")</f>
        <v/>
      </c>
      <c r="G818" s="106"/>
      <c r="H818" s="135" t="str">
        <f>IFERROR(IF($G818="","",$G818*$S$824/$G$824/Cadastro!$E$33),"")</f>
        <v/>
      </c>
      <c r="I818" s="136" t="str">
        <f>IFERROR(IF($D818="","",VLOOKUP($D818,Cadastro!$C$4:$G$7,5,FALSE)),"")</f>
        <v/>
      </c>
      <c r="J818" s="137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9">
        <v>46265</v>
      </c>
      <c r="B819" s="32">
        <f t="shared" si="220"/>
        <v>0.62499999999999967</v>
      </c>
      <c r="C819" s="26"/>
      <c r="D819" s="59"/>
      <c r="E819" s="109"/>
      <c r="F819" s="135" t="str">
        <f>IFERROR(IF($D819="","",VLOOKUP($D819,Cadastro!$C$4:$E$7,3,FALSE)),"")</f>
        <v/>
      </c>
      <c r="G819" s="106"/>
      <c r="H819" s="135" t="str">
        <f>IFERROR(IF($G819="","",$G819*$S$824/$G$824/Cadastro!$E$33),"")</f>
        <v/>
      </c>
      <c r="I819" s="136" t="str">
        <f>IFERROR(IF($D819="","",VLOOKUP($D819,Cadastro!$C$4:$G$7,5,FALSE)),"")</f>
        <v/>
      </c>
      <c r="J819" s="137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8">
        <v>46265</v>
      </c>
      <c r="B820" s="25">
        <f t="shared" si="220"/>
        <v>0.6666666666666663</v>
      </c>
      <c r="C820" s="26"/>
      <c r="D820" s="59"/>
      <c r="E820" s="109"/>
      <c r="F820" s="135" t="str">
        <f>IFERROR(IF($D820="","",VLOOKUP($D820,Cadastro!$C$4:$E$7,3,FALSE)),"")</f>
        <v/>
      </c>
      <c r="G820" s="106"/>
      <c r="H820" s="135" t="str">
        <f>IFERROR(IF($G820="","",$G820*$S$824/$G$824/Cadastro!$E$33),"")</f>
        <v/>
      </c>
      <c r="I820" s="136" t="str">
        <f>IFERROR(IF($D820="","",VLOOKUP($D820,Cadastro!$C$4:$G$7,5,FALSE)),"")</f>
        <v/>
      </c>
      <c r="J820" s="137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9">
        <v>46265</v>
      </c>
      <c r="B821" s="32">
        <f t="shared" si="220"/>
        <v>0.70833333333333293</v>
      </c>
      <c r="C821" s="26"/>
      <c r="D821" s="59"/>
      <c r="E821" s="109"/>
      <c r="F821" s="135" t="str">
        <f>IFERROR(IF($D821="","",VLOOKUP($D821,Cadastro!$C$4:$E$7,3,FALSE)),"")</f>
        <v/>
      </c>
      <c r="G821" s="106"/>
      <c r="H821" s="135" t="str">
        <f>IFERROR(IF($G821="","",$G821*$S$824/$G$824/Cadastro!$E$33),"")</f>
        <v/>
      </c>
      <c r="I821" s="136" t="str">
        <f>IFERROR(IF($D821="","",VLOOKUP($D821,Cadastro!$C$4:$G$7,5,FALSE)),"")</f>
        <v/>
      </c>
      <c r="J821" s="137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8">
        <v>46265</v>
      </c>
      <c r="B822" s="25">
        <f t="shared" si="220"/>
        <v>0.74999999999999956</v>
      </c>
      <c r="C822" s="26"/>
      <c r="D822" s="59"/>
      <c r="E822" s="109"/>
      <c r="F822" s="135" t="str">
        <f>IFERROR(IF($D822="","",VLOOKUP($D822,Cadastro!$C$4:$E$7,3,FALSE)),"")</f>
        <v/>
      </c>
      <c r="G822" s="106"/>
      <c r="H822" s="135" t="str">
        <f>IFERROR(IF($G822="","",$G822*$S$824/$G$824/Cadastro!$E$33),"")</f>
        <v/>
      </c>
      <c r="I822" s="136" t="str">
        <f>IFERROR(IF($D822="","",VLOOKUP($D822,Cadastro!$C$4:$G$7,5,FALSE)),"")</f>
        <v/>
      </c>
      <c r="J822" s="137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9">
        <v>46265</v>
      </c>
      <c r="B823" s="32">
        <f t="shared" si="220"/>
        <v>0.79166666666666619</v>
      </c>
      <c r="C823" s="26"/>
      <c r="D823" s="59"/>
      <c r="E823" s="109"/>
      <c r="F823" s="138" t="str">
        <f>IFERROR(IF($D823="","",VLOOKUP($D823,Cadastro!$C$4:$E$7,3,FALSE)),"")</f>
        <v/>
      </c>
      <c r="G823" s="106"/>
      <c r="H823" s="138" t="str">
        <f>IFERROR(IF($G823="","",$G823*$S$824/$G$824/Cadastro!$E$33),"")</f>
        <v/>
      </c>
      <c r="I823" s="139" t="str">
        <f>IFERROR(IF($D823="","",VLOOKUP($D823,Cadastro!$C$4:$G$7,5,FALSE)),"")</f>
        <v/>
      </c>
      <c r="J823" s="140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2" t="s">
        <v>241</v>
      </c>
      <c r="B824" s="153"/>
      <c r="C824" s="153"/>
      <c r="D824" s="153"/>
      <c r="E824" s="153">
        <f>SUM(E812:E823)</f>
        <v>0</v>
      </c>
      <c r="F824" s="111"/>
      <c r="G824" s="81">
        <f>SUM(G812:G823)</f>
        <v>0</v>
      </c>
      <c r="H824" s="111">
        <f>IFERROR(SUM(H812:H823),"")</f>
        <v>0</v>
      </c>
      <c r="I824" s="115"/>
      <c r="J824" s="124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6"/>
      <c r="T824" s="118">
        <f>IFERROR(J824,"")</f>
        <v>0</v>
      </c>
    </row>
    <row r="825" spans="1:20" ht="15" customHeight="1">
      <c r="A825" s="69">
        <v>46265</v>
      </c>
      <c r="B825" s="32">
        <v>0.83333333333333304</v>
      </c>
      <c r="C825" s="33"/>
      <c r="D825" s="62"/>
      <c r="E825" s="110"/>
      <c r="F825" s="141" t="str">
        <f>IFERROR(IF($D825="","",VLOOKUP($D825,Cadastro!$C$4:$E$7,3,FALSE)),"")</f>
        <v/>
      </c>
      <c r="G825" s="106"/>
      <c r="H825" s="141" t="str">
        <f>IFERROR(IF($G825="","",$G825*$S$837/$G$837/Cadastro!$E$33),"")</f>
        <v/>
      </c>
      <c r="I825" s="142" t="str">
        <f>IFERROR(IF($D825="","",VLOOKUP($D825,Cadastro!$C$4:$G$7,5,FALSE)),"")</f>
        <v/>
      </c>
      <c r="J825" s="143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8">
        <v>46265</v>
      </c>
      <c r="B826" s="25">
        <f t="shared" ref="B826:B836" si="224">B825+TIME(0,60,0)</f>
        <v>0.87499999999999967</v>
      </c>
      <c r="C826" s="33"/>
      <c r="D826" s="62"/>
      <c r="E826" s="110"/>
      <c r="F826" s="135" t="str">
        <f>IFERROR(IF($D826="","",VLOOKUP($D826,Cadastro!$C$4:$E$7,3,FALSE)),"")</f>
        <v/>
      </c>
      <c r="G826" s="106"/>
      <c r="H826" s="135" t="str">
        <f>IFERROR(IF($G826="","",$G826*$S$837/$G$837/Cadastro!$E$33),"")</f>
        <v/>
      </c>
      <c r="I826" s="136" t="str">
        <f>IFERROR(IF($D826="","",VLOOKUP($D826,Cadastro!$C$4:$G$7,5,FALSE)),"")</f>
        <v/>
      </c>
      <c r="J826" s="137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9">
        <v>46265</v>
      </c>
      <c r="B827" s="32">
        <f t="shared" si="224"/>
        <v>0.9166666666666663</v>
      </c>
      <c r="C827" s="33"/>
      <c r="D827" s="62"/>
      <c r="E827" s="110"/>
      <c r="F827" s="135" t="str">
        <f>IFERROR(IF($D827="","",VLOOKUP($D827,Cadastro!$C$4:$E$7,3,FALSE)),"")</f>
        <v/>
      </c>
      <c r="G827" s="106"/>
      <c r="H827" s="135" t="str">
        <f>IFERROR(IF($G827="","",$G827*$S$837/$G$837/Cadastro!$E$33),"")</f>
        <v/>
      </c>
      <c r="I827" s="136" t="str">
        <f>IFERROR(IF($D827="","",VLOOKUP($D827,Cadastro!$C$4:$G$7,5,FALSE)),"")</f>
        <v/>
      </c>
      <c r="J827" s="137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8">
        <v>46265</v>
      </c>
      <c r="B828" s="25">
        <f t="shared" si="224"/>
        <v>0.95833333333333293</v>
      </c>
      <c r="C828" s="33"/>
      <c r="D828" s="62"/>
      <c r="E828" s="110"/>
      <c r="F828" s="135" t="str">
        <f>IFERROR(IF($D828="","",VLOOKUP($D828,Cadastro!$C$4:$E$7,3,FALSE)),"")</f>
        <v/>
      </c>
      <c r="G828" s="106"/>
      <c r="H828" s="135" t="str">
        <f>IFERROR(IF($G828="","",$G828*$S$837/$G$837/Cadastro!$E$33),"")</f>
        <v/>
      </c>
      <c r="I828" s="136" t="str">
        <f>IFERROR(IF($D828="","",VLOOKUP($D828,Cadastro!$C$4:$G$7,5,FALSE)),"")</f>
        <v/>
      </c>
      <c r="J828" s="137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9">
        <v>46265</v>
      </c>
      <c r="B829" s="32">
        <f t="shared" si="224"/>
        <v>0.99999999999999956</v>
      </c>
      <c r="C829" s="33"/>
      <c r="D829" s="62"/>
      <c r="E829" s="110"/>
      <c r="F829" s="135" t="str">
        <f>IFERROR(IF($D829="","",VLOOKUP($D829,Cadastro!$C$4:$E$7,3,FALSE)),"")</f>
        <v/>
      </c>
      <c r="G829" s="106"/>
      <c r="H829" s="135" t="str">
        <f>IFERROR(IF($G829="","",$G829*$S$837/$G$837/Cadastro!$E$33),"")</f>
        <v/>
      </c>
      <c r="I829" s="136" t="str">
        <f>IFERROR(IF($D829="","",VLOOKUP($D829,Cadastro!$C$4:$G$7,5,FALSE)),"")</f>
        <v/>
      </c>
      <c r="J829" s="137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8">
        <v>46265</v>
      </c>
      <c r="B830" s="25">
        <f t="shared" si="224"/>
        <v>1.0416666666666663</v>
      </c>
      <c r="C830" s="33"/>
      <c r="D830" s="62"/>
      <c r="E830" s="110"/>
      <c r="F830" s="135" t="str">
        <f>IFERROR(IF($D830="","",VLOOKUP($D830,Cadastro!$C$4:$E$7,3,FALSE)),"")</f>
        <v/>
      </c>
      <c r="G830" s="106"/>
      <c r="H830" s="135" t="str">
        <f>IFERROR(IF($G830="","",$G830*$S$837/$G$837/Cadastro!$E$33),"")</f>
        <v/>
      </c>
      <c r="I830" s="136" t="str">
        <f>IFERROR(IF($D830="","",VLOOKUP($D830,Cadastro!$C$4:$G$7,5,FALSE)),"")</f>
        <v/>
      </c>
      <c r="J830" s="137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9">
        <v>46265</v>
      </c>
      <c r="B831" s="32">
        <f t="shared" si="224"/>
        <v>1.083333333333333</v>
      </c>
      <c r="C831" s="33"/>
      <c r="D831" s="62"/>
      <c r="E831" s="110"/>
      <c r="F831" s="135" t="str">
        <f>IFERROR(IF($D831="","",VLOOKUP($D831,Cadastro!$C$4:$E$7,3,FALSE)),"")</f>
        <v/>
      </c>
      <c r="G831" s="106"/>
      <c r="H831" s="135" t="str">
        <f>IFERROR(IF($G831="","",$G831*$S$837/$G$837/Cadastro!$E$33),"")</f>
        <v/>
      </c>
      <c r="I831" s="136" t="str">
        <f>IFERROR(IF($D831="","",VLOOKUP($D831,Cadastro!$C$4:$G$7,5,FALSE)),"")</f>
        <v/>
      </c>
      <c r="J831" s="137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8">
        <v>46265</v>
      </c>
      <c r="B832" s="25">
        <f t="shared" si="224"/>
        <v>1.1249999999999998</v>
      </c>
      <c r="C832" s="33"/>
      <c r="D832" s="62"/>
      <c r="E832" s="110"/>
      <c r="F832" s="135" t="str">
        <f>IFERROR(IF($D832="","",VLOOKUP($D832,Cadastro!$C$4:$E$7,3,FALSE)),"")</f>
        <v/>
      </c>
      <c r="G832" s="106"/>
      <c r="H832" s="135" t="str">
        <f>IFERROR(IF($G832="","",$G832*$S$837/$G$837/Cadastro!$E$33),"")</f>
        <v/>
      </c>
      <c r="I832" s="136" t="str">
        <f>IFERROR(IF($D832="","",VLOOKUP($D832,Cadastro!$C$4:$G$7,5,FALSE)),"")</f>
        <v/>
      </c>
      <c r="J832" s="137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9">
        <v>46265</v>
      </c>
      <c r="B833" s="32">
        <f t="shared" si="224"/>
        <v>1.1666666666666665</v>
      </c>
      <c r="C833" s="33"/>
      <c r="D833" s="62"/>
      <c r="E833" s="110"/>
      <c r="F833" s="135" t="str">
        <f>IFERROR(IF($D833="","",VLOOKUP($D833,Cadastro!$C$4:$E$7,3,FALSE)),"")</f>
        <v/>
      </c>
      <c r="G833" s="106"/>
      <c r="H833" s="135" t="str">
        <f>IFERROR(IF($G833="","",$G833*$S$837/$G$837/Cadastro!$E$33),"")</f>
        <v/>
      </c>
      <c r="I833" s="136" t="str">
        <f>IFERROR(IF($D833="","",VLOOKUP($D833,Cadastro!$C$4:$G$7,5,FALSE)),"")</f>
        <v/>
      </c>
      <c r="J833" s="137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8">
        <v>46265</v>
      </c>
      <c r="B834" s="25">
        <f t="shared" si="224"/>
        <v>1.2083333333333333</v>
      </c>
      <c r="C834" s="33"/>
      <c r="D834" s="62"/>
      <c r="E834" s="110"/>
      <c r="F834" s="135" t="str">
        <f>IFERROR(IF($D834="","",VLOOKUP($D834,Cadastro!$C$4:$E$7,3,FALSE)),"")</f>
        <v/>
      </c>
      <c r="G834" s="106"/>
      <c r="H834" s="135" t="str">
        <f>IFERROR(IF($G834="","",$G834*$S$837/$G$837/Cadastro!$E$33),"")</f>
        <v/>
      </c>
      <c r="I834" s="136" t="str">
        <f>IFERROR(IF($D834="","",VLOOKUP($D834,Cadastro!$C$4:$G$7,5,FALSE)),"")</f>
        <v/>
      </c>
      <c r="J834" s="137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9">
        <v>46265</v>
      </c>
      <c r="B835" s="32">
        <f t="shared" si="224"/>
        <v>1.25</v>
      </c>
      <c r="C835" s="33"/>
      <c r="D835" s="62"/>
      <c r="E835" s="110"/>
      <c r="F835" s="135" t="str">
        <f>IFERROR(IF($D835="","",VLOOKUP($D835,Cadastro!$C$4:$E$7,3,FALSE)),"")</f>
        <v/>
      </c>
      <c r="G835" s="106"/>
      <c r="H835" s="135" t="str">
        <f>IFERROR(IF($G835="","",$G835*$S$837/$G$837/Cadastro!$E$33),"")</f>
        <v/>
      </c>
      <c r="I835" s="136" t="str">
        <f>IFERROR(IF($D835="","",VLOOKUP($D835,Cadastro!$C$4:$G$7,5,FALSE)),"")</f>
        <v/>
      </c>
      <c r="J835" s="137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8">
        <v>46265</v>
      </c>
      <c r="B836" s="25">
        <f t="shared" si="224"/>
        <v>1.2916666666666667</v>
      </c>
      <c r="C836" s="33"/>
      <c r="D836" s="62"/>
      <c r="E836" s="110"/>
      <c r="F836" s="138" t="str">
        <f>IFERROR(IF($D836="","",VLOOKUP($D836,Cadastro!$C$4:$E$7,3,FALSE)),"")</f>
        <v/>
      </c>
      <c r="G836" s="106"/>
      <c r="H836" s="138" t="str">
        <f>IFERROR(IF($G836="","",$G836*$S$837/$G$837/Cadastro!$E$33),"")</f>
        <v/>
      </c>
      <c r="I836" s="139" t="str">
        <f>IFERROR(IF($D836="","",VLOOKUP($D836,Cadastro!$C$4:$G$7,5,FALSE)),"")</f>
        <v/>
      </c>
      <c r="J836" s="140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2" t="s">
        <v>244</v>
      </c>
      <c r="B837" s="153"/>
      <c r="C837" s="153"/>
      <c r="D837" s="153"/>
      <c r="E837" s="153">
        <f>SUM(E825:E836)</f>
        <v>0</v>
      </c>
      <c r="F837" s="112"/>
      <c r="G837" s="81">
        <f>SUM(G825:G836)</f>
        <v>0</v>
      </c>
      <c r="H837" s="112">
        <f>IFERROR(SUM(H825:H836),"")</f>
        <v>0</v>
      </c>
      <c r="I837" s="116"/>
      <c r="J837" s="125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6"/>
      <c r="T837" s="118">
        <f>IFERROR(J837,"")</f>
        <v>0</v>
      </c>
    </row>
    <row r="838" spans="1:20" ht="18" customHeight="1">
      <c r="A838" s="150" t="s">
        <v>245</v>
      </c>
      <c r="B838" s="151"/>
      <c r="C838" s="151"/>
      <c r="D838" s="151"/>
      <c r="E838" s="151">
        <f>E824+E837</f>
        <v>0</v>
      </c>
      <c r="F838" s="113"/>
      <c r="G838" s="92">
        <f>G824+G837</f>
        <v>0</v>
      </c>
      <c r="H838" s="113">
        <f>IFERROR(H824+H837,"")</f>
        <v>0</v>
      </c>
      <c r="I838" s="117"/>
      <c r="J838" s="126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8">
        <f>IFERROR(J838,"")</f>
        <v>0</v>
      </c>
    </row>
  </sheetData>
  <sheetProtection algorithmName="SHA-512" hashValue="DGJx8462fZkn28YTeLX3Jtp/IDS+cWG/XVVx4EnusH3y5ijWON/ot0L+/k1RQUKXQIsXGrd/8FJeHwn8k03tcA==" saltValue="Y/nVPGQLYjhZpYIR7O9edQ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M35:M900 M2:M31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L2:L405 L407:L900 M34 M32:N32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21" activePane="bottomLeft" state="frozen"/>
      <selection pane="bottomLeft" activeCell="E333" sqref="E33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27.570312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7.140625" style="20" customWidth="1"/>
    <col min="19" max="19" width="24.5703125" customWidth="1"/>
    <col min="20" max="20" width="14.7109375" hidden="1" customWidth="1"/>
  </cols>
  <sheetData>
    <row r="1" spans="1:20" ht="37.5" customHeight="1">
      <c r="A1" s="67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4" t="s">
        <v>17</v>
      </c>
      <c r="G1" s="23" t="s">
        <v>232</v>
      </c>
      <c r="H1" s="134" t="s">
        <v>264</v>
      </c>
      <c r="I1" s="134" t="s">
        <v>18</v>
      </c>
      <c r="J1" s="134" t="s">
        <v>265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265</v>
      </c>
    </row>
    <row r="2" spans="1:20" ht="15" customHeight="1">
      <c r="A2" s="68">
        <v>46235</v>
      </c>
      <c r="B2" s="25">
        <v>0.33333333333333298</v>
      </c>
      <c r="C2" s="26" t="s">
        <v>50</v>
      </c>
      <c r="D2" s="59" t="s">
        <v>43</v>
      </c>
      <c r="E2" s="109" t="s">
        <v>256</v>
      </c>
      <c r="F2" s="135"/>
      <c r="G2" s="106">
        <v>0</v>
      </c>
      <c r="H2" s="135"/>
      <c r="I2" s="136"/>
      <c r="J2" s="137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9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9" t="s">
        <v>256</v>
      </c>
      <c r="F3" s="135"/>
      <c r="G3" s="106">
        <v>8</v>
      </c>
      <c r="H3" s="135"/>
      <c r="I3" s="136"/>
      <c r="J3" s="137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8">
        <v>46235</v>
      </c>
      <c r="B4" s="25">
        <f t="shared" si="2"/>
        <v>0.41666666666666635</v>
      </c>
      <c r="C4" s="26" t="s">
        <v>50</v>
      </c>
      <c r="D4" s="59" t="s">
        <v>43</v>
      </c>
      <c r="E4" s="109" t="s">
        <v>256</v>
      </c>
      <c r="F4" s="135"/>
      <c r="G4" s="106">
        <v>10</v>
      </c>
      <c r="H4" s="135"/>
      <c r="I4" s="136"/>
      <c r="J4" s="137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9">
        <v>46235</v>
      </c>
      <c r="B5" s="32">
        <f t="shared" si="2"/>
        <v>0.45833333333333304</v>
      </c>
      <c r="C5" s="26" t="s">
        <v>50</v>
      </c>
      <c r="D5" s="59" t="s">
        <v>43</v>
      </c>
      <c r="E5" s="109" t="s">
        <v>256</v>
      </c>
      <c r="F5" s="135"/>
      <c r="G5" s="106">
        <v>9</v>
      </c>
      <c r="H5" s="135"/>
      <c r="I5" s="136"/>
      <c r="J5" s="137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8">
        <v>46235</v>
      </c>
      <c r="B6" s="25">
        <f t="shared" si="2"/>
        <v>0.49999999999999972</v>
      </c>
      <c r="C6" s="26" t="s">
        <v>50</v>
      </c>
      <c r="D6" s="59" t="s">
        <v>43</v>
      </c>
      <c r="E6" s="109" t="s">
        <v>256</v>
      </c>
      <c r="F6" s="135"/>
      <c r="G6" s="106">
        <v>3</v>
      </c>
      <c r="H6" s="135"/>
      <c r="I6" s="136"/>
      <c r="J6" s="137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9">
        <v>46235</v>
      </c>
      <c r="B7" s="32">
        <f t="shared" si="2"/>
        <v>0.54166666666666641</v>
      </c>
      <c r="C7" s="26" t="s">
        <v>50</v>
      </c>
      <c r="D7" s="59" t="s">
        <v>43</v>
      </c>
      <c r="E7" s="109" t="s">
        <v>256</v>
      </c>
      <c r="F7" s="135"/>
      <c r="G7" s="106">
        <v>6</v>
      </c>
      <c r="H7" s="135"/>
      <c r="I7" s="136"/>
      <c r="J7" s="137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8">
        <v>46235</v>
      </c>
      <c r="B8" s="25">
        <f t="shared" si="2"/>
        <v>0.58333333333333304</v>
      </c>
      <c r="C8" s="26" t="s">
        <v>50</v>
      </c>
      <c r="D8" s="59" t="s">
        <v>43</v>
      </c>
      <c r="E8" s="109" t="s">
        <v>256</v>
      </c>
      <c r="F8" s="135"/>
      <c r="G8" s="106">
        <v>12</v>
      </c>
      <c r="H8" s="135"/>
      <c r="I8" s="136"/>
      <c r="J8" s="137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9">
        <v>8</v>
      </c>
      <c r="B9" s="32">
        <f t="shared" si="2"/>
        <v>0.62499999999999967</v>
      </c>
      <c r="C9" s="26" t="s">
        <v>50</v>
      </c>
      <c r="D9" s="59" t="s">
        <v>43</v>
      </c>
      <c r="E9" s="109" t="s">
        <v>256</v>
      </c>
      <c r="F9" s="135"/>
      <c r="G9" s="106">
        <v>8</v>
      </c>
      <c r="H9" s="135"/>
      <c r="I9" s="136"/>
      <c r="J9" s="137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8">
        <v>46235</v>
      </c>
      <c r="B10" s="25">
        <f t="shared" si="2"/>
        <v>0.6666666666666663</v>
      </c>
      <c r="C10" s="26" t="s">
        <v>50</v>
      </c>
      <c r="D10" s="59" t="s">
        <v>43</v>
      </c>
      <c r="E10" s="109" t="s">
        <v>256</v>
      </c>
      <c r="F10" s="135"/>
      <c r="G10" s="106">
        <v>8</v>
      </c>
      <c r="H10" s="135"/>
      <c r="I10" s="136"/>
      <c r="J10" s="137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9">
        <v>46235</v>
      </c>
      <c r="B11" s="32">
        <f t="shared" si="2"/>
        <v>0.70833333333333293</v>
      </c>
      <c r="C11" s="26" t="s">
        <v>50</v>
      </c>
      <c r="D11" s="59" t="s">
        <v>43</v>
      </c>
      <c r="E11" s="109" t="s">
        <v>256</v>
      </c>
      <c r="F11" s="135"/>
      <c r="G11" s="106">
        <v>9</v>
      </c>
      <c r="H11" s="135"/>
      <c r="I11" s="136"/>
      <c r="J11" s="137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8">
        <v>46235</v>
      </c>
      <c r="B12" s="25">
        <f t="shared" si="2"/>
        <v>0.74999999999999956</v>
      </c>
      <c r="C12" s="26" t="s">
        <v>50</v>
      </c>
      <c r="D12" s="59" t="s">
        <v>43</v>
      </c>
      <c r="E12" s="109" t="s">
        <v>256</v>
      </c>
      <c r="F12" s="135"/>
      <c r="G12" s="106">
        <v>5</v>
      </c>
      <c r="H12" s="135"/>
      <c r="I12" s="136"/>
      <c r="J12" s="137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9">
        <v>46235</v>
      </c>
      <c r="B13" s="32">
        <f t="shared" si="2"/>
        <v>0.79166666666666619</v>
      </c>
      <c r="C13" s="26" t="s">
        <v>50</v>
      </c>
      <c r="D13" s="59" t="s">
        <v>43</v>
      </c>
      <c r="E13" s="109" t="s">
        <v>256</v>
      </c>
      <c r="F13" s="138"/>
      <c r="G13" s="106">
        <v>3</v>
      </c>
      <c r="H13" s="138"/>
      <c r="I13" s="139"/>
      <c r="J13" s="140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2" t="s">
        <v>241</v>
      </c>
      <c r="B14" s="153"/>
      <c r="C14" s="153"/>
      <c r="D14" s="153"/>
      <c r="E14" s="153"/>
      <c r="F14" s="111"/>
      <c r="G14" s="81">
        <f>SUM(G2:G13)</f>
        <v>81</v>
      </c>
      <c r="H14" s="111"/>
      <c r="I14" s="115"/>
      <c r="J14" s="124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20">
        <f>IFERROR(J14,"")</f>
        <v>0</v>
      </c>
    </row>
    <row r="15" spans="1:20" ht="15" customHeight="1">
      <c r="A15" s="69">
        <v>46235</v>
      </c>
      <c r="B15" s="32">
        <v>0.83333333333333304</v>
      </c>
      <c r="C15" s="33" t="s">
        <v>34</v>
      </c>
      <c r="D15" s="62" t="s">
        <v>35</v>
      </c>
      <c r="E15" s="110" t="s">
        <v>256</v>
      </c>
      <c r="F15" s="141"/>
      <c r="G15" s="106">
        <v>16</v>
      </c>
      <c r="H15" s="141"/>
      <c r="I15" s="142"/>
      <c r="J15" s="143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292</v>
      </c>
      <c r="S15" s="31"/>
    </row>
    <row r="16" spans="1:20" ht="15" customHeight="1">
      <c r="A16" s="68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10" t="s">
        <v>256</v>
      </c>
      <c r="F16" s="135"/>
      <c r="G16" s="106">
        <v>9</v>
      </c>
      <c r="H16" s="135"/>
      <c r="I16" s="136"/>
      <c r="J16" s="137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9">
        <v>46235</v>
      </c>
      <c r="B17" s="32">
        <f t="shared" si="4"/>
        <v>0.9166666666666663</v>
      </c>
      <c r="C17" s="33" t="s">
        <v>34</v>
      </c>
      <c r="D17" s="62" t="s">
        <v>43</v>
      </c>
      <c r="E17" s="110" t="s">
        <v>256</v>
      </c>
      <c r="F17" s="135"/>
      <c r="G17" s="106">
        <v>12</v>
      </c>
      <c r="H17" s="135"/>
      <c r="I17" s="136"/>
      <c r="J17" s="137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8">
        <v>46235</v>
      </c>
      <c r="B18" s="25">
        <f t="shared" si="4"/>
        <v>0.95833333333333293</v>
      </c>
      <c r="C18" s="33" t="s">
        <v>34</v>
      </c>
      <c r="D18" s="62" t="s">
        <v>43</v>
      </c>
      <c r="E18" s="110" t="s">
        <v>256</v>
      </c>
      <c r="F18" s="135"/>
      <c r="G18" s="106">
        <v>0</v>
      </c>
      <c r="H18" s="135"/>
      <c r="I18" s="136"/>
      <c r="J18" s="137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269</v>
      </c>
      <c r="S18" s="31"/>
    </row>
    <row r="19" spans="1:20" ht="15" customHeight="1">
      <c r="A19" s="69">
        <v>46235</v>
      </c>
      <c r="B19" s="32">
        <f t="shared" si="4"/>
        <v>0.99999999999999956</v>
      </c>
      <c r="C19" s="33" t="s">
        <v>34</v>
      </c>
      <c r="D19" s="62" t="s">
        <v>43</v>
      </c>
      <c r="E19" s="110" t="s">
        <v>256</v>
      </c>
      <c r="F19" s="135"/>
      <c r="G19" s="106">
        <v>8</v>
      </c>
      <c r="H19" s="135"/>
      <c r="I19" s="136"/>
      <c r="J19" s="137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293</v>
      </c>
      <c r="S19" s="31"/>
    </row>
    <row r="20" spans="1:20" ht="15" customHeight="1">
      <c r="A20" s="68">
        <v>46235</v>
      </c>
      <c r="B20" s="25">
        <f t="shared" si="4"/>
        <v>1.0416666666666663</v>
      </c>
      <c r="C20" s="33" t="s">
        <v>34</v>
      </c>
      <c r="D20" s="62" t="s">
        <v>43</v>
      </c>
      <c r="E20" s="110" t="s">
        <v>256</v>
      </c>
      <c r="F20" s="135"/>
      <c r="G20" s="106">
        <v>6</v>
      </c>
      <c r="H20" s="135"/>
      <c r="I20" s="136"/>
      <c r="J20" s="137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9">
        <v>46235</v>
      </c>
      <c r="B21" s="32">
        <f t="shared" si="4"/>
        <v>1.083333333333333</v>
      </c>
      <c r="C21" s="33" t="s">
        <v>34</v>
      </c>
      <c r="D21" s="62" t="s">
        <v>43</v>
      </c>
      <c r="E21" s="110" t="s">
        <v>256</v>
      </c>
      <c r="F21" s="135"/>
      <c r="G21" s="106">
        <v>8</v>
      </c>
      <c r="H21" s="135"/>
      <c r="I21" s="136"/>
      <c r="J21" s="137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8">
        <v>46235</v>
      </c>
      <c r="B22" s="25">
        <f t="shared" si="4"/>
        <v>1.1249999999999998</v>
      </c>
      <c r="C22" s="33" t="s">
        <v>34</v>
      </c>
      <c r="D22" s="62" t="s">
        <v>43</v>
      </c>
      <c r="E22" s="110" t="s">
        <v>256</v>
      </c>
      <c r="F22" s="135"/>
      <c r="G22" s="106">
        <v>5</v>
      </c>
      <c r="H22" s="135"/>
      <c r="I22" s="136"/>
      <c r="J22" s="137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9">
        <v>46235</v>
      </c>
      <c r="B23" s="32">
        <f t="shared" si="4"/>
        <v>1.1666666666666665</v>
      </c>
      <c r="C23" s="33" t="s">
        <v>34</v>
      </c>
      <c r="D23" s="62" t="s">
        <v>43</v>
      </c>
      <c r="E23" s="110" t="s">
        <v>256</v>
      </c>
      <c r="F23" s="135"/>
      <c r="G23" s="106">
        <v>10</v>
      </c>
      <c r="H23" s="135"/>
      <c r="I23" s="136"/>
      <c r="J23" s="137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8">
        <v>46235</v>
      </c>
      <c r="B24" s="25">
        <f t="shared" si="4"/>
        <v>1.2083333333333333</v>
      </c>
      <c r="C24" s="33" t="s">
        <v>34</v>
      </c>
      <c r="D24" s="62" t="s">
        <v>43</v>
      </c>
      <c r="E24" s="110" t="s">
        <v>256</v>
      </c>
      <c r="F24" s="135"/>
      <c r="G24" s="106">
        <v>10</v>
      </c>
      <c r="H24" s="135"/>
      <c r="I24" s="136"/>
      <c r="J24" s="137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9">
        <v>46235</v>
      </c>
      <c r="B25" s="32">
        <f t="shared" si="4"/>
        <v>1.25</v>
      </c>
      <c r="C25" s="33" t="s">
        <v>34</v>
      </c>
      <c r="D25" s="62" t="s">
        <v>51</v>
      </c>
      <c r="E25" s="110" t="s">
        <v>256</v>
      </c>
      <c r="F25" s="135"/>
      <c r="G25" s="106">
        <v>2</v>
      </c>
      <c r="H25" s="135"/>
      <c r="I25" s="136"/>
      <c r="J25" s="137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8">
        <v>46235</v>
      </c>
      <c r="B26" s="25">
        <f t="shared" si="4"/>
        <v>1.2916666666666667</v>
      </c>
      <c r="C26" s="33" t="s">
        <v>34</v>
      </c>
      <c r="D26" s="62" t="s">
        <v>51</v>
      </c>
      <c r="E26" s="110" t="s">
        <v>256</v>
      </c>
      <c r="F26" s="138"/>
      <c r="G26" s="106">
        <v>5</v>
      </c>
      <c r="H26" s="138"/>
      <c r="I26" s="139"/>
      <c r="J26" s="140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2" t="s">
        <v>244</v>
      </c>
      <c r="B27" s="153"/>
      <c r="C27" s="153"/>
      <c r="D27" s="153"/>
      <c r="E27" s="153"/>
      <c r="F27" s="112"/>
      <c r="G27" s="81">
        <v>358</v>
      </c>
      <c r="H27" s="112"/>
      <c r="I27" s="116"/>
      <c r="J27" s="125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20">
        <f>IFERROR(J27,"")</f>
        <v>0</v>
      </c>
    </row>
    <row r="28" spans="1:20" ht="18" customHeight="1">
      <c r="A28" s="150" t="s">
        <v>245</v>
      </c>
      <c r="B28" s="151"/>
      <c r="C28" s="151"/>
      <c r="D28" s="151"/>
      <c r="E28" s="151"/>
      <c r="F28" s="113"/>
      <c r="G28" s="92">
        <f>G14+G27</f>
        <v>439</v>
      </c>
      <c r="H28" s="113"/>
      <c r="I28" s="117"/>
      <c r="J28" s="126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1">
        <f>IFERROR(J28,"")</f>
        <v>0</v>
      </c>
    </row>
    <row r="29" spans="1:20" ht="15" customHeight="1">
      <c r="A29" s="68">
        <v>46236</v>
      </c>
      <c r="B29" s="25">
        <v>0.33333333333333298</v>
      </c>
      <c r="C29" s="26" t="s">
        <v>50</v>
      </c>
      <c r="D29" s="59" t="s">
        <v>27</v>
      </c>
      <c r="E29" s="109" t="s">
        <v>256</v>
      </c>
      <c r="F29" s="141"/>
      <c r="G29" s="106">
        <v>4</v>
      </c>
      <c r="H29" s="141"/>
      <c r="I29" s="142"/>
      <c r="J29" s="143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9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9" t="s">
        <v>256</v>
      </c>
      <c r="F30" s="135"/>
      <c r="G30" s="106">
        <v>13</v>
      </c>
      <c r="H30" s="135"/>
      <c r="I30" s="136"/>
      <c r="J30" s="137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8">
        <v>46236</v>
      </c>
      <c r="B31" s="25">
        <f t="shared" si="8"/>
        <v>0.41666666666666635</v>
      </c>
      <c r="C31" s="26" t="s">
        <v>50</v>
      </c>
      <c r="D31" s="59" t="s">
        <v>27</v>
      </c>
      <c r="E31" s="109" t="s">
        <v>256</v>
      </c>
      <c r="F31" s="135"/>
      <c r="G31" s="106">
        <v>4</v>
      </c>
      <c r="H31" s="135"/>
      <c r="I31" s="136"/>
      <c r="J31" s="137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9">
        <v>46236</v>
      </c>
      <c r="B32" s="32">
        <f t="shared" si="8"/>
        <v>0.45833333333333304</v>
      </c>
      <c r="C32" s="26" t="s">
        <v>50</v>
      </c>
      <c r="D32" s="59" t="s">
        <v>27</v>
      </c>
      <c r="E32" s="109" t="s">
        <v>256</v>
      </c>
      <c r="F32" s="135"/>
      <c r="G32" s="106">
        <v>4</v>
      </c>
      <c r="H32" s="135"/>
      <c r="I32" s="136"/>
      <c r="J32" s="137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8">
        <v>46236</v>
      </c>
      <c r="B33" s="25">
        <f t="shared" si="8"/>
        <v>0.49999999999999972</v>
      </c>
      <c r="C33" s="26" t="s">
        <v>50</v>
      </c>
      <c r="D33" s="59" t="s">
        <v>27</v>
      </c>
      <c r="E33" s="109" t="s">
        <v>256</v>
      </c>
      <c r="F33" s="135"/>
      <c r="G33" s="106">
        <v>3</v>
      </c>
      <c r="H33" s="135"/>
      <c r="I33" s="136"/>
      <c r="J33" s="137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9">
        <v>46236</v>
      </c>
      <c r="B34" s="32">
        <f t="shared" si="8"/>
        <v>0.54166666666666641</v>
      </c>
      <c r="C34" s="26" t="s">
        <v>50</v>
      </c>
      <c r="D34" s="59" t="s">
        <v>27</v>
      </c>
      <c r="E34" s="109" t="s">
        <v>256</v>
      </c>
      <c r="F34" s="135"/>
      <c r="G34" s="106">
        <v>10</v>
      </c>
      <c r="H34" s="135"/>
      <c r="I34" s="136"/>
      <c r="J34" s="137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8">
        <v>46236</v>
      </c>
      <c r="B35" s="25">
        <f t="shared" si="8"/>
        <v>0.58333333333333304</v>
      </c>
      <c r="C35" s="26" t="s">
        <v>50</v>
      </c>
      <c r="D35" s="59" t="s">
        <v>27</v>
      </c>
      <c r="E35" s="109" t="s">
        <v>256</v>
      </c>
      <c r="F35" s="135"/>
      <c r="G35" s="106">
        <v>12</v>
      </c>
      <c r="H35" s="135"/>
      <c r="I35" s="136"/>
      <c r="J35" s="137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9">
        <v>46236</v>
      </c>
      <c r="B36" s="32">
        <f t="shared" si="8"/>
        <v>0.62499999999999967</v>
      </c>
      <c r="C36" s="26" t="s">
        <v>50</v>
      </c>
      <c r="D36" s="59" t="s">
        <v>27</v>
      </c>
      <c r="E36" s="109" t="s">
        <v>256</v>
      </c>
      <c r="F36" s="135"/>
      <c r="G36" s="106">
        <v>5</v>
      </c>
      <c r="H36" s="135"/>
      <c r="I36" s="136"/>
      <c r="J36" s="137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8">
        <v>46236</v>
      </c>
      <c r="B37" s="25">
        <f t="shared" si="8"/>
        <v>0.6666666666666663</v>
      </c>
      <c r="C37" s="26" t="s">
        <v>50</v>
      </c>
      <c r="D37" s="59" t="s">
        <v>27</v>
      </c>
      <c r="E37" s="109" t="s">
        <v>256</v>
      </c>
      <c r="F37" s="135"/>
      <c r="G37" s="106">
        <v>3</v>
      </c>
      <c r="H37" s="135"/>
      <c r="I37" s="136"/>
      <c r="J37" s="137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9">
        <v>46236</v>
      </c>
      <c r="B38" s="32">
        <f t="shared" si="8"/>
        <v>0.70833333333333293</v>
      </c>
      <c r="C38" s="26" t="s">
        <v>50</v>
      </c>
      <c r="D38" s="59" t="s">
        <v>27</v>
      </c>
      <c r="E38" s="109" t="s">
        <v>256</v>
      </c>
      <c r="F38" s="135"/>
      <c r="G38" s="106">
        <v>11</v>
      </c>
      <c r="H38" s="135"/>
      <c r="I38" s="136"/>
      <c r="J38" s="137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8">
        <v>46236</v>
      </c>
      <c r="B39" s="25">
        <f t="shared" si="8"/>
        <v>0.74999999999999956</v>
      </c>
      <c r="C39" s="26" t="s">
        <v>50</v>
      </c>
      <c r="D39" s="59" t="s">
        <v>27</v>
      </c>
      <c r="E39" s="109" t="s">
        <v>256</v>
      </c>
      <c r="F39" s="135"/>
      <c r="G39" s="106">
        <v>8</v>
      </c>
      <c r="H39" s="135"/>
      <c r="I39" s="136"/>
      <c r="J39" s="137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9">
        <v>46236</v>
      </c>
      <c r="B40" s="32">
        <f t="shared" si="8"/>
        <v>0.79166666666666619</v>
      </c>
      <c r="C40" s="26" t="s">
        <v>50</v>
      </c>
      <c r="D40" s="59" t="s">
        <v>27</v>
      </c>
      <c r="E40" s="109" t="s">
        <v>256</v>
      </c>
      <c r="F40" s="138"/>
      <c r="G40" s="106">
        <v>0</v>
      </c>
      <c r="H40" s="138"/>
      <c r="I40" s="139"/>
      <c r="J40" s="140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2" t="s">
        <v>241</v>
      </c>
      <c r="B41" s="153"/>
      <c r="C41" s="153"/>
      <c r="D41" s="153"/>
      <c r="E41" s="153">
        <f>SUM(E29:E40)</f>
        <v>0</v>
      </c>
      <c r="F41" s="111"/>
      <c r="G41" s="81">
        <f>SUM(G29:G40)</f>
        <v>77</v>
      </c>
      <c r="H41" s="111"/>
      <c r="I41" s="115"/>
      <c r="J41" s="124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20">
        <f>IFERROR(J41,"")</f>
        <v>0</v>
      </c>
    </row>
    <row r="42" spans="1:20" ht="15" customHeight="1">
      <c r="A42" s="69">
        <v>46236</v>
      </c>
      <c r="B42" s="32">
        <v>0.83333333333333304</v>
      </c>
      <c r="C42" s="33" t="s">
        <v>34</v>
      </c>
      <c r="D42" s="62" t="s">
        <v>27</v>
      </c>
      <c r="E42" s="110" t="s">
        <v>256</v>
      </c>
      <c r="F42" s="141"/>
      <c r="G42" s="106">
        <v>8</v>
      </c>
      <c r="H42" s="141"/>
      <c r="I42" s="142"/>
      <c r="J42" s="143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275</v>
      </c>
      <c r="S42" s="31"/>
    </row>
    <row r="43" spans="1:20" ht="15" customHeight="1">
      <c r="A43" s="68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10" t="s">
        <v>256</v>
      </c>
      <c r="F43" s="135"/>
      <c r="G43" s="106">
        <v>0</v>
      </c>
      <c r="H43" s="135"/>
      <c r="I43" s="136"/>
      <c r="J43" s="137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292</v>
      </c>
      <c r="S43" s="31"/>
    </row>
    <row r="44" spans="1:20" ht="15" customHeight="1">
      <c r="A44" s="69">
        <v>46236</v>
      </c>
      <c r="B44" s="32">
        <f t="shared" si="11"/>
        <v>0.9166666666666663</v>
      </c>
      <c r="C44" s="33" t="s">
        <v>34</v>
      </c>
      <c r="D44" s="62" t="s">
        <v>27</v>
      </c>
      <c r="E44" s="110" t="s">
        <v>256</v>
      </c>
      <c r="F44" s="135"/>
      <c r="G44" s="106">
        <v>5</v>
      </c>
      <c r="H44" s="135"/>
      <c r="I44" s="136"/>
      <c r="J44" s="137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8">
        <v>46236</v>
      </c>
      <c r="B45" s="25">
        <f t="shared" si="11"/>
        <v>0.95833333333333293</v>
      </c>
      <c r="C45" s="33" t="s">
        <v>34</v>
      </c>
      <c r="D45" s="62" t="s">
        <v>27</v>
      </c>
      <c r="E45" s="110" t="s">
        <v>256</v>
      </c>
      <c r="F45" s="135"/>
      <c r="G45" s="106">
        <v>5</v>
      </c>
      <c r="H45" s="135"/>
      <c r="I45" s="136"/>
      <c r="J45" s="137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9">
        <v>46236</v>
      </c>
      <c r="B46" s="32">
        <f t="shared" si="11"/>
        <v>0.99999999999999956</v>
      </c>
      <c r="C46" s="33" t="s">
        <v>34</v>
      </c>
      <c r="D46" s="62" t="s">
        <v>27</v>
      </c>
      <c r="E46" s="110" t="s">
        <v>256</v>
      </c>
      <c r="F46" s="135"/>
      <c r="G46" s="106">
        <v>12</v>
      </c>
      <c r="H46" s="135"/>
      <c r="I46" s="136"/>
      <c r="J46" s="137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8">
        <v>46236</v>
      </c>
      <c r="B47" s="25">
        <f t="shared" si="11"/>
        <v>1.0416666666666663</v>
      </c>
      <c r="C47" s="33" t="s">
        <v>34</v>
      </c>
      <c r="D47" s="62" t="s">
        <v>27</v>
      </c>
      <c r="E47" s="110" t="s">
        <v>256</v>
      </c>
      <c r="F47" s="135"/>
      <c r="G47" s="106">
        <v>9</v>
      </c>
      <c r="H47" s="135"/>
      <c r="I47" s="136"/>
      <c r="J47" s="137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9">
        <v>46236</v>
      </c>
      <c r="B48" s="32">
        <f t="shared" si="11"/>
        <v>1.083333333333333</v>
      </c>
      <c r="C48" s="33" t="s">
        <v>34</v>
      </c>
      <c r="D48" s="62" t="s">
        <v>27</v>
      </c>
      <c r="E48" s="110" t="s">
        <v>256</v>
      </c>
      <c r="F48" s="135"/>
      <c r="G48" s="106">
        <v>7</v>
      </c>
      <c r="H48" s="135"/>
      <c r="I48" s="136"/>
      <c r="J48" s="137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8">
        <v>46236</v>
      </c>
      <c r="B49" s="25">
        <f t="shared" si="11"/>
        <v>1.1249999999999998</v>
      </c>
      <c r="C49" s="33" t="s">
        <v>34</v>
      </c>
      <c r="D49" s="62" t="s">
        <v>27</v>
      </c>
      <c r="E49" s="110" t="s">
        <v>256</v>
      </c>
      <c r="F49" s="135"/>
      <c r="G49" s="106">
        <v>5</v>
      </c>
      <c r="H49" s="135"/>
      <c r="I49" s="136"/>
      <c r="J49" s="137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9">
        <v>46236</v>
      </c>
      <c r="B50" s="32">
        <f t="shared" si="11"/>
        <v>1.1666666666666665</v>
      </c>
      <c r="C50" s="33" t="s">
        <v>34</v>
      </c>
      <c r="D50" s="62" t="s">
        <v>27</v>
      </c>
      <c r="E50" s="110" t="s">
        <v>256</v>
      </c>
      <c r="F50" s="135"/>
      <c r="G50" s="106">
        <v>14</v>
      </c>
      <c r="H50" s="135"/>
      <c r="I50" s="136"/>
      <c r="J50" s="137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292</v>
      </c>
      <c r="S50" s="31"/>
    </row>
    <row r="51" spans="1:20" ht="15" customHeight="1">
      <c r="A51" s="68">
        <v>46236</v>
      </c>
      <c r="B51" s="25">
        <f t="shared" si="11"/>
        <v>1.2083333333333333</v>
      </c>
      <c r="C51" s="33" t="s">
        <v>34</v>
      </c>
      <c r="D51" s="62" t="s">
        <v>27</v>
      </c>
      <c r="E51" s="110" t="s">
        <v>256</v>
      </c>
      <c r="F51" s="135"/>
      <c r="G51" s="106">
        <v>0</v>
      </c>
      <c r="H51" s="135"/>
      <c r="I51" s="136"/>
      <c r="J51" s="137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9">
        <v>46236</v>
      </c>
      <c r="B52" s="32">
        <f t="shared" si="11"/>
        <v>1.25</v>
      </c>
      <c r="C52" s="33" t="s">
        <v>34</v>
      </c>
      <c r="D52" s="62" t="s">
        <v>27</v>
      </c>
      <c r="E52" s="110" t="s">
        <v>256</v>
      </c>
      <c r="F52" s="135"/>
      <c r="G52" s="106">
        <v>5</v>
      </c>
      <c r="H52" s="135"/>
      <c r="I52" s="136"/>
      <c r="J52" s="137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8">
        <v>46236</v>
      </c>
      <c r="B53" s="25">
        <f t="shared" si="11"/>
        <v>1.2916666666666667</v>
      </c>
      <c r="C53" s="33" t="s">
        <v>34</v>
      </c>
      <c r="D53" s="62" t="s">
        <v>27</v>
      </c>
      <c r="E53" s="110" t="s">
        <v>256</v>
      </c>
      <c r="F53" s="138"/>
      <c r="G53" s="106"/>
      <c r="H53" s="138"/>
      <c r="I53" s="139"/>
      <c r="J53" s="140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2" t="s">
        <v>244</v>
      </c>
      <c r="B54" s="153"/>
      <c r="C54" s="153"/>
      <c r="D54" s="153"/>
      <c r="E54" s="153">
        <f>SUM(E42:E53)</f>
        <v>0</v>
      </c>
      <c r="F54" s="112"/>
      <c r="G54" s="81">
        <f>SUM(G42:G53)</f>
        <v>70</v>
      </c>
      <c r="H54" s="112"/>
      <c r="I54" s="116"/>
      <c r="J54" s="125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20">
        <f>IFERROR(J54,"")</f>
        <v>0</v>
      </c>
    </row>
    <row r="55" spans="1:20" ht="18" customHeight="1">
      <c r="A55" s="150" t="s">
        <v>245</v>
      </c>
      <c r="B55" s="151"/>
      <c r="C55" s="151"/>
      <c r="D55" s="151"/>
      <c r="E55" s="151">
        <f>E41+E54</f>
        <v>0</v>
      </c>
      <c r="F55" s="113"/>
      <c r="G55" s="92">
        <f>G41+G54</f>
        <v>147</v>
      </c>
      <c r="H55" s="113"/>
      <c r="I55" s="117"/>
      <c r="J55" s="126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1">
        <f>IFERROR(J55,"")</f>
        <v>0</v>
      </c>
    </row>
    <row r="56" spans="1:20" ht="15" customHeight="1">
      <c r="A56" s="68">
        <v>46237</v>
      </c>
      <c r="B56" s="25">
        <v>0.33333333333333298</v>
      </c>
      <c r="C56" s="26" t="s">
        <v>50</v>
      </c>
      <c r="D56" s="59" t="s">
        <v>43</v>
      </c>
      <c r="E56" s="109" t="s">
        <v>256</v>
      </c>
      <c r="F56" s="141"/>
      <c r="G56" s="106">
        <v>7</v>
      </c>
      <c r="H56" s="141"/>
      <c r="I56" s="142"/>
      <c r="J56" s="143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9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9" t="s">
        <v>256</v>
      </c>
      <c r="F57" s="135"/>
      <c r="G57" s="106">
        <v>4</v>
      </c>
      <c r="H57" s="135"/>
      <c r="I57" s="136"/>
      <c r="J57" s="137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8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9" t="s">
        <v>256</v>
      </c>
      <c r="F58" s="135"/>
      <c r="G58" s="106">
        <v>3</v>
      </c>
      <c r="H58" s="135"/>
      <c r="I58" s="136"/>
      <c r="J58" s="137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9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9" t="s">
        <v>256</v>
      </c>
      <c r="F59" s="135"/>
      <c r="G59" s="106">
        <v>4</v>
      </c>
      <c r="H59" s="135"/>
      <c r="I59" s="136"/>
      <c r="J59" s="137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8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9" t="s">
        <v>256</v>
      </c>
      <c r="F60" s="135"/>
      <c r="G60" s="106">
        <v>5</v>
      </c>
      <c r="H60" s="135"/>
      <c r="I60" s="136"/>
      <c r="J60" s="137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9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9" t="s">
        <v>256</v>
      </c>
      <c r="F61" s="135"/>
      <c r="G61" s="106">
        <v>6</v>
      </c>
      <c r="H61" s="135"/>
      <c r="I61" s="136"/>
      <c r="J61" s="137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8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9" t="s">
        <v>256</v>
      </c>
      <c r="F62" s="135"/>
      <c r="G62" s="106">
        <v>0</v>
      </c>
      <c r="H62" s="135"/>
      <c r="I62" s="136"/>
      <c r="J62" s="137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294</v>
      </c>
      <c r="S62" s="31"/>
    </row>
    <row r="63" spans="1:20" ht="15" customHeight="1">
      <c r="A63" s="69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9" t="s">
        <v>256</v>
      </c>
      <c r="F63" s="135"/>
      <c r="G63" s="106">
        <v>0</v>
      </c>
      <c r="H63" s="135"/>
      <c r="I63" s="136"/>
      <c r="J63" s="137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8">
        <v>46237</v>
      </c>
      <c r="B64" s="25">
        <f t="shared" si="14"/>
        <v>0.6666666666666663</v>
      </c>
      <c r="C64" s="26" t="s">
        <v>50</v>
      </c>
      <c r="D64" s="59" t="s">
        <v>51</v>
      </c>
      <c r="E64" s="109" t="s">
        <v>256</v>
      </c>
      <c r="F64" s="135"/>
      <c r="G64" s="106">
        <v>10</v>
      </c>
      <c r="H64" s="135"/>
      <c r="I64" s="136"/>
      <c r="J64" s="137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9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9" t="s">
        <v>256</v>
      </c>
      <c r="F65" s="135"/>
      <c r="G65" s="106">
        <v>5</v>
      </c>
      <c r="H65" s="135"/>
      <c r="I65" s="136"/>
      <c r="J65" s="137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8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9" t="s">
        <v>256</v>
      </c>
      <c r="F66" s="135"/>
      <c r="G66" s="106">
        <v>5</v>
      </c>
      <c r="H66" s="135"/>
      <c r="I66" s="136"/>
      <c r="J66" s="137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9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9" t="s">
        <v>256</v>
      </c>
      <c r="F67" s="138"/>
      <c r="G67" s="106">
        <v>1</v>
      </c>
      <c r="H67" s="138"/>
      <c r="I67" s="139"/>
      <c r="J67" s="140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2" t="s">
        <v>241</v>
      </c>
      <c r="B68" s="153"/>
      <c r="C68" s="153"/>
      <c r="D68" s="153"/>
      <c r="E68" s="153">
        <f>SUM(E56:E67)</f>
        <v>0</v>
      </c>
      <c r="F68" s="111"/>
      <c r="G68" s="81">
        <f>SUM(G56:G67)</f>
        <v>50</v>
      </c>
      <c r="H68" s="111"/>
      <c r="I68" s="115"/>
      <c r="J68" s="124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20">
        <f>IFERROR(J68,"")</f>
        <v>0</v>
      </c>
    </row>
    <row r="69" spans="1:20" ht="15" customHeight="1">
      <c r="A69" s="69">
        <v>46237</v>
      </c>
      <c r="B69" s="32">
        <v>0.83333333333333304</v>
      </c>
      <c r="C69" s="33" t="s">
        <v>34</v>
      </c>
      <c r="D69" s="62" t="s">
        <v>43</v>
      </c>
      <c r="E69" s="110" t="s">
        <v>256</v>
      </c>
      <c r="F69" s="141"/>
      <c r="G69" s="106">
        <v>6</v>
      </c>
      <c r="H69" s="141"/>
      <c r="I69" s="142"/>
      <c r="J69" s="143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295</v>
      </c>
      <c r="S69" s="31"/>
    </row>
    <row r="70" spans="1:20" ht="15" customHeight="1">
      <c r="A70" s="68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10" t="s">
        <v>256</v>
      </c>
      <c r="F70" s="135"/>
      <c r="G70" s="106">
        <v>9</v>
      </c>
      <c r="H70" s="135"/>
      <c r="I70" s="136"/>
      <c r="J70" s="137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9">
        <v>46237</v>
      </c>
      <c r="B71" s="32">
        <f t="shared" si="17"/>
        <v>0.9166666666666663</v>
      </c>
      <c r="C71" s="33" t="s">
        <v>34</v>
      </c>
      <c r="D71" s="62" t="s">
        <v>43</v>
      </c>
      <c r="E71" s="110" t="s">
        <v>256</v>
      </c>
      <c r="F71" s="135"/>
      <c r="G71" s="106">
        <v>9</v>
      </c>
      <c r="H71" s="135"/>
      <c r="I71" s="136"/>
      <c r="J71" s="137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8">
        <v>46237</v>
      </c>
      <c r="B72" s="25">
        <f t="shared" si="17"/>
        <v>0.95833333333333293</v>
      </c>
      <c r="C72" s="33" t="s">
        <v>34</v>
      </c>
      <c r="D72" s="62" t="s">
        <v>43</v>
      </c>
      <c r="E72" s="110" t="s">
        <v>256</v>
      </c>
      <c r="F72" s="135"/>
      <c r="G72" s="106">
        <v>0</v>
      </c>
      <c r="H72" s="135"/>
      <c r="I72" s="136"/>
      <c r="J72" s="137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9">
        <v>46237</v>
      </c>
      <c r="B73" s="32">
        <f t="shared" si="17"/>
        <v>0.99999999999999956</v>
      </c>
      <c r="C73" s="33" t="s">
        <v>34</v>
      </c>
      <c r="D73" s="62" t="s">
        <v>43</v>
      </c>
      <c r="E73" s="110" t="s">
        <v>256</v>
      </c>
      <c r="F73" s="135"/>
      <c r="G73" s="106">
        <v>7</v>
      </c>
      <c r="H73" s="135"/>
      <c r="I73" s="136"/>
      <c r="J73" s="137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8">
        <v>46237</v>
      </c>
      <c r="B74" s="25">
        <f t="shared" si="17"/>
        <v>1.0416666666666663</v>
      </c>
      <c r="C74" s="33" t="s">
        <v>34</v>
      </c>
      <c r="D74" s="62" t="s">
        <v>43</v>
      </c>
      <c r="E74" s="110" t="s">
        <v>256</v>
      </c>
      <c r="F74" s="135"/>
      <c r="G74" s="106">
        <v>0</v>
      </c>
      <c r="H74" s="135"/>
      <c r="I74" s="136"/>
      <c r="J74" s="137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9">
        <v>46237</v>
      </c>
      <c r="B75" s="32">
        <f t="shared" si="17"/>
        <v>1.083333333333333</v>
      </c>
      <c r="C75" s="33" t="s">
        <v>34</v>
      </c>
      <c r="D75" s="62" t="s">
        <v>43</v>
      </c>
      <c r="E75" s="110" t="s">
        <v>256</v>
      </c>
      <c r="F75" s="135"/>
      <c r="G75" s="106">
        <v>0</v>
      </c>
      <c r="H75" s="135"/>
      <c r="I75" s="136"/>
      <c r="J75" s="137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8">
        <v>46237</v>
      </c>
      <c r="B76" s="25">
        <f t="shared" si="17"/>
        <v>1.1249999999999998</v>
      </c>
      <c r="C76" s="33" t="s">
        <v>34</v>
      </c>
      <c r="D76" s="62" t="s">
        <v>43</v>
      </c>
      <c r="E76" s="110" t="s">
        <v>256</v>
      </c>
      <c r="F76" s="135"/>
      <c r="G76" s="106">
        <v>6</v>
      </c>
      <c r="H76" s="135"/>
      <c r="I76" s="136"/>
      <c r="J76" s="137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9">
        <v>46237</v>
      </c>
      <c r="B77" s="32">
        <f t="shared" si="17"/>
        <v>1.1666666666666665</v>
      </c>
      <c r="C77" s="33" t="s">
        <v>34</v>
      </c>
      <c r="D77" s="62" t="s">
        <v>43</v>
      </c>
      <c r="E77" s="110" t="s">
        <v>256</v>
      </c>
      <c r="F77" s="135"/>
      <c r="G77" s="106">
        <v>0</v>
      </c>
      <c r="H77" s="135"/>
      <c r="I77" s="136"/>
      <c r="J77" s="137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8">
        <v>46237</v>
      </c>
      <c r="B78" s="25">
        <f t="shared" si="17"/>
        <v>1.2083333333333333</v>
      </c>
      <c r="C78" s="33" t="s">
        <v>34</v>
      </c>
      <c r="D78" s="62" t="s">
        <v>43</v>
      </c>
      <c r="E78" s="110" t="s">
        <v>256</v>
      </c>
      <c r="F78" s="135"/>
      <c r="G78" s="106">
        <v>0</v>
      </c>
      <c r="H78" s="135"/>
      <c r="I78" s="136"/>
      <c r="J78" s="137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9">
        <v>46237</v>
      </c>
      <c r="B79" s="32">
        <f t="shared" si="17"/>
        <v>1.25</v>
      </c>
      <c r="C79" s="33" t="s">
        <v>34</v>
      </c>
      <c r="D79" s="62" t="s">
        <v>35</v>
      </c>
      <c r="E79" s="110"/>
      <c r="F79" s="135"/>
      <c r="G79" s="106">
        <v>0</v>
      </c>
      <c r="H79" s="135"/>
      <c r="I79" s="136"/>
      <c r="J79" s="137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8">
        <v>46237</v>
      </c>
      <c r="B80" s="25">
        <f t="shared" si="17"/>
        <v>1.2916666666666667</v>
      </c>
      <c r="C80" s="33" t="s">
        <v>34</v>
      </c>
      <c r="D80" s="62" t="s">
        <v>35</v>
      </c>
      <c r="E80" s="110"/>
      <c r="F80" s="138"/>
      <c r="G80" s="106">
        <v>5</v>
      </c>
      <c r="H80" s="138"/>
      <c r="I80" s="139"/>
      <c r="J80" s="140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2" t="s">
        <v>244</v>
      </c>
      <c r="B81" s="153"/>
      <c r="C81" s="153"/>
      <c r="D81" s="153"/>
      <c r="E81" s="153">
        <f>SUM(E69:E80)</f>
        <v>0</v>
      </c>
      <c r="F81" s="112"/>
      <c r="G81" s="81">
        <f>SUM(G69:G80)</f>
        <v>42</v>
      </c>
      <c r="H81" s="112"/>
      <c r="I81" s="116"/>
      <c r="J81" s="125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20">
        <f>IFERROR(J81,"")</f>
        <v>0</v>
      </c>
    </row>
    <row r="82" spans="1:20" ht="18" customHeight="1">
      <c r="A82" s="150" t="s">
        <v>245</v>
      </c>
      <c r="B82" s="151"/>
      <c r="C82" s="151"/>
      <c r="D82" s="151"/>
      <c r="E82" s="151">
        <f>E68+E81</f>
        <v>0</v>
      </c>
      <c r="F82" s="113"/>
      <c r="G82" s="92">
        <f>G68+G81</f>
        <v>92</v>
      </c>
      <c r="H82" s="113"/>
      <c r="I82" s="117"/>
      <c r="J82" s="126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1">
        <f>IFERROR(J82,"")</f>
        <v>0</v>
      </c>
    </row>
    <row r="83" spans="1:20" ht="15" customHeight="1">
      <c r="A83" s="68">
        <v>46238</v>
      </c>
      <c r="B83" s="25">
        <v>0.33333333333333298</v>
      </c>
      <c r="C83" s="26" t="s">
        <v>50</v>
      </c>
      <c r="D83" s="59" t="s">
        <v>35</v>
      </c>
      <c r="E83" s="109" t="s">
        <v>256</v>
      </c>
      <c r="F83" s="141"/>
      <c r="G83" s="106">
        <v>7</v>
      </c>
      <c r="H83" s="141"/>
      <c r="I83" s="142"/>
      <c r="J83" s="143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296</v>
      </c>
      <c r="S83" s="31"/>
    </row>
    <row r="84" spans="1:20" ht="15" customHeight="1">
      <c r="A84" s="69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9" t="s">
        <v>256</v>
      </c>
      <c r="F84" s="135"/>
      <c r="G84" s="106">
        <v>0</v>
      </c>
      <c r="H84" s="135"/>
      <c r="I84" s="136"/>
      <c r="J84" s="137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297</v>
      </c>
      <c r="S84" s="31"/>
    </row>
    <row r="85" spans="1:20" ht="15" customHeight="1">
      <c r="A85" s="68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9" t="s">
        <v>256</v>
      </c>
      <c r="F85" s="135"/>
      <c r="G85" s="106">
        <v>5</v>
      </c>
      <c r="H85" s="135"/>
      <c r="I85" s="136"/>
      <c r="J85" s="137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9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9" t="s">
        <v>256</v>
      </c>
      <c r="F86" s="135"/>
      <c r="G86" s="106">
        <v>12</v>
      </c>
      <c r="H86" s="135"/>
      <c r="I86" s="136"/>
      <c r="J86" s="137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8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9" t="s">
        <v>256</v>
      </c>
      <c r="F87" s="135"/>
      <c r="G87" s="106">
        <v>6</v>
      </c>
      <c r="H87" s="135"/>
      <c r="I87" s="136"/>
      <c r="J87" s="137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9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9" t="s">
        <v>256</v>
      </c>
      <c r="F88" s="135"/>
      <c r="G88" s="106">
        <v>5</v>
      </c>
      <c r="H88" s="135"/>
      <c r="I88" s="136"/>
      <c r="J88" s="137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8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9" t="s">
        <v>256</v>
      </c>
      <c r="F89" s="135"/>
      <c r="G89" s="106">
        <v>7</v>
      </c>
      <c r="H89" s="135"/>
      <c r="I89" s="136"/>
      <c r="J89" s="137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9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9" t="s">
        <v>256</v>
      </c>
      <c r="F90" s="135"/>
      <c r="G90" s="106">
        <v>0</v>
      </c>
      <c r="H90" s="135"/>
      <c r="I90" s="136"/>
      <c r="J90" s="137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8">
        <v>46238</v>
      </c>
      <c r="B91" s="25">
        <f t="shared" si="20"/>
        <v>0.6666666666666663</v>
      </c>
      <c r="C91" s="26" t="s">
        <v>50</v>
      </c>
      <c r="D91" s="59" t="s">
        <v>35</v>
      </c>
      <c r="E91" s="109" t="s">
        <v>256</v>
      </c>
      <c r="F91" s="135"/>
      <c r="G91" s="106">
        <v>0</v>
      </c>
      <c r="H91" s="135"/>
      <c r="I91" s="136"/>
      <c r="J91" s="137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9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9" t="s">
        <v>256</v>
      </c>
      <c r="F92" s="135"/>
      <c r="G92" s="106">
        <v>3</v>
      </c>
      <c r="H92" s="135"/>
      <c r="I92" s="136"/>
      <c r="J92" s="137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8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9" t="s">
        <v>256</v>
      </c>
      <c r="F93" s="135"/>
      <c r="G93" s="106">
        <v>1</v>
      </c>
      <c r="H93" s="135"/>
      <c r="I93" s="136"/>
      <c r="J93" s="137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9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9" t="s">
        <v>256</v>
      </c>
      <c r="F94" s="138"/>
      <c r="G94" s="106">
        <v>2</v>
      </c>
      <c r="H94" s="138"/>
      <c r="I94" s="139"/>
      <c r="J94" s="140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2" t="s">
        <v>241</v>
      </c>
      <c r="B95" s="153"/>
      <c r="C95" s="153"/>
      <c r="D95" s="153"/>
      <c r="E95" s="153">
        <f>SUM(E83:E94)</f>
        <v>0</v>
      </c>
      <c r="F95" s="111"/>
      <c r="G95" s="81">
        <f>SUM(G83:G94)</f>
        <v>48</v>
      </c>
      <c r="H95" s="111"/>
      <c r="I95" s="115"/>
      <c r="J95" s="124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20">
        <f>IFERROR(J95,"")</f>
        <v>0</v>
      </c>
    </row>
    <row r="96" spans="1:20" ht="15" customHeight="1">
      <c r="A96" s="69">
        <v>46238</v>
      </c>
      <c r="B96" s="32">
        <v>0.83333333333333304</v>
      </c>
      <c r="C96" s="33" t="s">
        <v>34</v>
      </c>
      <c r="D96" s="62" t="s">
        <v>35</v>
      </c>
      <c r="E96" s="110" t="s">
        <v>256</v>
      </c>
      <c r="F96" s="141"/>
      <c r="G96" s="106">
        <v>5</v>
      </c>
      <c r="H96" s="141"/>
      <c r="I96" s="142"/>
      <c r="J96" s="143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8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10" t="s">
        <v>256</v>
      </c>
      <c r="F97" s="135"/>
      <c r="G97" s="106">
        <v>0</v>
      </c>
      <c r="H97" s="135"/>
      <c r="I97" s="136"/>
      <c r="J97" s="137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298</v>
      </c>
      <c r="S97" s="31"/>
    </row>
    <row r="98" spans="1:20" ht="15" customHeight="1">
      <c r="A98" s="69">
        <v>46238</v>
      </c>
      <c r="B98" s="32">
        <f t="shared" si="23"/>
        <v>0.9166666666666663</v>
      </c>
      <c r="C98" s="33" t="s">
        <v>34</v>
      </c>
      <c r="D98" s="62" t="s">
        <v>35</v>
      </c>
      <c r="E98" s="110" t="s">
        <v>256</v>
      </c>
      <c r="F98" s="135"/>
      <c r="G98" s="106">
        <v>5</v>
      </c>
      <c r="H98" s="135"/>
      <c r="I98" s="136"/>
      <c r="J98" s="137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8">
        <v>46238</v>
      </c>
      <c r="B99" s="25">
        <f t="shared" si="23"/>
        <v>0.95833333333333293</v>
      </c>
      <c r="C99" s="33" t="s">
        <v>34</v>
      </c>
      <c r="D99" s="62" t="s">
        <v>35</v>
      </c>
      <c r="E99" s="110" t="s">
        <v>256</v>
      </c>
      <c r="F99" s="135"/>
      <c r="G99" s="106">
        <v>7</v>
      </c>
      <c r="H99" s="135"/>
      <c r="I99" s="136"/>
      <c r="J99" s="137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9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10" t="s">
        <v>256</v>
      </c>
      <c r="F100" s="135"/>
      <c r="G100" s="106">
        <v>7</v>
      </c>
      <c r="H100" s="135"/>
      <c r="I100" s="136"/>
      <c r="J100" s="137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8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10" t="s">
        <v>256</v>
      </c>
      <c r="F101" s="135"/>
      <c r="G101" s="106">
        <v>11</v>
      </c>
      <c r="H101" s="135"/>
      <c r="I101" s="136"/>
      <c r="J101" s="137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9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10" t="s">
        <v>256</v>
      </c>
      <c r="F102" s="135"/>
      <c r="G102" s="106">
        <v>14</v>
      </c>
      <c r="H102" s="135"/>
      <c r="I102" s="136"/>
      <c r="J102" s="137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8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10" t="s">
        <v>256</v>
      </c>
      <c r="F103" s="135"/>
      <c r="G103" s="106">
        <v>7</v>
      </c>
      <c r="H103" s="135"/>
      <c r="I103" s="136"/>
      <c r="J103" s="137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9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10" t="s">
        <v>256</v>
      </c>
      <c r="F104" s="135"/>
      <c r="G104" s="106">
        <v>12</v>
      </c>
      <c r="H104" s="135"/>
      <c r="I104" s="136"/>
      <c r="J104" s="137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8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10" t="s">
        <v>256</v>
      </c>
      <c r="F105" s="135"/>
      <c r="G105" s="106">
        <v>4</v>
      </c>
      <c r="H105" s="135"/>
      <c r="I105" s="136"/>
      <c r="J105" s="137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9">
        <v>46238</v>
      </c>
      <c r="B106" s="32">
        <f t="shared" si="23"/>
        <v>1.25</v>
      </c>
      <c r="C106" s="33" t="s">
        <v>34</v>
      </c>
      <c r="D106" s="62" t="s">
        <v>35</v>
      </c>
      <c r="E106" s="110" t="s">
        <v>256</v>
      </c>
      <c r="F106" s="135"/>
      <c r="G106" s="106">
        <v>7</v>
      </c>
      <c r="H106" s="135"/>
      <c r="I106" s="136"/>
      <c r="J106" s="137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8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10" t="s">
        <v>256</v>
      </c>
      <c r="F107" s="138"/>
      <c r="G107" s="106">
        <v>10</v>
      </c>
      <c r="H107" s="138"/>
      <c r="I107" s="139"/>
      <c r="J107" s="140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2" t="s">
        <v>244</v>
      </c>
      <c r="B108" s="153"/>
      <c r="C108" s="153"/>
      <c r="D108" s="153"/>
      <c r="E108" s="153">
        <f>SUM(E96:E107)</f>
        <v>0</v>
      </c>
      <c r="F108" s="112"/>
      <c r="G108" s="81">
        <f>SUM(G96:G107)</f>
        <v>89</v>
      </c>
      <c r="H108" s="112"/>
      <c r="I108" s="116"/>
      <c r="J108" s="125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20">
        <f>IFERROR(J108,"")</f>
        <v>0</v>
      </c>
    </row>
    <row r="109" spans="1:20" ht="18" customHeight="1">
      <c r="A109" s="150" t="s">
        <v>245</v>
      </c>
      <c r="B109" s="151"/>
      <c r="C109" s="151"/>
      <c r="D109" s="151"/>
      <c r="E109" s="151">
        <f>E95+E108</f>
        <v>0</v>
      </c>
      <c r="F109" s="113"/>
      <c r="G109" s="92">
        <f>G95+G108</f>
        <v>137</v>
      </c>
      <c r="H109" s="113"/>
      <c r="I109" s="117"/>
      <c r="J109" s="126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1">
        <f>IFERROR(J109,"")</f>
        <v>0</v>
      </c>
    </row>
    <row r="110" spans="1:20" ht="15" customHeight="1">
      <c r="A110" s="68">
        <v>46239</v>
      </c>
      <c r="B110" s="25">
        <v>0.33333333333333298</v>
      </c>
      <c r="C110" s="26" t="s">
        <v>50</v>
      </c>
      <c r="D110" s="59" t="s">
        <v>35</v>
      </c>
      <c r="E110" s="109" t="s">
        <v>256</v>
      </c>
      <c r="F110" s="141"/>
      <c r="G110" s="106">
        <v>4</v>
      </c>
      <c r="H110" s="141"/>
      <c r="I110" s="142"/>
      <c r="J110" s="143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9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9" t="s">
        <v>256</v>
      </c>
      <c r="F111" s="135"/>
      <c r="G111" s="106">
        <v>6</v>
      </c>
      <c r="H111" s="135"/>
      <c r="I111" s="136"/>
      <c r="J111" s="137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8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9" t="s">
        <v>256</v>
      </c>
      <c r="F112" s="135"/>
      <c r="G112" s="106">
        <v>5</v>
      </c>
      <c r="H112" s="135"/>
      <c r="I112" s="136"/>
      <c r="J112" s="137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9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9" t="s">
        <v>256</v>
      </c>
      <c r="F113" s="135"/>
      <c r="G113" s="106">
        <v>11</v>
      </c>
      <c r="H113" s="135"/>
      <c r="I113" s="136"/>
      <c r="J113" s="137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8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9" t="s">
        <v>256</v>
      </c>
      <c r="F114" s="135"/>
      <c r="G114" s="106">
        <v>6</v>
      </c>
      <c r="H114" s="135"/>
      <c r="I114" s="136"/>
      <c r="J114" s="137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9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9" t="s">
        <v>256</v>
      </c>
      <c r="F115" s="135"/>
      <c r="G115" s="106">
        <v>6</v>
      </c>
      <c r="H115" s="135"/>
      <c r="I115" s="136"/>
      <c r="J115" s="137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8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9" t="s">
        <v>256</v>
      </c>
      <c r="F116" s="135"/>
      <c r="G116" s="106">
        <v>12</v>
      </c>
      <c r="H116" s="135"/>
      <c r="I116" s="136"/>
      <c r="J116" s="137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9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9" t="s">
        <v>256</v>
      </c>
      <c r="F117" s="135"/>
      <c r="G117" s="106">
        <v>5</v>
      </c>
      <c r="H117" s="135"/>
      <c r="I117" s="136"/>
      <c r="J117" s="137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8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9" t="s">
        <v>256</v>
      </c>
      <c r="F118" s="135"/>
      <c r="G118" s="106">
        <v>7</v>
      </c>
      <c r="H118" s="135"/>
      <c r="I118" s="136"/>
      <c r="J118" s="137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9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9" t="s">
        <v>256</v>
      </c>
      <c r="F119" s="135"/>
      <c r="G119" s="106">
        <v>9</v>
      </c>
      <c r="H119" s="135"/>
      <c r="I119" s="136"/>
      <c r="J119" s="137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8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9" t="s">
        <v>256</v>
      </c>
      <c r="F120" s="135"/>
      <c r="G120" s="106">
        <v>6</v>
      </c>
      <c r="H120" s="135"/>
      <c r="I120" s="136"/>
      <c r="J120" s="137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9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9" t="s">
        <v>256</v>
      </c>
      <c r="F121" s="138"/>
      <c r="G121" s="106">
        <v>1</v>
      </c>
      <c r="H121" s="138"/>
      <c r="I121" s="139"/>
      <c r="J121" s="140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2" t="s">
        <v>241</v>
      </c>
      <c r="B122" s="153"/>
      <c r="C122" s="153"/>
      <c r="D122" s="153"/>
      <c r="E122" s="153">
        <f>SUM(E110:E121)</f>
        <v>0</v>
      </c>
      <c r="F122" s="111"/>
      <c r="G122" s="81">
        <f>SUM(G110:G121)</f>
        <v>78</v>
      </c>
      <c r="H122" s="111"/>
      <c r="I122" s="115"/>
      <c r="J122" s="124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20">
        <f>IFERROR(J122,"")</f>
        <v>0</v>
      </c>
    </row>
    <row r="123" spans="1:20" ht="15" customHeight="1">
      <c r="A123" s="69">
        <v>46239</v>
      </c>
      <c r="B123" s="32">
        <v>0.83333333333333304</v>
      </c>
      <c r="C123" s="33" t="s">
        <v>34</v>
      </c>
      <c r="D123" s="62" t="s">
        <v>35</v>
      </c>
      <c r="E123" s="110" t="s">
        <v>256</v>
      </c>
      <c r="F123" s="141"/>
      <c r="G123" s="106">
        <v>15</v>
      </c>
      <c r="H123" s="141"/>
      <c r="I123" s="142"/>
      <c r="J123" s="143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8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10" t="s">
        <v>256</v>
      </c>
      <c r="F124" s="135"/>
      <c r="G124" s="106">
        <v>9</v>
      </c>
      <c r="H124" s="135"/>
      <c r="I124" s="136"/>
      <c r="J124" s="137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9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10" t="s">
        <v>256</v>
      </c>
      <c r="F125" s="135"/>
      <c r="G125" s="106">
        <v>0</v>
      </c>
      <c r="H125" s="135"/>
      <c r="I125" s="136"/>
      <c r="J125" s="137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299</v>
      </c>
      <c r="S125" s="31"/>
    </row>
    <row r="126" spans="1:20" ht="15" customHeight="1">
      <c r="A126" s="68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10" t="s">
        <v>256</v>
      </c>
      <c r="F126" s="135"/>
      <c r="G126" s="106">
        <v>20</v>
      </c>
      <c r="H126" s="135"/>
      <c r="I126" s="136"/>
      <c r="J126" s="137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9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10" t="s">
        <v>256</v>
      </c>
      <c r="F127" s="135"/>
      <c r="G127" s="106">
        <v>12</v>
      </c>
      <c r="H127" s="135"/>
      <c r="I127" s="136"/>
      <c r="J127" s="137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8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10" t="s">
        <v>256</v>
      </c>
      <c r="F128" s="135"/>
      <c r="G128" s="106">
        <v>10</v>
      </c>
      <c r="H128" s="135"/>
      <c r="I128" s="136"/>
      <c r="J128" s="137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9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10" t="s">
        <v>256</v>
      </c>
      <c r="F129" s="135"/>
      <c r="G129" s="106">
        <v>5</v>
      </c>
      <c r="H129" s="135"/>
      <c r="I129" s="136"/>
      <c r="J129" s="137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8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10" t="s">
        <v>256</v>
      </c>
      <c r="F130" s="135"/>
      <c r="G130" s="106">
        <v>7</v>
      </c>
      <c r="H130" s="135"/>
      <c r="I130" s="136"/>
      <c r="J130" s="137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9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10" t="s">
        <v>256</v>
      </c>
      <c r="F131" s="135"/>
      <c r="G131" s="106">
        <v>10</v>
      </c>
      <c r="H131" s="135"/>
      <c r="I131" s="136"/>
      <c r="J131" s="137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8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10" t="s">
        <v>256</v>
      </c>
      <c r="F132" s="135"/>
      <c r="G132" s="106">
        <v>3</v>
      </c>
      <c r="H132" s="135"/>
      <c r="I132" s="136"/>
      <c r="J132" s="137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9">
        <v>46239</v>
      </c>
      <c r="B133" s="32">
        <f t="shared" si="29"/>
        <v>1.25</v>
      </c>
      <c r="C133" s="33" t="s">
        <v>34</v>
      </c>
      <c r="D133" s="62" t="s">
        <v>35</v>
      </c>
      <c r="E133" s="110" t="s">
        <v>256</v>
      </c>
      <c r="F133" s="135"/>
      <c r="G133" s="106">
        <v>10</v>
      </c>
      <c r="H133" s="135"/>
      <c r="I133" s="136"/>
      <c r="J133" s="137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8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10" t="s">
        <v>256</v>
      </c>
      <c r="F134" s="138"/>
      <c r="G134" s="106">
        <v>9</v>
      </c>
      <c r="H134" s="138"/>
      <c r="I134" s="139"/>
      <c r="J134" s="140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2" t="s">
        <v>244</v>
      </c>
      <c r="B135" s="153"/>
      <c r="C135" s="153"/>
      <c r="D135" s="153"/>
      <c r="E135" s="153">
        <f>SUM(E123:E134)</f>
        <v>0</v>
      </c>
      <c r="F135" s="112"/>
      <c r="G135" s="81">
        <f>SUM(G123:G134)</f>
        <v>110</v>
      </c>
      <c r="H135" s="112"/>
      <c r="I135" s="116"/>
      <c r="J135" s="125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20">
        <f>IFERROR(J135,"")</f>
        <v>0</v>
      </c>
    </row>
    <row r="136" spans="1:20" ht="18" customHeight="1">
      <c r="A136" s="150" t="s">
        <v>245</v>
      </c>
      <c r="B136" s="151"/>
      <c r="C136" s="151"/>
      <c r="D136" s="151"/>
      <c r="E136" s="151">
        <f>E122+E135</f>
        <v>0</v>
      </c>
      <c r="F136" s="113"/>
      <c r="G136" s="92">
        <f>G122+G135</f>
        <v>188</v>
      </c>
      <c r="H136" s="113"/>
      <c r="I136" s="117"/>
      <c r="J136" s="126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1">
        <f>IFERROR(J136,"")</f>
        <v>0</v>
      </c>
    </row>
    <row r="137" spans="1:20" ht="15" customHeight="1">
      <c r="A137" s="69">
        <v>46240</v>
      </c>
      <c r="B137" s="32">
        <v>0.33333333333333298</v>
      </c>
      <c r="C137" s="33" t="s">
        <v>26</v>
      </c>
      <c r="D137" s="62" t="s">
        <v>35</v>
      </c>
      <c r="E137" s="110" t="s">
        <v>256</v>
      </c>
      <c r="F137" s="141"/>
      <c r="G137" s="106">
        <v>3</v>
      </c>
      <c r="H137" s="141"/>
      <c r="I137" s="142"/>
      <c r="J137" s="143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300</v>
      </c>
      <c r="S137" s="31"/>
    </row>
    <row r="138" spans="1:20" ht="15" customHeight="1">
      <c r="A138" s="68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10" t="s">
        <v>256</v>
      </c>
      <c r="F138" s="135"/>
      <c r="G138" s="106">
        <v>1</v>
      </c>
      <c r="H138" s="135"/>
      <c r="I138" s="136"/>
      <c r="J138" s="137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9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10" t="s">
        <v>256</v>
      </c>
      <c r="F139" s="135"/>
      <c r="G139" s="106">
        <v>5</v>
      </c>
      <c r="H139" s="135"/>
      <c r="I139" s="136"/>
      <c r="J139" s="137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8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10" t="s">
        <v>256</v>
      </c>
      <c r="F140" s="135"/>
      <c r="G140" s="106">
        <v>0</v>
      </c>
      <c r="H140" s="135"/>
      <c r="I140" s="136"/>
      <c r="J140" s="137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9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10" t="s">
        <v>256</v>
      </c>
      <c r="F141" s="135"/>
      <c r="G141" s="106">
        <v>3</v>
      </c>
      <c r="H141" s="135"/>
      <c r="I141" s="136"/>
      <c r="J141" s="137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8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10" t="s">
        <v>256</v>
      </c>
      <c r="F142" s="135"/>
      <c r="G142" s="106">
        <v>0</v>
      </c>
      <c r="H142" s="135"/>
      <c r="I142" s="136"/>
      <c r="J142" s="137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9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10" t="s">
        <v>256</v>
      </c>
      <c r="F143" s="135"/>
      <c r="G143" s="106">
        <v>4</v>
      </c>
      <c r="H143" s="135"/>
      <c r="I143" s="136"/>
      <c r="J143" s="137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8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10" t="s">
        <v>256</v>
      </c>
      <c r="F144" s="135"/>
      <c r="G144" s="106">
        <v>4</v>
      </c>
      <c r="H144" s="135"/>
      <c r="I144" s="136"/>
      <c r="J144" s="137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8" t="s">
        <v>283</v>
      </c>
      <c r="S144" s="31"/>
    </row>
    <row r="145" spans="1:20" ht="15" customHeight="1">
      <c r="A145" s="69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10" t="s">
        <v>256</v>
      </c>
      <c r="F145" s="135"/>
      <c r="G145" s="106">
        <v>4</v>
      </c>
      <c r="H145" s="135"/>
      <c r="I145" s="136"/>
      <c r="J145" s="137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8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10" t="s">
        <v>256</v>
      </c>
      <c r="F146" s="135"/>
      <c r="G146" s="106">
        <v>6</v>
      </c>
      <c r="H146" s="135"/>
      <c r="I146" s="136"/>
      <c r="J146" s="137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9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10" t="s">
        <v>256</v>
      </c>
      <c r="F147" s="135"/>
      <c r="G147" s="106">
        <v>3</v>
      </c>
      <c r="H147" s="135"/>
      <c r="I147" s="136"/>
      <c r="J147" s="137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8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10" t="s">
        <v>256</v>
      </c>
      <c r="F148" s="138"/>
      <c r="G148" s="106">
        <v>0</v>
      </c>
      <c r="H148" s="138"/>
      <c r="I148" s="139"/>
      <c r="J148" s="140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2" t="s">
        <v>241</v>
      </c>
      <c r="B149" s="153"/>
      <c r="C149" s="153"/>
      <c r="D149" s="153"/>
      <c r="E149" s="153">
        <f>SUM(E137:E148)</f>
        <v>0</v>
      </c>
      <c r="F149" s="111"/>
      <c r="G149" s="81">
        <f>SUM(G137:G148)</f>
        <v>33</v>
      </c>
      <c r="H149" s="111"/>
      <c r="I149" s="115"/>
      <c r="J149" s="124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20">
        <f>IFERROR(J149,"")</f>
        <v>0</v>
      </c>
    </row>
    <row r="150" spans="1:20" ht="15" customHeight="1">
      <c r="A150" s="68">
        <v>46240</v>
      </c>
      <c r="B150" s="25">
        <v>0.83333333333333304</v>
      </c>
      <c r="C150" s="26" t="s">
        <v>50</v>
      </c>
      <c r="D150" s="59" t="s">
        <v>43</v>
      </c>
      <c r="E150" s="109" t="s">
        <v>256</v>
      </c>
      <c r="F150" s="141"/>
      <c r="G150" s="106">
        <v>4</v>
      </c>
      <c r="H150" s="141"/>
      <c r="I150" s="142"/>
      <c r="J150" s="143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9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9" t="s">
        <v>256</v>
      </c>
      <c r="F151" s="135"/>
      <c r="G151" s="106">
        <v>4</v>
      </c>
      <c r="H151" s="135"/>
      <c r="I151" s="136"/>
      <c r="J151" s="137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8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9" t="s">
        <v>256</v>
      </c>
      <c r="F152" s="135"/>
      <c r="G152" s="106">
        <v>0</v>
      </c>
      <c r="H152" s="135"/>
      <c r="I152" s="136"/>
      <c r="J152" s="137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9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9" t="s">
        <v>256</v>
      </c>
      <c r="F153" s="135"/>
      <c r="G153" s="106">
        <v>4</v>
      </c>
      <c r="H153" s="135"/>
      <c r="I153" s="136"/>
      <c r="J153" s="137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275</v>
      </c>
      <c r="S153" s="31"/>
    </row>
    <row r="154" spans="1:20" ht="15" customHeight="1">
      <c r="A154" s="68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9" t="s">
        <v>256</v>
      </c>
      <c r="F154" s="135"/>
      <c r="G154" s="106">
        <v>10</v>
      </c>
      <c r="H154" s="135"/>
      <c r="I154" s="136"/>
      <c r="J154" s="137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9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9" t="s">
        <v>256</v>
      </c>
      <c r="F155" s="135"/>
      <c r="G155" s="106">
        <v>0</v>
      </c>
      <c r="H155" s="135"/>
      <c r="I155" s="136"/>
      <c r="J155" s="137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8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9" t="s">
        <v>256</v>
      </c>
      <c r="F156" s="135"/>
      <c r="G156" s="106">
        <v>4</v>
      </c>
      <c r="H156" s="135"/>
      <c r="I156" s="136"/>
      <c r="J156" s="137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9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9" t="s">
        <v>256</v>
      </c>
      <c r="F157" s="135"/>
      <c r="G157" s="106">
        <v>1</v>
      </c>
      <c r="H157" s="135"/>
      <c r="I157" s="136"/>
      <c r="J157" s="137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8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9" t="s">
        <v>256</v>
      </c>
      <c r="F158" s="135"/>
      <c r="G158" s="106">
        <v>6</v>
      </c>
      <c r="H158" s="135"/>
      <c r="I158" s="136"/>
      <c r="J158" s="137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9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9" t="s">
        <v>256</v>
      </c>
      <c r="F159" s="135"/>
      <c r="G159" s="106">
        <v>4</v>
      </c>
      <c r="H159" s="135"/>
      <c r="I159" s="136"/>
      <c r="J159" s="137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8">
        <v>46240</v>
      </c>
      <c r="B160" s="25">
        <f t="shared" si="35"/>
        <v>1.25</v>
      </c>
      <c r="C160" s="26" t="s">
        <v>50</v>
      </c>
      <c r="D160" s="59" t="s">
        <v>43</v>
      </c>
      <c r="E160" s="109" t="s">
        <v>256</v>
      </c>
      <c r="F160" s="135"/>
      <c r="G160" s="106">
        <v>4</v>
      </c>
      <c r="H160" s="135"/>
      <c r="I160" s="136"/>
      <c r="J160" s="137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9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9" t="s">
        <v>256</v>
      </c>
      <c r="F161" s="138"/>
      <c r="G161" s="106">
        <v>2</v>
      </c>
      <c r="H161" s="138"/>
      <c r="I161" s="139"/>
      <c r="J161" s="140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2" t="s">
        <v>244</v>
      </c>
      <c r="B162" s="153"/>
      <c r="C162" s="153"/>
      <c r="D162" s="153"/>
      <c r="E162" s="153">
        <f>SUM(E150:E161)</f>
        <v>0</v>
      </c>
      <c r="F162" s="112"/>
      <c r="G162" s="81">
        <f>SUM(G150:G161)</f>
        <v>43</v>
      </c>
      <c r="H162" s="112"/>
      <c r="I162" s="116"/>
      <c r="J162" s="125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20">
        <f>IFERROR(J162,"")</f>
        <v>0</v>
      </c>
    </row>
    <row r="163" spans="1:20" ht="18" customHeight="1">
      <c r="A163" s="150" t="s">
        <v>245</v>
      </c>
      <c r="B163" s="151"/>
      <c r="C163" s="151"/>
      <c r="D163" s="151"/>
      <c r="E163" s="151">
        <f>E149+E162</f>
        <v>0</v>
      </c>
      <c r="F163" s="113"/>
      <c r="G163" s="92">
        <f>G149+G162</f>
        <v>76</v>
      </c>
      <c r="H163" s="113"/>
      <c r="I163" s="117"/>
      <c r="J163" s="126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1">
        <f>IFERROR(J163,"")</f>
        <v>0</v>
      </c>
    </row>
    <row r="164" spans="1:20" ht="15" customHeight="1">
      <c r="A164" s="68">
        <v>46241</v>
      </c>
      <c r="B164" s="25">
        <v>0.33333333333333298</v>
      </c>
      <c r="C164" s="26" t="s">
        <v>26</v>
      </c>
      <c r="D164" s="59" t="s">
        <v>43</v>
      </c>
      <c r="E164" s="109" t="s">
        <v>256</v>
      </c>
      <c r="F164" s="141"/>
      <c r="G164" s="106">
        <v>4</v>
      </c>
      <c r="H164" s="141"/>
      <c r="I164" s="142"/>
      <c r="J164" s="143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9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5"/>
      <c r="G165" s="106">
        <v>14</v>
      </c>
      <c r="H165" s="135"/>
      <c r="I165" s="136"/>
      <c r="J165" s="137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8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5"/>
      <c r="G166" s="106">
        <v>7</v>
      </c>
      <c r="H166" s="135"/>
      <c r="I166" s="136"/>
      <c r="J166" s="137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301</v>
      </c>
      <c r="S166" s="31"/>
    </row>
    <row r="167" spans="1:20" ht="15" customHeight="1">
      <c r="A167" s="69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5"/>
      <c r="G167" s="106">
        <v>0</v>
      </c>
      <c r="H167" s="135"/>
      <c r="I167" s="136"/>
      <c r="J167" s="137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8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5"/>
      <c r="G168" s="106">
        <v>8</v>
      </c>
      <c r="H168" s="135"/>
      <c r="I168" s="136"/>
      <c r="J168" s="137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9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5"/>
      <c r="G169" s="106">
        <v>7</v>
      </c>
      <c r="H169" s="135"/>
      <c r="I169" s="136"/>
      <c r="J169" s="137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8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5"/>
      <c r="G170" s="106">
        <v>5</v>
      </c>
      <c r="H170" s="135"/>
      <c r="I170" s="136"/>
      <c r="J170" s="137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9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5"/>
      <c r="G171" s="106">
        <v>5</v>
      </c>
      <c r="H171" s="135"/>
      <c r="I171" s="136"/>
      <c r="J171" s="137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8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5"/>
      <c r="G172" s="106">
        <v>4</v>
      </c>
      <c r="H172" s="135"/>
      <c r="I172" s="136"/>
      <c r="J172" s="137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9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5"/>
      <c r="G173" s="106">
        <v>3</v>
      </c>
      <c r="H173" s="135"/>
      <c r="I173" s="136"/>
      <c r="J173" s="137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8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5"/>
      <c r="G174" s="106">
        <v>3</v>
      </c>
      <c r="H174" s="135"/>
      <c r="I174" s="136"/>
      <c r="J174" s="137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9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8"/>
      <c r="G175" s="106">
        <v>5</v>
      </c>
      <c r="H175" s="138"/>
      <c r="I175" s="139"/>
      <c r="J175" s="140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2" t="s">
        <v>241</v>
      </c>
      <c r="B176" s="153"/>
      <c r="C176" s="153"/>
      <c r="D176" s="153"/>
      <c r="E176" s="153">
        <f>SUM(E164:E175)</f>
        <v>0</v>
      </c>
      <c r="F176" s="111"/>
      <c r="G176" s="81">
        <f>SUM(G164:G175)</f>
        <v>65</v>
      </c>
      <c r="H176" s="111"/>
      <c r="I176" s="115"/>
      <c r="J176" s="124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20">
        <f>IFERROR(J176,"")</f>
        <v>0</v>
      </c>
    </row>
    <row r="177" spans="1:20" ht="15" customHeight="1">
      <c r="A177" s="69">
        <v>46241</v>
      </c>
      <c r="B177" s="32">
        <v>0.83333333333333304</v>
      </c>
      <c r="C177" s="33" t="s">
        <v>50</v>
      </c>
      <c r="D177" s="62" t="s">
        <v>43</v>
      </c>
      <c r="E177" s="110" t="s">
        <v>256</v>
      </c>
      <c r="F177" s="141"/>
      <c r="G177" s="106">
        <v>2</v>
      </c>
      <c r="H177" s="141"/>
      <c r="I177" s="142"/>
      <c r="J177" s="143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8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10" t="s">
        <v>256</v>
      </c>
      <c r="F178" s="135"/>
      <c r="G178" s="106">
        <v>0</v>
      </c>
      <c r="H178" s="135"/>
      <c r="I178" s="136"/>
      <c r="J178" s="137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9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10" t="s">
        <v>256</v>
      </c>
      <c r="F179" s="135"/>
      <c r="G179" s="106">
        <v>0</v>
      </c>
      <c r="H179" s="135"/>
      <c r="I179" s="136"/>
      <c r="J179" s="137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302</v>
      </c>
      <c r="S179" s="31"/>
    </row>
    <row r="180" spans="1:20" ht="15" customHeight="1">
      <c r="A180" s="68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10" t="s">
        <v>256</v>
      </c>
      <c r="F180" s="135"/>
      <c r="G180" s="106">
        <v>0</v>
      </c>
      <c r="H180" s="135"/>
      <c r="I180" s="136"/>
      <c r="J180" s="137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9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10" t="s">
        <v>256</v>
      </c>
      <c r="F181" s="135"/>
      <c r="G181" s="106">
        <v>5</v>
      </c>
      <c r="H181" s="135"/>
      <c r="I181" s="136"/>
      <c r="J181" s="137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8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10" t="s">
        <v>256</v>
      </c>
      <c r="F182" s="135"/>
      <c r="G182" s="106">
        <v>2</v>
      </c>
      <c r="H182" s="135"/>
      <c r="I182" s="136"/>
      <c r="J182" s="137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286</v>
      </c>
      <c r="S182" s="31"/>
    </row>
    <row r="183" spans="1:20" ht="15" customHeight="1">
      <c r="A183" s="69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10" t="s">
        <v>256</v>
      </c>
      <c r="F183" s="135"/>
      <c r="G183" s="106">
        <v>1</v>
      </c>
      <c r="H183" s="135"/>
      <c r="I183" s="136"/>
      <c r="J183" s="137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8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10" t="s">
        <v>256</v>
      </c>
      <c r="F184" s="135"/>
      <c r="G184" s="106">
        <v>0</v>
      </c>
      <c r="H184" s="135"/>
      <c r="I184" s="136"/>
      <c r="J184" s="137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9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10" t="s">
        <v>256</v>
      </c>
      <c r="F185" s="135"/>
      <c r="G185" s="106">
        <v>2</v>
      </c>
      <c r="H185" s="135"/>
      <c r="I185" s="136"/>
      <c r="J185" s="137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286</v>
      </c>
      <c r="S185" s="31"/>
    </row>
    <row r="186" spans="1:20" ht="15" customHeight="1">
      <c r="A186" s="68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10" t="s">
        <v>256</v>
      </c>
      <c r="F186" s="135"/>
      <c r="G186" s="106">
        <v>3</v>
      </c>
      <c r="H186" s="135"/>
      <c r="I186" s="136"/>
      <c r="J186" s="137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9">
        <v>46241</v>
      </c>
      <c r="B187" s="32">
        <f t="shared" si="41"/>
        <v>1.25</v>
      </c>
      <c r="C187" s="33" t="s">
        <v>50</v>
      </c>
      <c r="D187" s="62" t="s">
        <v>43</v>
      </c>
      <c r="E187" s="110" t="s">
        <v>256</v>
      </c>
      <c r="F187" s="135"/>
      <c r="G187" s="106">
        <v>4</v>
      </c>
      <c r="H187" s="135"/>
      <c r="I187" s="136"/>
      <c r="J187" s="137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8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10" t="s">
        <v>256</v>
      </c>
      <c r="F188" s="138"/>
      <c r="G188" s="106">
        <v>0</v>
      </c>
      <c r="H188" s="138"/>
      <c r="I188" s="139"/>
      <c r="J188" s="140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2" t="s">
        <v>244</v>
      </c>
      <c r="B189" s="153"/>
      <c r="C189" s="153"/>
      <c r="D189" s="153"/>
      <c r="E189" s="153">
        <f>SUM(E177:E188)</f>
        <v>0</v>
      </c>
      <c r="F189" s="112"/>
      <c r="G189" s="81">
        <f>SUM(G177:G188)</f>
        <v>19</v>
      </c>
      <c r="H189" s="112"/>
      <c r="I189" s="116"/>
      <c r="J189" s="125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20">
        <f>IFERROR(J189,"")</f>
        <v>0</v>
      </c>
    </row>
    <row r="190" spans="1:20" ht="18" customHeight="1">
      <c r="A190" s="150" t="s">
        <v>245</v>
      </c>
      <c r="B190" s="151"/>
      <c r="C190" s="151"/>
      <c r="D190" s="151"/>
      <c r="E190" s="151">
        <f>E176+E189</f>
        <v>0</v>
      </c>
      <c r="F190" s="113"/>
      <c r="G190" s="92">
        <f>G176+G189</f>
        <v>84</v>
      </c>
      <c r="H190" s="113"/>
      <c r="I190" s="117"/>
      <c r="J190" s="126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1">
        <f>IFERROR(J190,"")</f>
        <v>0</v>
      </c>
    </row>
    <row r="191" spans="1:20" ht="15" customHeight="1">
      <c r="A191" s="69">
        <v>46242</v>
      </c>
      <c r="B191" s="32">
        <v>0.33333333333333298</v>
      </c>
      <c r="C191" s="33" t="s">
        <v>26</v>
      </c>
      <c r="D191" s="62" t="s">
        <v>43</v>
      </c>
      <c r="E191" s="110" t="s">
        <v>256</v>
      </c>
      <c r="F191" s="141"/>
      <c r="G191" s="106">
        <v>0</v>
      </c>
      <c r="H191" s="141"/>
      <c r="I191" s="142"/>
      <c r="J191" s="143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8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10" t="s">
        <v>256</v>
      </c>
      <c r="F192" s="135"/>
      <c r="G192" s="106">
        <v>2</v>
      </c>
      <c r="H192" s="135"/>
      <c r="I192" s="136"/>
      <c r="J192" s="137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9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10" t="s">
        <v>256</v>
      </c>
      <c r="F193" s="135"/>
      <c r="G193" s="106">
        <v>0</v>
      </c>
      <c r="H193" s="135"/>
      <c r="I193" s="136"/>
      <c r="J193" s="137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8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10" t="s">
        <v>256</v>
      </c>
      <c r="F194" s="135"/>
      <c r="G194" s="106">
        <v>2</v>
      </c>
      <c r="H194" s="135"/>
      <c r="I194" s="136"/>
      <c r="J194" s="137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9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10" t="s">
        <v>256</v>
      </c>
      <c r="F195" s="135"/>
      <c r="G195" s="106">
        <v>0</v>
      </c>
      <c r="H195" s="135"/>
      <c r="I195" s="136"/>
      <c r="J195" s="137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8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10" t="s">
        <v>256</v>
      </c>
      <c r="F196" s="135"/>
      <c r="G196" s="106">
        <v>0</v>
      </c>
      <c r="H196" s="135"/>
      <c r="I196" s="136"/>
      <c r="J196" s="137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9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10" t="s">
        <v>256</v>
      </c>
      <c r="F197" s="135"/>
      <c r="G197" s="106">
        <v>2</v>
      </c>
      <c r="H197" s="135"/>
      <c r="I197" s="136"/>
      <c r="J197" s="137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8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10" t="s">
        <v>256</v>
      </c>
      <c r="F198" s="135"/>
      <c r="G198" s="106">
        <v>3</v>
      </c>
      <c r="H198" s="135"/>
      <c r="I198" s="136"/>
      <c r="J198" s="137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9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10" t="s">
        <v>256</v>
      </c>
      <c r="F199" s="135"/>
      <c r="G199" s="106">
        <v>0</v>
      </c>
      <c r="H199" s="135"/>
      <c r="I199" s="136"/>
      <c r="J199" s="137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8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10" t="s">
        <v>256</v>
      </c>
      <c r="F200" s="135"/>
      <c r="G200" s="106">
        <v>4</v>
      </c>
      <c r="H200" s="135"/>
      <c r="I200" s="136"/>
      <c r="J200" s="137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9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10" t="s">
        <v>256</v>
      </c>
      <c r="F201" s="135"/>
      <c r="G201" s="106">
        <v>0</v>
      </c>
      <c r="H201" s="135"/>
      <c r="I201" s="136"/>
      <c r="J201" s="137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8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10" t="s">
        <v>256</v>
      </c>
      <c r="F202" s="138"/>
      <c r="G202" s="106">
        <v>2</v>
      </c>
      <c r="H202" s="138"/>
      <c r="I202" s="139"/>
      <c r="J202" s="140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2" t="s">
        <v>241</v>
      </c>
      <c r="B203" s="153"/>
      <c r="C203" s="153"/>
      <c r="D203" s="153"/>
      <c r="E203" s="153">
        <f>SUM(E191:E202)</f>
        <v>0</v>
      </c>
      <c r="F203" s="111"/>
      <c r="G203" s="81">
        <f>SUM(G191:G202)</f>
        <v>15</v>
      </c>
      <c r="H203" s="111"/>
      <c r="I203" s="115"/>
      <c r="J203" s="124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20">
        <f>IFERROR(J203,"")</f>
        <v>0</v>
      </c>
    </row>
    <row r="204" spans="1:20" ht="15" customHeight="1">
      <c r="A204" s="68">
        <v>46242</v>
      </c>
      <c r="B204" s="25">
        <v>0.83333333333333304</v>
      </c>
      <c r="C204" s="26" t="s">
        <v>50</v>
      </c>
      <c r="D204" s="59" t="s">
        <v>43</v>
      </c>
      <c r="E204" s="109" t="s">
        <v>256</v>
      </c>
      <c r="F204" s="141"/>
      <c r="G204" s="106">
        <v>2</v>
      </c>
      <c r="H204" s="141"/>
      <c r="I204" s="142"/>
      <c r="J204" s="143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9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9" t="s">
        <v>256</v>
      </c>
      <c r="F205" s="135"/>
      <c r="G205" s="106">
        <v>6</v>
      </c>
      <c r="H205" s="135"/>
      <c r="I205" s="136"/>
      <c r="J205" s="137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303</v>
      </c>
      <c r="S205" s="47"/>
    </row>
    <row r="206" spans="1:20" ht="15" customHeight="1">
      <c r="A206" s="68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9" t="s">
        <v>256</v>
      </c>
      <c r="F206" s="135"/>
      <c r="G206" s="106">
        <v>1</v>
      </c>
      <c r="H206" s="135"/>
      <c r="I206" s="136"/>
      <c r="J206" s="137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9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9" t="s">
        <v>256</v>
      </c>
      <c r="F207" s="135"/>
      <c r="G207" s="106">
        <v>5</v>
      </c>
      <c r="H207" s="135"/>
      <c r="I207" s="136"/>
      <c r="J207" s="137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8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9" t="s">
        <v>256</v>
      </c>
      <c r="F208" s="135"/>
      <c r="G208" s="106">
        <v>7</v>
      </c>
      <c r="H208" s="135"/>
      <c r="I208" s="136"/>
      <c r="J208" s="137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9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9" t="s">
        <v>256</v>
      </c>
      <c r="F209" s="135"/>
      <c r="G209" s="106">
        <v>7</v>
      </c>
      <c r="H209" s="135"/>
      <c r="I209" s="136"/>
      <c r="J209" s="137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8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9" t="s">
        <v>256</v>
      </c>
      <c r="F210" s="135"/>
      <c r="G210" s="106">
        <v>4</v>
      </c>
      <c r="H210" s="135"/>
      <c r="I210" s="136"/>
      <c r="J210" s="137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9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9" t="s">
        <v>256</v>
      </c>
      <c r="F211" s="135"/>
      <c r="G211" s="106">
        <v>5</v>
      </c>
      <c r="H211" s="135"/>
      <c r="I211" s="136"/>
      <c r="J211" s="137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8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9" t="s">
        <v>256</v>
      </c>
      <c r="F212" s="135"/>
      <c r="G212" s="106">
        <v>0</v>
      </c>
      <c r="H212" s="135"/>
      <c r="I212" s="136"/>
      <c r="J212" s="137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9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9" t="s">
        <v>256</v>
      </c>
      <c r="F213" s="135"/>
      <c r="G213" s="106">
        <v>3</v>
      </c>
      <c r="H213" s="135"/>
      <c r="I213" s="136"/>
      <c r="J213" s="137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8">
        <v>46242</v>
      </c>
      <c r="B214" s="25">
        <f t="shared" si="47"/>
        <v>1.25</v>
      </c>
      <c r="C214" s="26" t="s">
        <v>50</v>
      </c>
      <c r="D214" s="59" t="s">
        <v>43</v>
      </c>
      <c r="E214" s="109" t="s">
        <v>256</v>
      </c>
      <c r="F214" s="135"/>
      <c r="G214" s="106">
        <v>3</v>
      </c>
      <c r="H214" s="135"/>
      <c r="I214" s="136"/>
      <c r="J214" s="137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9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9" t="s">
        <v>256</v>
      </c>
      <c r="F215" s="138"/>
      <c r="G215" s="106">
        <v>3</v>
      </c>
      <c r="H215" s="138"/>
      <c r="I215" s="139"/>
      <c r="J215" s="140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2" t="s">
        <v>244</v>
      </c>
      <c r="B216" s="153"/>
      <c r="C216" s="153"/>
      <c r="D216" s="153"/>
      <c r="E216" s="153">
        <f>SUM(E204:E215)</f>
        <v>0</v>
      </c>
      <c r="F216" s="112"/>
      <c r="G216" s="81">
        <f>SUM(G204:G215)</f>
        <v>46</v>
      </c>
      <c r="H216" s="112"/>
      <c r="I216" s="116"/>
      <c r="J216" s="125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20">
        <f>IFERROR(J216,"")</f>
        <v>0</v>
      </c>
    </row>
    <row r="217" spans="1:20" ht="18" customHeight="1">
      <c r="A217" s="150" t="s">
        <v>245</v>
      </c>
      <c r="B217" s="151"/>
      <c r="C217" s="151"/>
      <c r="D217" s="151"/>
      <c r="E217" s="151">
        <f>E203+E216</f>
        <v>0</v>
      </c>
      <c r="F217" s="113"/>
      <c r="G217" s="92">
        <f>G203+G216</f>
        <v>61</v>
      </c>
      <c r="H217" s="113"/>
      <c r="I217" s="117"/>
      <c r="J217" s="126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2">
        <f>IFERROR(J217,"")</f>
        <v>0</v>
      </c>
    </row>
    <row r="218" spans="1:20" ht="15" customHeight="1">
      <c r="A218" s="68">
        <v>46243</v>
      </c>
      <c r="B218" s="25">
        <v>0.33333333333333298</v>
      </c>
      <c r="C218" s="26" t="s">
        <v>34</v>
      </c>
      <c r="D218" s="59" t="s">
        <v>43</v>
      </c>
      <c r="E218" s="109" t="s">
        <v>256</v>
      </c>
      <c r="F218" s="141"/>
      <c r="G218" s="106">
        <v>0</v>
      </c>
      <c r="H218" s="141"/>
      <c r="I218" s="142"/>
      <c r="J218" s="143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9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9" t="s">
        <v>256</v>
      </c>
      <c r="F219" s="135"/>
      <c r="G219" s="106">
        <v>12</v>
      </c>
      <c r="H219" s="135"/>
      <c r="I219" s="136"/>
      <c r="J219" s="137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8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9" t="s">
        <v>256</v>
      </c>
      <c r="F220" s="135"/>
      <c r="G220" s="106">
        <v>10</v>
      </c>
      <c r="H220" s="135"/>
      <c r="I220" s="136"/>
      <c r="J220" s="137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9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9" t="s">
        <v>256</v>
      </c>
      <c r="F221" s="135"/>
      <c r="G221" s="106">
        <v>7</v>
      </c>
      <c r="H221" s="135"/>
      <c r="I221" s="136"/>
      <c r="J221" s="137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304</v>
      </c>
      <c r="S221" s="47"/>
    </row>
    <row r="222" spans="1:20" ht="15" customHeight="1">
      <c r="A222" s="68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9" t="s">
        <v>240</v>
      </c>
      <c r="F222" s="135"/>
      <c r="G222" s="106">
        <v>5</v>
      </c>
      <c r="H222" s="135"/>
      <c r="I222" s="136"/>
      <c r="J222" s="137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305</v>
      </c>
      <c r="Q222" s="30" t="str">
        <f t="shared" ca="1" si="49"/>
        <v/>
      </c>
      <c r="R222" s="27" t="s">
        <v>306</v>
      </c>
      <c r="S222" s="47"/>
    </row>
    <row r="223" spans="1:20" ht="15" customHeight="1">
      <c r="A223" s="69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9" t="s">
        <v>256</v>
      </c>
      <c r="F223" s="135"/>
      <c r="G223" s="106">
        <v>7</v>
      </c>
      <c r="H223" s="135"/>
      <c r="I223" s="136"/>
      <c r="J223" s="137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8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9" t="s">
        <v>256</v>
      </c>
      <c r="F224" s="135"/>
      <c r="G224" s="106">
        <v>5</v>
      </c>
      <c r="H224" s="135"/>
      <c r="I224" s="136"/>
      <c r="J224" s="137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9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9" t="s">
        <v>256</v>
      </c>
      <c r="F225" s="135"/>
      <c r="G225" s="106">
        <v>14</v>
      </c>
      <c r="H225" s="135"/>
      <c r="I225" s="136"/>
      <c r="J225" s="137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8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9" t="s">
        <v>256</v>
      </c>
      <c r="F226" s="135"/>
      <c r="G226" s="106">
        <v>3</v>
      </c>
      <c r="H226" s="135"/>
      <c r="I226" s="136"/>
      <c r="J226" s="137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9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9" t="s">
        <v>256</v>
      </c>
      <c r="F227" s="135"/>
      <c r="G227" s="106">
        <v>2</v>
      </c>
      <c r="H227" s="135"/>
      <c r="I227" s="136"/>
      <c r="J227" s="137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8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9" t="s">
        <v>256</v>
      </c>
      <c r="F228" s="135"/>
      <c r="G228" s="106">
        <v>2</v>
      </c>
      <c r="H228" s="135"/>
      <c r="I228" s="136"/>
      <c r="J228" s="137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9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9" t="s">
        <v>256</v>
      </c>
      <c r="F229" s="138"/>
      <c r="G229" s="106">
        <v>10</v>
      </c>
      <c r="H229" s="138"/>
      <c r="I229" s="139"/>
      <c r="J229" s="140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2" t="s">
        <v>241</v>
      </c>
      <c r="B230" s="153"/>
      <c r="C230" s="153"/>
      <c r="D230" s="153"/>
      <c r="E230" s="153">
        <f>SUM(E218:E229)</f>
        <v>0</v>
      </c>
      <c r="F230" s="111"/>
      <c r="G230" s="81">
        <f>SUM(G218:G229)</f>
        <v>77</v>
      </c>
      <c r="H230" s="111"/>
      <c r="I230" s="115"/>
      <c r="J230" s="124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20">
        <f>IFERROR(J230,"")</f>
        <v>0</v>
      </c>
    </row>
    <row r="231" spans="1:20" ht="15" customHeight="1">
      <c r="A231" s="69">
        <v>46243</v>
      </c>
      <c r="B231" s="32">
        <v>0.83333333333333304</v>
      </c>
      <c r="C231" s="33" t="s">
        <v>50</v>
      </c>
      <c r="D231" s="62" t="s">
        <v>43</v>
      </c>
      <c r="E231" s="110" t="s">
        <v>256</v>
      </c>
      <c r="F231" s="141"/>
      <c r="G231" s="106">
        <v>9</v>
      </c>
      <c r="H231" s="141"/>
      <c r="I231" s="142"/>
      <c r="J231" s="143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8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10" t="s">
        <v>240</v>
      </c>
      <c r="F232" s="135"/>
      <c r="G232" s="106">
        <v>7</v>
      </c>
      <c r="H232" s="135"/>
      <c r="I232" s="136"/>
      <c r="J232" s="137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9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10" t="s">
        <v>256</v>
      </c>
      <c r="F233" s="135"/>
      <c r="G233" s="106">
        <v>2</v>
      </c>
      <c r="H233" s="135"/>
      <c r="I233" s="136"/>
      <c r="J233" s="137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8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10" t="s">
        <v>240</v>
      </c>
      <c r="F234" s="135"/>
      <c r="G234" s="106">
        <v>1</v>
      </c>
      <c r="H234" s="135"/>
      <c r="I234" s="136"/>
      <c r="J234" s="137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9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10" t="s">
        <v>240</v>
      </c>
      <c r="F235" s="135"/>
      <c r="G235" s="106">
        <v>7</v>
      </c>
      <c r="H235" s="135"/>
      <c r="I235" s="136"/>
      <c r="J235" s="137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8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10" t="s">
        <v>240</v>
      </c>
      <c r="F236" s="135"/>
      <c r="G236" s="106">
        <v>11</v>
      </c>
      <c r="H236" s="135"/>
      <c r="I236" s="136"/>
      <c r="J236" s="137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9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10" t="s">
        <v>240</v>
      </c>
      <c r="F237" s="135"/>
      <c r="G237" s="106">
        <v>12</v>
      </c>
      <c r="H237" s="135"/>
      <c r="I237" s="136"/>
      <c r="J237" s="137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8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10" t="s">
        <v>240</v>
      </c>
      <c r="F238" s="135"/>
      <c r="G238" s="106">
        <v>3</v>
      </c>
      <c r="H238" s="135"/>
      <c r="I238" s="136"/>
      <c r="J238" s="137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9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10" t="s">
        <v>240</v>
      </c>
      <c r="F239" s="135"/>
      <c r="G239" s="106">
        <v>7</v>
      </c>
      <c r="H239" s="135"/>
      <c r="I239" s="136"/>
      <c r="J239" s="137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8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10" t="s">
        <v>240</v>
      </c>
      <c r="F240" s="135"/>
      <c r="G240" s="106">
        <v>11</v>
      </c>
      <c r="H240" s="135"/>
      <c r="I240" s="136"/>
      <c r="J240" s="137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9">
        <v>46243</v>
      </c>
      <c r="B241" s="32">
        <f t="shared" si="53"/>
        <v>1.25</v>
      </c>
      <c r="C241" s="33" t="s">
        <v>50</v>
      </c>
      <c r="D241" s="62" t="s">
        <v>43</v>
      </c>
      <c r="E241" s="110" t="s">
        <v>240</v>
      </c>
      <c r="F241" s="135"/>
      <c r="G241" s="106">
        <v>3</v>
      </c>
      <c r="H241" s="135"/>
      <c r="I241" s="136"/>
      <c r="J241" s="137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8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10" t="s">
        <v>240</v>
      </c>
      <c r="F242" s="138"/>
      <c r="G242" s="106">
        <v>0</v>
      </c>
      <c r="H242" s="138"/>
      <c r="I242" s="139"/>
      <c r="J242" s="140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2" t="s">
        <v>244</v>
      </c>
      <c r="B243" s="153"/>
      <c r="C243" s="153"/>
      <c r="D243" s="153"/>
      <c r="E243" s="153">
        <f>SUM(E231:E242)</f>
        <v>0</v>
      </c>
      <c r="F243" s="112"/>
      <c r="G243" s="81">
        <f>SUM(G231:G242)</f>
        <v>73</v>
      </c>
      <c r="H243" s="112"/>
      <c r="I243" s="116"/>
      <c r="J243" s="125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20">
        <f>IFERROR(J243,"")</f>
        <v>0</v>
      </c>
    </row>
    <row r="244" spans="1:20" ht="18" customHeight="1">
      <c r="A244" s="150" t="s">
        <v>245</v>
      </c>
      <c r="B244" s="151"/>
      <c r="C244" s="151"/>
      <c r="D244" s="151"/>
      <c r="E244" s="151">
        <f>E230+E243</f>
        <v>0</v>
      </c>
      <c r="F244" s="113"/>
      <c r="G244" s="92">
        <f>G230+G243</f>
        <v>150</v>
      </c>
      <c r="H244" s="113"/>
      <c r="I244" s="117"/>
      <c r="J244" s="126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2">
        <f>IFERROR(J244,"")</f>
        <v>0</v>
      </c>
    </row>
    <row r="245" spans="1:20" ht="15" customHeight="1">
      <c r="A245" s="68">
        <v>46244</v>
      </c>
      <c r="B245" s="25">
        <v>0.33333333333333298</v>
      </c>
      <c r="C245" s="26" t="s">
        <v>34</v>
      </c>
      <c r="D245" s="59" t="s">
        <v>43</v>
      </c>
      <c r="E245" s="109" t="s">
        <v>240</v>
      </c>
      <c r="F245" s="141"/>
      <c r="G245" s="55">
        <v>7</v>
      </c>
      <c r="H245" s="141"/>
      <c r="I245" s="142"/>
      <c r="J245" s="143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307</v>
      </c>
      <c r="S245" s="47"/>
    </row>
    <row r="246" spans="1:20" ht="15" customHeight="1">
      <c r="A246" s="69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9" t="s">
        <v>240</v>
      </c>
      <c r="F246" s="135"/>
      <c r="G246" s="55">
        <v>2</v>
      </c>
      <c r="H246" s="135"/>
      <c r="I246" s="136"/>
      <c r="J246" s="137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8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9" t="s">
        <v>240</v>
      </c>
      <c r="F247" s="135"/>
      <c r="G247" s="55">
        <v>10</v>
      </c>
      <c r="H247" s="135"/>
      <c r="I247" s="136"/>
      <c r="J247" s="137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9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9" t="s">
        <v>240</v>
      </c>
      <c r="F248" s="135"/>
      <c r="G248" s="55">
        <v>13</v>
      </c>
      <c r="H248" s="135"/>
      <c r="I248" s="136"/>
      <c r="J248" s="137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8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9" t="s">
        <v>256</v>
      </c>
      <c r="F249" s="135"/>
      <c r="G249" s="55">
        <v>11</v>
      </c>
      <c r="H249" s="135"/>
      <c r="I249" s="136"/>
      <c r="J249" s="137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9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9" t="s">
        <v>256</v>
      </c>
      <c r="F250" s="135"/>
      <c r="G250" s="55">
        <v>7</v>
      </c>
      <c r="H250" s="135"/>
      <c r="I250" s="136"/>
      <c r="J250" s="137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8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9" t="s">
        <v>256</v>
      </c>
      <c r="F251" s="135"/>
      <c r="G251" s="55">
        <v>10</v>
      </c>
      <c r="H251" s="135"/>
      <c r="I251" s="136"/>
      <c r="J251" s="137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9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9" t="s">
        <v>256</v>
      </c>
      <c r="F252" s="135"/>
      <c r="G252" s="55">
        <v>13</v>
      </c>
      <c r="H252" s="135"/>
      <c r="I252" s="136"/>
      <c r="J252" s="137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8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9" t="s">
        <v>256</v>
      </c>
      <c r="F253" s="135"/>
      <c r="G253" s="55">
        <v>15</v>
      </c>
      <c r="H253" s="135"/>
      <c r="I253" s="136"/>
      <c r="J253" s="137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9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9" t="s">
        <v>256</v>
      </c>
      <c r="F254" s="135"/>
      <c r="G254" s="55">
        <v>10</v>
      </c>
      <c r="H254" s="135"/>
      <c r="I254" s="136"/>
      <c r="J254" s="137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8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9" t="s">
        <v>240</v>
      </c>
      <c r="F255" s="135"/>
      <c r="G255" s="55">
        <v>8</v>
      </c>
      <c r="H255" s="135"/>
      <c r="I255" s="136"/>
      <c r="J255" s="137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9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9" t="s">
        <v>240</v>
      </c>
      <c r="F256" s="138"/>
      <c r="G256" s="55">
        <v>7</v>
      </c>
      <c r="H256" s="138"/>
      <c r="I256" s="139"/>
      <c r="J256" s="140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2" t="s">
        <v>241</v>
      </c>
      <c r="B257" s="153"/>
      <c r="C257" s="153"/>
      <c r="D257" s="153"/>
      <c r="E257" s="153"/>
      <c r="F257" s="146"/>
      <c r="G257" s="147">
        <f>SUM(G245:G256)</f>
        <v>113</v>
      </c>
      <c r="H257" s="146"/>
      <c r="I257" s="148"/>
      <c r="J257" s="149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20">
        <f>IFERROR(J257,"")</f>
        <v>0</v>
      </c>
    </row>
    <row r="258" spans="1:20" ht="15" customHeight="1">
      <c r="A258" s="69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1"/>
      <c r="G258" s="55">
        <v>9</v>
      </c>
      <c r="H258" s="141"/>
      <c r="I258" s="142"/>
      <c r="J258" s="143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8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5"/>
      <c r="G259" s="55">
        <v>15</v>
      </c>
      <c r="H259" s="135"/>
      <c r="I259" s="136"/>
      <c r="J259" s="137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9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5"/>
      <c r="G260" s="55">
        <v>7</v>
      </c>
      <c r="H260" s="135"/>
      <c r="I260" s="136"/>
      <c r="J260" s="137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8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5"/>
      <c r="G261" s="27">
        <v>6</v>
      </c>
      <c r="H261" s="135"/>
      <c r="I261" s="136"/>
      <c r="J261" s="137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9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5"/>
      <c r="G262" s="27">
        <v>10</v>
      </c>
      <c r="H262" s="135"/>
      <c r="I262" s="136"/>
      <c r="J262" s="137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8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5"/>
      <c r="G263" s="27">
        <v>8</v>
      </c>
      <c r="H263" s="135"/>
      <c r="I263" s="136"/>
      <c r="J263" s="137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9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5"/>
      <c r="G264" s="27">
        <v>3</v>
      </c>
      <c r="H264" s="135"/>
      <c r="I264" s="136"/>
      <c r="J264" s="137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8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5"/>
      <c r="G265" s="27">
        <v>0</v>
      </c>
      <c r="H265" s="135"/>
      <c r="I265" s="136"/>
      <c r="J265" s="137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9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5"/>
      <c r="G266" s="27">
        <v>0</v>
      </c>
      <c r="H266" s="135"/>
      <c r="I266" s="136"/>
      <c r="J266" s="137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8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5"/>
      <c r="G267" s="27">
        <v>0</v>
      </c>
      <c r="H267" s="135"/>
      <c r="I267" s="136"/>
      <c r="J267" s="137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9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5"/>
      <c r="G268" s="27">
        <v>0</v>
      </c>
      <c r="H268" s="135"/>
      <c r="I268" s="136"/>
      <c r="J268" s="137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8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8"/>
      <c r="G269" s="27">
        <v>0</v>
      </c>
      <c r="H269" s="138"/>
      <c r="I269" s="139"/>
      <c r="J269" s="140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2" t="s">
        <v>244</v>
      </c>
      <c r="B270" s="153"/>
      <c r="C270" s="153"/>
      <c r="D270" s="153"/>
      <c r="E270" s="153">
        <f>SUM(E258:E269)</f>
        <v>0</v>
      </c>
      <c r="F270" s="112"/>
      <c r="G270" s="36">
        <f>SUM(G258:G269)</f>
        <v>58</v>
      </c>
      <c r="H270" s="112"/>
      <c r="I270" s="116"/>
      <c r="J270" s="125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20">
        <f>IFERROR(J270,"")</f>
        <v>0</v>
      </c>
    </row>
    <row r="271" spans="1:20" ht="18" customHeight="1">
      <c r="A271" s="150" t="s">
        <v>245</v>
      </c>
      <c r="B271" s="151"/>
      <c r="C271" s="151"/>
      <c r="D271" s="151"/>
      <c r="E271" s="151">
        <f>E257+E270</f>
        <v>0</v>
      </c>
      <c r="F271" s="113"/>
      <c r="G271" s="92">
        <f>G257+G270</f>
        <v>171</v>
      </c>
      <c r="H271" s="113"/>
      <c r="I271" s="117"/>
      <c r="J271" s="126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2">
        <f>IFERROR(J271,"")</f>
        <v>0</v>
      </c>
    </row>
    <row r="272" spans="1:20" ht="15" customHeight="1">
      <c r="A272" s="68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1"/>
      <c r="G272" s="27">
        <v>4</v>
      </c>
      <c r="H272" s="141"/>
      <c r="I272" s="142"/>
      <c r="J272" s="143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9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5"/>
      <c r="G273" s="27">
        <v>5</v>
      </c>
      <c r="H273" s="135"/>
      <c r="I273" s="136"/>
      <c r="J273" s="137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8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5"/>
      <c r="G274" s="27">
        <v>8</v>
      </c>
      <c r="H274" s="135"/>
      <c r="I274" s="136"/>
      <c r="J274" s="137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9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5"/>
      <c r="G275" s="27">
        <v>5</v>
      </c>
      <c r="H275" s="135"/>
      <c r="I275" s="136"/>
      <c r="J275" s="137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8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5"/>
      <c r="G276" s="27">
        <v>7</v>
      </c>
      <c r="H276" s="135"/>
      <c r="I276" s="136"/>
      <c r="J276" s="137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9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5"/>
      <c r="G277" s="27">
        <v>15</v>
      </c>
      <c r="H277" s="135"/>
      <c r="I277" s="136"/>
      <c r="J277" s="137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8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5"/>
      <c r="G278" s="27">
        <v>12</v>
      </c>
      <c r="H278" s="135"/>
      <c r="I278" s="136"/>
      <c r="J278" s="137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9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5"/>
      <c r="G279" s="27">
        <v>12</v>
      </c>
      <c r="H279" s="135"/>
      <c r="I279" s="136"/>
      <c r="J279" s="137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8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5"/>
      <c r="G280" s="27">
        <v>6</v>
      </c>
      <c r="H280" s="135"/>
      <c r="I280" s="136"/>
      <c r="J280" s="137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9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5"/>
      <c r="G281" s="27">
        <v>5</v>
      </c>
      <c r="H281" s="135"/>
      <c r="I281" s="136"/>
      <c r="J281" s="137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8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5"/>
      <c r="G282" s="27">
        <v>10</v>
      </c>
      <c r="H282" s="135"/>
      <c r="I282" s="136"/>
      <c r="J282" s="137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9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8"/>
      <c r="G283" s="27">
        <v>6</v>
      </c>
      <c r="H283" s="138"/>
      <c r="I283" s="139"/>
      <c r="J283" s="140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2" t="s">
        <v>241</v>
      </c>
      <c r="B284" s="153"/>
      <c r="C284" s="153"/>
      <c r="D284" s="153"/>
      <c r="E284" s="153">
        <f>SUM(E272:E283)</f>
        <v>0</v>
      </c>
      <c r="F284" s="111"/>
      <c r="G284" s="36">
        <f>SUM(G272:G283)</f>
        <v>95</v>
      </c>
      <c r="H284" s="111"/>
      <c r="I284" s="115"/>
      <c r="J284" s="124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20">
        <f>IFERROR(J284,"")</f>
        <v>0</v>
      </c>
    </row>
    <row r="285" spans="1:20" ht="15" customHeight="1">
      <c r="A285" s="69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10"/>
      <c r="G285" s="27">
        <v>5</v>
      </c>
      <c r="H285" s="141"/>
      <c r="I285" s="142"/>
      <c r="J285" s="143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8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5"/>
      <c r="G286" s="27">
        <v>5</v>
      </c>
      <c r="H286" s="135"/>
      <c r="I286" s="136"/>
      <c r="J286" s="137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9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5"/>
      <c r="G287" s="27">
        <v>6</v>
      </c>
      <c r="H287" s="135"/>
      <c r="I287" s="136"/>
      <c r="J287" s="137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8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5"/>
      <c r="G288" s="27">
        <v>15</v>
      </c>
      <c r="H288" s="135"/>
      <c r="I288" s="136"/>
      <c r="J288" s="137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9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5"/>
      <c r="G289" s="27">
        <v>4</v>
      </c>
      <c r="H289" s="135"/>
      <c r="I289" s="136"/>
      <c r="J289" s="137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8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5"/>
      <c r="G290" s="27">
        <v>5</v>
      </c>
      <c r="H290" s="135"/>
      <c r="I290" s="136"/>
      <c r="J290" s="137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9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5"/>
      <c r="G291" s="27">
        <v>4</v>
      </c>
      <c r="H291" s="135"/>
      <c r="I291" s="136"/>
      <c r="J291" s="137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8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5"/>
      <c r="G292" s="27">
        <v>6</v>
      </c>
      <c r="H292" s="135"/>
      <c r="I292" s="136"/>
      <c r="J292" s="137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9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5"/>
      <c r="G293" s="27">
        <v>9</v>
      </c>
      <c r="H293" s="135"/>
      <c r="I293" s="136"/>
      <c r="J293" s="137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8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5"/>
      <c r="G294" s="27">
        <v>8</v>
      </c>
      <c r="H294" s="135"/>
      <c r="I294" s="136"/>
      <c r="J294" s="137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9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5"/>
      <c r="G295" s="27">
        <v>8</v>
      </c>
      <c r="H295" s="135"/>
      <c r="I295" s="136"/>
      <c r="J295" s="137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8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8"/>
      <c r="G296" s="27">
        <v>9</v>
      </c>
      <c r="H296" s="138"/>
      <c r="I296" s="139"/>
      <c r="J296" s="140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2" t="s">
        <v>244</v>
      </c>
      <c r="B297" s="153"/>
      <c r="C297" s="153"/>
      <c r="D297" s="153"/>
      <c r="E297" s="153">
        <f>SUM(E285:E296)</f>
        <v>0</v>
      </c>
      <c r="F297" s="112"/>
      <c r="G297" s="36">
        <f>SUM(G285:G296)</f>
        <v>84</v>
      </c>
      <c r="H297" s="112"/>
      <c r="I297" s="116"/>
      <c r="J297" s="125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20">
        <f>IFERROR(J297,"")</f>
        <v>0</v>
      </c>
    </row>
    <row r="298" spans="1:20" ht="18" customHeight="1">
      <c r="A298" s="150" t="s">
        <v>245</v>
      </c>
      <c r="B298" s="151"/>
      <c r="C298" s="151"/>
      <c r="D298" s="151"/>
      <c r="E298" s="151">
        <f>E284+E297</f>
        <v>0</v>
      </c>
      <c r="F298" s="113"/>
      <c r="G298" s="40">
        <f>G284+G297</f>
        <v>179</v>
      </c>
      <c r="H298" s="113"/>
      <c r="I298" s="117"/>
      <c r="J298" s="126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2">
        <f>IFERROR(J298,"")</f>
        <v>0</v>
      </c>
    </row>
    <row r="299" spans="1:20" ht="15" customHeight="1">
      <c r="A299" s="69">
        <v>46246</v>
      </c>
      <c r="B299" s="32">
        <v>0.33333333333333298</v>
      </c>
      <c r="C299" s="33" t="s">
        <v>34</v>
      </c>
      <c r="D299" s="62" t="s">
        <v>35</v>
      </c>
      <c r="E299" s="110" t="s">
        <v>256</v>
      </c>
      <c r="F299" s="141">
        <f>IFERROR(IF($D299="","",VLOOKUP($D299,Cadastro!$C$4:$E$7,3,FALSE)),"")</f>
        <v>0.23</v>
      </c>
      <c r="G299" s="27">
        <v>8</v>
      </c>
      <c r="H299" s="141">
        <f>IFERROR(IF($G299="","",$G299*$S$311/$G$311/Cadastro!$E$33),"")</f>
        <v>0</v>
      </c>
      <c r="I299" s="142">
        <f>IFERROR(IF($D299="","",VLOOKUP($D299,Cadastro!$C$4:$G$7,5,FALSE)),"")</f>
        <v>0.6</v>
      </c>
      <c r="J299" s="143">
        <f t="shared" ref="J299:J310" si="65">IFERROR(IF($H299="","",$H299*$F299*$I299),"")</f>
        <v>0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8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10" t="s">
        <v>256</v>
      </c>
      <c r="F300" s="135">
        <f>IFERROR(IF($D300="","",VLOOKUP($D300,Cadastro!$C$4:$E$7,3,FALSE)),"")</f>
        <v>0.23</v>
      </c>
      <c r="G300" s="27">
        <v>10</v>
      </c>
      <c r="H300" s="135">
        <f>IFERROR(IF($G300="","",$G300*$S$311/$G$311/Cadastro!$E$33),"")</f>
        <v>0</v>
      </c>
      <c r="I300" s="136">
        <f>IFERROR(IF($D300="","",VLOOKUP($D300,Cadastro!$C$4:$G$7,5,FALSE)),"")</f>
        <v>0.6</v>
      </c>
      <c r="J300" s="137">
        <f t="shared" si="65"/>
        <v>0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9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10" t="s">
        <v>256</v>
      </c>
      <c r="F301" s="135">
        <f>IFERROR(IF($D301="","",VLOOKUP($D301,Cadastro!$C$4:$E$7,3,FALSE)),"")</f>
        <v>0.23</v>
      </c>
      <c r="G301" s="27">
        <v>14</v>
      </c>
      <c r="H301" s="135">
        <f>IFERROR(IF($G301="","",$G301*$S$311/$G$311/Cadastro!$E$33),"")</f>
        <v>0</v>
      </c>
      <c r="I301" s="136">
        <f>IFERROR(IF($D301="","",VLOOKUP($D301,Cadastro!$C$4:$G$7,5,FALSE)),"")</f>
        <v>0.6</v>
      </c>
      <c r="J301" s="137">
        <f t="shared" si="65"/>
        <v>0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/>
      <c r="Q301" s="35">
        <f t="shared" ca="1" si="67"/>
        <v>0.69817071759462124</v>
      </c>
      <c r="R301" s="27" t="s">
        <v>32</v>
      </c>
      <c r="S301" s="47"/>
    </row>
    <row r="302" spans="1:20" ht="15" customHeight="1">
      <c r="A302" s="68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10" t="s">
        <v>256</v>
      </c>
      <c r="F302" s="135">
        <f>IFERROR(IF($D302="","",VLOOKUP($D302,Cadastro!$C$4:$E$7,3,FALSE)),"")</f>
        <v>0.23</v>
      </c>
      <c r="G302" s="27">
        <v>15</v>
      </c>
      <c r="H302" s="135">
        <f>IFERROR(IF($G302="","",$G302*$S$311/$G$311/Cadastro!$E$33),"")</f>
        <v>0</v>
      </c>
      <c r="I302" s="136">
        <f>IFERROR(IF($D302="","",VLOOKUP($D302,Cadastro!$C$4:$G$7,5,FALSE)),"")</f>
        <v>0.6</v>
      </c>
      <c r="J302" s="137">
        <f t="shared" si="65"/>
        <v>0</v>
      </c>
      <c r="K302" s="28">
        <f t="shared" si="66"/>
        <v>63</v>
      </c>
      <c r="L302" s="26"/>
      <c r="M302" s="26"/>
      <c r="N302" s="26"/>
      <c r="O302" s="29"/>
      <c r="P302" s="29"/>
      <c r="Q302" s="30" t="str">
        <f t="shared" ca="1" si="67"/>
        <v/>
      </c>
      <c r="R302" s="27"/>
      <c r="S302" s="47"/>
    </row>
    <row r="303" spans="1:20" ht="15" customHeight="1">
      <c r="A303" s="69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10" t="s">
        <v>256</v>
      </c>
      <c r="F303" s="135">
        <f>IFERROR(IF($D303="","",VLOOKUP($D303,Cadastro!$C$4:$E$7,3,FALSE)),"")</f>
        <v>0.23</v>
      </c>
      <c r="G303" s="27">
        <v>11</v>
      </c>
      <c r="H303" s="135">
        <f>IFERROR(IF($G303="","",$G303*$S$311/$G$311/Cadastro!$E$33),"")</f>
        <v>0</v>
      </c>
      <c r="I303" s="136">
        <f>IFERROR(IF($D303="","",VLOOKUP($D303,Cadastro!$C$4:$G$7,5,FALSE)),"")</f>
        <v>0.6</v>
      </c>
      <c r="J303" s="137">
        <f t="shared" si="65"/>
        <v>0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8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10" t="s">
        <v>256</v>
      </c>
      <c r="F304" s="135">
        <f>IFERROR(IF($D304="","",VLOOKUP($D304,Cadastro!$C$4:$E$7,3,FALSE)),"")</f>
        <v>0.23</v>
      </c>
      <c r="G304" s="27">
        <v>16</v>
      </c>
      <c r="H304" s="135">
        <f>IFERROR(IF($G304="","",$G304*$S$311/$G$311/Cadastro!$E$33),"")</f>
        <v>0</v>
      </c>
      <c r="I304" s="136">
        <f>IFERROR(IF($D304="","",VLOOKUP($D304,Cadastro!$C$4:$G$7,5,FALSE)),"")</f>
        <v>0.6</v>
      </c>
      <c r="J304" s="137">
        <f t="shared" si="65"/>
        <v>0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9">
        <v>46246</v>
      </c>
      <c r="B305" s="32">
        <f t="shared" si="68"/>
        <v>0.58333333333333304</v>
      </c>
      <c r="C305" s="33" t="s">
        <v>34</v>
      </c>
      <c r="D305" s="62" t="s">
        <v>35</v>
      </c>
      <c r="E305" s="110" t="s">
        <v>256</v>
      </c>
      <c r="F305" s="135">
        <f>IFERROR(IF($D305="","",VLOOKUP($D305,Cadastro!$C$4:$E$7,3,FALSE)),"")</f>
        <v>0.23</v>
      </c>
      <c r="G305" s="27">
        <v>5</v>
      </c>
      <c r="H305" s="135">
        <f>IFERROR(IF($G305="","",$G305*$S$311/$G$311/Cadastro!$E$33),"")</f>
        <v>0</v>
      </c>
      <c r="I305" s="136">
        <f>IFERROR(IF($D305="","",VLOOKUP($D305,Cadastro!$C$4:$G$7,5,FALSE)),"")</f>
        <v>0.6</v>
      </c>
      <c r="J305" s="137">
        <f t="shared" si="65"/>
        <v>0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8">
        <v>46246</v>
      </c>
      <c r="B306" s="25">
        <f t="shared" si="68"/>
        <v>0.62499999999999967</v>
      </c>
      <c r="C306" s="33" t="s">
        <v>34</v>
      </c>
      <c r="D306" s="62" t="s">
        <v>35</v>
      </c>
      <c r="E306" s="110" t="s">
        <v>256</v>
      </c>
      <c r="F306" s="135">
        <f>IFERROR(IF($D306="","",VLOOKUP($D306,Cadastro!$C$4:$E$7,3,FALSE)),"")</f>
        <v>0.23</v>
      </c>
      <c r="G306" s="106"/>
      <c r="H306" s="135" t="str">
        <f>IFERROR(IF($G306="","",$G306*$S$311/$G$311/Cadastro!$E$33),"")</f>
        <v/>
      </c>
      <c r="I306" s="136">
        <f>IFERROR(IF($D306="","",VLOOKUP($D306,Cadastro!$C$4:$G$7,5,FALSE)),"")</f>
        <v>0.6</v>
      </c>
      <c r="J306" s="137" t="str">
        <f t="shared" si="65"/>
        <v/>
      </c>
      <c r="K306" s="28" t="str">
        <f t="shared" si="66"/>
        <v/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9">
        <v>46246</v>
      </c>
      <c r="B307" s="32">
        <f t="shared" si="68"/>
        <v>0.6666666666666663</v>
      </c>
      <c r="C307" s="33" t="s">
        <v>34</v>
      </c>
      <c r="D307" s="62" t="s">
        <v>35</v>
      </c>
      <c r="E307" s="110" t="s">
        <v>256</v>
      </c>
      <c r="F307" s="135">
        <f>IFERROR(IF($D307="","",VLOOKUP($D307,Cadastro!$C$4:$E$7,3,FALSE)),"")</f>
        <v>0.23</v>
      </c>
      <c r="G307" s="106"/>
      <c r="H307" s="135" t="str">
        <f>IFERROR(IF($G307="","",$G307*$S$311/$G$311/Cadastro!$E$33),"")</f>
        <v/>
      </c>
      <c r="I307" s="136">
        <f>IFERROR(IF($D307="","",VLOOKUP($D307,Cadastro!$C$4:$G$7,5,FALSE)),"")</f>
        <v>0.6</v>
      </c>
      <c r="J307" s="137" t="str">
        <f t="shared" si="65"/>
        <v/>
      </c>
      <c r="K307" s="34" t="str">
        <f t="shared" si="66"/>
        <v/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8">
        <v>46246</v>
      </c>
      <c r="B308" s="25">
        <f t="shared" si="68"/>
        <v>0.70833333333333293</v>
      </c>
      <c r="C308" s="33" t="s">
        <v>34</v>
      </c>
      <c r="D308" s="62" t="s">
        <v>35</v>
      </c>
      <c r="E308" s="110" t="s">
        <v>256</v>
      </c>
      <c r="F308" s="135">
        <f>IFERROR(IF($D308="","",VLOOKUP($D308,Cadastro!$C$4:$E$7,3,FALSE)),"")</f>
        <v>0.23</v>
      </c>
      <c r="G308" s="106"/>
      <c r="H308" s="135" t="str">
        <f>IFERROR(IF($G308="","",$G308*$S$311/$G$311/Cadastro!$E$33),"")</f>
        <v/>
      </c>
      <c r="I308" s="136">
        <f>IFERROR(IF($D308="","",VLOOKUP($D308,Cadastro!$C$4:$G$7,5,FALSE)),"")</f>
        <v>0.6</v>
      </c>
      <c r="J308" s="137" t="str">
        <f t="shared" si="65"/>
        <v/>
      </c>
      <c r="K308" s="28" t="str">
        <f t="shared" si="66"/>
        <v/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9">
        <v>46246</v>
      </c>
      <c r="B309" s="32">
        <f t="shared" si="68"/>
        <v>0.74999999999999956</v>
      </c>
      <c r="C309" s="33" t="s">
        <v>34</v>
      </c>
      <c r="D309" s="62" t="s">
        <v>35</v>
      </c>
      <c r="E309" s="110" t="s">
        <v>256</v>
      </c>
      <c r="F309" s="135">
        <f>IFERROR(IF($D309="","",VLOOKUP($D309,Cadastro!$C$4:$E$7,3,FALSE)),"")</f>
        <v>0.23</v>
      </c>
      <c r="G309" s="106"/>
      <c r="H309" s="135" t="str">
        <f>IFERROR(IF($G309="","",$G309*$S$311/$G$311/Cadastro!$E$33),"")</f>
        <v/>
      </c>
      <c r="I309" s="136">
        <f>IFERROR(IF($D309="","",VLOOKUP($D309,Cadastro!$C$4:$G$7,5,FALSE)),"")</f>
        <v>0.6</v>
      </c>
      <c r="J309" s="137" t="str">
        <f t="shared" si="65"/>
        <v/>
      </c>
      <c r="K309" s="34" t="str">
        <f t="shared" si="66"/>
        <v/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8">
        <v>46246</v>
      </c>
      <c r="B310" s="25">
        <f t="shared" si="68"/>
        <v>0.79166666666666619</v>
      </c>
      <c r="C310" s="33" t="s">
        <v>34</v>
      </c>
      <c r="D310" s="62" t="s">
        <v>35</v>
      </c>
      <c r="E310" s="110" t="s">
        <v>256</v>
      </c>
      <c r="F310" s="138">
        <f>IFERROR(IF($D310="","",VLOOKUP($D310,Cadastro!$C$4:$E$7,3,FALSE)),"")</f>
        <v>0.23</v>
      </c>
      <c r="G310" s="106"/>
      <c r="H310" s="138" t="str">
        <f>IFERROR(IF($G310="","",$G310*$S$311/$G$311/Cadastro!$E$33),"")</f>
        <v/>
      </c>
      <c r="I310" s="139">
        <f>IFERROR(IF($D310="","",VLOOKUP($D310,Cadastro!$C$4:$G$7,5,FALSE)),"")</f>
        <v>0.6</v>
      </c>
      <c r="J310" s="140" t="str">
        <f t="shared" si="65"/>
        <v/>
      </c>
      <c r="K310" s="28" t="str">
        <f t="shared" si="66"/>
        <v/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2" t="s">
        <v>241</v>
      </c>
      <c r="B311" s="153"/>
      <c r="C311" s="153"/>
      <c r="D311" s="153"/>
      <c r="E311" s="153">
        <f>SUM(E299:E310)</f>
        <v>0</v>
      </c>
      <c r="F311" s="111"/>
      <c r="G311" s="81">
        <f>SUM(G299:G310)</f>
        <v>79</v>
      </c>
      <c r="H311" s="111">
        <f>IFERROR(SUM(H299:H310),"")</f>
        <v>0</v>
      </c>
      <c r="I311" s="115"/>
      <c r="J311" s="124">
        <f>IFERROR(SUM(J299:J310),"")</f>
        <v>0</v>
      </c>
      <c r="K311" s="36">
        <f>SUM(K299:K310)</f>
        <v>331.8</v>
      </c>
      <c r="L311" s="37"/>
      <c r="M311" s="37"/>
      <c r="N311" s="37"/>
      <c r="O311" s="37"/>
      <c r="P311" s="37"/>
      <c r="Q311" s="38">
        <f ca="1">IFERROR(SUM(Q299:Q310),"")</f>
        <v>0.70858738426128798</v>
      </c>
      <c r="R311" s="36" t="s">
        <v>242</v>
      </c>
      <c r="S311" s="39"/>
      <c r="T311" s="120">
        <f>IFERROR(J311,"")</f>
        <v>0</v>
      </c>
    </row>
    <row r="312" spans="1:20" ht="15" customHeight="1">
      <c r="A312" s="68">
        <v>46246</v>
      </c>
      <c r="B312" s="25">
        <v>0.83333333333333304</v>
      </c>
      <c r="C312" s="26"/>
      <c r="D312" s="59"/>
      <c r="E312" s="109"/>
      <c r="F312" s="141" t="str">
        <f>IFERROR(IF($D312="","",VLOOKUP($D312,Cadastro!$C$4:$E$7,3,FALSE)),"")</f>
        <v/>
      </c>
      <c r="G312" s="106"/>
      <c r="H312" s="141" t="str">
        <f>IFERROR(IF($G312="","",$G312*$S$324/$G$324/Cadastro!$E$33),"")</f>
        <v/>
      </c>
      <c r="I312" s="142" t="str">
        <f>IFERROR(IF($D312="","",VLOOKUP($D312,Cadastro!$C$4:$G$7,5,FALSE)),"")</f>
        <v/>
      </c>
      <c r="J312" s="143" t="str">
        <f t="shared" ref="J312:J323" si="69">IFERROR(IF($H312="","",$H312*$F312*$I312),"")</f>
        <v/>
      </c>
      <c r="K312" s="28" t="str">
        <f t="shared" ref="K312:K323" si="70">IF(G312="","",IF(E312="PC 17",G312*4.2,IF(E312="PC 19",G312*5,IF(E312="CB",G312*24,""))))</f>
        <v/>
      </c>
      <c r="L312" s="26"/>
      <c r="M312" s="26"/>
      <c r="N312" s="26"/>
      <c r="O312" s="29"/>
      <c r="P312" s="29"/>
      <c r="Q312" s="30" t="str">
        <f t="shared" ref="Q312:Q323" ca="1" si="71">IFERROR(IF(O312="","",IF(P312="",MOD(NOW()-O312,1),IF(P312&gt;=O312,P312-O312,P312+1-O312))),"")</f>
        <v/>
      </c>
      <c r="R312" s="27"/>
      <c r="S312" s="47"/>
    </row>
    <row r="313" spans="1:20" ht="15" customHeight="1">
      <c r="A313" s="69">
        <v>46246</v>
      </c>
      <c r="B313" s="32">
        <f t="shared" ref="B313:B323" si="72">B312+TIME(0,60,0)</f>
        <v>0.87499999999999967</v>
      </c>
      <c r="C313" s="26"/>
      <c r="D313" s="59"/>
      <c r="E313" s="109"/>
      <c r="F313" s="135" t="str">
        <f>IFERROR(IF($D313="","",VLOOKUP($D313,Cadastro!$C$4:$E$7,3,FALSE)),"")</f>
        <v/>
      </c>
      <c r="G313" s="106"/>
      <c r="H313" s="135" t="str">
        <f>IFERROR(IF($G313="","",$G313*$S$324/$G$324/Cadastro!$E$33),"")</f>
        <v/>
      </c>
      <c r="I313" s="136" t="str">
        <f>IFERROR(IF($D313="","",VLOOKUP($D313,Cadastro!$C$4:$G$7,5,FALSE)),"")</f>
        <v/>
      </c>
      <c r="J313" s="137" t="str">
        <f t="shared" si="69"/>
        <v/>
      </c>
      <c r="K313" s="34" t="str">
        <f t="shared" si="70"/>
        <v/>
      </c>
      <c r="L313" s="33"/>
      <c r="M313" s="33"/>
      <c r="N313" s="33"/>
      <c r="O313" s="29"/>
      <c r="P313" s="29"/>
      <c r="Q313" s="35" t="str">
        <f t="shared" ca="1" si="71"/>
        <v/>
      </c>
      <c r="R313" s="27"/>
      <c r="S313" s="47"/>
    </row>
    <row r="314" spans="1:20" ht="15" customHeight="1">
      <c r="A314" s="68">
        <v>46246</v>
      </c>
      <c r="B314" s="25">
        <f t="shared" si="72"/>
        <v>0.9166666666666663</v>
      </c>
      <c r="C314" s="26"/>
      <c r="D314" s="59"/>
      <c r="E314" s="109"/>
      <c r="F314" s="135" t="str">
        <f>IFERROR(IF($D314="","",VLOOKUP($D314,Cadastro!$C$4:$E$7,3,FALSE)),"")</f>
        <v/>
      </c>
      <c r="G314" s="106"/>
      <c r="H314" s="135" t="str">
        <f>IFERROR(IF($G314="","",$G314*$S$324/$G$324/Cadastro!$E$33),"")</f>
        <v/>
      </c>
      <c r="I314" s="136" t="str">
        <f>IFERROR(IF($D314="","",VLOOKUP($D314,Cadastro!$C$4:$G$7,5,FALSE)),"")</f>
        <v/>
      </c>
      <c r="J314" s="137" t="str">
        <f t="shared" si="69"/>
        <v/>
      </c>
      <c r="K314" s="28" t="str">
        <f t="shared" si="70"/>
        <v/>
      </c>
      <c r="L314" s="26"/>
      <c r="M314" s="26"/>
      <c r="N314" s="26"/>
      <c r="O314" s="29"/>
      <c r="P314" s="29"/>
      <c r="Q314" s="30" t="str">
        <f t="shared" ca="1" si="71"/>
        <v/>
      </c>
      <c r="R314" s="27"/>
      <c r="S314" s="47"/>
    </row>
    <row r="315" spans="1:20" ht="15" customHeight="1">
      <c r="A315" s="69">
        <v>46246</v>
      </c>
      <c r="B315" s="32">
        <f t="shared" si="72"/>
        <v>0.95833333333333293</v>
      </c>
      <c r="C315" s="26"/>
      <c r="D315" s="59"/>
      <c r="E315" s="109"/>
      <c r="F315" s="135" t="str">
        <f>IFERROR(IF($D315="","",VLOOKUP($D315,Cadastro!$C$4:$E$7,3,FALSE)),"")</f>
        <v/>
      </c>
      <c r="G315" s="106"/>
      <c r="H315" s="135" t="str">
        <f>IFERROR(IF($G315="","",$G315*$S$324/$G$324/Cadastro!$E$33),"")</f>
        <v/>
      </c>
      <c r="I315" s="136" t="str">
        <f>IFERROR(IF($D315="","",VLOOKUP($D315,Cadastro!$C$4:$G$7,5,FALSE)),"")</f>
        <v/>
      </c>
      <c r="J315" s="137" t="str">
        <f t="shared" si="69"/>
        <v/>
      </c>
      <c r="K315" s="34" t="str">
        <f t="shared" si="70"/>
        <v/>
      </c>
      <c r="L315" s="33"/>
      <c r="M315" s="33"/>
      <c r="N315" s="33"/>
      <c r="O315" s="29"/>
      <c r="P315" s="29"/>
      <c r="Q315" s="35" t="str">
        <f t="shared" ca="1" si="71"/>
        <v/>
      </c>
      <c r="R315" s="27"/>
      <c r="S315" s="47"/>
    </row>
    <row r="316" spans="1:20" ht="15" customHeight="1">
      <c r="A316" s="68">
        <v>46246</v>
      </c>
      <c r="B316" s="25">
        <f t="shared" si="72"/>
        <v>0.99999999999999956</v>
      </c>
      <c r="C316" s="26"/>
      <c r="D316" s="59"/>
      <c r="E316" s="109"/>
      <c r="F316" s="135" t="str">
        <f>IFERROR(IF($D316="","",VLOOKUP($D316,Cadastro!$C$4:$E$7,3,FALSE)),"")</f>
        <v/>
      </c>
      <c r="G316" s="106"/>
      <c r="H316" s="135" t="str">
        <f>IFERROR(IF($G316="","",$G316*$S$324/$G$324/Cadastro!$E$33),"")</f>
        <v/>
      </c>
      <c r="I316" s="136" t="str">
        <f>IFERROR(IF($D316="","",VLOOKUP($D316,Cadastro!$C$4:$G$7,5,FALSE)),"")</f>
        <v/>
      </c>
      <c r="J316" s="137" t="str">
        <f t="shared" si="69"/>
        <v/>
      </c>
      <c r="K316" s="28" t="str">
        <f t="shared" si="70"/>
        <v/>
      </c>
      <c r="L316" s="26"/>
      <c r="M316" s="26"/>
      <c r="N316" s="26"/>
      <c r="O316" s="29"/>
      <c r="P316" s="29"/>
      <c r="Q316" s="30" t="str">
        <f t="shared" ca="1" si="71"/>
        <v/>
      </c>
      <c r="R316" s="27"/>
      <c r="S316" s="47"/>
    </row>
    <row r="317" spans="1:20" ht="15" customHeight="1">
      <c r="A317" s="69">
        <v>46246</v>
      </c>
      <c r="B317" s="32">
        <f t="shared" si="72"/>
        <v>1.0416666666666663</v>
      </c>
      <c r="C317" s="26"/>
      <c r="D317" s="59"/>
      <c r="E317" s="109"/>
      <c r="F317" s="135" t="str">
        <f>IFERROR(IF($D317="","",VLOOKUP($D317,Cadastro!$C$4:$E$7,3,FALSE)),"")</f>
        <v/>
      </c>
      <c r="G317" s="106"/>
      <c r="H317" s="135" t="str">
        <f>IFERROR(IF($G317="","",$G317*$S$324/$G$324/Cadastro!$E$33),"")</f>
        <v/>
      </c>
      <c r="I317" s="136" t="str">
        <f>IFERROR(IF($D317="","",VLOOKUP($D317,Cadastro!$C$4:$G$7,5,FALSE)),"")</f>
        <v/>
      </c>
      <c r="J317" s="137" t="str">
        <f t="shared" si="69"/>
        <v/>
      </c>
      <c r="K317" s="34" t="str">
        <f t="shared" si="70"/>
        <v/>
      </c>
      <c r="L317" s="33"/>
      <c r="M317" s="33"/>
      <c r="N317" s="33"/>
      <c r="O317" s="29"/>
      <c r="P317" s="29"/>
      <c r="Q317" s="35" t="str">
        <f t="shared" ca="1" si="71"/>
        <v/>
      </c>
      <c r="R317" s="27"/>
      <c r="S317" s="47"/>
    </row>
    <row r="318" spans="1:20" ht="15" customHeight="1">
      <c r="A318" s="68">
        <v>46246</v>
      </c>
      <c r="B318" s="25">
        <f t="shared" si="72"/>
        <v>1.083333333333333</v>
      </c>
      <c r="C318" s="26"/>
      <c r="D318" s="59"/>
      <c r="E318" s="109"/>
      <c r="F318" s="135" t="str">
        <f>IFERROR(IF($D318="","",VLOOKUP($D318,Cadastro!$C$4:$E$7,3,FALSE)),"")</f>
        <v/>
      </c>
      <c r="G318" s="106"/>
      <c r="H318" s="135" t="str">
        <f>IFERROR(IF($G318="","",$G318*$S$324/$G$324/Cadastro!$E$33),"")</f>
        <v/>
      </c>
      <c r="I318" s="136" t="str">
        <f>IFERROR(IF($D318="","",VLOOKUP($D318,Cadastro!$C$4:$G$7,5,FALSE)),"")</f>
        <v/>
      </c>
      <c r="J318" s="137" t="str">
        <f t="shared" si="69"/>
        <v/>
      </c>
      <c r="K318" s="28" t="str">
        <f t="shared" si="70"/>
        <v/>
      </c>
      <c r="L318" s="26"/>
      <c r="M318" s="26"/>
      <c r="N318" s="26"/>
      <c r="O318" s="29"/>
      <c r="P318" s="29"/>
      <c r="Q318" s="30" t="str">
        <f t="shared" ca="1" si="71"/>
        <v/>
      </c>
      <c r="R318" s="27"/>
      <c r="S318" s="47"/>
    </row>
    <row r="319" spans="1:20" ht="15" customHeight="1">
      <c r="A319" s="69">
        <v>46246</v>
      </c>
      <c r="B319" s="32">
        <f t="shared" si="72"/>
        <v>1.1249999999999998</v>
      </c>
      <c r="C319" s="26"/>
      <c r="D319" s="59"/>
      <c r="E319" s="109"/>
      <c r="F319" s="135" t="str">
        <f>IFERROR(IF($D319="","",VLOOKUP($D319,Cadastro!$C$4:$E$7,3,FALSE)),"")</f>
        <v/>
      </c>
      <c r="G319" s="106"/>
      <c r="H319" s="135" t="str">
        <f>IFERROR(IF($G319="","",$G319*$S$324/$G$324/Cadastro!$E$33),"")</f>
        <v/>
      </c>
      <c r="I319" s="136" t="str">
        <f>IFERROR(IF($D319="","",VLOOKUP($D319,Cadastro!$C$4:$G$7,5,FALSE)),"")</f>
        <v/>
      </c>
      <c r="J319" s="137" t="str">
        <f t="shared" si="69"/>
        <v/>
      </c>
      <c r="K319" s="34" t="str">
        <f t="shared" si="70"/>
        <v/>
      </c>
      <c r="L319" s="33"/>
      <c r="M319" s="33"/>
      <c r="N319" s="33"/>
      <c r="O319" s="29"/>
      <c r="P319" s="29"/>
      <c r="Q319" s="35" t="str">
        <f t="shared" ca="1" si="71"/>
        <v/>
      </c>
      <c r="R319" s="27"/>
      <c r="S319" s="47"/>
    </row>
    <row r="320" spans="1:20" ht="15" customHeight="1">
      <c r="A320" s="68">
        <v>46246</v>
      </c>
      <c r="B320" s="25">
        <f t="shared" si="72"/>
        <v>1.1666666666666665</v>
      </c>
      <c r="C320" s="26"/>
      <c r="D320" s="59"/>
      <c r="E320" s="109"/>
      <c r="F320" s="135" t="str">
        <f>IFERROR(IF($D320="","",VLOOKUP($D320,Cadastro!$C$4:$E$7,3,FALSE)),"")</f>
        <v/>
      </c>
      <c r="G320" s="106"/>
      <c r="H320" s="135" t="str">
        <f>IFERROR(IF($G320="","",$G320*$S$324/$G$324/Cadastro!$E$33),"")</f>
        <v/>
      </c>
      <c r="I320" s="136" t="str">
        <f>IFERROR(IF($D320="","",VLOOKUP($D320,Cadastro!$C$4:$G$7,5,FALSE)),"")</f>
        <v/>
      </c>
      <c r="J320" s="137" t="str">
        <f t="shared" si="69"/>
        <v/>
      </c>
      <c r="K320" s="28" t="str">
        <f t="shared" si="70"/>
        <v/>
      </c>
      <c r="L320" s="26"/>
      <c r="M320" s="26"/>
      <c r="N320" s="26"/>
      <c r="O320" s="29"/>
      <c r="P320" s="29"/>
      <c r="Q320" s="30" t="str">
        <f t="shared" ca="1" si="71"/>
        <v/>
      </c>
      <c r="R320" s="27"/>
      <c r="S320" s="47"/>
    </row>
    <row r="321" spans="1:20" ht="15" customHeight="1">
      <c r="A321" s="69">
        <v>46246</v>
      </c>
      <c r="B321" s="32">
        <f t="shared" si="72"/>
        <v>1.2083333333333333</v>
      </c>
      <c r="C321" s="26"/>
      <c r="D321" s="59"/>
      <c r="E321" s="109"/>
      <c r="F321" s="135" t="str">
        <f>IFERROR(IF($D321="","",VLOOKUP($D321,Cadastro!$C$4:$E$7,3,FALSE)),"")</f>
        <v/>
      </c>
      <c r="G321" s="106"/>
      <c r="H321" s="135" t="str">
        <f>IFERROR(IF($G321="","",$G321*$S$324/$G$324/Cadastro!$E$33),"")</f>
        <v/>
      </c>
      <c r="I321" s="136" t="str">
        <f>IFERROR(IF($D321="","",VLOOKUP($D321,Cadastro!$C$4:$G$7,5,FALSE)),"")</f>
        <v/>
      </c>
      <c r="J321" s="137" t="str">
        <f t="shared" si="69"/>
        <v/>
      </c>
      <c r="K321" s="34" t="str">
        <f t="shared" si="70"/>
        <v/>
      </c>
      <c r="L321" s="33"/>
      <c r="M321" s="33"/>
      <c r="N321" s="33"/>
      <c r="O321" s="29"/>
      <c r="P321" s="29"/>
      <c r="Q321" s="35" t="str">
        <f t="shared" ca="1" si="71"/>
        <v/>
      </c>
      <c r="R321" s="27"/>
      <c r="S321" s="47"/>
    </row>
    <row r="322" spans="1:20" ht="15" customHeight="1">
      <c r="A322" s="68">
        <v>46246</v>
      </c>
      <c r="B322" s="25">
        <f t="shared" si="72"/>
        <v>1.25</v>
      </c>
      <c r="C322" s="26"/>
      <c r="D322" s="59"/>
      <c r="E322" s="109"/>
      <c r="F322" s="135" t="str">
        <f>IFERROR(IF($D322="","",VLOOKUP($D322,Cadastro!$C$4:$E$7,3,FALSE)),"")</f>
        <v/>
      </c>
      <c r="G322" s="106"/>
      <c r="H322" s="135" t="str">
        <f>IFERROR(IF($G322="","",$G322*$S$324/$G$324/Cadastro!$E$33),"")</f>
        <v/>
      </c>
      <c r="I322" s="136" t="str">
        <f>IFERROR(IF($D322="","",VLOOKUP($D322,Cadastro!$C$4:$G$7,5,FALSE)),"")</f>
        <v/>
      </c>
      <c r="J322" s="137" t="str">
        <f t="shared" si="69"/>
        <v/>
      </c>
      <c r="K322" s="28" t="str">
        <f t="shared" si="70"/>
        <v/>
      </c>
      <c r="L322" s="26"/>
      <c r="M322" s="26"/>
      <c r="N322" s="26"/>
      <c r="O322" s="29"/>
      <c r="P322" s="29"/>
      <c r="Q322" s="30" t="str">
        <f t="shared" ca="1" si="71"/>
        <v/>
      </c>
      <c r="R322" s="27"/>
      <c r="S322" s="47"/>
    </row>
    <row r="323" spans="1:20" ht="15" customHeight="1" thickBot="1">
      <c r="A323" s="69">
        <v>46246</v>
      </c>
      <c r="B323" s="32">
        <f t="shared" si="72"/>
        <v>1.2916666666666667</v>
      </c>
      <c r="C323" s="26"/>
      <c r="D323" s="59"/>
      <c r="E323" s="109"/>
      <c r="F323" s="138" t="str">
        <f>IFERROR(IF($D323="","",VLOOKUP($D323,Cadastro!$C$4:$E$7,3,FALSE)),"")</f>
        <v/>
      </c>
      <c r="G323" s="106"/>
      <c r="H323" s="138" t="str">
        <f>IFERROR(IF($G323="","",$G323*$S$324/$G$324/Cadastro!$E$33),"")</f>
        <v/>
      </c>
      <c r="I323" s="139" t="str">
        <f>IFERROR(IF($D323="","",VLOOKUP($D323,Cadastro!$C$4:$G$7,5,FALSE)),"")</f>
        <v/>
      </c>
      <c r="J323" s="140" t="str">
        <f t="shared" si="69"/>
        <v/>
      </c>
      <c r="K323" s="34" t="str">
        <f t="shared" si="70"/>
        <v/>
      </c>
      <c r="L323" s="33"/>
      <c r="M323" s="33"/>
      <c r="N323" s="33"/>
      <c r="O323" s="29"/>
      <c r="P323" s="29"/>
      <c r="Q323" s="35" t="str">
        <f t="shared" ca="1" si="71"/>
        <v/>
      </c>
      <c r="R323" s="27"/>
      <c r="S323" s="47"/>
    </row>
    <row r="324" spans="1:20" ht="15.75" customHeight="1" thickBot="1">
      <c r="A324" s="152" t="s">
        <v>244</v>
      </c>
      <c r="B324" s="153"/>
      <c r="C324" s="153"/>
      <c r="D324" s="153"/>
      <c r="E324" s="153">
        <f>SUM(E312:E323)</f>
        <v>0</v>
      </c>
      <c r="F324" s="112"/>
      <c r="G324" s="81">
        <f>SUM(G312:G323)</f>
        <v>0</v>
      </c>
      <c r="H324" s="112">
        <f>IFERROR(SUM(H312:H323),"")</f>
        <v>0</v>
      </c>
      <c r="I324" s="116"/>
      <c r="J324" s="125">
        <f>IFERROR(SUM(J312:J323),"")</f>
        <v>0</v>
      </c>
      <c r="K324" s="36">
        <f>SUM(K312:K323)</f>
        <v>0</v>
      </c>
      <c r="L324" s="37"/>
      <c r="M324" s="37"/>
      <c r="N324" s="37"/>
      <c r="O324" s="37"/>
      <c r="P324" s="37"/>
      <c r="Q324" s="38">
        <f ca="1">IFERROR(SUM(Q312:Q323),"")</f>
        <v>0</v>
      </c>
      <c r="R324" s="36" t="s">
        <v>242</v>
      </c>
      <c r="S324" s="39"/>
      <c r="T324" s="120">
        <f>IFERROR(J324,"")</f>
        <v>0</v>
      </c>
    </row>
    <row r="325" spans="1:20" ht="18" customHeight="1">
      <c r="A325" s="150" t="s">
        <v>245</v>
      </c>
      <c r="B325" s="151"/>
      <c r="C325" s="151"/>
      <c r="D325" s="151"/>
      <c r="E325" s="151">
        <f>E311+E324</f>
        <v>0</v>
      </c>
      <c r="F325" s="113"/>
      <c r="G325" s="92">
        <f>G311+G324</f>
        <v>79</v>
      </c>
      <c r="H325" s="113">
        <f>IFERROR(H311+H324,"")</f>
        <v>0</v>
      </c>
      <c r="I325" s="117"/>
      <c r="J325" s="126">
        <f>IFERROR(J311+J324,"")</f>
        <v>0</v>
      </c>
      <c r="K325" s="40">
        <f>K311+K324</f>
        <v>331.8</v>
      </c>
      <c r="L325" s="41"/>
      <c r="M325" s="41"/>
      <c r="N325" s="41"/>
      <c r="O325" s="41"/>
      <c r="P325" s="41"/>
      <c r="Q325" s="42">
        <f ca="1">IFERROR(Q311+Q324,"")</f>
        <v>0.70858738426128798</v>
      </c>
      <c r="R325" s="40" t="s">
        <v>246</v>
      </c>
      <c r="S325" s="48">
        <f>IFERROR(S311+S324,"")</f>
        <v>0</v>
      </c>
      <c r="T325" s="122">
        <f>IFERROR(J325,"")</f>
        <v>0</v>
      </c>
    </row>
    <row r="326" spans="1:20" ht="15" customHeight="1">
      <c r="A326" s="68">
        <v>46247</v>
      </c>
      <c r="B326" s="25">
        <v>0.33333333333333298</v>
      </c>
      <c r="C326" s="26" t="s">
        <v>34</v>
      </c>
      <c r="D326" s="59" t="s">
        <v>35</v>
      </c>
      <c r="E326" s="109"/>
      <c r="F326" s="141">
        <f>IFERROR(IF($D326="","",VLOOKUP($D326,Cadastro!$C$4:$E$7,3,FALSE)),"")</f>
        <v>0.23</v>
      </c>
      <c r="G326" s="106"/>
      <c r="H326" s="141" t="str">
        <f>IFERROR(IF($G326="","",$G326*$S$338/$G$338/Cadastro!$E$33),"")</f>
        <v/>
      </c>
      <c r="I326" s="142">
        <f>IFERROR(IF($D326="","",VLOOKUP($D326,Cadastro!$C$4:$G$7,5,FALSE)),"")</f>
        <v>0.6</v>
      </c>
      <c r="J326" s="143" t="str">
        <f t="shared" ref="J326:J337" si="73">IFERROR(IF($H326="","",$H326*$F326*$I326),"")</f>
        <v/>
      </c>
      <c r="K326" s="28" t="str">
        <f t="shared" ref="K326:K337" si="74">IF(G326="","",IF(E326="PC 17",G326*4.2,IF(E326="PC 19",G326*5,IF(E326="CB",G326*24,""))))</f>
        <v/>
      </c>
      <c r="L326" s="26"/>
      <c r="M326" s="26"/>
      <c r="N326" s="26"/>
      <c r="O326" s="29"/>
      <c r="P326" s="29"/>
      <c r="Q326" s="30" t="str">
        <f t="shared" ref="Q326:Q337" ca="1" si="75">IFERROR(IF(O326="","",IF(P326="",MOD(NOW()-O326,1),IF(P326&gt;=O326,P326-O326,P326+1-O326))),"")</f>
        <v/>
      </c>
      <c r="R326" s="27"/>
      <c r="S326" s="47"/>
    </row>
    <row r="327" spans="1:20" ht="15" customHeight="1">
      <c r="A327" s="69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9"/>
      <c r="F327" s="135">
        <f>IFERROR(IF($D327="","",VLOOKUP($D327,Cadastro!$C$4:$E$7,3,FALSE)),"")</f>
        <v>0.23</v>
      </c>
      <c r="G327" s="106"/>
      <c r="H327" s="135" t="str">
        <f>IFERROR(IF($G327="","",$G327*$S$338/$G$338/Cadastro!$E$33),"")</f>
        <v/>
      </c>
      <c r="I327" s="136">
        <f>IFERROR(IF($D327="","",VLOOKUP($D327,Cadastro!$C$4:$G$7,5,FALSE)),"")</f>
        <v>0.6</v>
      </c>
      <c r="J327" s="137" t="str">
        <f t="shared" si="73"/>
        <v/>
      </c>
      <c r="K327" s="34" t="str">
        <f t="shared" si="74"/>
        <v/>
      </c>
      <c r="L327" s="26"/>
      <c r="M327" s="26"/>
      <c r="N327" s="26"/>
      <c r="O327" s="29"/>
      <c r="P327" s="29"/>
      <c r="Q327" s="35" t="str">
        <f t="shared" ca="1" si="75"/>
        <v/>
      </c>
      <c r="R327" s="27"/>
      <c r="S327" s="47"/>
    </row>
    <row r="328" spans="1:20" ht="15" customHeight="1">
      <c r="A328" s="68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9"/>
      <c r="F328" s="135">
        <f>IFERROR(IF($D328="","",VLOOKUP($D328,Cadastro!$C$4:$E$7,3,FALSE)),"")</f>
        <v>0.23</v>
      </c>
      <c r="G328" s="106"/>
      <c r="H328" s="135" t="str">
        <f>IFERROR(IF($G328="","",$G328*$S$338/$G$338/Cadastro!$E$33),"")</f>
        <v/>
      </c>
      <c r="I328" s="136">
        <f>IFERROR(IF($D328="","",VLOOKUP($D328,Cadastro!$C$4:$G$7,5,FALSE)),"")</f>
        <v>0.6</v>
      </c>
      <c r="J328" s="137" t="str">
        <f t="shared" si="73"/>
        <v/>
      </c>
      <c r="K328" s="28" t="str">
        <f t="shared" si="74"/>
        <v/>
      </c>
      <c r="L328" s="26"/>
      <c r="M328" s="26"/>
      <c r="N328" s="26"/>
      <c r="O328" s="29"/>
      <c r="P328" s="29"/>
      <c r="Q328" s="30" t="str">
        <f t="shared" ca="1" si="75"/>
        <v/>
      </c>
      <c r="R328" s="27"/>
      <c r="S328" s="47"/>
    </row>
    <row r="329" spans="1:20" ht="15" customHeight="1">
      <c r="A329" s="69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9"/>
      <c r="F329" s="135">
        <f>IFERROR(IF($D329="","",VLOOKUP($D329,Cadastro!$C$4:$E$7,3,FALSE)),"")</f>
        <v>0.23</v>
      </c>
      <c r="G329" s="106"/>
      <c r="H329" s="135" t="str">
        <f>IFERROR(IF($G329="","",$G329*$S$338/$G$338/Cadastro!$E$33),"")</f>
        <v/>
      </c>
      <c r="I329" s="136">
        <f>IFERROR(IF($D329="","",VLOOKUP($D329,Cadastro!$C$4:$G$7,5,FALSE)),"")</f>
        <v>0.6</v>
      </c>
      <c r="J329" s="137" t="str">
        <f t="shared" si="73"/>
        <v/>
      </c>
      <c r="K329" s="34" t="str">
        <f t="shared" si="74"/>
        <v/>
      </c>
      <c r="L329" s="33"/>
      <c r="M329" s="33"/>
      <c r="N329" s="33"/>
      <c r="O329" s="29"/>
      <c r="P329" s="29"/>
      <c r="Q329" s="35" t="str">
        <f t="shared" ca="1" si="75"/>
        <v/>
      </c>
      <c r="R329" s="27"/>
      <c r="S329" s="47"/>
    </row>
    <row r="330" spans="1:20" ht="15" customHeight="1">
      <c r="A330" s="68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9"/>
      <c r="F330" s="135">
        <f>IFERROR(IF($D330="","",VLOOKUP($D330,Cadastro!$C$4:$E$7,3,FALSE)),"")</f>
        <v>0.23</v>
      </c>
      <c r="G330" s="106"/>
      <c r="H330" s="135" t="str">
        <f>IFERROR(IF($G330="","",$G330*$S$338/$G$338/Cadastro!$E$33),"")</f>
        <v/>
      </c>
      <c r="I330" s="136">
        <f>IFERROR(IF($D330="","",VLOOKUP($D330,Cadastro!$C$4:$G$7,5,FALSE)),"")</f>
        <v>0.6</v>
      </c>
      <c r="J330" s="137" t="str">
        <f t="shared" si="73"/>
        <v/>
      </c>
      <c r="K330" s="28" t="str">
        <f t="shared" si="74"/>
        <v/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47"/>
    </row>
    <row r="331" spans="1:20" ht="15" customHeight="1">
      <c r="A331" s="69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9"/>
      <c r="F331" s="135">
        <f>IFERROR(IF($D331="","",VLOOKUP($D331,Cadastro!$C$4:$E$7,3,FALSE)),"")</f>
        <v>0.23</v>
      </c>
      <c r="G331" s="106"/>
      <c r="H331" s="135" t="str">
        <f>IFERROR(IF($G331="","",$G331*$S$338/$G$338/Cadastro!$E$33),"")</f>
        <v/>
      </c>
      <c r="I331" s="136">
        <f>IFERROR(IF($D331="","",VLOOKUP($D331,Cadastro!$C$4:$G$7,5,FALSE)),"")</f>
        <v>0.6</v>
      </c>
      <c r="J331" s="137" t="str">
        <f t="shared" si="73"/>
        <v/>
      </c>
      <c r="K331" s="34" t="str">
        <f t="shared" si="74"/>
        <v/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47"/>
    </row>
    <row r="332" spans="1:20" ht="15" customHeight="1">
      <c r="A332" s="68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9"/>
      <c r="F332" s="135">
        <f>IFERROR(IF($D332="","",VLOOKUP($D332,Cadastro!$C$4:$E$7,3,FALSE)),"")</f>
        <v>0.23</v>
      </c>
      <c r="G332" s="106"/>
      <c r="H332" s="135" t="str">
        <f>IFERROR(IF($G332="","",$G332*$S$338/$G$338/Cadastro!$E$33),"")</f>
        <v/>
      </c>
      <c r="I332" s="136">
        <f>IFERROR(IF($D332="","",VLOOKUP($D332,Cadastro!$C$4:$G$7,5,FALSE)),"")</f>
        <v>0.6</v>
      </c>
      <c r="J332" s="137" t="str">
        <f t="shared" si="73"/>
        <v/>
      </c>
      <c r="K332" s="28" t="str">
        <f t="shared" si="74"/>
        <v/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47"/>
    </row>
    <row r="333" spans="1:20" ht="15" customHeight="1">
      <c r="A333" s="69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9"/>
      <c r="F333" s="135">
        <f>IFERROR(IF($D333="","",VLOOKUP($D333,Cadastro!$C$4:$E$7,3,FALSE)),"")</f>
        <v>0.23</v>
      </c>
      <c r="G333" s="106"/>
      <c r="H333" s="135" t="str">
        <f>IFERROR(IF($G333="","",$G333*$S$338/$G$338/Cadastro!$E$33),"")</f>
        <v/>
      </c>
      <c r="I333" s="136">
        <f>IFERROR(IF($D333="","",VLOOKUP($D333,Cadastro!$C$4:$G$7,5,FALSE)),"")</f>
        <v>0.6</v>
      </c>
      <c r="J333" s="137" t="str">
        <f t="shared" si="73"/>
        <v/>
      </c>
      <c r="K333" s="34" t="str">
        <f t="shared" si="74"/>
        <v/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47"/>
    </row>
    <row r="334" spans="1:20" ht="15" customHeight="1">
      <c r="A334" s="68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9"/>
      <c r="F334" s="135">
        <f>IFERROR(IF($D334="","",VLOOKUP($D334,Cadastro!$C$4:$E$7,3,FALSE)),"")</f>
        <v>0.23</v>
      </c>
      <c r="G334" s="106"/>
      <c r="H334" s="135" t="str">
        <f>IFERROR(IF($G334="","",$G334*$S$338/$G$338/Cadastro!$E$33),"")</f>
        <v/>
      </c>
      <c r="I334" s="136">
        <f>IFERROR(IF($D334="","",VLOOKUP($D334,Cadastro!$C$4:$G$7,5,FALSE)),"")</f>
        <v>0.6</v>
      </c>
      <c r="J334" s="137" t="str">
        <f t="shared" si="73"/>
        <v/>
      </c>
      <c r="K334" s="28" t="str">
        <f t="shared" si="74"/>
        <v/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47"/>
    </row>
    <row r="335" spans="1:20" ht="15" customHeight="1">
      <c r="A335" s="69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9"/>
      <c r="F335" s="135">
        <f>IFERROR(IF($D335="","",VLOOKUP($D335,Cadastro!$C$4:$E$7,3,FALSE)),"")</f>
        <v>0.23</v>
      </c>
      <c r="G335" s="106"/>
      <c r="H335" s="135" t="str">
        <f>IFERROR(IF($G335="","",$G335*$S$338/$G$338/Cadastro!$E$33),"")</f>
        <v/>
      </c>
      <c r="I335" s="136">
        <f>IFERROR(IF($D335="","",VLOOKUP($D335,Cadastro!$C$4:$G$7,5,FALSE)),"")</f>
        <v>0.6</v>
      </c>
      <c r="J335" s="137" t="str">
        <f t="shared" si="73"/>
        <v/>
      </c>
      <c r="K335" s="34" t="str">
        <f t="shared" si="74"/>
        <v/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47"/>
    </row>
    <row r="336" spans="1:20" ht="15" customHeight="1">
      <c r="A336" s="68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9"/>
      <c r="F336" s="135">
        <f>IFERROR(IF($D336="","",VLOOKUP($D336,Cadastro!$C$4:$E$7,3,FALSE)),"")</f>
        <v>0.23</v>
      </c>
      <c r="G336" s="106"/>
      <c r="H336" s="135" t="str">
        <f>IFERROR(IF($G336="","",$G336*$S$338/$G$338/Cadastro!$E$33),"")</f>
        <v/>
      </c>
      <c r="I336" s="136">
        <f>IFERROR(IF($D336="","",VLOOKUP($D336,Cadastro!$C$4:$G$7,5,FALSE)),"")</f>
        <v>0.6</v>
      </c>
      <c r="J336" s="137" t="str">
        <f t="shared" si="73"/>
        <v/>
      </c>
      <c r="K336" s="28" t="str">
        <f t="shared" si="74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47"/>
    </row>
    <row r="337" spans="1:20" ht="15" customHeight="1" thickBot="1">
      <c r="A337" s="69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9"/>
      <c r="F337" s="138">
        <f>IFERROR(IF($D337="","",VLOOKUP($D337,Cadastro!$C$4:$E$7,3,FALSE)),"")</f>
        <v>0.23</v>
      </c>
      <c r="G337" s="106"/>
      <c r="H337" s="138" t="str">
        <f>IFERROR(IF($G337="","",$G337*$S$338/$G$338/Cadastro!$E$33),"")</f>
        <v/>
      </c>
      <c r="I337" s="139">
        <f>IFERROR(IF($D337="","",VLOOKUP($D337,Cadastro!$C$4:$G$7,5,FALSE)),"")</f>
        <v>0.6</v>
      </c>
      <c r="J337" s="140" t="str">
        <f t="shared" si="73"/>
        <v/>
      </c>
      <c r="K337" s="34" t="str">
        <f t="shared" si="74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47"/>
    </row>
    <row r="338" spans="1:20" ht="15.75" customHeight="1" thickBot="1">
      <c r="A338" s="152" t="s">
        <v>241</v>
      </c>
      <c r="B338" s="153"/>
      <c r="C338" s="153"/>
      <c r="D338" s="153"/>
      <c r="E338" s="153">
        <f>SUM(E326:E337)</f>
        <v>0</v>
      </c>
      <c r="F338" s="111"/>
      <c r="G338" s="81">
        <f>SUM(G326:G337)</f>
        <v>0</v>
      </c>
      <c r="H338" s="111">
        <f>IFERROR(SUM(H326:H337),"")</f>
        <v>0</v>
      </c>
      <c r="I338" s="115"/>
      <c r="J338" s="124">
        <f>IFERROR(SUM(J326:J337),"")</f>
        <v>0</v>
      </c>
      <c r="K338" s="36">
        <f>SUM(K326:K337)</f>
        <v>0</v>
      </c>
      <c r="L338" s="37"/>
      <c r="M338" s="37"/>
      <c r="N338" s="37"/>
      <c r="O338" s="37"/>
      <c r="P338" s="37"/>
      <c r="Q338" s="38">
        <f ca="1">IFERROR(SUM(Q326:Q337),"")</f>
        <v>0</v>
      </c>
      <c r="R338" s="36" t="s">
        <v>242</v>
      </c>
      <c r="S338" s="39"/>
      <c r="T338" s="120">
        <f>IFERROR(J338,"")</f>
        <v>0</v>
      </c>
    </row>
    <row r="339" spans="1:20" ht="15" customHeight="1">
      <c r="A339" s="69">
        <v>46247</v>
      </c>
      <c r="B339" s="32">
        <v>0.83333333333333304</v>
      </c>
      <c r="C339" s="33"/>
      <c r="D339" s="62"/>
      <c r="E339" s="110"/>
      <c r="F339" s="141" t="str">
        <f>IFERROR(IF($D339="","",VLOOKUP($D339,Cadastro!$C$4:$E$7,3,FALSE)),"")</f>
        <v/>
      </c>
      <c r="G339" s="106"/>
      <c r="H339" s="141" t="str">
        <f>IFERROR(IF($G339="","",$G339*$S$351/$G$351/Cadastro!$E$33),"")</f>
        <v/>
      </c>
      <c r="I339" s="142" t="str">
        <f>IFERROR(IF($D339="","",VLOOKUP($D339,Cadastro!$C$4:$G$7,5,FALSE)),"")</f>
        <v/>
      </c>
      <c r="J339" s="143" t="str">
        <f t="shared" ref="J339:J350" si="77">IFERROR(IF($H339="","",$H339*$F339*$I339),"")</f>
        <v/>
      </c>
      <c r="K339" s="34" t="str">
        <f t="shared" ref="K339:K350" si="78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9">IFERROR(IF(O339="","",IF(P339="",MOD(NOW()-O339,1),IF(P339&gt;=O339,P339-O339,P339+1-O339))),"")</f>
        <v/>
      </c>
      <c r="R339" s="27"/>
      <c r="S339" s="47"/>
    </row>
    <row r="340" spans="1:20" ht="15" customHeight="1">
      <c r="A340" s="68">
        <v>46247</v>
      </c>
      <c r="B340" s="25">
        <f t="shared" ref="B340:B350" si="80">B339+TIME(0,60,0)</f>
        <v>0.87499999999999967</v>
      </c>
      <c r="C340" s="33"/>
      <c r="D340" s="62"/>
      <c r="E340" s="110"/>
      <c r="F340" s="135" t="str">
        <f>IFERROR(IF($D340="","",VLOOKUP($D340,Cadastro!$C$4:$E$7,3,FALSE)),"")</f>
        <v/>
      </c>
      <c r="G340" s="106"/>
      <c r="H340" s="135" t="str">
        <f>IFERROR(IF($G340="","",$G340*$S$351/$G$351/Cadastro!$E$33),"")</f>
        <v/>
      </c>
      <c r="I340" s="136" t="str">
        <f>IFERROR(IF($D340="","",VLOOKUP($D340,Cadastro!$C$4:$G$7,5,FALSE)),"")</f>
        <v/>
      </c>
      <c r="J340" s="137" t="str">
        <f t="shared" si="77"/>
        <v/>
      </c>
      <c r="K340" s="28" t="str">
        <f t="shared" si="78"/>
        <v/>
      </c>
      <c r="L340" s="26"/>
      <c r="M340" s="26"/>
      <c r="N340" s="26"/>
      <c r="O340" s="29"/>
      <c r="P340" s="29"/>
      <c r="Q340" s="30" t="str">
        <f t="shared" ca="1" si="79"/>
        <v/>
      </c>
      <c r="R340" s="27"/>
      <c r="S340" s="47"/>
    </row>
    <row r="341" spans="1:20" ht="15" customHeight="1">
      <c r="A341" s="69">
        <v>46247</v>
      </c>
      <c r="B341" s="32">
        <f t="shared" si="80"/>
        <v>0.9166666666666663</v>
      </c>
      <c r="C341" s="33"/>
      <c r="D341" s="62"/>
      <c r="E341" s="110"/>
      <c r="F341" s="135" t="str">
        <f>IFERROR(IF($D341="","",VLOOKUP($D341,Cadastro!$C$4:$E$7,3,FALSE)),"")</f>
        <v/>
      </c>
      <c r="G341" s="106"/>
      <c r="H341" s="135" t="str">
        <f>IFERROR(IF($G341="","",$G341*$S$351/$G$351/Cadastro!$E$33),"")</f>
        <v/>
      </c>
      <c r="I341" s="136" t="str">
        <f>IFERROR(IF($D341="","",VLOOKUP($D341,Cadastro!$C$4:$G$7,5,FALSE)),"")</f>
        <v/>
      </c>
      <c r="J341" s="137" t="str">
        <f t="shared" si="77"/>
        <v/>
      </c>
      <c r="K341" s="34" t="str">
        <f t="shared" si="78"/>
        <v/>
      </c>
      <c r="L341" s="33"/>
      <c r="M341" s="33"/>
      <c r="N341" s="33"/>
      <c r="O341" s="29"/>
      <c r="P341" s="29"/>
      <c r="Q341" s="35" t="str">
        <f t="shared" ca="1" si="79"/>
        <v/>
      </c>
      <c r="R341" s="27"/>
      <c r="S341" s="47"/>
    </row>
    <row r="342" spans="1:20" ht="15" customHeight="1">
      <c r="A342" s="68">
        <v>46247</v>
      </c>
      <c r="B342" s="25">
        <f t="shared" si="80"/>
        <v>0.95833333333333293</v>
      </c>
      <c r="C342" s="33"/>
      <c r="D342" s="62"/>
      <c r="E342" s="110"/>
      <c r="F342" s="135" t="str">
        <f>IFERROR(IF($D342="","",VLOOKUP($D342,Cadastro!$C$4:$E$7,3,FALSE)),"")</f>
        <v/>
      </c>
      <c r="G342" s="106"/>
      <c r="H342" s="135" t="str">
        <f>IFERROR(IF($G342="","",$G342*$S$351/$G$351/Cadastro!$E$33),"")</f>
        <v/>
      </c>
      <c r="I342" s="136" t="str">
        <f>IFERROR(IF($D342="","",VLOOKUP($D342,Cadastro!$C$4:$G$7,5,FALSE)),"")</f>
        <v/>
      </c>
      <c r="J342" s="137" t="str">
        <f t="shared" si="77"/>
        <v/>
      </c>
      <c r="K342" s="28" t="str">
        <f t="shared" si="78"/>
        <v/>
      </c>
      <c r="L342" s="26"/>
      <c r="M342" s="26"/>
      <c r="N342" s="26"/>
      <c r="O342" s="29"/>
      <c r="P342" s="29"/>
      <c r="Q342" s="30" t="str">
        <f t="shared" ca="1" si="79"/>
        <v/>
      </c>
      <c r="R342" s="27"/>
      <c r="S342" s="47"/>
    </row>
    <row r="343" spans="1:20" ht="15" customHeight="1">
      <c r="A343" s="69">
        <v>46247</v>
      </c>
      <c r="B343" s="32">
        <f t="shared" si="80"/>
        <v>0.99999999999999956</v>
      </c>
      <c r="C343" s="33"/>
      <c r="D343" s="62"/>
      <c r="E343" s="110"/>
      <c r="F343" s="135" t="str">
        <f>IFERROR(IF($D343="","",VLOOKUP($D343,Cadastro!$C$4:$E$7,3,FALSE)),"")</f>
        <v/>
      </c>
      <c r="G343" s="106"/>
      <c r="H343" s="135" t="str">
        <f>IFERROR(IF($G343="","",$G343*$S$351/$G$351/Cadastro!$E$33),"")</f>
        <v/>
      </c>
      <c r="I343" s="136" t="str">
        <f>IFERROR(IF($D343="","",VLOOKUP($D343,Cadastro!$C$4:$G$7,5,FALSE)),"")</f>
        <v/>
      </c>
      <c r="J343" s="137" t="str">
        <f t="shared" si="77"/>
        <v/>
      </c>
      <c r="K343" s="34" t="str">
        <f t="shared" si="78"/>
        <v/>
      </c>
      <c r="L343" s="33"/>
      <c r="M343" s="33"/>
      <c r="N343" s="33"/>
      <c r="O343" s="29"/>
      <c r="P343" s="29"/>
      <c r="Q343" s="35" t="str">
        <f t="shared" ca="1" si="79"/>
        <v/>
      </c>
      <c r="R343" s="27"/>
      <c r="S343" s="47"/>
    </row>
    <row r="344" spans="1:20" ht="15" customHeight="1">
      <c r="A344" s="68">
        <v>46247</v>
      </c>
      <c r="B344" s="25">
        <f t="shared" si="80"/>
        <v>1.0416666666666663</v>
      </c>
      <c r="C344" s="33"/>
      <c r="D344" s="62"/>
      <c r="E344" s="110"/>
      <c r="F344" s="135" t="str">
        <f>IFERROR(IF($D344="","",VLOOKUP($D344,Cadastro!$C$4:$E$7,3,FALSE)),"")</f>
        <v/>
      </c>
      <c r="G344" s="106"/>
      <c r="H344" s="135" t="str">
        <f>IFERROR(IF($G344="","",$G344*$S$351/$G$351/Cadastro!$E$33),"")</f>
        <v/>
      </c>
      <c r="I344" s="136" t="str">
        <f>IFERROR(IF($D344="","",VLOOKUP($D344,Cadastro!$C$4:$G$7,5,FALSE)),"")</f>
        <v/>
      </c>
      <c r="J344" s="137" t="str">
        <f t="shared" si="77"/>
        <v/>
      </c>
      <c r="K344" s="28" t="str">
        <f t="shared" si="78"/>
        <v/>
      </c>
      <c r="L344" s="26"/>
      <c r="M344" s="26"/>
      <c r="N344" s="26"/>
      <c r="O344" s="29"/>
      <c r="P344" s="29"/>
      <c r="Q344" s="30" t="str">
        <f t="shared" ca="1" si="79"/>
        <v/>
      </c>
      <c r="R344" s="27"/>
      <c r="S344" s="47"/>
    </row>
    <row r="345" spans="1:20" ht="15" customHeight="1">
      <c r="A345" s="69">
        <v>46247</v>
      </c>
      <c r="B345" s="32">
        <f t="shared" si="80"/>
        <v>1.083333333333333</v>
      </c>
      <c r="C345" s="33"/>
      <c r="D345" s="62"/>
      <c r="E345" s="110"/>
      <c r="F345" s="135" t="str">
        <f>IFERROR(IF($D345="","",VLOOKUP($D345,Cadastro!$C$4:$E$7,3,FALSE)),"")</f>
        <v/>
      </c>
      <c r="G345" s="106"/>
      <c r="H345" s="135" t="str">
        <f>IFERROR(IF($G345="","",$G345*$S$351/$G$351/Cadastro!$E$33),"")</f>
        <v/>
      </c>
      <c r="I345" s="136" t="str">
        <f>IFERROR(IF($D345="","",VLOOKUP($D345,Cadastro!$C$4:$G$7,5,FALSE)),"")</f>
        <v/>
      </c>
      <c r="J345" s="137" t="str">
        <f t="shared" si="77"/>
        <v/>
      </c>
      <c r="K345" s="34" t="str">
        <f t="shared" si="78"/>
        <v/>
      </c>
      <c r="L345" s="33"/>
      <c r="M345" s="33"/>
      <c r="N345" s="33"/>
      <c r="O345" s="29"/>
      <c r="P345" s="29"/>
      <c r="Q345" s="35" t="str">
        <f t="shared" ca="1" si="79"/>
        <v/>
      </c>
      <c r="R345" s="27"/>
      <c r="S345" s="47"/>
    </row>
    <row r="346" spans="1:20" ht="15" customHeight="1">
      <c r="A346" s="68">
        <v>46247</v>
      </c>
      <c r="B346" s="25">
        <f t="shared" si="80"/>
        <v>1.1249999999999998</v>
      </c>
      <c r="C346" s="33"/>
      <c r="D346" s="62"/>
      <c r="E346" s="110"/>
      <c r="F346" s="135" t="str">
        <f>IFERROR(IF($D346="","",VLOOKUP($D346,Cadastro!$C$4:$E$7,3,FALSE)),"")</f>
        <v/>
      </c>
      <c r="G346" s="106"/>
      <c r="H346" s="135" t="str">
        <f>IFERROR(IF($G346="","",$G346*$S$351/$G$351/Cadastro!$E$33),"")</f>
        <v/>
      </c>
      <c r="I346" s="136" t="str">
        <f>IFERROR(IF($D346="","",VLOOKUP($D346,Cadastro!$C$4:$G$7,5,FALSE)),"")</f>
        <v/>
      </c>
      <c r="J346" s="137" t="str">
        <f t="shared" si="77"/>
        <v/>
      </c>
      <c r="K346" s="28" t="str">
        <f t="shared" si="78"/>
        <v/>
      </c>
      <c r="L346" s="26"/>
      <c r="M346" s="26"/>
      <c r="N346" s="26"/>
      <c r="O346" s="29"/>
      <c r="P346" s="29"/>
      <c r="Q346" s="30" t="str">
        <f t="shared" ca="1" si="79"/>
        <v/>
      </c>
      <c r="R346" s="27"/>
      <c r="S346" s="47"/>
    </row>
    <row r="347" spans="1:20" ht="15" customHeight="1">
      <c r="A347" s="69">
        <v>46247</v>
      </c>
      <c r="B347" s="32">
        <f t="shared" si="80"/>
        <v>1.1666666666666665</v>
      </c>
      <c r="C347" s="33"/>
      <c r="D347" s="62"/>
      <c r="E347" s="110"/>
      <c r="F347" s="135" t="str">
        <f>IFERROR(IF($D347="","",VLOOKUP($D347,Cadastro!$C$4:$E$7,3,FALSE)),"")</f>
        <v/>
      </c>
      <c r="G347" s="106"/>
      <c r="H347" s="135" t="str">
        <f>IFERROR(IF($G347="","",$G347*$S$351/$G$351/Cadastro!$E$33),"")</f>
        <v/>
      </c>
      <c r="I347" s="136" t="str">
        <f>IFERROR(IF($D347="","",VLOOKUP($D347,Cadastro!$C$4:$G$7,5,FALSE)),"")</f>
        <v/>
      </c>
      <c r="J347" s="137" t="str">
        <f t="shared" si="77"/>
        <v/>
      </c>
      <c r="K347" s="34" t="str">
        <f t="shared" si="78"/>
        <v/>
      </c>
      <c r="L347" s="33"/>
      <c r="M347" s="33"/>
      <c r="N347" s="33"/>
      <c r="O347" s="29"/>
      <c r="P347" s="29"/>
      <c r="Q347" s="35" t="str">
        <f t="shared" ca="1" si="79"/>
        <v/>
      </c>
      <c r="R347" s="27"/>
      <c r="S347" s="47"/>
    </row>
    <row r="348" spans="1:20" ht="15" customHeight="1">
      <c r="A348" s="68">
        <v>46247</v>
      </c>
      <c r="B348" s="25">
        <f t="shared" si="80"/>
        <v>1.2083333333333333</v>
      </c>
      <c r="C348" s="33"/>
      <c r="D348" s="62"/>
      <c r="E348" s="110"/>
      <c r="F348" s="135" t="str">
        <f>IFERROR(IF($D348="","",VLOOKUP($D348,Cadastro!$C$4:$E$7,3,FALSE)),"")</f>
        <v/>
      </c>
      <c r="G348" s="106"/>
      <c r="H348" s="135" t="str">
        <f>IFERROR(IF($G348="","",$G348*$S$351/$G$351/Cadastro!$E$33),"")</f>
        <v/>
      </c>
      <c r="I348" s="136" t="str">
        <f>IFERROR(IF($D348="","",VLOOKUP($D348,Cadastro!$C$4:$G$7,5,FALSE)),"")</f>
        <v/>
      </c>
      <c r="J348" s="137" t="str">
        <f t="shared" si="77"/>
        <v/>
      </c>
      <c r="K348" s="28" t="str">
        <f t="shared" si="78"/>
        <v/>
      </c>
      <c r="L348" s="26"/>
      <c r="M348" s="26"/>
      <c r="N348" s="26"/>
      <c r="O348" s="29"/>
      <c r="P348" s="29"/>
      <c r="Q348" s="30" t="str">
        <f t="shared" ca="1" si="79"/>
        <v/>
      </c>
      <c r="R348" s="27"/>
      <c r="S348" s="47"/>
    </row>
    <row r="349" spans="1:20" ht="15" customHeight="1">
      <c r="A349" s="69">
        <v>46247</v>
      </c>
      <c r="B349" s="32">
        <f t="shared" si="80"/>
        <v>1.25</v>
      </c>
      <c r="C349" s="33"/>
      <c r="D349" s="62"/>
      <c r="E349" s="110"/>
      <c r="F349" s="135" t="str">
        <f>IFERROR(IF($D349="","",VLOOKUP($D349,Cadastro!$C$4:$E$7,3,FALSE)),"")</f>
        <v/>
      </c>
      <c r="G349" s="106"/>
      <c r="H349" s="135" t="str">
        <f>IFERROR(IF($G349="","",$G349*$S$351/$G$351/Cadastro!$E$33),"")</f>
        <v/>
      </c>
      <c r="I349" s="136" t="str">
        <f>IFERROR(IF($D349="","",VLOOKUP($D349,Cadastro!$C$4:$G$7,5,FALSE)),"")</f>
        <v/>
      </c>
      <c r="J349" s="137" t="str">
        <f t="shared" si="77"/>
        <v/>
      </c>
      <c r="K349" s="34" t="str">
        <f t="shared" si="78"/>
        <v/>
      </c>
      <c r="L349" s="33"/>
      <c r="M349" s="33"/>
      <c r="N349" s="33"/>
      <c r="O349" s="29"/>
      <c r="P349" s="29"/>
      <c r="Q349" s="35" t="str">
        <f t="shared" ca="1" si="79"/>
        <v/>
      </c>
      <c r="R349" s="27"/>
      <c r="S349" s="47"/>
    </row>
    <row r="350" spans="1:20" ht="15" customHeight="1" thickBot="1">
      <c r="A350" s="68">
        <v>46247</v>
      </c>
      <c r="B350" s="25">
        <f t="shared" si="80"/>
        <v>1.2916666666666667</v>
      </c>
      <c r="C350" s="33"/>
      <c r="D350" s="62"/>
      <c r="E350" s="110"/>
      <c r="F350" s="138" t="str">
        <f>IFERROR(IF($D350="","",VLOOKUP($D350,Cadastro!$C$4:$E$7,3,FALSE)),"")</f>
        <v/>
      </c>
      <c r="G350" s="106"/>
      <c r="H350" s="138" t="str">
        <f>IFERROR(IF($G350="","",$G350*$S$351/$G$351/Cadastro!$E$33),"")</f>
        <v/>
      </c>
      <c r="I350" s="139" t="str">
        <f>IFERROR(IF($D350="","",VLOOKUP($D350,Cadastro!$C$4:$G$7,5,FALSE)),"")</f>
        <v/>
      </c>
      <c r="J350" s="140" t="str">
        <f t="shared" si="77"/>
        <v/>
      </c>
      <c r="K350" s="28" t="str">
        <f t="shared" si="78"/>
        <v/>
      </c>
      <c r="L350" s="26"/>
      <c r="M350" s="26"/>
      <c r="N350" s="26"/>
      <c r="O350" s="29"/>
      <c r="P350" s="29"/>
      <c r="Q350" s="30" t="str">
        <f t="shared" ca="1" si="79"/>
        <v/>
      </c>
      <c r="R350" s="27"/>
      <c r="S350" s="47"/>
    </row>
    <row r="351" spans="1:20" ht="15.75" customHeight="1" thickBot="1">
      <c r="A351" s="152" t="s">
        <v>244</v>
      </c>
      <c r="B351" s="153"/>
      <c r="C351" s="153"/>
      <c r="D351" s="153"/>
      <c r="E351" s="153">
        <f>SUM(E339:E350)</f>
        <v>0</v>
      </c>
      <c r="F351" s="112"/>
      <c r="G351" s="81">
        <f>SUM(G339:G350)</f>
        <v>0</v>
      </c>
      <c r="H351" s="112">
        <f>IFERROR(SUM(H339:H350),"")</f>
        <v>0</v>
      </c>
      <c r="I351" s="116"/>
      <c r="J351" s="125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20">
        <f>IFERROR(J351,"")</f>
        <v>0</v>
      </c>
    </row>
    <row r="352" spans="1:20" ht="18" customHeight="1">
      <c r="A352" s="150" t="s">
        <v>245</v>
      </c>
      <c r="B352" s="151"/>
      <c r="C352" s="151"/>
      <c r="D352" s="151"/>
      <c r="E352" s="151">
        <f>E338+E351</f>
        <v>0</v>
      </c>
      <c r="F352" s="113"/>
      <c r="G352" s="92">
        <f>G338+G351</f>
        <v>0</v>
      </c>
      <c r="H352" s="113">
        <f>IFERROR(H338+H351,"")</f>
        <v>0</v>
      </c>
      <c r="I352" s="117"/>
      <c r="J352" s="126">
        <f>IFERROR(J338+J351,"")</f>
        <v>0</v>
      </c>
      <c r="K352" s="40">
        <f>K338+K351</f>
        <v>0</v>
      </c>
      <c r="L352" s="41"/>
      <c r="M352" s="41"/>
      <c r="N352" s="41"/>
      <c r="O352" s="41"/>
      <c r="P352" s="41"/>
      <c r="Q352" s="42">
        <f ca="1">IFERROR(Q338+Q351,"")</f>
        <v>0</v>
      </c>
      <c r="R352" s="40" t="s">
        <v>246</v>
      </c>
      <c r="S352" s="48">
        <f>IFERROR(S338+S351,"")</f>
        <v>0</v>
      </c>
      <c r="T352" s="122">
        <f>IFERROR(J352,"")</f>
        <v>0</v>
      </c>
    </row>
    <row r="353" spans="1:20" ht="15" customHeight="1">
      <c r="A353" s="69">
        <v>46248</v>
      </c>
      <c r="B353" s="32">
        <v>0.33333333333333298</v>
      </c>
      <c r="C353" s="33"/>
      <c r="D353" s="62"/>
      <c r="E353" s="110"/>
      <c r="F353" s="141" t="str">
        <f>IFERROR(IF($D353="","",VLOOKUP($D353,Cadastro!$C$4:$E$7,3,FALSE)),"")</f>
        <v/>
      </c>
      <c r="G353" s="106"/>
      <c r="H353" s="141" t="str">
        <f>IFERROR(IF($G353="","",$G353*$S$365/$G$365/Cadastro!$E$33),"")</f>
        <v/>
      </c>
      <c r="I353" s="142" t="str">
        <f>IFERROR(IF($D353="","",VLOOKUP($D353,Cadastro!$C$4:$G$7,5,FALSE)),"")</f>
        <v/>
      </c>
      <c r="J353" s="143" t="str">
        <f t="shared" ref="J353:J364" si="81">IFERROR(IF($H353="","",$H353*$F353*$I353),"")</f>
        <v/>
      </c>
      <c r="K353" s="34" t="str">
        <f t="shared" ref="K353:K364" si="82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3">IFERROR(IF(O353="","",IF(P353="",MOD(NOW()-O353,1),IF(P353&gt;=O353,P353-O353,P353+1-O353))),"")</f>
        <v/>
      </c>
      <c r="R353" s="27"/>
      <c r="S353" s="47"/>
    </row>
    <row r="354" spans="1:20" ht="15" customHeight="1">
      <c r="A354" s="68">
        <v>46248</v>
      </c>
      <c r="B354" s="25">
        <f t="shared" ref="B354:B364" si="84">B353+TIME(0,60,0)</f>
        <v>0.37499999999999967</v>
      </c>
      <c r="C354" s="33"/>
      <c r="D354" s="62"/>
      <c r="E354" s="110"/>
      <c r="F354" s="135" t="str">
        <f>IFERROR(IF($D354="","",VLOOKUP($D354,Cadastro!$C$4:$E$7,3,FALSE)),"")</f>
        <v/>
      </c>
      <c r="G354" s="106"/>
      <c r="H354" s="135" t="str">
        <f>IFERROR(IF($G354="","",$G354*$S$365/$G$365/Cadastro!$E$33),"")</f>
        <v/>
      </c>
      <c r="I354" s="136" t="str">
        <f>IFERROR(IF($D354="","",VLOOKUP($D354,Cadastro!$C$4:$G$7,5,FALSE)),"")</f>
        <v/>
      </c>
      <c r="J354" s="137" t="str">
        <f t="shared" si="81"/>
        <v/>
      </c>
      <c r="K354" s="28" t="str">
        <f t="shared" si="82"/>
        <v/>
      </c>
      <c r="L354" s="26"/>
      <c r="M354" s="26"/>
      <c r="N354" s="26"/>
      <c r="O354" s="29"/>
      <c r="P354" s="29"/>
      <c r="Q354" s="30" t="str">
        <f t="shared" ca="1" si="83"/>
        <v/>
      </c>
      <c r="R354" s="46"/>
      <c r="S354" s="47"/>
    </row>
    <row r="355" spans="1:20" ht="15" customHeight="1">
      <c r="A355" s="69">
        <v>46248</v>
      </c>
      <c r="B355" s="32">
        <f t="shared" si="84"/>
        <v>0.41666666666666635</v>
      </c>
      <c r="C355" s="33"/>
      <c r="D355" s="62"/>
      <c r="E355" s="110"/>
      <c r="F355" s="135" t="str">
        <f>IFERROR(IF($D355="","",VLOOKUP($D355,Cadastro!$C$4:$E$7,3,FALSE)),"")</f>
        <v/>
      </c>
      <c r="G355" s="106"/>
      <c r="H355" s="135" t="str">
        <f>IFERROR(IF($G355="","",$G355*$S$365/$G$365/Cadastro!$E$33),"")</f>
        <v/>
      </c>
      <c r="I355" s="136" t="str">
        <f>IFERROR(IF($D355="","",VLOOKUP($D355,Cadastro!$C$4:$G$7,5,FALSE)),"")</f>
        <v/>
      </c>
      <c r="J355" s="137" t="str">
        <f t="shared" si="81"/>
        <v/>
      </c>
      <c r="K355" s="34" t="str">
        <f t="shared" si="82"/>
        <v/>
      </c>
      <c r="L355" s="33"/>
      <c r="M355" s="33"/>
      <c r="N355" s="33"/>
      <c r="O355" s="29"/>
      <c r="P355" s="29"/>
      <c r="Q355" s="35" t="str">
        <f t="shared" ca="1" si="83"/>
        <v/>
      </c>
      <c r="R355" s="27"/>
      <c r="S355" s="47"/>
    </row>
    <row r="356" spans="1:20" ht="15" customHeight="1">
      <c r="A356" s="68">
        <v>46248</v>
      </c>
      <c r="B356" s="25">
        <f t="shared" si="84"/>
        <v>0.45833333333333304</v>
      </c>
      <c r="C356" s="33"/>
      <c r="D356" s="62"/>
      <c r="E356" s="110"/>
      <c r="F356" s="135" t="str">
        <f>IFERROR(IF($D356="","",VLOOKUP($D356,Cadastro!$C$4:$E$7,3,FALSE)),"")</f>
        <v/>
      </c>
      <c r="G356" s="106"/>
      <c r="H356" s="135" t="str">
        <f>IFERROR(IF($G356="","",$G356*$S$365/$G$365/Cadastro!$E$33),"")</f>
        <v/>
      </c>
      <c r="I356" s="136" t="str">
        <f>IFERROR(IF($D356="","",VLOOKUP($D356,Cadastro!$C$4:$G$7,5,FALSE)),"")</f>
        <v/>
      </c>
      <c r="J356" s="137" t="str">
        <f t="shared" si="81"/>
        <v/>
      </c>
      <c r="K356" s="28" t="str">
        <f t="shared" si="82"/>
        <v/>
      </c>
      <c r="L356" s="26"/>
      <c r="M356" s="26"/>
      <c r="N356" s="26"/>
      <c r="O356" s="29"/>
      <c r="P356" s="29"/>
      <c r="Q356" s="30" t="str">
        <f t="shared" ca="1" si="83"/>
        <v/>
      </c>
      <c r="R356" s="27"/>
      <c r="S356" s="47"/>
    </row>
    <row r="357" spans="1:20" ht="15" customHeight="1">
      <c r="A357" s="69">
        <v>46248</v>
      </c>
      <c r="B357" s="32">
        <f t="shared" si="84"/>
        <v>0.49999999999999972</v>
      </c>
      <c r="C357" s="33"/>
      <c r="D357" s="62"/>
      <c r="E357" s="110"/>
      <c r="F357" s="135" t="str">
        <f>IFERROR(IF($D357="","",VLOOKUP($D357,Cadastro!$C$4:$E$7,3,FALSE)),"")</f>
        <v/>
      </c>
      <c r="G357" s="106"/>
      <c r="H357" s="135" t="str">
        <f>IFERROR(IF($G357="","",$G357*$S$365/$G$365/Cadastro!$E$33),"")</f>
        <v/>
      </c>
      <c r="I357" s="136" t="str">
        <f>IFERROR(IF($D357="","",VLOOKUP($D357,Cadastro!$C$4:$G$7,5,FALSE)),"")</f>
        <v/>
      </c>
      <c r="J357" s="137" t="str">
        <f t="shared" si="81"/>
        <v/>
      </c>
      <c r="K357" s="34" t="str">
        <f t="shared" si="82"/>
        <v/>
      </c>
      <c r="L357" s="33"/>
      <c r="M357" s="33"/>
      <c r="N357" s="33"/>
      <c r="O357" s="29"/>
      <c r="P357" s="29"/>
      <c r="Q357" s="35" t="str">
        <f t="shared" ca="1" si="83"/>
        <v/>
      </c>
      <c r="R357" s="27"/>
      <c r="S357" s="47"/>
    </row>
    <row r="358" spans="1:20" ht="15" customHeight="1">
      <c r="A358" s="68">
        <v>46248</v>
      </c>
      <c r="B358" s="25">
        <f t="shared" si="84"/>
        <v>0.54166666666666641</v>
      </c>
      <c r="C358" s="33"/>
      <c r="D358" s="62"/>
      <c r="E358" s="110"/>
      <c r="F358" s="135" t="str">
        <f>IFERROR(IF($D358="","",VLOOKUP($D358,Cadastro!$C$4:$E$7,3,FALSE)),"")</f>
        <v/>
      </c>
      <c r="G358" s="106"/>
      <c r="H358" s="135" t="str">
        <f>IFERROR(IF($G358="","",$G358*$S$365/$G$365/Cadastro!$E$33),"")</f>
        <v/>
      </c>
      <c r="I358" s="136" t="str">
        <f>IFERROR(IF($D358="","",VLOOKUP($D358,Cadastro!$C$4:$G$7,5,FALSE)),"")</f>
        <v/>
      </c>
      <c r="J358" s="137" t="str">
        <f t="shared" si="81"/>
        <v/>
      </c>
      <c r="K358" s="28" t="str">
        <f t="shared" si="82"/>
        <v/>
      </c>
      <c r="L358" s="26"/>
      <c r="M358" s="26"/>
      <c r="N358" s="26"/>
      <c r="O358" s="29"/>
      <c r="P358" s="29"/>
      <c r="Q358" s="30" t="str">
        <f t="shared" ca="1" si="83"/>
        <v/>
      </c>
      <c r="R358" s="27"/>
      <c r="S358" s="47"/>
    </row>
    <row r="359" spans="1:20" ht="15" customHeight="1">
      <c r="A359" s="69">
        <v>46248</v>
      </c>
      <c r="B359" s="32">
        <f t="shared" si="84"/>
        <v>0.58333333333333304</v>
      </c>
      <c r="C359" s="33"/>
      <c r="D359" s="62"/>
      <c r="E359" s="110"/>
      <c r="F359" s="135" t="str">
        <f>IFERROR(IF($D359="","",VLOOKUP($D359,Cadastro!$C$4:$E$7,3,FALSE)),"")</f>
        <v/>
      </c>
      <c r="G359" s="106"/>
      <c r="H359" s="135" t="str">
        <f>IFERROR(IF($G359="","",$G359*$S$365/$G$365/Cadastro!$E$33),"")</f>
        <v/>
      </c>
      <c r="I359" s="136" t="str">
        <f>IFERROR(IF($D359="","",VLOOKUP($D359,Cadastro!$C$4:$G$7,5,FALSE)),"")</f>
        <v/>
      </c>
      <c r="J359" s="137" t="str">
        <f t="shared" si="81"/>
        <v/>
      </c>
      <c r="K359" s="34" t="str">
        <f t="shared" si="82"/>
        <v/>
      </c>
      <c r="L359" s="33"/>
      <c r="M359" s="33"/>
      <c r="N359" s="33"/>
      <c r="O359" s="29"/>
      <c r="P359" s="29"/>
      <c r="Q359" s="35" t="str">
        <f t="shared" ca="1" si="83"/>
        <v/>
      </c>
      <c r="R359" s="27"/>
      <c r="S359" s="47"/>
    </row>
    <row r="360" spans="1:20" ht="15" customHeight="1">
      <c r="A360" s="68">
        <v>46248</v>
      </c>
      <c r="B360" s="25">
        <f t="shared" si="84"/>
        <v>0.62499999999999967</v>
      </c>
      <c r="C360" s="33"/>
      <c r="D360" s="62"/>
      <c r="E360" s="110"/>
      <c r="F360" s="135" t="str">
        <f>IFERROR(IF($D360="","",VLOOKUP($D360,Cadastro!$C$4:$E$7,3,FALSE)),"")</f>
        <v/>
      </c>
      <c r="G360" s="106"/>
      <c r="H360" s="135" t="str">
        <f>IFERROR(IF($G360="","",$G360*$S$365/$G$365/Cadastro!$E$33),"")</f>
        <v/>
      </c>
      <c r="I360" s="136" t="str">
        <f>IFERROR(IF($D360="","",VLOOKUP($D360,Cadastro!$C$4:$G$7,5,FALSE)),"")</f>
        <v/>
      </c>
      <c r="J360" s="137" t="str">
        <f t="shared" si="81"/>
        <v/>
      </c>
      <c r="K360" s="28" t="str">
        <f t="shared" si="82"/>
        <v/>
      </c>
      <c r="L360" s="26"/>
      <c r="M360" s="26"/>
      <c r="N360" s="26"/>
      <c r="O360" s="29"/>
      <c r="P360" s="29"/>
      <c r="Q360" s="30" t="str">
        <f t="shared" ca="1" si="83"/>
        <v/>
      </c>
      <c r="R360" s="27"/>
      <c r="S360" s="47"/>
    </row>
    <row r="361" spans="1:20" ht="15" customHeight="1">
      <c r="A361" s="69">
        <v>46248</v>
      </c>
      <c r="B361" s="32">
        <f t="shared" si="84"/>
        <v>0.6666666666666663</v>
      </c>
      <c r="C361" s="33"/>
      <c r="D361" s="62"/>
      <c r="E361" s="110"/>
      <c r="F361" s="135" t="str">
        <f>IFERROR(IF($D361="","",VLOOKUP($D361,Cadastro!$C$4:$E$7,3,FALSE)),"")</f>
        <v/>
      </c>
      <c r="G361" s="106"/>
      <c r="H361" s="135" t="str">
        <f>IFERROR(IF($G361="","",$G361*$S$365/$G$365/Cadastro!$E$33),"")</f>
        <v/>
      </c>
      <c r="I361" s="136" t="str">
        <f>IFERROR(IF($D361="","",VLOOKUP($D361,Cadastro!$C$4:$G$7,5,FALSE)),"")</f>
        <v/>
      </c>
      <c r="J361" s="137" t="str">
        <f t="shared" si="81"/>
        <v/>
      </c>
      <c r="K361" s="34" t="str">
        <f t="shared" si="82"/>
        <v/>
      </c>
      <c r="L361" s="33"/>
      <c r="M361" s="33"/>
      <c r="N361" s="33"/>
      <c r="O361" s="29"/>
      <c r="P361" s="29"/>
      <c r="Q361" s="35" t="str">
        <f t="shared" ca="1" si="83"/>
        <v/>
      </c>
      <c r="R361" s="27"/>
      <c r="S361" s="47"/>
    </row>
    <row r="362" spans="1:20" ht="15" customHeight="1">
      <c r="A362" s="68">
        <v>46248</v>
      </c>
      <c r="B362" s="25">
        <f t="shared" si="84"/>
        <v>0.70833333333333293</v>
      </c>
      <c r="C362" s="33"/>
      <c r="D362" s="62"/>
      <c r="E362" s="110"/>
      <c r="F362" s="135" t="str">
        <f>IFERROR(IF($D362="","",VLOOKUP($D362,Cadastro!$C$4:$E$7,3,FALSE)),"")</f>
        <v/>
      </c>
      <c r="G362" s="106"/>
      <c r="H362" s="135" t="str">
        <f>IFERROR(IF($G362="","",$G362*$S$365/$G$365/Cadastro!$E$33),"")</f>
        <v/>
      </c>
      <c r="I362" s="136" t="str">
        <f>IFERROR(IF($D362="","",VLOOKUP($D362,Cadastro!$C$4:$G$7,5,FALSE)),"")</f>
        <v/>
      </c>
      <c r="J362" s="137" t="str">
        <f t="shared" si="81"/>
        <v/>
      </c>
      <c r="K362" s="28" t="str">
        <f t="shared" si="82"/>
        <v/>
      </c>
      <c r="L362" s="26"/>
      <c r="M362" s="26"/>
      <c r="N362" s="26"/>
      <c r="O362" s="29"/>
      <c r="P362" s="29"/>
      <c r="Q362" s="30" t="str">
        <f t="shared" ca="1" si="83"/>
        <v/>
      </c>
      <c r="R362" s="27"/>
      <c r="S362" s="47"/>
    </row>
    <row r="363" spans="1:20" ht="15" customHeight="1">
      <c r="A363" s="69">
        <v>46248</v>
      </c>
      <c r="B363" s="32">
        <f t="shared" si="84"/>
        <v>0.74999999999999956</v>
      </c>
      <c r="C363" s="33"/>
      <c r="D363" s="62"/>
      <c r="E363" s="110"/>
      <c r="F363" s="135" t="str">
        <f>IFERROR(IF($D363="","",VLOOKUP($D363,Cadastro!$C$4:$E$7,3,FALSE)),"")</f>
        <v/>
      </c>
      <c r="G363" s="106"/>
      <c r="H363" s="135" t="str">
        <f>IFERROR(IF($G363="","",$G363*$S$365/$G$365/Cadastro!$E$33),"")</f>
        <v/>
      </c>
      <c r="I363" s="136" t="str">
        <f>IFERROR(IF($D363="","",VLOOKUP($D363,Cadastro!$C$4:$G$7,5,FALSE)),"")</f>
        <v/>
      </c>
      <c r="J363" s="137" t="str">
        <f t="shared" si="81"/>
        <v/>
      </c>
      <c r="K363" s="34" t="str">
        <f t="shared" si="82"/>
        <v/>
      </c>
      <c r="L363" s="33"/>
      <c r="M363" s="33"/>
      <c r="N363" s="33"/>
      <c r="O363" s="29"/>
      <c r="P363" s="29"/>
      <c r="Q363" s="35" t="str">
        <f t="shared" ca="1" si="83"/>
        <v/>
      </c>
      <c r="R363" s="27"/>
      <c r="S363" s="47"/>
    </row>
    <row r="364" spans="1:20" ht="15" customHeight="1" thickBot="1">
      <c r="A364" s="68">
        <v>46248</v>
      </c>
      <c r="B364" s="25">
        <f t="shared" si="84"/>
        <v>0.79166666666666619</v>
      </c>
      <c r="C364" s="33"/>
      <c r="D364" s="62"/>
      <c r="E364" s="110"/>
      <c r="F364" s="138" t="str">
        <f>IFERROR(IF($D364="","",VLOOKUP($D364,Cadastro!$C$4:$E$7,3,FALSE)),"")</f>
        <v/>
      </c>
      <c r="G364" s="106"/>
      <c r="H364" s="138" t="str">
        <f>IFERROR(IF($G364="","",$G364*$S$365/$G$365/Cadastro!$E$33),"")</f>
        <v/>
      </c>
      <c r="I364" s="139" t="str">
        <f>IFERROR(IF($D364="","",VLOOKUP($D364,Cadastro!$C$4:$G$7,5,FALSE)),"")</f>
        <v/>
      </c>
      <c r="J364" s="140" t="str">
        <f t="shared" si="81"/>
        <v/>
      </c>
      <c r="K364" s="28" t="str">
        <f t="shared" si="82"/>
        <v/>
      </c>
      <c r="L364" s="26"/>
      <c r="M364" s="26"/>
      <c r="N364" s="26"/>
      <c r="O364" s="29"/>
      <c r="P364" s="29"/>
      <c r="Q364" s="30" t="str">
        <f t="shared" ca="1" si="83"/>
        <v/>
      </c>
      <c r="R364" s="27"/>
      <c r="S364" s="47"/>
    </row>
    <row r="365" spans="1:20" ht="15.75" customHeight="1" thickBot="1">
      <c r="A365" s="152" t="s">
        <v>241</v>
      </c>
      <c r="B365" s="153"/>
      <c r="C365" s="153"/>
      <c r="D365" s="153"/>
      <c r="E365" s="153">
        <f>SUM(E353:E364)</f>
        <v>0</v>
      </c>
      <c r="F365" s="111"/>
      <c r="G365" s="81">
        <f>SUM(G353:G364)</f>
        <v>0</v>
      </c>
      <c r="H365" s="111">
        <f>IFERROR(SUM(H353:H364),"")</f>
        <v>0</v>
      </c>
      <c r="I365" s="115"/>
      <c r="J365" s="124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20">
        <f>IFERROR(J365,"")</f>
        <v>0</v>
      </c>
    </row>
    <row r="366" spans="1:20" ht="15" customHeight="1">
      <c r="A366" s="68">
        <v>46248</v>
      </c>
      <c r="B366" s="25">
        <v>0.83333333333333304</v>
      </c>
      <c r="C366" s="26"/>
      <c r="D366" s="59"/>
      <c r="E366" s="109"/>
      <c r="F366" s="141" t="str">
        <f>IFERROR(IF($D366="","",VLOOKUP($D366,Cadastro!$C$4:$E$7,3,FALSE)),"")</f>
        <v/>
      </c>
      <c r="G366" s="106"/>
      <c r="H366" s="141" t="str">
        <f>IFERROR(IF($G366="","",$G366*$S$378/$G$378/Cadastro!$E$33),"")</f>
        <v/>
      </c>
      <c r="I366" s="142" t="str">
        <f>IFERROR(IF($D366="","",VLOOKUP($D366,Cadastro!$C$4:$G$7,5,FALSE)),"")</f>
        <v/>
      </c>
      <c r="J366" s="143" t="str">
        <f t="shared" ref="J366:J377" si="85">IFERROR(IF($H366="","",$H366*$F366*$I366),"")</f>
        <v/>
      </c>
      <c r="K366" s="28" t="str">
        <f t="shared" ref="K366:K377" si="86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7">IFERROR(IF(O366="","",IF(P366="",MOD(NOW()-O366,1),IF(P366&gt;=O366,P366-O366,P366+1-O366))),"")</f>
        <v/>
      </c>
      <c r="R366" s="27"/>
      <c r="S366" s="47"/>
    </row>
    <row r="367" spans="1:20" ht="15" customHeight="1">
      <c r="A367" s="69">
        <v>46248</v>
      </c>
      <c r="B367" s="32">
        <f t="shared" ref="B367:B377" si="88">B366+TIME(0,60,0)</f>
        <v>0.87499999999999967</v>
      </c>
      <c r="C367" s="26"/>
      <c r="D367" s="59"/>
      <c r="E367" s="109"/>
      <c r="F367" s="135" t="str">
        <f>IFERROR(IF($D367="","",VLOOKUP($D367,Cadastro!$C$4:$E$7,3,FALSE)),"")</f>
        <v/>
      </c>
      <c r="G367" s="106"/>
      <c r="H367" s="135" t="str">
        <f>IFERROR(IF($G367="","",$G367*$S$378/$G$378/Cadastro!$E$33),"")</f>
        <v/>
      </c>
      <c r="I367" s="136" t="str">
        <f>IFERROR(IF($D367="","",VLOOKUP($D367,Cadastro!$C$4:$G$7,5,FALSE)),"")</f>
        <v/>
      </c>
      <c r="J367" s="137" t="str">
        <f t="shared" si="85"/>
        <v/>
      </c>
      <c r="K367" s="34" t="str">
        <f t="shared" si="86"/>
        <v/>
      </c>
      <c r="L367" s="33"/>
      <c r="M367" s="33"/>
      <c r="N367" s="33"/>
      <c r="O367" s="29"/>
      <c r="P367" s="29"/>
      <c r="Q367" s="35" t="str">
        <f t="shared" ca="1" si="87"/>
        <v/>
      </c>
      <c r="R367" s="27"/>
      <c r="S367" s="47"/>
    </row>
    <row r="368" spans="1:20" ht="15" customHeight="1">
      <c r="A368" s="68">
        <v>46248</v>
      </c>
      <c r="B368" s="25">
        <f t="shared" si="88"/>
        <v>0.9166666666666663</v>
      </c>
      <c r="C368" s="26"/>
      <c r="D368" s="59"/>
      <c r="E368" s="109"/>
      <c r="F368" s="135" t="str">
        <f>IFERROR(IF($D368="","",VLOOKUP($D368,Cadastro!$C$4:$E$7,3,FALSE)),"")</f>
        <v/>
      </c>
      <c r="G368" s="106"/>
      <c r="H368" s="135" t="str">
        <f>IFERROR(IF($G368="","",$G368*$S$378/$G$378/Cadastro!$E$33),"")</f>
        <v/>
      </c>
      <c r="I368" s="136" t="str">
        <f>IFERROR(IF($D368="","",VLOOKUP($D368,Cadastro!$C$4:$G$7,5,FALSE)),"")</f>
        <v/>
      </c>
      <c r="J368" s="137" t="str">
        <f t="shared" si="85"/>
        <v/>
      </c>
      <c r="K368" s="28" t="str">
        <f t="shared" si="86"/>
        <v/>
      </c>
      <c r="L368" s="26"/>
      <c r="M368" s="26"/>
      <c r="N368" s="26"/>
      <c r="O368" s="29"/>
      <c r="P368" s="29"/>
      <c r="Q368" s="30" t="str">
        <f t="shared" ca="1" si="87"/>
        <v/>
      </c>
      <c r="R368" s="27"/>
      <c r="S368" s="47"/>
    </row>
    <row r="369" spans="1:20" ht="15" customHeight="1">
      <c r="A369" s="69">
        <v>46248</v>
      </c>
      <c r="B369" s="32">
        <f t="shared" si="88"/>
        <v>0.95833333333333293</v>
      </c>
      <c r="C369" s="26"/>
      <c r="D369" s="59"/>
      <c r="E369" s="109"/>
      <c r="F369" s="135" t="str">
        <f>IFERROR(IF($D369="","",VLOOKUP($D369,Cadastro!$C$4:$E$7,3,FALSE)),"")</f>
        <v/>
      </c>
      <c r="G369" s="106"/>
      <c r="H369" s="135" t="str">
        <f>IFERROR(IF($G369="","",$G369*$S$378/$G$378/Cadastro!$E$33),"")</f>
        <v/>
      </c>
      <c r="I369" s="136" t="str">
        <f>IFERROR(IF($D369="","",VLOOKUP($D369,Cadastro!$C$4:$G$7,5,FALSE)),"")</f>
        <v/>
      </c>
      <c r="J369" s="137" t="str">
        <f t="shared" si="85"/>
        <v/>
      </c>
      <c r="K369" s="34" t="str">
        <f t="shared" si="86"/>
        <v/>
      </c>
      <c r="L369" s="33"/>
      <c r="M369" s="33"/>
      <c r="N369" s="33"/>
      <c r="O369" s="29"/>
      <c r="P369" s="29"/>
      <c r="Q369" s="35" t="str">
        <f t="shared" ca="1" si="87"/>
        <v/>
      </c>
      <c r="R369" s="27"/>
      <c r="S369" s="47"/>
    </row>
    <row r="370" spans="1:20" ht="15" customHeight="1">
      <c r="A370" s="68">
        <v>46248</v>
      </c>
      <c r="B370" s="25">
        <f t="shared" si="88"/>
        <v>0.99999999999999956</v>
      </c>
      <c r="C370" s="26"/>
      <c r="D370" s="59"/>
      <c r="E370" s="109"/>
      <c r="F370" s="135" t="str">
        <f>IFERROR(IF($D370="","",VLOOKUP($D370,Cadastro!$C$4:$E$7,3,FALSE)),"")</f>
        <v/>
      </c>
      <c r="G370" s="106"/>
      <c r="H370" s="135" t="str">
        <f>IFERROR(IF($G370="","",$G370*$S$378/$G$378/Cadastro!$E$33),"")</f>
        <v/>
      </c>
      <c r="I370" s="136" t="str">
        <f>IFERROR(IF($D370="","",VLOOKUP($D370,Cadastro!$C$4:$G$7,5,FALSE)),"")</f>
        <v/>
      </c>
      <c r="J370" s="137" t="str">
        <f t="shared" si="85"/>
        <v/>
      </c>
      <c r="K370" s="28" t="str">
        <f t="shared" si="86"/>
        <v/>
      </c>
      <c r="L370" s="26"/>
      <c r="M370" s="26"/>
      <c r="N370" s="26"/>
      <c r="O370" s="29"/>
      <c r="P370" s="29"/>
      <c r="Q370" s="30" t="str">
        <f t="shared" ca="1" si="87"/>
        <v/>
      </c>
      <c r="R370" s="27"/>
      <c r="S370" s="47"/>
    </row>
    <row r="371" spans="1:20" ht="15" customHeight="1">
      <c r="A371" s="69">
        <v>46248</v>
      </c>
      <c r="B371" s="32">
        <f t="shared" si="88"/>
        <v>1.0416666666666663</v>
      </c>
      <c r="C371" s="26"/>
      <c r="D371" s="59"/>
      <c r="E371" s="109"/>
      <c r="F371" s="135" t="str">
        <f>IFERROR(IF($D371="","",VLOOKUP($D371,Cadastro!$C$4:$E$7,3,FALSE)),"")</f>
        <v/>
      </c>
      <c r="G371" s="106"/>
      <c r="H371" s="135" t="str">
        <f>IFERROR(IF($G371="","",$G371*$S$378/$G$378/Cadastro!$E$33),"")</f>
        <v/>
      </c>
      <c r="I371" s="136" t="str">
        <f>IFERROR(IF($D371="","",VLOOKUP($D371,Cadastro!$C$4:$G$7,5,FALSE)),"")</f>
        <v/>
      </c>
      <c r="J371" s="137" t="str">
        <f t="shared" si="85"/>
        <v/>
      </c>
      <c r="K371" s="34" t="str">
        <f t="shared" si="86"/>
        <v/>
      </c>
      <c r="L371" s="33"/>
      <c r="M371" s="33"/>
      <c r="N371" s="33"/>
      <c r="O371" s="29"/>
      <c r="P371" s="29"/>
      <c r="Q371" s="35" t="str">
        <f t="shared" ca="1" si="87"/>
        <v/>
      </c>
      <c r="R371" s="27"/>
      <c r="S371" s="47"/>
    </row>
    <row r="372" spans="1:20" ht="15" customHeight="1">
      <c r="A372" s="68">
        <v>46248</v>
      </c>
      <c r="B372" s="25">
        <f t="shared" si="88"/>
        <v>1.083333333333333</v>
      </c>
      <c r="C372" s="26"/>
      <c r="D372" s="59"/>
      <c r="E372" s="109"/>
      <c r="F372" s="135" t="str">
        <f>IFERROR(IF($D372="","",VLOOKUP($D372,Cadastro!$C$4:$E$7,3,FALSE)),"")</f>
        <v/>
      </c>
      <c r="G372" s="106"/>
      <c r="H372" s="135" t="str">
        <f>IFERROR(IF($G372="","",$G372*$S$378/$G$378/Cadastro!$E$33),"")</f>
        <v/>
      </c>
      <c r="I372" s="136" t="str">
        <f>IFERROR(IF($D372="","",VLOOKUP($D372,Cadastro!$C$4:$G$7,5,FALSE)),"")</f>
        <v/>
      </c>
      <c r="J372" s="137" t="str">
        <f t="shared" si="85"/>
        <v/>
      </c>
      <c r="K372" s="28" t="str">
        <f t="shared" si="86"/>
        <v/>
      </c>
      <c r="L372" s="26"/>
      <c r="M372" s="26"/>
      <c r="N372" s="26"/>
      <c r="O372" s="29"/>
      <c r="P372" s="29"/>
      <c r="Q372" s="30" t="str">
        <f t="shared" ca="1" si="87"/>
        <v/>
      </c>
      <c r="R372" s="27"/>
      <c r="S372" s="47"/>
    </row>
    <row r="373" spans="1:20" ht="15" customHeight="1">
      <c r="A373" s="69">
        <v>46248</v>
      </c>
      <c r="B373" s="32">
        <f t="shared" si="88"/>
        <v>1.1249999999999998</v>
      </c>
      <c r="C373" s="26"/>
      <c r="D373" s="59"/>
      <c r="E373" s="109"/>
      <c r="F373" s="135" t="str">
        <f>IFERROR(IF($D373="","",VLOOKUP($D373,Cadastro!$C$4:$E$7,3,FALSE)),"")</f>
        <v/>
      </c>
      <c r="G373" s="106"/>
      <c r="H373" s="135" t="str">
        <f>IFERROR(IF($G373="","",$G373*$S$378/$G$378/Cadastro!$E$33),"")</f>
        <v/>
      </c>
      <c r="I373" s="136" t="str">
        <f>IFERROR(IF($D373="","",VLOOKUP($D373,Cadastro!$C$4:$G$7,5,FALSE)),"")</f>
        <v/>
      </c>
      <c r="J373" s="137" t="str">
        <f t="shared" si="85"/>
        <v/>
      </c>
      <c r="K373" s="34" t="str">
        <f t="shared" si="86"/>
        <v/>
      </c>
      <c r="L373" s="33"/>
      <c r="M373" s="33"/>
      <c r="N373" s="33"/>
      <c r="O373" s="29"/>
      <c r="P373" s="29"/>
      <c r="Q373" s="35" t="str">
        <f t="shared" ca="1" si="87"/>
        <v/>
      </c>
      <c r="R373" s="27"/>
      <c r="S373" s="47"/>
    </row>
    <row r="374" spans="1:20" ht="15" customHeight="1">
      <c r="A374" s="68">
        <v>46248</v>
      </c>
      <c r="B374" s="25">
        <f t="shared" si="88"/>
        <v>1.1666666666666665</v>
      </c>
      <c r="C374" s="26"/>
      <c r="D374" s="59"/>
      <c r="E374" s="109"/>
      <c r="F374" s="135" t="str">
        <f>IFERROR(IF($D374="","",VLOOKUP($D374,Cadastro!$C$4:$E$7,3,FALSE)),"")</f>
        <v/>
      </c>
      <c r="G374" s="106"/>
      <c r="H374" s="135" t="str">
        <f>IFERROR(IF($G374="","",$G374*$S$378/$G$378/Cadastro!$E$33),"")</f>
        <v/>
      </c>
      <c r="I374" s="136" t="str">
        <f>IFERROR(IF($D374="","",VLOOKUP($D374,Cadastro!$C$4:$G$7,5,FALSE)),"")</f>
        <v/>
      </c>
      <c r="J374" s="137" t="str">
        <f t="shared" si="85"/>
        <v/>
      </c>
      <c r="K374" s="28" t="str">
        <f t="shared" si="86"/>
        <v/>
      </c>
      <c r="L374" s="26"/>
      <c r="M374" s="26"/>
      <c r="N374" s="26"/>
      <c r="O374" s="29"/>
      <c r="P374" s="29"/>
      <c r="Q374" s="30" t="str">
        <f t="shared" ca="1" si="87"/>
        <v/>
      </c>
      <c r="R374" s="27"/>
      <c r="S374" s="47"/>
    </row>
    <row r="375" spans="1:20" ht="15" customHeight="1">
      <c r="A375" s="69">
        <v>46248</v>
      </c>
      <c r="B375" s="32">
        <f t="shared" si="88"/>
        <v>1.2083333333333333</v>
      </c>
      <c r="C375" s="26"/>
      <c r="D375" s="59"/>
      <c r="E375" s="109"/>
      <c r="F375" s="135" t="str">
        <f>IFERROR(IF($D375="","",VLOOKUP($D375,Cadastro!$C$4:$E$7,3,FALSE)),"")</f>
        <v/>
      </c>
      <c r="G375" s="106"/>
      <c r="H375" s="135" t="str">
        <f>IFERROR(IF($G375="","",$G375*$S$378/$G$378/Cadastro!$E$33),"")</f>
        <v/>
      </c>
      <c r="I375" s="136" t="str">
        <f>IFERROR(IF($D375="","",VLOOKUP($D375,Cadastro!$C$4:$G$7,5,FALSE)),"")</f>
        <v/>
      </c>
      <c r="J375" s="137" t="str">
        <f t="shared" si="85"/>
        <v/>
      </c>
      <c r="K375" s="34" t="str">
        <f t="shared" si="86"/>
        <v/>
      </c>
      <c r="L375" s="33"/>
      <c r="M375" s="33"/>
      <c r="N375" s="33"/>
      <c r="O375" s="29"/>
      <c r="P375" s="29"/>
      <c r="Q375" s="35" t="str">
        <f t="shared" ca="1" si="87"/>
        <v/>
      </c>
      <c r="R375" s="27"/>
      <c r="S375" s="47"/>
    </row>
    <row r="376" spans="1:20" ht="15" customHeight="1">
      <c r="A376" s="68">
        <v>46248</v>
      </c>
      <c r="B376" s="25">
        <f t="shared" si="88"/>
        <v>1.25</v>
      </c>
      <c r="C376" s="26"/>
      <c r="D376" s="59"/>
      <c r="E376" s="109"/>
      <c r="F376" s="135" t="str">
        <f>IFERROR(IF($D376="","",VLOOKUP($D376,Cadastro!$C$4:$E$7,3,FALSE)),"")</f>
        <v/>
      </c>
      <c r="G376" s="106"/>
      <c r="H376" s="135" t="str">
        <f>IFERROR(IF($G376="","",$G376*$S$378/$G$378/Cadastro!$E$33),"")</f>
        <v/>
      </c>
      <c r="I376" s="136" t="str">
        <f>IFERROR(IF($D376="","",VLOOKUP($D376,Cadastro!$C$4:$G$7,5,FALSE)),"")</f>
        <v/>
      </c>
      <c r="J376" s="137" t="str">
        <f t="shared" si="85"/>
        <v/>
      </c>
      <c r="K376" s="28" t="str">
        <f t="shared" si="86"/>
        <v/>
      </c>
      <c r="L376" s="26"/>
      <c r="M376" s="26"/>
      <c r="N376" s="26"/>
      <c r="O376" s="29"/>
      <c r="P376" s="29"/>
      <c r="Q376" s="30" t="str">
        <f t="shared" ca="1" si="87"/>
        <v/>
      </c>
      <c r="R376" s="27"/>
      <c r="S376" s="47"/>
    </row>
    <row r="377" spans="1:20" ht="15" customHeight="1" thickBot="1">
      <c r="A377" s="69">
        <v>46248</v>
      </c>
      <c r="B377" s="32">
        <f t="shared" si="88"/>
        <v>1.2916666666666667</v>
      </c>
      <c r="C377" s="26"/>
      <c r="D377" s="59"/>
      <c r="E377" s="109"/>
      <c r="F377" s="138" t="str">
        <f>IFERROR(IF($D377="","",VLOOKUP($D377,Cadastro!$C$4:$E$7,3,FALSE)),"")</f>
        <v/>
      </c>
      <c r="G377" s="106"/>
      <c r="H377" s="138" t="str">
        <f>IFERROR(IF($G377="","",$G377*$S$378/$G$378/Cadastro!$E$33),"")</f>
        <v/>
      </c>
      <c r="I377" s="139" t="str">
        <f>IFERROR(IF($D377="","",VLOOKUP($D377,Cadastro!$C$4:$G$7,5,FALSE)),"")</f>
        <v/>
      </c>
      <c r="J377" s="140" t="str">
        <f t="shared" si="85"/>
        <v/>
      </c>
      <c r="K377" s="34" t="str">
        <f t="shared" si="86"/>
        <v/>
      </c>
      <c r="L377" s="33"/>
      <c r="M377" s="33"/>
      <c r="N377" s="33"/>
      <c r="O377" s="29"/>
      <c r="P377" s="29"/>
      <c r="Q377" s="35" t="str">
        <f t="shared" ca="1" si="87"/>
        <v/>
      </c>
      <c r="R377" s="27"/>
      <c r="S377" s="47"/>
    </row>
    <row r="378" spans="1:20" ht="15.75" customHeight="1" thickBot="1">
      <c r="A378" s="152" t="s">
        <v>244</v>
      </c>
      <c r="B378" s="153"/>
      <c r="C378" s="153"/>
      <c r="D378" s="153"/>
      <c r="E378" s="153">
        <f>SUM(E366:E377)</f>
        <v>0</v>
      </c>
      <c r="F378" s="112"/>
      <c r="G378" s="81">
        <f>SUM(G366:G377)</f>
        <v>0</v>
      </c>
      <c r="H378" s="112">
        <f>IFERROR(SUM(H366:H377),"")</f>
        <v>0</v>
      </c>
      <c r="I378" s="116"/>
      <c r="J378" s="125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20">
        <f>IFERROR(J378,"")</f>
        <v>0</v>
      </c>
    </row>
    <row r="379" spans="1:20" ht="18" customHeight="1">
      <c r="A379" s="150" t="s">
        <v>245</v>
      </c>
      <c r="B379" s="151"/>
      <c r="C379" s="151"/>
      <c r="D379" s="151"/>
      <c r="E379" s="151">
        <f>E365+E378</f>
        <v>0</v>
      </c>
      <c r="F379" s="113"/>
      <c r="G379" s="92">
        <f>G365+G378</f>
        <v>0</v>
      </c>
      <c r="H379" s="113">
        <f>IFERROR(H365+H378,"")</f>
        <v>0</v>
      </c>
      <c r="I379" s="117"/>
      <c r="J379" s="126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2">
        <f>IFERROR(J379,"")</f>
        <v>0</v>
      </c>
    </row>
    <row r="380" spans="1:20" ht="15" customHeight="1">
      <c r="A380" s="68">
        <v>46249</v>
      </c>
      <c r="B380" s="25">
        <v>0.33333333333333298</v>
      </c>
      <c r="C380" s="26"/>
      <c r="D380" s="59"/>
      <c r="E380" s="109"/>
      <c r="F380" s="141" t="str">
        <f>IFERROR(IF($D380="","",VLOOKUP($D380,Cadastro!$C$4:$E$7,3,FALSE)),"")</f>
        <v/>
      </c>
      <c r="G380" s="106"/>
      <c r="H380" s="141" t="str">
        <f>IFERROR(IF($G380="","",$G380*$S$392/$G$392/Cadastro!$E$33),"")</f>
        <v/>
      </c>
      <c r="I380" s="142" t="str">
        <f>IFERROR(IF($D380="","",VLOOKUP($D380,Cadastro!$C$4:$G$7,5,FALSE)),"")</f>
        <v/>
      </c>
      <c r="J380" s="143" t="str">
        <f t="shared" ref="J380:J391" si="89">IFERROR(IF($H380="","",$H380*$F380*$I380),"")</f>
        <v/>
      </c>
      <c r="K380" s="28" t="str">
        <f t="shared" ref="K380:K391" si="90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1">IFERROR(IF(O380="","",IF(P380="",MOD(NOW()-O380,1),IF(P380&gt;=O380,P380-O380,P380+1-O380))),"")</f>
        <v/>
      </c>
      <c r="R380" s="27"/>
      <c r="S380" s="47"/>
    </row>
    <row r="381" spans="1:20" ht="15" customHeight="1">
      <c r="A381" s="69">
        <v>46249</v>
      </c>
      <c r="B381" s="32">
        <f t="shared" ref="B381:B391" si="92">B380+TIME(0,60,0)</f>
        <v>0.37499999999999967</v>
      </c>
      <c r="C381" s="26"/>
      <c r="D381" s="59"/>
      <c r="F381" s="135" t="str">
        <f>IFERROR(IF($D381="","",VLOOKUP($D381,Cadastro!$C$4:$E$7,3,FALSE)),"")</f>
        <v/>
      </c>
      <c r="G381" s="106"/>
      <c r="H381" s="135" t="str">
        <f>IFERROR(IF($G381="","",$G381*$S$392/$G$392/Cadastro!$E$33),"")</f>
        <v/>
      </c>
      <c r="I381" s="136" t="str">
        <f>IFERROR(IF($D381="","",VLOOKUP($D381,Cadastro!$C$4:$G$7,5,FALSE)),"")</f>
        <v/>
      </c>
      <c r="J381" s="137" t="str">
        <f t="shared" si="89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1"/>
        <v/>
      </c>
      <c r="R381" s="27"/>
      <c r="S381" s="47"/>
    </row>
    <row r="382" spans="1:20" ht="15" customHeight="1">
      <c r="A382" s="68">
        <v>46249</v>
      </c>
      <c r="B382" s="25">
        <f t="shared" si="92"/>
        <v>0.41666666666666635</v>
      </c>
      <c r="C382" s="26"/>
      <c r="D382" s="59"/>
      <c r="E382" s="109"/>
      <c r="F382" s="135" t="str">
        <f>IFERROR(IF($D382="","",VLOOKUP($D382,Cadastro!$C$4:$E$7,3,FALSE)),"")</f>
        <v/>
      </c>
      <c r="G382" s="106"/>
      <c r="H382" s="135" t="str">
        <f>IFERROR(IF($G382="","",$G382*$S$392/$G$392/Cadastro!$E$33),"")</f>
        <v/>
      </c>
      <c r="I382" s="136" t="str">
        <f>IFERROR(IF($D382="","",VLOOKUP($D382,Cadastro!$C$4:$G$7,5,FALSE)),"")</f>
        <v/>
      </c>
      <c r="J382" s="137" t="str">
        <f t="shared" si="89"/>
        <v/>
      </c>
      <c r="K382" s="28"/>
      <c r="L382" s="26"/>
      <c r="M382" s="26"/>
      <c r="N382" s="33"/>
      <c r="O382" s="29"/>
      <c r="P382" s="29"/>
      <c r="Q382" s="30" t="str">
        <f t="shared" ca="1" si="91"/>
        <v/>
      </c>
      <c r="R382" s="27"/>
      <c r="S382" s="47"/>
    </row>
    <row r="383" spans="1:20" ht="15" customHeight="1">
      <c r="A383" s="69">
        <v>46249</v>
      </c>
      <c r="B383" s="32">
        <f t="shared" si="92"/>
        <v>0.45833333333333304</v>
      </c>
      <c r="C383" s="26"/>
      <c r="D383" s="59"/>
      <c r="E383" s="109"/>
      <c r="F383" s="135" t="str">
        <f>IFERROR(IF($D383="","",VLOOKUP($D383,Cadastro!$C$4:$E$7,3,FALSE)),"")</f>
        <v/>
      </c>
      <c r="G383" s="106"/>
      <c r="H383" s="135" t="str">
        <f>IFERROR(IF($G383="","",$G383*$S$392/$G$392/Cadastro!$E$33),"")</f>
        <v/>
      </c>
      <c r="I383" s="136" t="str">
        <f>IFERROR(IF($D383="","",VLOOKUP($D383,Cadastro!$C$4:$G$7,5,FALSE)),"")</f>
        <v/>
      </c>
      <c r="J383" s="137" t="str">
        <f t="shared" si="89"/>
        <v/>
      </c>
      <c r="K383" s="34" t="str">
        <f t="shared" si="90"/>
        <v/>
      </c>
      <c r="L383" s="33"/>
      <c r="M383" s="33"/>
      <c r="N383" s="33"/>
      <c r="O383" s="29"/>
      <c r="P383" s="29"/>
      <c r="Q383" s="35" t="str">
        <f t="shared" ca="1" si="91"/>
        <v/>
      </c>
      <c r="R383" s="27"/>
      <c r="S383" s="47"/>
    </row>
    <row r="384" spans="1:20" ht="15" customHeight="1">
      <c r="A384" s="68">
        <v>46249</v>
      </c>
      <c r="B384" s="25">
        <f t="shared" si="92"/>
        <v>0.49999999999999972</v>
      </c>
      <c r="C384" s="26"/>
      <c r="D384" s="59"/>
      <c r="E384" s="109"/>
      <c r="F384" s="135" t="str">
        <f>IFERROR(IF($D384="","",VLOOKUP($D384,Cadastro!$C$4:$E$7,3,FALSE)),"")</f>
        <v/>
      </c>
      <c r="G384" s="106"/>
      <c r="H384" s="135" t="str">
        <f>IFERROR(IF($G384="","",$G384*$S$392/$G$392/Cadastro!$E$33),"")</f>
        <v/>
      </c>
      <c r="I384" s="136" t="str">
        <f>IFERROR(IF($D384="","",VLOOKUP($D384,Cadastro!$C$4:$G$7,5,FALSE)),"")</f>
        <v/>
      </c>
      <c r="J384" s="137" t="str">
        <f t="shared" si="89"/>
        <v/>
      </c>
      <c r="K384" s="28" t="str">
        <f t="shared" si="90"/>
        <v/>
      </c>
      <c r="L384" s="26"/>
      <c r="M384" s="26"/>
      <c r="N384" s="26"/>
      <c r="O384" s="29"/>
      <c r="P384" s="29"/>
      <c r="Q384" s="30" t="str">
        <f t="shared" ca="1" si="91"/>
        <v/>
      </c>
      <c r="R384" s="27"/>
      <c r="S384" s="47"/>
    </row>
    <row r="385" spans="1:20" ht="15" customHeight="1">
      <c r="A385" s="69">
        <v>46249</v>
      </c>
      <c r="B385" s="32">
        <f t="shared" si="92"/>
        <v>0.54166666666666641</v>
      </c>
      <c r="C385" s="26"/>
      <c r="D385" s="59"/>
      <c r="E385" s="109"/>
      <c r="F385" s="135" t="str">
        <f>IFERROR(IF($D385="","",VLOOKUP($D385,Cadastro!$C$4:$E$7,3,FALSE)),"")</f>
        <v/>
      </c>
      <c r="G385" s="106"/>
      <c r="H385" s="135" t="str">
        <f>IFERROR(IF($G385="","",$G385*$S$392/$G$392/Cadastro!$E$33),"")</f>
        <v/>
      </c>
      <c r="I385" s="136" t="str">
        <f>IFERROR(IF($D385="","",VLOOKUP($D385,Cadastro!$C$4:$G$7,5,FALSE)),"")</f>
        <v/>
      </c>
      <c r="J385" s="137" t="str">
        <f t="shared" si="89"/>
        <v/>
      </c>
      <c r="K385" s="34" t="str">
        <f t="shared" si="90"/>
        <v/>
      </c>
      <c r="L385" s="33"/>
      <c r="M385" s="33"/>
      <c r="N385" s="33"/>
      <c r="O385" s="29"/>
      <c r="P385" s="29"/>
      <c r="Q385" s="35" t="str">
        <f t="shared" ca="1" si="91"/>
        <v/>
      </c>
      <c r="R385" s="27"/>
      <c r="S385" s="47"/>
    </row>
    <row r="386" spans="1:20" ht="15" customHeight="1">
      <c r="A386" s="68">
        <v>46249</v>
      </c>
      <c r="B386" s="25">
        <f t="shared" si="92"/>
        <v>0.58333333333333304</v>
      </c>
      <c r="C386" s="26"/>
      <c r="D386" s="59"/>
      <c r="E386" s="109"/>
      <c r="F386" s="135" t="str">
        <f>IFERROR(IF($D386="","",VLOOKUP($D386,Cadastro!$C$4:$E$7,3,FALSE)),"")</f>
        <v/>
      </c>
      <c r="G386" s="106"/>
      <c r="H386" s="135" t="str">
        <f>IFERROR(IF($G386="","",$G386*$S$392/$G$392/Cadastro!$E$33),"")</f>
        <v/>
      </c>
      <c r="I386" s="136" t="str">
        <f>IFERROR(IF($D386="","",VLOOKUP($D386,Cadastro!$C$4:$G$7,5,FALSE)),"")</f>
        <v/>
      </c>
      <c r="J386" s="137" t="str">
        <f t="shared" si="89"/>
        <v/>
      </c>
      <c r="K386" s="28" t="str">
        <f t="shared" si="90"/>
        <v/>
      </c>
      <c r="L386" s="26"/>
      <c r="M386" s="26"/>
      <c r="N386" s="26"/>
      <c r="O386" s="29"/>
      <c r="P386" s="29"/>
      <c r="Q386" s="30" t="str">
        <f t="shared" ca="1" si="91"/>
        <v/>
      </c>
      <c r="R386" s="27"/>
      <c r="S386" s="47"/>
    </row>
    <row r="387" spans="1:20" ht="15" customHeight="1">
      <c r="A387" s="69">
        <v>46249</v>
      </c>
      <c r="B387" s="32">
        <f t="shared" si="92"/>
        <v>0.62499999999999967</v>
      </c>
      <c r="C387" s="26"/>
      <c r="D387" s="59"/>
      <c r="E387" s="109"/>
      <c r="F387" s="135" t="str">
        <f>IFERROR(IF($D387="","",VLOOKUP($D387,Cadastro!$C$4:$E$7,3,FALSE)),"")</f>
        <v/>
      </c>
      <c r="G387" s="106"/>
      <c r="H387" s="135" t="str">
        <f>IFERROR(IF($G387="","",$G387*$S$392/$G$392/Cadastro!$E$33),"")</f>
        <v/>
      </c>
      <c r="I387" s="136" t="str">
        <f>IFERROR(IF($D387="","",VLOOKUP($D387,Cadastro!$C$4:$G$7,5,FALSE)),"")</f>
        <v/>
      </c>
      <c r="J387" s="137" t="str">
        <f t="shared" si="89"/>
        <v/>
      </c>
      <c r="K387" s="34" t="str">
        <f t="shared" si="90"/>
        <v/>
      </c>
      <c r="L387" s="33"/>
      <c r="M387" s="33"/>
      <c r="N387" s="33"/>
      <c r="O387" s="29"/>
      <c r="P387" s="29"/>
      <c r="Q387" s="35" t="str">
        <f t="shared" ca="1" si="91"/>
        <v/>
      </c>
      <c r="R387" s="27"/>
      <c r="S387" s="47"/>
    </row>
    <row r="388" spans="1:20" ht="15" customHeight="1">
      <c r="A388" s="68">
        <v>46249</v>
      </c>
      <c r="B388" s="25">
        <f t="shared" si="92"/>
        <v>0.6666666666666663</v>
      </c>
      <c r="C388" s="26"/>
      <c r="D388" s="59"/>
      <c r="E388" s="109"/>
      <c r="F388" s="135" t="str">
        <f>IFERROR(IF($D388="","",VLOOKUP($D388,Cadastro!$C$4:$E$7,3,FALSE)),"")</f>
        <v/>
      </c>
      <c r="G388" s="106"/>
      <c r="H388" s="135" t="str">
        <f>IFERROR(IF($G388="","",$G388*$S$392/$G$392/Cadastro!$E$33),"")</f>
        <v/>
      </c>
      <c r="I388" s="136" t="str">
        <f>IFERROR(IF($D388="","",VLOOKUP($D388,Cadastro!$C$4:$G$7,5,FALSE)),"")</f>
        <v/>
      </c>
      <c r="J388" s="137" t="str">
        <f t="shared" si="89"/>
        <v/>
      </c>
      <c r="K388" s="28" t="str">
        <f t="shared" si="90"/>
        <v/>
      </c>
      <c r="L388" s="26"/>
      <c r="M388" s="26"/>
      <c r="N388" s="26"/>
      <c r="O388" s="29"/>
      <c r="P388" s="29"/>
      <c r="Q388" s="30" t="str">
        <f t="shared" ca="1" si="91"/>
        <v/>
      </c>
      <c r="R388" s="27"/>
      <c r="S388" s="47"/>
    </row>
    <row r="389" spans="1:20" ht="15" customHeight="1">
      <c r="A389" s="69">
        <v>46249</v>
      </c>
      <c r="B389" s="32">
        <f t="shared" si="92"/>
        <v>0.70833333333333293</v>
      </c>
      <c r="C389" s="26"/>
      <c r="D389" s="59"/>
      <c r="E389" s="109"/>
      <c r="F389" s="135" t="str">
        <f>IFERROR(IF($D389="","",VLOOKUP($D389,Cadastro!$C$4:$E$7,3,FALSE)),"")</f>
        <v/>
      </c>
      <c r="G389" s="106"/>
      <c r="H389" s="135" t="str">
        <f>IFERROR(IF($G389="","",$G389*$S$392/$G$392/Cadastro!$E$33),"")</f>
        <v/>
      </c>
      <c r="I389" s="136" t="str">
        <f>IFERROR(IF($D389="","",VLOOKUP($D389,Cadastro!$C$4:$G$7,5,FALSE)),"")</f>
        <v/>
      </c>
      <c r="J389" s="137" t="str">
        <f t="shared" si="89"/>
        <v/>
      </c>
      <c r="K389" s="34" t="str">
        <f t="shared" si="90"/>
        <v/>
      </c>
      <c r="L389" s="33"/>
      <c r="M389" s="33"/>
      <c r="N389" s="33"/>
      <c r="O389" s="29"/>
      <c r="P389" s="29"/>
      <c r="Q389" s="35" t="str">
        <f t="shared" ca="1" si="91"/>
        <v/>
      </c>
      <c r="R389" s="27"/>
      <c r="S389" s="47"/>
    </row>
    <row r="390" spans="1:20" ht="15" customHeight="1">
      <c r="A390" s="68">
        <v>46249</v>
      </c>
      <c r="B390" s="25">
        <f t="shared" si="92"/>
        <v>0.74999999999999956</v>
      </c>
      <c r="C390" s="26"/>
      <c r="D390" s="59"/>
      <c r="E390" s="109"/>
      <c r="F390" s="135" t="str">
        <f>IFERROR(IF($D390="","",VLOOKUP($D390,Cadastro!$C$4:$E$7,3,FALSE)),"")</f>
        <v/>
      </c>
      <c r="G390" s="106"/>
      <c r="H390" s="135" t="str">
        <f>IFERROR(IF($G390="","",$G390*$S$392/$G$392/Cadastro!$E$33),"")</f>
        <v/>
      </c>
      <c r="I390" s="136" t="str">
        <f>IFERROR(IF($D390="","",VLOOKUP($D390,Cadastro!$C$4:$G$7,5,FALSE)),"")</f>
        <v/>
      </c>
      <c r="J390" s="137" t="str">
        <f t="shared" si="89"/>
        <v/>
      </c>
      <c r="K390" s="28" t="str">
        <f t="shared" si="90"/>
        <v/>
      </c>
      <c r="L390" s="26"/>
      <c r="M390" s="26"/>
      <c r="N390" s="26"/>
      <c r="O390" s="29"/>
      <c r="P390" s="29"/>
      <c r="Q390" s="30" t="str">
        <f t="shared" ca="1" si="91"/>
        <v/>
      </c>
      <c r="R390" s="27"/>
      <c r="S390" s="47"/>
    </row>
    <row r="391" spans="1:20" ht="15" customHeight="1" thickBot="1">
      <c r="A391" s="69">
        <v>46249</v>
      </c>
      <c r="B391" s="32">
        <f t="shared" si="92"/>
        <v>0.79166666666666619</v>
      </c>
      <c r="C391" s="26"/>
      <c r="D391" s="59"/>
      <c r="E391" s="109"/>
      <c r="F391" s="138" t="str">
        <f>IFERROR(IF($D391="","",VLOOKUP($D391,Cadastro!$C$4:$E$7,3,FALSE)),"")</f>
        <v/>
      </c>
      <c r="G391" s="106"/>
      <c r="H391" s="138" t="str">
        <f>IFERROR(IF($G391="","",$G391*$S$392/$G$392/Cadastro!$E$33),"")</f>
        <v/>
      </c>
      <c r="I391" s="139" t="str">
        <f>IFERROR(IF($D391="","",VLOOKUP($D391,Cadastro!$C$4:$G$7,5,FALSE)),"")</f>
        <v/>
      </c>
      <c r="J391" s="140" t="str">
        <f t="shared" si="89"/>
        <v/>
      </c>
      <c r="K391" s="34" t="str">
        <f t="shared" si="90"/>
        <v/>
      </c>
      <c r="L391" s="33"/>
      <c r="M391" s="33"/>
      <c r="N391" s="33"/>
      <c r="O391" s="29"/>
      <c r="P391" s="29"/>
      <c r="Q391" s="35" t="str">
        <f t="shared" ca="1" si="91"/>
        <v/>
      </c>
      <c r="R391" s="27"/>
      <c r="S391" s="47"/>
    </row>
    <row r="392" spans="1:20" ht="15.75" customHeight="1" thickBot="1">
      <c r="A392" s="152" t="s">
        <v>241</v>
      </c>
      <c r="B392" s="153"/>
      <c r="C392" s="153"/>
      <c r="D392" s="153"/>
      <c r="E392" s="153">
        <f>SUM(E380:E391)</f>
        <v>0</v>
      </c>
      <c r="F392" s="111"/>
      <c r="G392" s="81">
        <f>SUM(G380:G391)</f>
        <v>0</v>
      </c>
      <c r="H392" s="111">
        <f>IFERROR(SUM(H380:H391),"")</f>
        <v>0</v>
      </c>
      <c r="I392" s="115"/>
      <c r="J392" s="124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20">
        <f>IFERROR(J392,"")</f>
        <v>0</v>
      </c>
    </row>
    <row r="393" spans="1:20" ht="15" customHeight="1">
      <c r="A393" s="69">
        <v>46249</v>
      </c>
      <c r="B393" s="32">
        <v>0.83333333333333304</v>
      </c>
      <c r="C393" s="33"/>
      <c r="D393" s="62"/>
      <c r="E393" s="110"/>
      <c r="F393" s="141" t="str">
        <f>IFERROR(IF($D393="","",VLOOKUP($D393,Cadastro!$C$4:$E$7,3,FALSE)),"")</f>
        <v/>
      </c>
      <c r="G393" s="106"/>
      <c r="H393" s="141" t="str">
        <f>IFERROR(IF($G393="","",$G393*$S$405/$G$405/Cadastro!$E$33),"")</f>
        <v/>
      </c>
      <c r="I393" s="142" t="str">
        <f>IFERROR(IF($D393="","",VLOOKUP($D393,Cadastro!$C$4:$G$7,5,FALSE)),"")</f>
        <v/>
      </c>
      <c r="J393" s="143" t="str">
        <f t="shared" ref="J393:J404" si="93">IFERROR(IF($H393="","",$H393*$F393*$I393),"")</f>
        <v/>
      </c>
      <c r="K393" s="34" t="str">
        <f t="shared" ref="K393:K404" si="94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5">IFERROR(IF(O393="","",IF(P393="",MOD(NOW()-O393,1),IF(P393&gt;=O393,P393-O393,P393+1-O393))),"")</f>
        <v/>
      </c>
      <c r="R393" s="27"/>
      <c r="S393" s="47"/>
    </row>
    <row r="394" spans="1:20" ht="15" customHeight="1">
      <c r="A394" s="68">
        <v>46249</v>
      </c>
      <c r="B394" s="25">
        <f t="shared" ref="B394:B404" si="96">B393+TIME(0,60,0)</f>
        <v>0.87499999999999967</v>
      </c>
      <c r="C394" s="33"/>
      <c r="D394" s="62"/>
      <c r="E394" s="110"/>
      <c r="F394" s="135" t="str">
        <f>IFERROR(IF($D394="","",VLOOKUP($D394,Cadastro!$C$4:$E$7,3,FALSE)),"")</f>
        <v/>
      </c>
      <c r="G394" s="106"/>
      <c r="H394" s="135" t="str">
        <f>IFERROR(IF($G394="","",$G394*$S$405/$G$405/Cadastro!$E$33),"")</f>
        <v/>
      </c>
      <c r="I394" s="136" t="str">
        <f>IFERROR(IF($D394="","",VLOOKUP($D394,Cadastro!$C$4:$G$7,5,FALSE)),"")</f>
        <v/>
      </c>
      <c r="J394" s="137" t="str">
        <f t="shared" si="93"/>
        <v/>
      </c>
      <c r="K394" s="28" t="str">
        <f t="shared" si="94"/>
        <v/>
      </c>
      <c r="L394" s="26"/>
      <c r="M394" s="26"/>
      <c r="N394" s="26"/>
      <c r="O394" s="29"/>
      <c r="P394" s="29"/>
      <c r="Q394" s="30" t="str">
        <f t="shared" ca="1" si="95"/>
        <v/>
      </c>
      <c r="R394" s="27"/>
      <c r="S394" s="47"/>
    </row>
    <row r="395" spans="1:20" ht="15" customHeight="1">
      <c r="A395" s="69">
        <v>46249</v>
      </c>
      <c r="B395" s="32">
        <f t="shared" si="96"/>
        <v>0.9166666666666663</v>
      </c>
      <c r="C395" s="33"/>
      <c r="D395" s="62"/>
      <c r="E395" s="110"/>
      <c r="F395" s="135" t="str">
        <f>IFERROR(IF($D395="","",VLOOKUP($D395,Cadastro!$C$4:$E$7,3,FALSE)),"")</f>
        <v/>
      </c>
      <c r="G395" s="106"/>
      <c r="H395" s="135" t="str">
        <f>IFERROR(IF($G395="","",$G395*$S$405/$G$405/Cadastro!$E$33),"")</f>
        <v/>
      </c>
      <c r="I395" s="136" t="str">
        <f>IFERROR(IF($D395="","",VLOOKUP($D395,Cadastro!$C$4:$G$7,5,FALSE)),"")</f>
        <v/>
      </c>
      <c r="J395" s="137" t="str">
        <f t="shared" si="93"/>
        <v/>
      </c>
      <c r="K395" s="34" t="str">
        <f t="shared" si="94"/>
        <v/>
      </c>
      <c r="L395" s="33"/>
      <c r="M395" s="33"/>
      <c r="N395" s="33"/>
      <c r="O395" s="29"/>
      <c r="P395" s="29"/>
      <c r="Q395" s="35" t="str">
        <f t="shared" ca="1" si="95"/>
        <v/>
      </c>
      <c r="R395" s="27"/>
      <c r="S395" s="47"/>
    </row>
    <row r="396" spans="1:20" ht="15" customHeight="1">
      <c r="A396" s="68">
        <v>46249</v>
      </c>
      <c r="B396" s="25">
        <f t="shared" si="96"/>
        <v>0.95833333333333293</v>
      </c>
      <c r="C396" s="33"/>
      <c r="D396" s="62"/>
      <c r="E396" s="110"/>
      <c r="F396" s="135" t="str">
        <f>IFERROR(IF($D396="","",VLOOKUP($D396,Cadastro!$C$4:$E$7,3,FALSE)),"")</f>
        <v/>
      </c>
      <c r="G396" s="106"/>
      <c r="H396" s="135" t="str">
        <f>IFERROR(IF($G396="","",$G396*$S$405/$G$405/Cadastro!$E$33),"")</f>
        <v/>
      </c>
      <c r="I396" s="136" t="str">
        <f>IFERROR(IF($D396="","",VLOOKUP($D396,Cadastro!$C$4:$G$7,5,FALSE)),"")</f>
        <v/>
      </c>
      <c r="J396" s="137" t="str">
        <f t="shared" si="93"/>
        <v/>
      </c>
      <c r="K396" s="28" t="str">
        <f t="shared" si="94"/>
        <v/>
      </c>
      <c r="L396" s="26"/>
      <c r="M396" s="26"/>
      <c r="N396" s="26"/>
      <c r="O396" s="29"/>
      <c r="P396" s="29"/>
      <c r="Q396" s="30" t="str">
        <f t="shared" ca="1" si="95"/>
        <v/>
      </c>
      <c r="R396" s="27"/>
      <c r="S396" s="47"/>
    </row>
    <row r="397" spans="1:20" ht="15" customHeight="1">
      <c r="A397" s="69">
        <v>46249</v>
      </c>
      <c r="B397" s="32">
        <f t="shared" si="96"/>
        <v>0.99999999999999956</v>
      </c>
      <c r="C397" s="33"/>
      <c r="D397" s="62"/>
      <c r="E397" s="110"/>
      <c r="F397" s="135" t="str">
        <f>IFERROR(IF($D397="","",VLOOKUP($D397,Cadastro!$C$4:$E$7,3,FALSE)),"")</f>
        <v/>
      </c>
      <c r="G397" s="106"/>
      <c r="H397" s="135" t="str">
        <f>IFERROR(IF($G397="","",$G397*$S$405/$G$405/Cadastro!$E$33),"")</f>
        <v/>
      </c>
      <c r="I397" s="136" t="str">
        <f>IFERROR(IF($D397="","",VLOOKUP($D397,Cadastro!$C$4:$G$7,5,FALSE)),"")</f>
        <v/>
      </c>
      <c r="J397" s="137" t="str">
        <f t="shared" si="93"/>
        <v/>
      </c>
      <c r="K397" s="34" t="str">
        <f t="shared" si="94"/>
        <v/>
      </c>
      <c r="L397" s="33"/>
      <c r="M397" s="33"/>
      <c r="N397" s="33"/>
      <c r="O397" s="29"/>
      <c r="P397" s="29"/>
      <c r="Q397" s="35" t="str">
        <f t="shared" ca="1" si="95"/>
        <v/>
      </c>
      <c r="R397" s="27"/>
      <c r="S397" s="47"/>
    </row>
    <row r="398" spans="1:20" ht="15" customHeight="1">
      <c r="A398" s="68">
        <v>46249</v>
      </c>
      <c r="B398" s="25">
        <f t="shared" si="96"/>
        <v>1.0416666666666663</v>
      </c>
      <c r="C398" s="33"/>
      <c r="D398" s="62"/>
      <c r="E398" s="110"/>
      <c r="F398" s="135" t="str">
        <f>IFERROR(IF($D398="","",VLOOKUP($D398,Cadastro!$C$4:$E$7,3,FALSE)),"")</f>
        <v/>
      </c>
      <c r="G398" s="106"/>
      <c r="H398" s="135" t="str">
        <f>IFERROR(IF($G398="","",$G398*$S$405/$G$405/Cadastro!$E$33),"")</f>
        <v/>
      </c>
      <c r="I398" s="136" t="str">
        <f>IFERROR(IF($D398="","",VLOOKUP($D398,Cadastro!$C$4:$G$7,5,FALSE)),"")</f>
        <v/>
      </c>
      <c r="J398" s="137" t="str">
        <f t="shared" si="93"/>
        <v/>
      </c>
      <c r="K398" s="28" t="str">
        <f t="shared" si="94"/>
        <v/>
      </c>
      <c r="L398" s="26"/>
      <c r="M398" s="26"/>
      <c r="N398" s="26"/>
      <c r="O398" s="29"/>
      <c r="P398" s="29"/>
      <c r="Q398" s="30" t="str">
        <f t="shared" ca="1" si="95"/>
        <v/>
      </c>
      <c r="R398" s="27"/>
      <c r="S398" s="47"/>
    </row>
    <row r="399" spans="1:20" ht="15" customHeight="1">
      <c r="A399" s="69">
        <v>46249</v>
      </c>
      <c r="B399" s="32">
        <f t="shared" si="96"/>
        <v>1.083333333333333</v>
      </c>
      <c r="C399" s="33"/>
      <c r="D399" s="62"/>
      <c r="E399" s="110"/>
      <c r="F399" s="135" t="str">
        <f>IFERROR(IF($D399="","",VLOOKUP($D399,Cadastro!$C$4:$E$7,3,FALSE)),"")</f>
        <v/>
      </c>
      <c r="G399" s="106"/>
      <c r="H399" s="135" t="str">
        <f>IFERROR(IF($G399="","",$G399*$S$405/$G$405/Cadastro!$E$33),"")</f>
        <v/>
      </c>
      <c r="I399" s="136" t="str">
        <f>IFERROR(IF($D399="","",VLOOKUP($D399,Cadastro!$C$4:$G$7,5,FALSE)),"")</f>
        <v/>
      </c>
      <c r="J399" s="137" t="str">
        <f t="shared" si="93"/>
        <v/>
      </c>
      <c r="K399" s="34" t="str">
        <f t="shared" si="94"/>
        <v/>
      </c>
      <c r="L399" s="33"/>
      <c r="M399" s="33"/>
      <c r="N399" s="33"/>
      <c r="O399" s="29"/>
      <c r="P399" s="29"/>
      <c r="Q399" s="35" t="str">
        <f t="shared" ca="1" si="95"/>
        <v/>
      </c>
      <c r="R399" s="27"/>
      <c r="S399" s="47"/>
    </row>
    <row r="400" spans="1:20" ht="15" customHeight="1">
      <c r="A400" s="68">
        <v>46249</v>
      </c>
      <c r="B400" s="25">
        <f t="shared" si="96"/>
        <v>1.1249999999999998</v>
      </c>
      <c r="C400" s="33"/>
      <c r="D400" s="62"/>
      <c r="E400" s="110"/>
      <c r="F400" s="135" t="str">
        <f>IFERROR(IF($D400="","",VLOOKUP($D400,Cadastro!$C$4:$E$7,3,FALSE)),"")</f>
        <v/>
      </c>
      <c r="G400" s="106"/>
      <c r="H400" s="135" t="str">
        <f>IFERROR(IF($G400="","",$G400*$S$405/$G$405/Cadastro!$E$33),"")</f>
        <v/>
      </c>
      <c r="I400" s="136" t="str">
        <f>IFERROR(IF($D400="","",VLOOKUP($D400,Cadastro!$C$4:$G$7,5,FALSE)),"")</f>
        <v/>
      </c>
      <c r="J400" s="137" t="str">
        <f t="shared" si="93"/>
        <v/>
      </c>
      <c r="K400" s="28" t="str">
        <f t="shared" si="94"/>
        <v/>
      </c>
      <c r="L400" s="26"/>
      <c r="M400" s="26"/>
      <c r="N400" s="26"/>
      <c r="O400" s="29"/>
      <c r="P400" s="29"/>
      <c r="Q400" s="30" t="str">
        <f t="shared" ca="1" si="95"/>
        <v/>
      </c>
      <c r="R400" s="27"/>
      <c r="S400" s="47"/>
    </row>
    <row r="401" spans="1:20" ht="15" customHeight="1">
      <c r="A401" s="69">
        <v>46249</v>
      </c>
      <c r="B401" s="32">
        <f t="shared" si="96"/>
        <v>1.1666666666666665</v>
      </c>
      <c r="C401" s="33"/>
      <c r="D401" s="62"/>
      <c r="E401" s="110"/>
      <c r="F401" s="135" t="str">
        <f>IFERROR(IF($D401="","",VLOOKUP($D401,Cadastro!$C$4:$E$7,3,FALSE)),"")</f>
        <v/>
      </c>
      <c r="G401" s="106"/>
      <c r="H401" s="135" t="str">
        <f>IFERROR(IF($G401="","",$G401*$S$405/$G$405/Cadastro!$E$33),"")</f>
        <v/>
      </c>
      <c r="I401" s="136" t="str">
        <f>IFERROR(IF($D401="","",VLOOKUP($D401,Cadastro!$C$4:$G$7,5,FALSE)),"")</f>
        <v/>
      </c>
      <c r="J401" s="137" t="str">
        <f t="shared" si="93"/>
        <v/>
      </c>
      <c r="K401" s="34" t="str">
        <f t="shared" si="94"/>
        <v/>
      </c>
      <c r="L401" s="33"/>
      <c r="M401" s="33"/>
      <c r="N401" s="33"/>
      <c r="O401" s="29"/>
      <c r="P401" s="29"/>
      <c r="Q401" s="35" t="str">
        <f t="shared" ca="1" si="95"/>
        <v/>
      </c>
      <c r="R401" s="27"/>
      <c r="S401" s="47"/>
    </row>
    <row r="402" spans="1:20" ht="15" customHeight="1">
      <c r="A402" s="68">
        <v>46249</v>
      </c>
      <c r="B402" s="25">
        <f t="shared" si="96"/>
        <v>1.2083333333333333</v>
      </c>
      <c r="C402" s="33"/>
      <c r="D402" s="62"/>
      <c r="E402" s="110"/>
      <c r="F402" s="135" t="str">
        <f>IFERROR(IF($D402="","",VLOOKUP($D402,Cadastro!$C$4:$E$7,3,FALSE)),"")</f>
        <v/>
      </c>
      <c r="G402" s="106"/>
      <c r="H402" s="135" t="str">
        <f>IFERROR(IF($G402="","",$G402*$S$405/$G$405/Cadastro!$E$33),"")</f>
        <v/>
      </c>
      <c r="I402" s="136" t="str">
        <f>IFERROR(IF($D402="","",VLOOKUP($D402,Cadastro!$C$4:$G$7,5,FALSE)),"")</f>
        <v/>
      </c>
      <c r="J402" s="137" t="str">
        <f t="shared" si="93"/>
        <v/>
      </c>
      <c r="K402" s="28" t="str">
        <f t="shared" si="94"/>
        <v/>
      </c>
      <c r="L402" s="26"/>
      <c r="M402" s="26"/>
      <c r="N402" s="26"/>
      <c r="O402" s="29"/>
      <c r="P402" s="29"/>
      <c r="Q402" s="30" t="str">
        <f t="shared" ca="1" si="95"/>
        <v/>
      </c>
      <c r="R402" s="27"/>
      <c r="S402" s="47"/>
    </row>
    <row r="403" spans="1:20" ht="15" customHeight="1">
      <c r="A403" s="69">
        <v>46249</v>
      </c>
      <c r="B403" s="32">
        <f t="shared" si="96"/>
        <v>1.25</v>
      </c>
      <c r="C403" s="33"/>
      <c r="D403" s="62"/>
      <c r="E403" s="110"/>
      <c r="F403" s="135" t="str">
        <f>IFERROR(IF($D403="","",VLOOKUP($D403,Cadastro!$C$4:$E$7,3,FALSE)),"")</f>
        <v/>
      </c>
      <c r="G403" s="106"/>
      <c r="H403" s="135" t="str">
        <f>IFERROR(IF($G403="","",$G403*$S$405/$G$405/Cadastro!$E$33),"")</f>
        <v/>
      </c>
      <c r="I403" s="136" t="str">
        <f>IFERROR(IF($D403="","",VLOOKUP($D403,Cadastro!$C$4:$G$7,5,FALSE)),"")</f>
        <v/>
      </c>
      <c r="J403" s="137" t="str">
        <f t="shared" si="93"/>
        <v/>
      </c>
      <c r="K403" s="34" t="str">
        <f t="shared" si="94"/>
        <v/>
      </c>
      <c r="L403" s="33"/>
      <c r="M403" s="33"/>
      <c r="N403" s="33"/>
      <c r="O403" s="29"/>
      <c r="P403" s="29"/>
      <c r="Q403" s="35" t="str">
        <f t="shared" ca="1" si="95"/>
        <v/>
      </c>
      <c r="R403" s="27"/>
      <c r="S403" s="47"/>
    </row>
    <row r="404" spans="1:20" ht="15" customHeight="1" thickBot="1">
      <c r="A404" s="68">
        <v>46249</v>
      </c>
      <c r="B404" s="25">
        <f t="shared" si="96"/>
        <v>1.2916666666666667</v>
      </c>
      <c r="C404" s="33"/>
      <c r="D404" s="62"/>
      <c r="E404" s="110"/>
      <c r="F404" s="138" t="str">
        <f>IFERROR(IF($D404="","",VLOOKUP($D404,Cadastro!$C$4:$E$7,3,FALSE)),"")</f>
        <v/>
      </c>
      <c r="G404" s="106"/>
      <c r="H404" s="138" t="str">
        <f>IFERROR(IF($G404="","",$G404*$S$405/$G$405/Cadastro!$E$33),"")</f>
        <v/>
      </c>
      <c r="I404" s="139" t="str">
        <f>IFERROR(IF($D404="","",VLOOKUP($D404,Cadastro!$C$4:$G$7,5,FALSE)),"")</f>
        <v/>
      </c>
      <c r="J404" s="140" t="str">
        <f t="shared" si="93"/>
        <v/>
      </c>
      <c r="K404" s="28" t="str">
        <f t="shared" si="94"/>
        <v/>
      </c>
      <c r="L404" s="26"/>
      <c r="M404" s="26"/>
      <c r="N404" s="26"/>
      <c r="O404" s="29"/>
      <c r="P404" s="29"/>
      <c r="Q404" s="30" t="str">
        <f t="shared" ca="1" si="95"/>
        <v/>
      </c>
      <c r="R404" s="27"/>
      <c r="S404" s="47"/>
    </row>
    <row r="405" spans="1:20" ht="15.75" customHeight="1" thickBot="1">
      <c r="A405" s="152" t="s">
        <v>244</v>
      </c>
      <c r="B405" s="153"/>
      <c r="C405" s="153"/>
      <c r="D405" s="153"/>
      <c r="E405" s="153">
        <f>SUM(E393:E404)</f>
        <v>0</v>
      </c>
      <c r="F405" s="112"/>
      <c r="G405" s="81">
        <f>SUM(G393:G404)</f>
        <v>0</v>
      </c>
      <c r="H405" s="112">
        <f>IFERROR(SUM(H393:H404),"")</f>
        <v>0</v>
      </c>
      <c r="I405" s="116"/>
      <c r="J405" s="125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20">
        <f>IFERROR(J405,"")</f>
        <v>0</v>
      </c>
    </row>
    <row r="406" spans="1:20" ht="18" customHeight="1">
      <c r="A406" s="150" t="s">
        <v>245</v>
      </c>
      <c r="B406" s="151"/>
      <c r="C406" s="151"/>
      <c r="D406" s="151"/>
      <c r="E406" s="151">
        <f>E392+E405</f>
        <v>0</v>
      </c>
      <c r="F406" s="113"/>
      <c r="G406" s="92">
        <f>G392+G405</f>
        <v>0</v>
      </c>
      <c r="H406" s="113">
        <f>IFERROR(H392+H405,"")</f>
        <v>0</v>
      </c>
      <c r="I406" s="117"/>
      <c r="J406" s="126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2">
        <f>IFERROR(J406,"")</f>
        <v>0</v>
      </c>
    </row>
    <row r="407" spans="1:20" ht="15" customHeight="1">
      <c r="A407" s="69">
        <v>46250</v>
      </c>
      <c r="B407" s="32">
        <v>0.33333333333333298</v>
      </c>
      <c r="C407" s="33"/>
      <c r="D407" s="62"/>
      <c r="E407" s="110"/>
      <c r="F407" s="141" t="str">
        <f>IFERROR(IF($D407="","",VLOOKUP($D407,Cadastro!$C$4:$E$7,3,FALSE)),"")</f>
        <v/>
      </c>
      <c r="G407" s="106"/>
      <c r="H407" s="141" t="str">
        <f>IFERROR(IF($G407="","",$G407*$S$419/$G$419/Cadastro!$E$33),"")</f>
        <v/>
      </c>
      <c r="I407" s="142" t="str">
        <f>IFERROR(IF($D407="","",VLOOKUP($D407,Cadastro!$C$4:$G$7,5,FALSE)),"")</f>
        <v/>
      </c>
      <c r="J407" s="143" t="str">
        <f t="shared" ref="J407:J418" si="97">IFERROR(IF($H407="","",$H407*$F407*$I407),"")</f>
        <v/>
      </c>
      <c r="K407" s="34" t="str">
        <f t="shared" ref="K407:K418" si="98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9">IFERROR(IF(O407="","",IF(P407="",MOD(NOW()-O407,1),IF(P407&gt;=O407,P407-O407,P407+1-O407))),"")</f>
        <v/>
      </c>
      <c r="R407" s="27"/>
      <c r="S407" s="47"/>
    </row>
    <row r="408" spans="1:20" ht="15" customHeight="1">
      <c r="A408" s="68">
        <v>46250</v>
      </c>
      <c r="B408" s="25">
        <f t="shared" ref="B408:B418" si="100">B407+TIME(0,60,0)</f>
        <v>0.37499999999999967</v>
      </c>
      <c r="C408" s="33"/>
      <c r="D408" s="62"/>
      <c r="E408" s="110"/>
      <c r="F408" s="135" t="str">
        <f>IFERROR(IF($D408="","",VLOOKUP($D408,Cadastro!$C$4:$E$7,3,FALSE)),"")</f>
        <v/>
      </c>
      <c r="G408" s="106"/>
      <c r="H408" s="135" t="str">
        <f>IFERROR(IF($G408="","",$G408*$S$419/$G$419/Cadastro!$E$33),"")</f>
        <v/>
      </c>
      <c r="I408" s="136" t="str">
        <f>IFERROR(IF($D408="","",VLOOKUP($D408,Cadastro!$C$4:$G$7,5,FALSE)),"")</f>
        <v/>
      </c>
      <c r="J408" s="137" t="str">
        <f t="shared" si="97"/>
        <v/>
      </c>
      <c r="K408" s="28" t="str">
        <f t="shared" si="98"/>
        <v/>
      </c>
      <c r="L408" s="26"/>
      <c r="M408" s="26"/>
      <c r="N408" s="26"/>
      <c r="O408" s="29"/>
      <c r="P408" s="29"/>
      <c r="Q408" s="30" t="str">
        <f t="shared" ca="1" si="99"/>
        <v/>
      </c>
      <c r="R408" s="27"/>
      <c r="S408" s="47"/>
    </row>
    <row r="409" spans="1:20" ht="15" customHeight="1">
      <c r="A409" s="69">
        <v>46250</v>
      </c>
      <c r="B409" s="32">
        <f t="shared" si="100"/>
        <v>0.41666666666666635</v>
      </c>
      <c r="C409" s="33"/>
      <c r="D409" s="62"/>
      <c r="E409" s="110"/>
      <c r="F409" s="135" t="str">
        <f>IFERROR(IF($D409="","",VLOOKUP($D409,Cadastro!$C$4:$E$7,3,FALSE)),"")</f>
        <v/>
      </c>
      <c r="G409" s="106"/>
      <c r="H409" s="135" t="str">
        <f>IFERROR(IF($G409="","",$G409*$S$419/$G$419/Cadastro!$E$33),"")</f>
        <v/>
      </c>
      <c r="I409" s="136" t="str">
        <f>IFERROR(IF($D409="","",VLOOKUP($D409,Cadastro!$C$4:$G$7,5,FALSE)),"")</f>
        <v/>
      </c>
      <c r="J409" s="137" t="str">
        <f t="shared" si="97"/>
        <v/>
      </c>
      <c r="K409" s="34" t="str">
        <f t="shared" si="98"/>
        <v/>
      </c>
      <c r="L409" s="33"/>
      <c r="M409" s="33"/>
      <c r="N409" s="33"/>
      <c r="O409" s="29"/>
      <c r="P409" s="29"/>
      <c r="Q409" s="35" t="str">
        <f t="shared" ca="1" si="99"/>
        <v/>
      </c>
      <c r="R409" s="27"/>
      <c r="S409" s="47"/>
    </row>
    <row r="410" spans="1:20" ht="15" customHeight="1">
      <c r="A410" s="68">
        <v>46250</v>
      </c>
      <c r="B410" s="25">
        <f t="shared" si="100"/>
        <v>0.45833333333333304</v>
      </c>
      <c r="C410" s="33"/>
      <c r="D410" s="62"/>
      <c r="E410" s="110"/>
      <c r="F410" s="135" t="str">
        <f>IFERROR(IF($D410="","",VLOOKUP($D410,Cadastro!$C$4:$E$7,3,FALSE)),"")</f>
        <v/>
      </c>
      <c r="G410" s="106"/>
      <c r="H410" s="135" t="str">
        <f>IFERROR(IF($G410="","",$G410*$S$419/$G$419/Cadastro!$E$33),"")</f>
        <v/>
      </c>
      <c r="I410" s="136" t="str">
        <f>IFERROR(IF($D410="","",VLOOKUP($D410,Cadastro!$C$4:$G$7,5,FALSE)),"")</f>
        <v/>
      </c>
      <c r="J410" s="137" t="str">
        <f t="shared" si="97"/>
        <v/>
      </c>
      <c r="K410" s="28" t="str">
        <f t="shared" si="98"/>
        <v/>
      </c>
      <c r="L410" s="26"/>
      <c r="M410" s="26"/>
      <c r="N410" s="26"/>
      <c r="O410" s="29"/>
      <c r="P410" s="29"/>
      <c r="Q410" s="30" t="str">
        <f t="shared" ca="1" si="99"/>
        <v/>
      </c>
      <c r="R410" s="27"/>
      <c r="S410" s="47"/>
    </row>
    <row r="411" spans="1:20" ht="15" customHeight="1">
      <c r="A411" s="69">
        <v>46250</v>
      </c>
      <c r="B411" s="32">
        <f t="shared" si="100"/>
        <v>0.49999999999999972</v>
      </c>
      <c r="C411" s="33"/>
      <c r="D411" s="62"/>
      <c r="E411" s="110"/>
      <c r="F411" s="135" t="str">
        <f>IFERROR(IF($D411="","",VLOOKUP($D411,Cadastro!$C$4:$E$7,3,FALSE)),"")</f>
        <v/>
      </c>
      <c r="G411" s="106"/>
      <c r="H411" s="135" t="str">
        <f>IFERROR(IF($G411="","",$G411*$S$419/$G$419/Cadastro!$E$33),"")</f>
        <v/>
      </c>
      <c r="I411" s="136" t="str">
        <f>IFERROR(IF($D411="","",VLOOKUP($D411,Cadastro!$C$4:$G$7,5,FALSE)),"")</f>
        <v/>
      </c>
      <c r="J411" s="137" t="str">
        <f t="shared" si="97"/>
        <v/>
      </c>
      <c r="K411" s="34" t="str">
        <f t="shared" si="98"/>
        <v/>
      </c>
      <c r="L411" s="33"/>
      <c r="M411" s="33"/>
      <c r="N411" s="33"/>
      <c r="O411" s="29"/>
      <c r="P411" s="29"/>
      <c r="Q411" s="35" t="str">
        <f t="shared" ca="1" si="99"/>
        <v/>
      </c>
      <c r="R411" s="27"/>
      <c r="S411" s="47"/>
    </row>
    <row r="412" spans="1:20" ht="15" customHeight="1">
      <c r="A412" s="68">
        <v>46250</v>
      </c>
      <c r="B412" s="25">
        <f t="shared" si="100"/>
        <v>0.54166666666666641</v>
      </c>
      <c r="C412" s="33"/>
      <c r="D412" s="62"/>
      <c r="E412" s="110"/>
      <c r="F412" s="135" t="str">
        <f>IFERROR(IF($D412="","",VLOOKUP($D412,Cadastro!$C$4:$E$7,3,FALSE)),"")</f>
        <v/>
      </c>
      <c r="G412" s="106"/>
      <c r="H412" s="135" t="str">
        <f>IFERROR(IF($G412="","",$G412*$S$419/$G$419/Cadastro!$E$33),"")</f>
        <v/>
      </c>
      <c r="I412" s="136" t="str">
        <f>IFERROR(IF($D412="","",VLOOKUP($D412,Cadastro!$C$4:$G$7,5,FALSE)),"")</f>
        <v/>
      </c>
      <c r="J412" s="137" t="str">
        <f t="shared" si="97"/>
        <v/>
      </c>
      <c r="K412" s="28" t="str">
        <f t="shared" si="98"/>
        <v/>
      </c>
      <c r="L412" s="26"/>
      <c r="M412" s="26"/>
      <c r="N412" s="26"/>
      <c r="O412" s="29"/>
      <c r="P412" s="29"/>
      <c r="Q412" s="30" t="str">
        <f t="shared" ca="1" si="99"/>
        <v/>
      </c>
      <c r="R412" s="27"/>
      <c r="S412" s="47"/>
    </row>
    <row r="413" spans="1:20" ht="15" customHeight="1">
      <c r="A413" s="69">
        <v>46250</v>
      </c>
      <c r="B413" s="32">
        <f t="shared" si="100"/>
        <v>0.58333333333333304</v>
      </c>
      <c r="C413" s="33"/>
      <c r="D413" s="62"/>
      <c r="E413" s="110"/>
      <c r="F413" s="135" t="str">
        <f>IFERROR(IF($D413="","",VLOOKUP($D413,Cadastro!$C$4:$E$7,3,FALSE)),"")</f>
        <v/>
      </c>
      <c r="G413" s="106"/>
      <c r="H413" s="135" t="str">
        <f>IFERROR(IF($G413="","",$G413*$S$419/$G$419/Cadastro!$E$33),"")</f>
        <v/>
      </c>
      <c r="I413" s="136" t="str">
        <f>IFERROR(IF($D413="","",VLOOKUP($D413,Cadastro!$C$4:$G$7,5,FALSE)),"")</f>
        <v/>
      </c>
      <c r="J413" s="137" t="str">
        <f t="shared" si="97"/>
        <v/>
      </c>
      <c r="K413" s="34" t="str">
        <f t="shared" si="98"/>
        <v/>
      </c>
      <c r="L413" s="33"/>
      <c r="M413" s="33"/>
      <c r="N413" s="33"/>
      <c r="O413" s="29"/>
      <c r="P413" s="29"/>
      <c r="Q413" s="35" t="str">
        <f t="shared" ca="1" si="99"/>
        <v/>
      </c>
      <c r="R413" s="27"/>
      <c r="S413" s="47"/>
    </row>
    <row r="414" spans="1:20" ht="15" customHeight="1">
      <c r="A414" s="68">
        <v>46250</v>
      </c>
      <c r="B414" s="25">
        <f t="shared" si="100"/>
        <v>0.62499999999999967</v>
      </c>
      <c r="C414" s="33"/>
      <c r="D414" s="62"/>
      <c r="E414" s="110"/>
      <c r="F414" s="135" t="str">
        <f>IFERROR(IF($D414="","",VLOOKUP($D414,Cadastro!$C$4:$E$7,3,FALSE)),"")</f>
        <v/>
      </c>
      <c r="G414" s="106"/>
      <c r="H414" s="135" t="str">
        <f>IFERROR(IF($G414="","",$G414*$S$419/$G$419/Cadastro!$E$33),"")</f>
        <v/>
      </c>
      <c r="I414" s="136" t="str">
        <f>IFERROR(IF($D414="","",VLOOKUP($D414,Cadastro!$C$4:$G$7,5,FALSE)),"")</f>
        <v/>
      </c>
      <c r="J414" s="137" t="str">
        <f t="shared" si="97"/>
        <v/>
      </c>
      <c r="K414" s="28" t="str">
        <f t="shared" si="98"/>
        <v/>
      </c>
      <c r="L414" s="26"/>
      <c r="M414" s="26"/>
      <c r="N414" s="26"/>
      <c r="O414" s="29"/>
      <c r="P414" s="29"/>
      <c r="Q414" s="30" t="str">
        <f t="shared" ca="1" si="99"/>
        <v/>
      </c>
      <c r="R414" s="27"/>
      <c r="S414" s="47"/>
    </row>
    <row r="415" spans="1:20" ht="15" customHeight="1">
      <c r="A415" s="69">
        <v>46250</v>
      </c>
      <c r="B415" s="32">
        <f t="shared" si="100"/>
        <v>0.6666666666666663</v>
      </c>
      <c r="C415" s="33"/>
      <c r="D415" s="62"/>
      <c r="E415" s="110"/>
      <c r="F415" s="135" t="str">
        <f>IFERROR(IF($D415="","",VLOOKUP($D415,Cadastro!$C$4:$E$7,3,FALSE)),"")</f>
        <v/>
      </c>
      <c r="G415" s="106"/>
      <c r="H415" s="135" t="str">
        <f>IFERROR(IF($G415="","",$G415*$S$419/$G$419/Cadastro!$E$33),"")</f>
        <v/>
      </c>
      <c r="I415" s="136" t="str">
        <f>IFERROR(IF($D415="","",VLOOKUP($D415,Cadastro!$C$4:$G$7,5,FALSE)),"")</f>
        <v/>
      </c>
      <c r="J415" s="137" t="str">
        <f t="shared" si="97"/>
        <v/>
      </c>
      <c r="K415" s="34" t="str">
        <f t="shared" si="98"/>
        <v/>
      </c>
      <c r="L415" s="33"/>
      <c r="M415" s="33"/>
      <c r="N415" s="33"/>
      <c r="O415" s="29"/>
      <c r="P415" s="29"/>
      <c r="Q415" s="35" t="str">
        <f t="shared" ca="1" si="99"/>
        <v/>
      </c>
      <c r="R415" s="27"/>
      <c r="S415" s="47"/>
    </row>
    <row r="416" spans="1:20" ht="15" customHeight="1">
      <c r="A416" s="68">
        <v>46250</v>
      </c>
      <c r="B416" s="25">
        <f t="shared" si="100"/>
        <v>0.70833333333333293</v>
      </c>
      <c r="C416" s="33"/>
      <c r="D416" s="62"/>
      <c r="E416" s="110"/>
      <c r="F416" s="135" t="str">
        <f>IFERROR(IF($D416="","",VLOOKUP($D416,Cadastro!$C$4:$E$7,3,FALSE)),"")</f>
        <v/>
      </c>
      <c r="G416" s="106"/>
      <c r="H416" s="135" t="str">
        <f>IFERROR(IF($G416="","",$G416*$S$419/$G$419/Cadastro!$E$33),"")</f>
        <v/>
      </c>
      <c r="I416" s="136" t="str">
        <f>IFERROR(IF($D416="","",VLOOKUP($D416,Cadastro!$C$4:$G$7,5,FALSE)),"")</f>
        <v/>
      </c>
      <c r="J416" s="137" t="str">
        <f t="shared" si="97"/>
        <v/>
      </c>
      <c r="K416" s="28" t="str">
        <f t="shared" si="98"/>
        <v/>
      </c>
      <c r="L416" s="26"/>
      <c r="M416" s="26"/>
      <c r="N416" s="26"/>
      <c r="O416" s="29"/>
      <c r="P416" s="29"/>
      <c r="Q416" s="30" t="str">
        <f t="shared" ca="1" si="99"/>
        <v/>
      </c>
      <c r="R416" s="27"/>
      <c r="S416" s="47"/>
    </row>
    <row r="417" spans="1:20" ht="15" customHeight="1">
      <c r="A417" s="69">
        <v>46250</v>
      </c>
      <c r="B417" s="32">
        <f t="shared" si="100"/>
        <v>0.74999999999999956</v>
      </c>
      <c r="C417" s="33"/>
      <c r="D417" s="62"/>
      <c r="E417" s="110"/>
      <c r="F417" s="135" t="str">
        <f>IFERROR(IF($D417="","",VLOOKUP($D417,Cadastro!$C$4:$E$7,3,FALSE)),"")</f>
        <v/>
      </c>
      <c r="G417" s="106"/>
      <c r="H417" s="135" t="str">
        <f>IFERROR(IF($G417="","",$G417*$S$419/$G$419/Cadastro!$E$33),"")</f>
        <v/>
      </c>
      <c r="I417" s="136" t="str">
        <f>IFERROR(IF($D417="","",VLOOKUP($D417,Cadastro!$C$4:$G$7,5,FALSE)),"")</f>
        <v/>
      </c>
      <c r="J417" s="137" t="str">
        <f t="shared" si="97"/>
        <v/>
      </c>
      <c r="K417" s="34" t="str">
        <f t="shared" si="98"/>
        <v/>
      </c>
      <c r="L417" s="33"/>
      <c r="M417" s="33"/>
      <c r="N417" s="33"/>
      <c r="O417" s="29"/>
      <c r="P417" s="29"/>
      <c r="Q417" s="35" t="str">
        <f t="shared" ca="1" si="99"/>
        <v/>
      </c>
      <c r="R417" s="27"/>
      <c r="S417" s="47"/>
    </row>
    <row r="418" spans="1:20" ht="15" customHeight="1" thickBot="1">
      <c r="A418" s="68">
        <v>46250</v>
      </c>
      <c r="B418" s="25">
        <f t="shared" si="100"/>
        <v>0.79166666666666619</v>
      </c>
      <c r="C418" s="33"/>
      <c r="D418" s="62"/>
      <c r="E418" s="110"/>
      <c r="F418" s="138" t="str">
        <f>IFERROR(IF($D418="","",VLOOKUP($D418,Cadastro!$C$4:$E$7,3,FALSE)),"")</f>
        <v/>
      </c>
      <c r="G418" s="106"/>
      <c r="H418" s="138" t="str">
        <f>IFERROR(IF($G418="","",$G418*$S$419/$G$419/Cadastro!$E$33),"")</f>
        <v/>
      </c>
      <c r="I418" s="139" t="str">
        <f>IFERROR(IF($D418="","",VLOOKUP($D418,Cadastro!$C$4:$G$7,5,FALSE)),"")</f>
        <v/>
      </c>
      <c r="J418" s="140" t="str">
        <f t="shared" si="97"/>
        <v/>
      </c>
      <c r="K418" s="28" t="str">
        <f t="shared" si="98"/>
        <v/>
      </c>
      <c r="L418" s="26"/>
      <c r="M418" s="26"/>
      <c r="N418" s="26"/>
      <c r="O418" s="29"/>
      <c r="P418" s="29"/>
      <c r="Q418" s="30" t="str">
        <f t="shared" ca="1" si="99"/>
        <v/>
      </c>
      <c r="R418" s="27"/>
    </row>
    <row r="419" spans="1:20" ht="15.75" customHeight="1" thickBot="1">
      <c r="A419" s="152" t="s">
        <v>241</v>
      </c>
      <c r="B419" s="153"/>
      <c r="C419" s="153"/>
      <c r="D419" s="153"/>
      <c r="E419" s="153">
        <f>SUM(E407:E418)</f>
        <v>0</v>
      </c>
      <c r="F419" s="111"/>
      <c r="G419" s="81">
        <f>SUM(G407:G418)</f>
        <v>0</v>
      </c>
      <c r="H419" s="111">
        <f>IFERROR(SUM(H407:H418),"")</f>
        <v>0</v>
      </c>
      <c r="I419" s="115"/>
      <c r="J419" s="124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20">
        <f>IFERROR(J419,"")</f>
        <v>0</v>
      </c>
    </row>
    <row r="420" spans="1:20" ht="15" customHeight="1">
      <c r="A420" s="68">
        <v>46250</v>
      </c>
      <c r="B420" s="25">
        <v>0.83333333333333304</v>
      </c>
      <c r="C420" s="26"/>
      <c r="D420" s="59"/>
      <c r="E420" s="109"/>
      <c r="F420" s="141" t="str">
        <f>IFERROR(IF($D420="","",VLOOKUP($D420,Cadastro!$C$4:$E$7,3,FALSE)),"")</f>
        <v/>
      </c>
      <c r="G420" s="106"/>
      <c r="H420" s="141" t="str">
        <f>IFERROR(IF($G420="","",$G420*$S$432/$G$432/Cadastro!$E$33),"")</f>
        <v/>
      </c>
      <c r="I420" s="142" t="str">
        <f>IFERROR(IF($D420="","",VLOOKUP($D420,Cadastro!$C$4:$G$7,5,FALSE)),"")</f>
        <v/>
      </c>
      <c r="J420" s="143" t="str">
        <f t="shared" ref="J420:J431" si="101">IFERROR(IF($H420="","",$H420*$F420*$I420),"")</f>
        <v/>
      </c>
      <c r="K420" s="28" t="str">
        <f t="shared" ref="K420:K431" si="102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3">IFERROR(IF(O420="","",IF(P420="",MOD(NOW()-O420,1),IF(P420&gt;=O420,P420-O420,P420+1-O420))),"")</f>
        <v/>
      </c>
      <c r="R420" s="87"/>
    </row>
    <row r="421" spans="1:20" ht="15" customHeight="1">
      <c r="A421" s="69">
        <v>46250</v>
      </c>
      <c r="B421" s="32">
        <f t="shared" ref="B421:B431" si="104">B420+TIME(0,60,0)</f>
        <v>0.87499999999999967</v>
      </c>
      <c r="C421" s="26"/>
      <c r="D421" s="59"/>
      <c r="E421" s="109"/>
      <c r="F421" s="135" t="str">
        <f>IFERROR(IF($D421="","",VLOOKUP($D421,Cadastro!$C$4:$E$7,3,FALSE)),"")</f>
        <v/>
      </c>
      <c r="G421" s="106"/>
      <c r="H421" s="135" t="str">
        <f>IFERROR(IF($G421="","",$G421*$S$432/$G$432/Cadastro!$E$33),"")</f>
        <v/>
      </c>
      <c r="I421" s="136" t="str">
        <f>IFERROR(IF($D421="","",VLOOKUP($D421,Cadastro!$C$4:$G$7,5,FALSE)),"")</f>
        <v/>
      </c>
      <c r="J421" s="137" t="str">
        <f t="shared" si="101"/>
        <v/>
      </c>
      <c r="K421" s="34" t="str">
        <f t="shared" si="102"/>
        <v/>
      </c>
      <c r="L421" s="33"/>
      <c r="M421" s="33"/>
      <c r="N421" s="33"/>
      <c r="O421" s="29"/>
      <c r="P421" s="29"/>
      <c r="Q421" s="86" t="str">
        <f t="shared" ca="1" si="103"/>
        <v/>
      </c>
      <c r="R421" s="88"/>
      <c r="S421" s="47"/>
    </row>
    <row r="422" spans="1:20" ht="15" customHeight="1">
      <c r="A422" s="68">
        <v>46250</v>
      </c>
      <c r="B422" s="25">
        <f t="shared" si="104"/>
        <v>0.9166666666666663</v>
      </c>
      <c r="C422" s="26"/>
      <c r="D422" s="59"/>
      <c r="E422" s="109"/>
      <c r="F422" s="135" t="str">
        <f>IFERROR(IF($D422="","",VLOOKUP($D422,Cadastro!$C$4:$E$7,3,FALSE)),"")</f>
        <v/>
      </c>
      <c r="G422" s="106"/>
      <c r="H422" s="135" t="str">
        <f>IFERROR(IF($G422="","",$G422*$S$432/$G$432/Cadastro!$E$33),"")</f>
        <v/>
      </c>
      <c r="I422" s="136" t="str">
        <f>IFERROR(IF($D422="","",VLOOKUP($D422,Cadastro!$C$4:$G$7,5,FALSE)),"")</f>
        <v/>
      </c>
      <c r="J422" s="137" t="str">
        <f t="shared" si="101"/>
        <v/>
      </c>
      <c r="K422" s="28" t="str">
        <f t="shared" si="102"/>
        <v/>
      </c>
      <c r="L422" s="26"/>
      <c r="M422" s="26"/>
      <c r="N422" s="26"/>
      <c r="O422" s="29"/>
      <c r="P422" s="29"/>
      <c r="Q422" s="30" t="str">
        <f t="shared" ca="1" si="103"/>
        <v/>
      </c>
      <c r="R422" s="85"/>
      <c r="S422" s="47"/>
    </row>
    <row r="423" spans="1:20" ht="15" customHeight="1">
      <c r="A423" s="69">
        <v>46250</v>
      </c>
      <c r="B423" s="32">
        <f t="shared" si="104"/>
        <v>0.95833333333333293</v>
      </c>
      <c r="C423" s="26"/>
      <c r="D423" s="59"/>
      <c r="E423" s="109"/>
      <c r="F423" s="135" t="str">
        <f>IFERROR(IF($D423="","",VLOOKUP($D423,Cadastro!$C$4:$E$7,3,FALSE)),"")</f>
        <v/>
      </c>
      <c r="G423" s="106"/>
      <c r="H423" s="135" t="str">
        <f>IFERROR(IF($G423="","",$G423*$S$432/$G$432/Cadastro!$E$33),"")</f>
        <v/>
      </c>
      <c r="I423" s="136" t="str">
        <f>IFERROR(IF($D423="","",VLOOKUP($D423,Cadastro!$C$4:$G$7,5,FALSE)),"")</f>
        <v/>
      </c>
      <c r="J423" s="137" t="str">
        <f t="shared" si="101"/>
        <v/>
      </c>
      <c r="K423" s="34" t="str">
        <f t="shared" si="102"/>
        <v/>
      </c>
      <c r="L423" s="33"/>
      <c r="M423" s="33"/>
      <c r="N423" s="33"/>
      <c r="O423" s="29"/>
      <c r="P423" s="29"/>
      <c r="Q423" s="35" t="str">
        <f t="shared" ca="1" si="103"/>
        <v/>
      </c>
      <c r="R423" s="27"/>
      <c r="S423" s="47"/>
    </row>
    <row r="424" spans="1:20" ht="15" customHeight="1">
      <c r="A424" s="68">
        <v>46250</v>
      </c>
      <c r="B424" s="25">
        <f t="shared" si="104"/>
        <v>0.99999999999999956</v>
      </c>
      <c r="C424" s="26"/>
      <c r="D424" s="59"/>
      <c r="E424" s="109"/>
      <c r="F424" s="135" t="str">
        <f>IFERROR(IF($D424="","",VLOOKUP($D424,Cadastro!$C$4:$E$7,3,FALSE)),"")</f>
        <v/>
      </c>
      <c r="G424" s="106"/>
      <c r="H424" s="135" t="str">
        <f>IFERROR(IF($G424="","",$G424*$S$432/$G$432/Cadastro!$E$33),"")</f>
        <v/>
      </c>
      <c r="I424" s="136" t="str">
        <f>IFERROR(IF($D424="","",VLOOKUP($D424,Cadastro!$C$4:$G$7,5,FALSE)),"")</f>
        <v/>
      </c>
      <c r="J424" s="137" t="str">
        <f t="shared" si="101"/>
        <v/>
      </c>
      <c r="K424" s="28" t="str">
        <f t="shared" si="102"/>
        <v/>
      </c>
      <c r="L424" s="26"/>
      <c r="M424" s="26"/>
      <c r="N424" s="26"/>
      <c r="O424" s="29"/>
      <c r="P424" s="29"/>
      <c r="Q424" s="30" t="str">
        <f t="shared" ca="1" si="103"/>
        <v/>
      </c>
      <c r="R424" s="27"/>
      <c r="S424" s="47"/>
    </row>
    <row r="425" spans="1:20" ht="15" customHeight="1">
      <c r="A425" s="69">
        <v>46250</v>
      </c>
      <c r="B425" s="32">
        <f t="shared" si="104"/>
        <v>1.0416666666666663</v>
      </c>
      <c r="C425" s="26"/>
      <c r="D425" s="59"/>
      <c r="E425" s="109"/>
      <c r="F425" s="135" t="str">
        <f>IFERROR(IF($D425="","",VLOOKUP($D425,Cadastro!$C$4:$E$7,3,FALSE)),"")</f>
        <v/>
      </c>
      <c r="G425" s="106"/>
      <c r="H425" s="135" t="str">
        <f>IFERROR(IF($G425="","",$G425*$S$432/$G$432/Cadastro!$E$33),"")</f>
        <v/>
      </c>
      <c r="I425" s="136" t="str">
        <f>IFERROR(IF($D425="","",VLOOKUP($D425,Cadastro!$C$4:$G$7,5,FALSE)),"")</f>
        <v/>
      </c>
      <c r="J425" s="137" t="str">
        <f t="shared" si="101"/>
        <v/>
      </c>
      <c r="K425" s="34" t="str">
        <f t="shared" si="102"/>
        <v/>
      </c>
      <c r="L425" s="33"/>
      <c r="M425" s="33"/>
      <c r="N425" s="33"/>
      <c r="O425" s="29"/>
      <c r="P425" s="29"/>
      <c r="Q425" s="35" t="str">
        <f t="shared" ca="1" si="103"/>
        <v/>
      </c>
      <c r="R425" s="27"/>
      <c r="S425" s="47"/>
    </row>
    <row r="426" spans="1:20" ht="15" customHeight="1">
      <c r="A426" s="68">
        <v>46250</v>
      </c>
      <c r="B426" s="25">
        <f t="shared" si="104"/>
        <v>1.083333333333333</v>
      </c>
      <c r="C426" s="26"/>
      <c r="D426" s="59"/>
      <c r="E426" s="109"/>
      <c r="F426" s="135" t="str">
        <f>IFERROR(IF($D426="","",VLOOKUP($D426,Cadastro!$C$4:$E$7,3,FALSE)),"")</f>
        <v/>
      </c>
      <c r="G426" s="106"/>
      <c r="H426" s="135" t="str">
        <f>IFERROR(IF($G426="","",$G426*$S$432/$G$432/Cadastro!$E$33),"")</f>
        <v/>
      </c>
      <c r="I426" s="136" t="str">
        <f>IFERROR(IF($D426="","",VLOOKUP($D426,Cadastro!$C$4:$G$7,5,FALSE)),"")</f>
        <v/>
      </c>
      <c r="J426" s="137" t="str">
        <f t="shared" si="101"/>
        <v/>
      </c>
      <c r="K426" s="28" t="str">
        <f t="shared" si="102"/>
        <v/>
      </c>
      <c r="L426" s="26"/>
      <c r="M426" s="26"/>
      <c r="N426" s="26"/>
      <c r="O426" s="29"/>
      <c r="P426" s="29"/>
      <c r="Q426" s="30" t="str">
        <f t="shared" ca="1" si="103"/>
        <v/>
      </c>
      <c r="R426" s="27"/>
      <c r="S426" s="47"/>
    </row>
    <row r="427" spans="1:20" ht="15" customHeight="1">
      <c r="A427" s="69">
        <v>46250</v>
      </c>
      <c r="B427" s="32">
        <f t="shared" si="104"/>
        <v>1.1249999999999998</v>
      </c>
      <c r="C427" s="26"/>
      <c r="D427" s="59"/>
      <c r="E427" s="109"/>
      <c r="F427" s="135" t="str">
        <f>IFERROR(IF($D427="","",VLOOKUP($D427,Cadastro!$C$4:$E$7,3,FALSE)),"")</f>
        <v/>
      </c>
      <c r="G427" s="106"/>
      <c r="H427" s="135" t="str">
        <f>IFERROR(IF($G427="","",$G427*$S$432/$G$432/Cadastro!$E$33),"")</f>
        <v/>
      </c>
      <c r="I427" s="136" t="str">
        <f>IFERROR(IF($D427="","",VLOOKUP($D427,Cadastro!$C$4:$G$7,5,FALSE)),"")</f>
        <v/>
      </c>
      <c r="J427" s="137" t="str">
        <f t="shared" si="101"/>
        <v/>
      </c>
      <c r="K427" s="34" t="str">
        <f t="shared" si="102"/>
        <v/>
      </c>
      <c r="L427" s="33"/>
      <c r="M427" s="33"/>
      <c r="N427" s="33"/>
      <c r="O427" s="29"/>
      <c r="P427" s="29"/>
      <c r="Q427" s="35" t="str">
        <f t="shared" ca="1" si="103"/>
        <v/>
      </c>
      <c r="R427" s="27"/>
      <c r="S427" s="47"/>
    </row>
    <row r="428" spans="1:20" ht="15" customHeight="1">
      <c r="A428" s="68">
        <v>46250</v>
      </c>
      <c r="B428" s="25">
        <f t="shared" si="104"/>
        <v>1.1666666666666665</v>
      </c>
      <c r="C428" s="26"/>
      <c r="D428" s="59"/>
      <c r="E428" s="109"/>
      <c r="F428" s="135" t="str">
        <f>IFERROR(IF($D428="","",VLOOKUP($D428,Cadastro!$C$4:$E$7,3,FALSE)),"")</f>
        <v/>
      </c>
      <c r="G428" s="106"/>
      <c r="H428" s="135" t="str">
        <f>IFERROR(IF($G428="","",$G428*$S$432/$G$432/Cadastro!$E$33),"")</f>
        <v/>
      </c>
      <c r="I428" s="136" t="str">
        <f>IFERROR(IF($D428="","",VLOOKUP($D428,Cadastro!$C$4:$G$7,5,FALSE)),"")</f>
        <v/>
      </c>
      <c r="J428" s="137" t="str">
        <f t="shared" si="101"/>
        <v/>
      </c>
      <c r="K428" s="28" t="str">
        <f t="shared" si="102"/>
        <v/>
      </c>
      <c r="L428" s="26"/>
      <c r="M428" s="26"/>
      <c r="N428" s="26"/>
      <c r="O428" s="29"/>
      <c r="P428" s="29"/>
      <c r="Q428" s="30" t="str">
        <f t="shared" ca="1" si="103"/>
        <v/>
      </c>
      <c r="R428" s="27"/>
      <c r="S428" s="47"/>
    </row>
    <row r="429" spans="1:20" ht="15" customHeight="1">
      <c r="A429" s="69">
        <v>46250</v>
      </c>
      <c r="B429" s="32">
        <f t="shared" si="104"/>
        <v>1.2083333333333333</v>
      </c>
      <c r="C429" s="26"/>
      <c r="D429" s="59"/>
      <c r="E429" s="109"/>
      <c r="F429" s="135" t="str">
        <f>IFERROR(IF($D429="","",VLOOKUP($D429,Cadastro!$C$4:$E$7,3,FALSE)),"")</f>
        <v/>
      </c>
      <c r="G429" s="106"/>
      <c r="H429" s="135" t="str">
        <f>IFERROR(IF($G429="","",$G429*$S$432/$G$432/Cadastro!$E$33),"")</f>
        <v/>
      </c>
      <c r="I429" s="136" t="str">
        <f>IFERROR(IF($D429="","",VLOOKUP($D429,Cadastro!$C$4:$G$7,5,FALSE)),"")</f>
        <v/>
      </c>
      <c r="J429" s="137" t="str">
        <f t="shared" si="101"/>
        <v/>
      </c>
      <c r="K429" s="34" t="str">
        <f t="shared" si="102"/>
        <v/>
      </c>
      <c r="L429" s="33"/>
      <c r="M429" s="33"/>
      <c r="N429" s="33"/>
      <c r="O429" s="29"/>
      <c r="P429" s="29"/>
      <c r="Q429" s="35" t="str">
        <f t="shared" ca="1" si="103"/>
        <v/>
      </c>
      <c r="R429" s="27"/>
      <c r="S429" s="47"/>
    </row>
    <row r="430" spans="1:20" ht="15" customHeight="1">
      <c r="A430" s="68">
        <v>46250</v>
      </c>
      <c r="B430" s="25">
        <f t="shared" si="104"/>
        <v>1.25</v>
      </c>
      <c r="C430" s="26"/>
      <c r="D430" s="59"/>
      <c r="E430" s="109"/>
      <c r="F430" s="135" t="str">
        <f>IFERROR(IF($D430="","",VLOOKUP($D430,Cadastro!$C$4:$E$7,3,FALSE)),"")</f>
        <v/>
      </c>
      <c r="G430" s="106"/>
      <c r="H430" s="135" t="str">
        <f>IFERROR(IF($G430="","",$G430*$S$432/$G$432/Cadastro!$E$33),"")</f>
        <v/>
      </c>
      <c r="I430" s="136" t="str">
        <f>IFERROR(IF($D430="","",VLOOKUP($D430,Cadastro!$C$4:$G$7,5,FALSE)),"")</f>
        <v/>
      </c>
      <c r="J430" s="137" t="str">
        <f t="shared" si="101"/>
        <v/>
      </c>
      <c r="K430" s="28" t="str">
        <f t="shared" si="102"/>
        <v/>
      </c>
      <c r="L430" s="26"/>
      <c r="M430" s="26"/>
      <c r="N430" s="26"/>
      <c r="O430" s="29"/>
      <c r="P430" s="29"/>
      <c r="Q430" s="30" t="str">
        <f t="shared" ca="1" si="103"/>
        <v/>
      </c>
      <c r="R430" s="27"/>
      <c r="S430" s="47"/>
    </row>
    <row r="431" spans="1:20" ht="15" customHeight="1" thickBot="1">
      <c r="A431" s="69">
        <v>46250</v>
      </c>
      <c r="B431" s="32">
        <f t="shared" si="104"/>
        <v>1.2916666666666667</v>
      </c>
      <c r="C431" s="26"/>
      <c r="D431" s="59"/>
      <c r="E431" s="109"/>
      <c r="F431" s="138" t="str">
        <f>IFERROR(IF($D431="","",VLOOKUP($D431,Cadastro!$C$4:$E$7,3,FALSE)),"")</f>
        <v/>
      </c>
      <c r="G431" s="106"/>
      <c r="H431" s="138" t="str">
        <f>IFERROR(IF($G431="","",$G431*$S$432/$G$432/Cadastro!$E$33),"")</f>
        <v/>
      </c>
      <c r="I431" s="139" t="str">
        <f>IFERROR(IF($D431="","",VLOOKUP($D431,Cadastro!$C$4:$G$7,5,FALSE)),"")</f>
        <v/>
      </c>
      <c r="J431" s="140" t="str">
        <f t="shared" si="101"/>
        <v/>
      </c>
      <c r="K431" s="34" t="str">
        <f t="shared" si="102"/>
        <v/>
      </c>
      <c r="L431" s="33"/>
      <c r="M431" s="33"/>
      <c r="N431" s="33"/>
      <c r="O431" s="29"/>
      <c r="P431" s="29"/>
      <c r="Q431" s="35" t="str">
        <f t="shared" ca="1" si="103"/>
        <v/>
      </c>
      <c r="R431" s="27"/>
      <c r="S431" s="47"/>
    </row>
    <row r="432" spans="1:20" ht="15.75" customHeight="1" thickBot="1">
      <c r="A432" s="152" t="s">
        <v>244</v>
      </c>
      <c r="B432" s="153"/>
      <c r="C432" s="153"/>
      <c r="D432" s="153"/>
      <c r="E432" s="153">
        <f>SUM(E420:E431)</f>
        <v>0</v>
      </c>
      <c r="F432" s="112"/>
      <c r="G432" s="81">
        <f>SUM(G420:G431)</f>
        <v>0</v>
      </c>
      <c r="H432" s="112">
        <f>IFERROR(SUM(H420:H431),"")</f>
        <v>0</v>
      </c>
      <c r="I432" s="116"/>
      <c r="J432" s="125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20">
        <f>IFERROR(J432,"")</f>
        <v>0</v>
      </c>
    </row>
    <row r="433" spans="1:20" ht="18" customHeight="1">
      <c r="A433" s="150" t="s">
        <v>245</v>
      </c>
      <c r="B433" s="151"/>
      <c r="C433" s="151"/>
      <c r="D433" s="151"/>
      <c r="E433" s="151">
        <f>E419+E432</f>
        <v>0</v>
      </c>
      <c r="F433" s="113"/>
      <c r="G433" s="92">
        <f>G419+G432</f>
        <v>0</v>
      </c>
      <c r="H433" s="113">
        <f>IFERROR(H419+H432,"")</f>
        <v>0</v>
      </c>
      <c r="I433" s="117"/>
      <c r="J433" s="126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2">
        <f>IFERROR(J433,"")</f>
        <v>0</v>
      </c>
    </row>
    <row r="434" spans="1:20" ht="15" customHeight="1">
      <c r="A434" s="68">
        <v>46251</v>
      </c>
      <c r="B434" s="25">
        <v>0.33333333333333298</v>
      </c>
      <c r="C434" s="26"/>
      <c r="D434" s="59"/>
      <c r="E434" s="109"/>
      <c r="F434" s="141" t="str">
        <f>IFERROR(IF($D434="","",VLOOKUP($D434,Cadastro!$C$4:$E$7,3,FALSE)),"")</f>
        <v/>
      </c>
      <c r="G434" s="106"/>
      <c r="H434" s="141" t="str">
        <f>IFERROR(IF($G434="","",$G434*$S$446/$G$446/Cadastro!$E$33),"")</f>
        <v/>
      </c>
      <c r="I434" s="142" t="str">
        <f>IFERROR(IF($D434="","",VLOOKUP($D434,Cadastro!$C$4:$G$7,5,FALSE)),"")</f>
        <v/>
      </c>
      <c r="J434" s="143" t="str">
        <f t="shared" ref="J434:J445" si="105">IFERROR(IF($H434="","",$H434*$F434*$I434),"")</f>
        <v/>
      </c>
      <c r="K434" s="28" t="str">
        <f t="shared" ref="K434:K445" si="106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7">IFERROR(IF(O434="","",IF(P434="",MOD(NOW()-O434,1),IF(P434&gt;=O434,P434-O434,P434+1-O434))),"")</f>
        <v/>
      </c>
      <c r="R434" s="27"/>
      <c r="S434" s="47"/>
    </row>
    <row r="435" spans="1:20" ht="15" customHeight="1">
      <c r="A435" s="69">
        <v>46251</v>
      </c>
      <c r="B435" s="32">
        <f t="shared" ref="B435:B445" si="108">B434+TIME(0,60,0)</f>
        <v>0.37499999999999967</v>
      </c>
      <c r="C435" s="26"/>
      <c r="D435" s="59"/>
      <c r="E435" s="109"/>
      <c r="F435" s="135" t="str">
        <f>IFERROR(IF($D435="","",VLOOKUP($D435,Cadastro!$C$4:$E$7,3,FALSE)),"")</f>
        <v/>
      </c>
      <c r="G435" s="106"/>
      <c r="H435" s="135" t="str">
        <f>IFERROR(IF($G435="","",$G435*$S$446/$G$446/Cadastro!$E$33),"")</f>
        <v/>
      </c>
      <c r="I435" s="136" t="str">
        <f>IFERROR(IF($D435="","",VLOOKUP($D435,Cadastro!$C$4:$G$7,5,FALSE)),"")</f>
        <v/>
      </c>
      <c r="J435" s="137" t="str">
        <f t="shared" si="105"/>
        <v/>
      </c>
      <c r="K435" s="28" t="str">
        <f t="shared" si="106"/>
        <v/>
      </c>
      <c r="L435" s="33"/>
      <c r="M435" s="33"/>
      <c r="N435" s="33"/>
      <c r="O435" s="29"/>
      <c r="P435" s="29"/>
      <c r="Q435" s="35" t="str">
        <f t="shared" ca="1" si="107"/>
        <v/>
      </c>
      <c r="R435" s="27"/>
      <c r="S435" s="47"/>
    </row>
    <row r="436" spans="1:20" ht="15" customHeight="1">
      <c r="A436" s="68">
        <v>46251</v>
      </c>
      <c r="B436" s="25">
        <f t="shared" si="108"/>
        <v>0.41666666666666635</v>
      </c>
      <c r="C436" s="26"/>
      <c r="D436" s="59"/>
      <c r="E436" s="109"/>
      <c r="F436" s="135" t="str">
        <f>IFERROR(IF($D436="","",VLOOKUP($D436,Cadastro!$C$4:$E$7,3,FALSE)),"")</f>
        <v/>
      </c>
      <c r="G436" s="106"/>
      <c r="H436" s="135" t="str">
        <f>IFERROR(IF($G436="","",$G436*$S$446/$G$446/Cadastro!$E$33),"")</f>
        <v/>
      </c>
      <c r="I436" s="136" t="str">
        <f>IFERROR(IF($D436="","",VLOOKUP($D436,Cadastro!$C$4:$G$7,5,FALSE)),"")</f>
        <v/>
      </c>
      <c r="J436" s="137" t="str">
        <f t="shared" si="105"/>
        <v/>
      </c>
      <c r="K436" s="28" t="str">
        <f t="shared" si="106"/>
        <v/>
      </c>
      <c r="L436" s="26"/>
      <c r="M436" s="26"/>
      <c r="N436" s="26"/>
      <c r="O436" s="29"/>
      <c r="P436" s="29"/>
      <c r="Q436" s="30" t="str">
        <f t="shared" ca="1" si="107"/>
        <v/>
      </c>
      <c r="R436" s="27"/>
      <c r="S436" s="47"/>
    </row>
    <row r="437" spans="1:20" ht="15" customHeight="1">
      <c r="A437" s="69">
        <v>46251</v>
      </c>
      <c r="B437" s="32">
        <f t="shared" si="108"/>
        <v>0.45833333333333304</v>
      </c>
      <c r="C437" s="26"/>
      <c r="D437" s="59"/>
      <c r="E437" s="109"/>
      <c r="F437" s="135" t="str">
        <f>IFERROR(IF($D437="","",VLOOKUP($D437,Cadastro!$C$4:$E$7,3,FALSE)),"")</f>
        <v/>
      </c>
      <c r="G437" s="106"/>
      <c r="H437" s="135" t="str">
        <f>IFERROR(IF($G437="","",$G437*$S$446/$G$446/Cadastro!$E$33),"")</f>
        <v/>
      </c>
      <c r="I437" s="136" t="str">
        <f>IFERROR(IF($D437="","",VLOOKUP($D437,Cadastro!$C$4:$G$7,5,FALSE)),"")</f>
        <v/>
      </c>
      <c r="J437" s="137" t="str">
        <f t="shared" si="105"/>
        <v/>
      </c>
      <c r="K437" s="34" t="str">
        <f t="shared" si="106"/>
        <v/>
      </c>
      <c r="L437" s="33"/>
      <c r="M437" s="33"/>
      <c r="N437" s="33"/>
      <c r="O437" s="29"/>
      <c r="P437" s="29"/>
      <c r="Q437" s="35" t="str">
        <f t="shared" ca="1" si="107"/>
        <v/>
      </c>
      <c r="R437" s="27"/>
      <c r="S437" s="47"/>
    </row>
    <row r="438" spans="1:20" ht="15" customHeight="1">
      <c r="A438" s="68">
        <v>46251</v>
      </c>
      <c r="B438" s="25">
        <f t="shared" si="108"/>
        <v>0.49999999999999972</v>
      </c>
      <c r="C438" s="26"/>
      <c r="D438" s="59"/>
      <c r="E438" s="109"/>
      <c r="F438" s="135" t="str">
        <f>IFERROR(IF($D438="","",VLOOKUP($D438,Cadastro!$C$4:$E$7,3,FALSE)),"")</f>
        <v/>
      </c>
      <c r="G438" s="106"/>
      <c r="H438" s="135" t="str">
        <f>IFERROR(IF($G438="","",$G438*$S$446/$G$446/Cadastro!$E$33),"")</f>
        <v/>
      </c>
      <c r="I438" s="136" t="str">
        <f>IFERROR(IF($D438="","",VLOOKUP($D438,Cadastro!$C$4:$G$7,5,FALSE)),"")</f>
        <v/>
      </c>
      <c r="J438" s="137" t="str">
        <f t="shared" si="105"/>
        <v/>
      </c>
      <c r="K438" s="28" t="str">
        <f t="shared" si="106"/>
        <v/>
      </c>
      <c r="L438" s="26"/>
      <c r="M438" s="26"/>
      <c r="N438" s="26"/>
      <c r="O438" s="29"/>
      <c r="P438" s="29"/>
      <c r="Q438" s="30" t="str">
        <f t="shared" ca="1" si="107"/>
        <v/>
      </c>
      <c r="R438" s="27"/>
      <c r="S438" s="47"/>
    </row>
    <row r="439" spans="1:20" ht="15" customHeight="1">
      <c r="A439" s="69">
        <v>46251</v>
      </c>
      <c r="B439" s="32">
        <f t="shared" si="108"/>
        <v>0.54166666666666641</v>
      </c>
      <c r="C439" s="26"/>
      <c r="D439" s="59"/>
      <c r="E439" s="109"/>
      <c r="F439" s="135" t="str">
        <f>IFERROR(IF($D439="","",VLOOKUP($D439,Cadastro!$C$4:$E$7,3,FALSE)),"")</f>
        <v/>
      </c>
      <c r="G439" s="106"/>
      <c r="H439" s="135" t="str">
        <f>IFERROR(IF($G439="","",$G439*$S$446/$G$446/Cadastro!$E$33),"")</f>
        <v/>
      </c>
      <c r="I439" s="136" t="str">
        <f>IFERROR(IF($D439="","",VLOOKUP($D439,Cadastro!$C$4:$G$7,5,FALSE)),"")</f>
        <v/>
      </c>
      <c r="J439" s="137" t="str">
        <f t="shared" si="105"/>
        <v/>
      </c>
      <c r="K439" s="34" t="str">
        <f t="shared" si="106"/>
        <v/>
      </c>
      <c r="L439" s="33"/>
      <c r="M439" s="33"/>
      <c r="N439" s="33"/>
      <c r="O439" s="29"/>
      <c r="P439" s="29"/>
      <c r="Q439" s="35" t="str">
        <f t="shared" ca="1" si="107"/>
        <v/>
      </c>
      <c r="R439" s="46"/>
      <c r="S439" s="47"/>
    </row>
    <row r="440" spans="1:20" ht="15" customHeight="1">
      <c r="A440" s="68">
        <v>46251</v>
      </c>
      <c r="B440" s="25">
        <f t="shared" si="108"/>
        <v>0.58333333333333304</v>
      </c>
      <c r="C440" s="26"/>
      <c r="D440" s="59"/>
      <c r="E440" s="109"/>
      <c r="F440" s="135" t="str">
        <f>IFERROR(IF($D440="","",VLOOKUP($D440,Cadastro!$C$4:$E$7,3,FALSE)),"")</f>
        <v/>
      </c>
      <c r="G440" s="106"/>
      <c r="H440" s="135" t="str">
        <f>IFERROR(IF($G440="","",$G440*$S$446/$G$446/Cadastro!$E$33),"")</f>
        <v/>
      </c>
      <c r="I440" s="136" t="str">
        <f>IFERROR(IF($D440="","",VLOOKUP($D440,Cadastro!$C$4:$G$7,5,FALSE)),"")</f>
        <v/>
      </c>
      <c r="J440" s="137" t="str">
        <f t="shared" si="105"/>
        <v/>
      </c>
      <c r="K440" s="28" t="str">
        <f t="shared" si="106"/>
        <v/>
      </c>
      <c r="L440" s="26"/>
      <c r="M440" s="26"/>
      <c r="N440" s="26"/>
      <c r="O440" s="29"/>
      <c r="P440" s="29"/>
      <c r="Q440" s="30" t="str">
        <f t="shared" ca="1" si="107"/>
        <v/>
      </c>
      <c r="R440" s="27"/>
      <c r="S440" s="47"/>
    </row>
    <row r="441" spans="1:20" ht="15" customHeight="1">
      <c r="A441" s="69">
        <v>46251</v>
      </c>
      <c r="B441" s="32">
        <f t="shared" si="108"/>
        <v>0.62499999999999967</v>
      </c>
      <c r="C441" s="26"/>
      <c r="D441" s="59"/>
      <c r="E441" s="109"/>
      <c r="F441" s="135" t="str">
        <f>IFERROR(IF($D441="","",VLOOKUP($D441,Cadastro!$C$4:$E$7,3,FALSE)),"")</f>
        <v/>
      </c>
      <c r="G441" s="106"/>
      <c r="H441" s="135" t="str">
        <f>IFERROR(IF($G441="","",$G441*$S$446/$G$446/Cadastro!$E$33),"")</f>
        <v/>
      </c>
      <c r="I441" s="136" t="str">
        <f>IFERROR(IF($D441="","",VLOOKUP($D441,Cadastro!$C$4:$G$7,5,FALSE)),"")</f>
        <v/>
      </c>
      <c r="J441" s="137" t="str">
        <f t="shared" si="105"/>
        <v/>
      </c>
      <c r="K441" s="34" t="str">
        <f t="shared" si="106"/>
        <v/>
      </c>
      <c r="L441" s="33"/>
      <c r="M441" s="33"/>
      <c r="N441" s="33"/>
      <c r="O441" s="29"/>
      <c r="P441" s="29"/>
      <c r="Q441" s="35" t="str">
        <f t="shared" ca="1" si="107"/>
        <v/>
      </c>
      <c r="R441" s="27"/>
      <c r="S441" s="47"/>
    </row>
    <row r="442" spans="1:20" ht="15" customHeight="1">
      <c r="A442" s="68">
        <v>46251</v>
      </c>
      <c r="B442" s="25">
        <f t="shared" si="108"/>
        <v>0.6666666666666663</v>
      </c>
      <c r="C442" s="26"/>
      <c r="D442" s="59"/>
      <c r="E442" s="109"/>
      <c r="F442" s="135" t="str">
        <f>IFERROR(IF($D442="","",VLOOKUP($D442,Cadastro!$C$4:$E$7,3,FALSE)),"")</f>
        <v/>
      </c>
      <c r="G442" s="106"/>
      <c r="H442" s="135" t="str">
        <f>IFERROR(IF($G442="","",$G442*$S$446/$G$446/Cadastro!$E$33),"")</f>
        <v/>
      </c>
      <c r="I442" s="136" t="str">
        <f>IFERROR(IF($D442="","",VLOOKUP($D442,Cadastro!$C$4:$G$7,5,FALSE)),"")</f>
        <v/>
      </c>
      <c r="J442" s="137" t="str">
        <f t="shared" si="105"/>
        <v/>
      </c>
      <c r="K442" s="28" t="str">
        <f t="shared" si="106"/>
        <v/>
      </c>
      <c r="L442" s="26"/>
      <c r="M442" s="26"/>
      <c r="N442" s="26"/>
      <c r="O442" s="29"/>
      <c r="P442" s="29"/>
      <c r="Q442" s="30" t="str">
        <f t="shared" ca="1" si="107"/>
        <v/>
      </c>
      <c r="R442" s="27"/>
      <c r="S442" s="47"/>
    </row>
    <row r="443" spans="1:20" ht="15" customHeight="1">
      <c r="A443" s="69">
        <v>46251</v>
      </c>
      <c r="B443" s="32">
        <f t="shared" si="108"/>
        <v>0.70833333333333293</v>
      </c>
      <c r="C443" s="26"/>
      <c r="D443" s="59"/>
      <c r="E443" s="109"/>
      <c r="F443" s="135" t="str">
        <f>IFERROR(IF($D443="","",VLOOKUP($D443,Cadastro!$C$4:$E$7,3,FALSE)),"")</f>
        <v/>
      </c>
      <c r="G443" s="106"/>
      <c r="H443" s="135" t="str">
        <f>IFERROR(IF($G443="","",$G443*$S$446/$G$446/Cadastro!$E$33),"")</f>
        <v/>
      </c>
      <c r="I443" s="136" t="str">
        <f>IFERROR(IF($D443="","",VLOOKUP($D443,Cadastro!$C$4:$G$7,5,FALSE)),"")</f>
        <v/>
      </c>
      <c r="J443" s="137" t="str">
        <f t="shared" si="105"/>
        <v/>
      </c>
      <c r="K443" s="34" t="str">
        <f t="shared" si="106"/>
        <v/>
      </c>
      <c r="L443" s="33"/>
      <c r="M443" s="33"/>
      <c r="N443" s="33"/>
      <c r="O443" s="29"/>
      <c r="P443" s="29"/>
      <c r="Q443" s="35" t="str">
        <f t="shared" ca="1" si="107"/>
        <v/>
      </c>
      <c r="R443" s="27"/>
      <c r="S443" s="47"/>
    </row>
    <row r="444" spans="1:20" ht="15" customHeight="1">
      <c r="A444" s="68">
        <v>46251</v>
      </c>
      <c r="B444" s="25">
        <f t="shared" si="108"/>
        <v>0.74999999999999956</v>
      </c>
      <c r="C444" s="26"/>
      <c r="D444" s="59"/>
      <c r="E444" s="109"/>
      <c r="F444" s="135" t="str">
        <f>IFERROR(IF($D444="","",VLOOKUP($D444,Cadastro!$C$4:$E$7,3,FALSE)),"")</f>
        <v/>
      </c>
      <c r="G444" s="106"/>
      <c r="H444" s="135" t="str">
        <f>IFERROR(IF($G444="","",$G444*$S$446/$G$446/Cadastro!$E$33),"")</f>
        <v/>
      </c>
      <c r="I444" s="136" t="str">
        <f>IFERROR(IF($D444="","",VLOOKUP($D444,Cadastro!$C$4:$G$7,5,FALSE)),"")</f>
        <v/>
      </c>
      <c r="J444" s="137" t="str">
        <f t="shared" si="105"/>
        <v/>
      </c>
      <c r="K444" s="28" t="str">
        <f t="shared" si="106"/>
        <v/>
      </c>
      <c r="L444" s="26"/>
      <c r="M444" s="26"/>
      <c r="N444" s="26"/>
      <c r="O444" s="29"/>
      <c r="P444" s="29"/>
      <c r="Q444" s="30" t="str">
        <f t="shared" ca="1" si="107"/>
        <v/>
      </c>
      <c r="R444" s="27"/>
      <c r="S444" s="47"/>
    </row>
    <row r="445" spans="1:20" ht="15" customHeight="1" thickBot="1">
      <c r="A445" s="69">
        <v>46251</v>
      </c>
      <c r="B445" s="32">
        <f t="shared" si="108"/>
        <v>0.79166666666666619</v>
      </c>
      <c r="C445" s="26"/>
      <c r="D445" s="59"/>
      <c r="E445" s="109"/>
      <c r="F445" s="138" t="str">
        <f>IFERROR(IF($D445="","",VLOOKUP($D445,Cadastro!$C$4:$E$7,3,FALSE)),"")</f>
        <v/>
      </c>
      <c r="G445" s="106"/>
      <c r="H445" s="138" t="str">
        <f>IFERROR(IF($G445="","",$G445*$S$446/$G$446/Cadastro!$E$33),"")</f>
        <v/>
      </c>
      <c r="I445" s="139" t="str">
        <f>IFERROR(IF($D445="","",VLOOKUP($D445,Cadastro!$C$4:$G$7,5,FALSE)),"")</f>
        <v/>
      </c>
      <c r="J445" s="140" t="str">
        <f t="shared" si="105"/>
        <v/>
      </c>
      <c r="K445" s="34" t="str">
        <f t="shared" si="106"/>
        <v/>
      </c>
      <c r="L445" s="33"/>
      <c r="M445" s="33"/>
      <c r="N445" s="33"/>
      <c r="O445" s="29"/>
      <c r="P445" s="29"/>
      <c r="Q445" s="35" t="str">
        <f t="shared" ca="1" si="107"/>
        <v/>
      </c>
      <c r="R445" s="27"/>
      <c r="S445" s="47"/>
    </row>
    <row r="446" spans="1:20" ht="15.75" customHeight="1" thickBot="1">
      <c r="A446" s="152" t="s">
        <v>241</v>
      </c>
      <c r="B446" s="153"/>
      <c r="C446" s="153"/>
      <c r="D446" s="153"/>
      <c r="E446" s="153">
        <f>SUM(E434:E445)</f>
        <v>0</v>
      </c>
      <c r="F446" s="111"/>
      <c r="G446" s="81">
        <f>SUM(G434:G445)</f>
        <v>0</v>
      </c>
      <c r="H446" s="111">
        <f>IFERROR(SUM(H434:H445),"")</f>
        <v>0</v>
      </c>
      <c r="I446" s="115"/>
      <c r="J446" s="124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20">
        <f>IFERROR(J446,"")</f>
        <v>0</v>
      </c>
    </row>
    <row r="447" spans="1:20" ht="15" customHeight="1">
      <c r="A447" s="69">
        <v>46251</v>
      </c>
      <c r="B447" s="32">
        <v>0.83333333333333304</v>
      </c>
      <c r="C447" s="33"/>
      <c r="D447" s="62"/>
      <c r="E447" s="110"/>
      <c r="F447" s="141" t="str">
        <f>IFERROR(IF($D447="","",VLOOKUP($D447,Cadastro!$C$4:$E$7,3,FALSE)),"")</f>
        <v/>
      </c>
      <c r="G447" s="106"/>
      <c r="H447" s="141" t="str">
        <f>IFERROR(IF($G447="","",$G447*$S$459/$G$459/Cadastro!$E$33),"")</f>
        <v/>
      </c>
      <c r="I447" s="142" t="str">
        <f>IFERROR(IF($D447="","",VLOOKUP($D447,Cadastro!$C$4:$G$7,5,FALSE)),"")</f>
        <v/>
      </c>
      <c r="J447" s="143" t="str">
        <f t="shared" ref="J447:J458" si="109">IFERROR(IF($H447="","",$H447*$F447*$I447),"")</f>
        <v/>
      </c>
      <c r="K447" s="34" t="str">
        <f t="shared" ref="K447:K458" si="110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1">IFERROR(IF(O447="","",IF(P447="",MOD(NOW()-O447,1),IF(P447&gt;=O447,P447-O447,P447+1-O447))),"")</f>
        <v/>
      </c>
      <c r="R447" s="27"/>
      <c r="S447" s="47"/>
    </row>
    <row r="448" spans="1:20" ht="15" customHeight="1">
      <c r="A448" s="68">
        <v>46251</v>
      </c>
      <c r="B448" s="25">
        <f t="shared" ref="B448:B458" si="112">B447+TIME(0,60,0)</f>
        <v>0.87499999999999967</v>
      </c>
      <c r="C448" s="33"/>
      <c r="D448" s="62"/>
      <c r="E448" s="110"/>
      <c r="F448" s="135" t="str">
        <f>IFERROR(IF($D448="","",VLOOKUP($D448,Cadastro!$C$4:$E$7,3,FALSE)),"")</f>
        <v/>
      </c>
      <c r="G448" s="106"/>
      <c r="H448" s="135" t="str">
        <f>IFERROR(IF($G448="","",$G448*$S$459/$G$459/Cadastro!$E$33),"")</f>
        <v/>
      </c>
      <c r="I448" s="136" t="str">
        <f>IFERROR(IF($D448="","",VLOOKUP($D448,Cadastro!$C$4:$G$7,5,FALSE)),"")</f>
        <v/>
      </c>
      <c r="J448" s="137" t="str">
        <f t="shared" si="109"/>
        <v/>
      </c>
      <c r="K448" s="28" t="str">
        <f t="shared" si="110"/>
        <v/>
      </c>
      <c r="L448" s="26"/>
      <c r="M448" s="26"/>
      <c r="N448" s="26"/>
      <c r="O448" s="29"/>
      <c r="P448" s="29"/>
      <c r="Q448" s="30" t="str">
        <f t="shared" ca="1" si="111"/>
        <v/>
      </c>
      <c r="R448" s="27"/>
      <c r="S448" s="47"/>
    </row>
    <row r="449" spans="1:20" ht="15" customHeight="1">
      <c r="A449" s="69">
        <v>46251</v>
      </c>
      <c r="B449" s="32">
        <f t="shared" si="112"/>
        <v>0.9166666666666663</v>
      </c>
      <c r="C449" s="33"/>
      <c r="D449" s="62"/>
      <c r="E449" s="110"/>
      <c r="F449" s="135" t="str">
        <f>IFERROR(IF($D449="","",VLOOKUP($D449,Cadastro!$C$4:$E$7,3,FALSE)),"")</f>
        <v/>
      </c>
      <c r="G449" s="106"/>
      <c r="H449" s="135" t="str">
        <f>IFERROR(IF($G449="","",$G449*$S$459/$G$459/Cadastro!$E$33),"")</f>
        <v/>
      </c>
      <c r="I449" s="136" t="str">
        <f>IFERROR(IF($D449="","",VLOOKUP($D449,Cadastro!$C$4:$G$7,5,FALSE)),"")</f>
        <v/>
      </c>
      <c r="J449" s="137" t="str">
        <f t="shared" si="109"/>
        <v/>
      </c>
      <c r="K449" s="34" t="str">
        <f t="shared" si="110"/>
        <v/>
      </c>
      <c r="L449" s="33"/>
      <c r="M449" s="33"/>
      <c r="N449" s="33"/>
      <c r="O449" s="29"/>
      <c r="P449" s="29"/>
      <c r="Q449" s="35" t="str">
        <f t="shared" ca="1" si="111"/>
        <v/>
      </c>
      <c r="R449" s="27"/>
      <c r="S449" s="47"/>
    </row>
    <row r="450" spans="1:20" ht="15" customHeight="1">
      <c r="A450" s="68">
        <v>46251</v>
      </c>
      <c r="B450" s="25">
        <f t="shared" si="112"/>
        <v>0.95833333333333293</v>
      </c>
      <c r="C450" s="33"/>
      <c r="D450" s="62"/>
      <c r="E450" s="110"/>
      <c r="F450" s="135" t="str">
        <f>IFERROR(IF($D450="","",VLOOKUP($D450,Cadastro!$C$4:$E$7,3,FALSE)),"")</f>
        <v/>
      </c>
      <c r="G450" s="106"/>
      <c r="H450" s="135" t="str">
        <f>IFERROR(IF($G450="","",$G450*$S$459/$G$459/Cadastro!$E$33),"")</f>
        <v/>
      </c>
      <c r="I450" s="136" t="str">
        <f>IFERROR(IF($D450="","",VLOOKUP($D450,Cadastro!$C$4:$G$7,5,FALSE)),"")</f>
        <v/>
      </c>
      <c r="J450" s="137" t="str">
        <f t="shared" si="109"/>
        <v/>
      </c>
      <c r="K450" s="28" t="str">
        <f t="shared" si="110"/>
        <v/>
      </c>
      <c r="L450" s="26"/>
      <c r="M450" s="26"/>
      <c r="N450" s="26"/>
      <c r="O450" s="29"/>
      <c r="P450" s="29"/>
      <c r="Q450" s="30" t="str">
        <f t="shared" ca="1" si="111"/>
        <v/>
      </c>
      <c r="R450" s="27"/>
      <c r="S450" s="47"/>
    </row>
    <row r="451" spans="1:20" ht="15" customHeight="1">
      <c r="A451" s="69">
        <v>46251</v>
      </c>
      <c r="B451" s="32">
        <f t="shared" si="112"/>
        <v>0.99999999999999956</v>
      </c>
      <c r="C451" s="33"/>
      <c r="D451" s="62"/>
      <c r="E451" s="110"/>
      <c r="F451" s="135" t="str">
        <f>IFERROR(IF($D451="","",VLOOKUP($D451,Cadastro!$C$4:$E$7,3,FALSE)),"")</f>
        <v/>
      </c>
      <c r="G451" s="106"/>
      <c r="H451" s="135" t="str">
        <f>IFERROR(IF($G451="","",$G451*$S$459/$G$459/Cadastro!$E$33),"")</f>
        <v/>
      </c>
      <c r="I451" s="136" t="str">
        <f>IFERROR(IF($D451="","",VLOOKUP($D451,Cadastro!$C$4:$G$7,5,FALSE)),"")</f>
        <v/>
      </c>
      <c r="J451" s="137" t="str">
        <f t="shared" si="109"/>
        <v/>
      </c>
      <c r="K451" s="34" t="str">
        <f t="shared" si="110"/>
        <v/>
      </c>
      <c r="L451" s="33"/>
      <c r="M451" s="33"/>
      <c r="N451" s="33"/>
      <c r="O451" s="29"/>
      <c r="P451" s="29"/>
      <c r="Q451" s="35" t="str">
        <f t="shared" ca="1" si="111"/>
        <v/>
      </c>
      <c r="R451" s="27"/>
      <c r="S451" s="47"/>
    </row>
    <row r="452" spans="1:20" ht="15" customHeight="1">
      <c r="A452" s="68">
        <v>46251</v>
      </c>
      <c r="B452" s="25">
        <f t="shared" si="112"/>
        <v>1.0416666666666663</v>
      </c>
      <c r="C452" s="33"/>
      <c r="D452" s="62"/>
      <c r="E452" s="110"/>
      <c r="F452" s="135" t="str">
        <f>IFERROR(IF($D452="","",VLOOKUP($D452,Cadastro!$C$4:$E$7,3,FALSE)),"")</f>
        <v/>
      </c>
      <c r="G452" s="106"/>
      <c r="H452" s="135" t="str">
        <f>IFERROR(IF($G452="","",$G452*$S$459/$G$459/Cadastro!$E$33),"")</f>
        <v/>
      </c>
      <c r="I452" s="136" t="str">
        <f>IFERROR(IF($D452="","",VLOOKUP($D452,Cadastro!$C$4:$G$7,5,FALSE)),"")</f>
        <v/>
      </c>
      <c r="J452" s="137" t="str">
        <f t="shared" si="109"/>
        <v/>
      </c>
      <c r="K452" s="28" t="str">
        <f t="shared" si="110"/>
        <v/>
      </c>
      <c r="L452" s="26"/>
      <c r="M452" s="26"/>
      <c r="N452" s="26"/>
      <c r="O452" s="29"/>
      <c r="P452" s="29"/>
      <c r="Q452" s="30" t="str">
        <f t="shared" ca="1" si="111"/>
        <v/>
      </c>
      <c r="R452" s="27"/>
      <c r="S452" s="47"/>
    </row>
    <row r="453" spans="1:20" ht="15" customHeight="1">
      <c r="A453" s="69">
        <v>46251</v>
      </c>
      <c r="B453" s="32">
        <f t="shared" si="112"/>
        <v>1.083333333333333</v>
      </c>
      <c r="C453" s="33"/>
      <c r="D453" s="62"/>
      <c r="E453" s="110"/>
      <c r="F453" s="135" t="str">
        <f>IFERROR(IF($D453="","",VLOOKUP($D453,Cadastro!$C$4:$E$7,3,FALSE)),"")</f>
        <v/>
      </c>
      <c r="G453" s="106"/>
      <c r="H453" s="135" t="str">
        <f>IFERROR(IF($G453="","",$G453*$S$459/$G$459/Cadastro!$E$33),"")</f>
        <v/>
      </c>
      <c r="I453" s="136" t="str">
        <f>IFERROR(IF($D453="","",VLOOKUP($D453,Cadastro!$C$4:$G$7,5,FALSE)),"")</f>
        <v/>
      </c>
      <c r="J453" s="137" t="str">
        <f t="shared" si="109"/>
        <v/>
      </c>
      <c r="K453" s="34" t="str">
        <f t="shared" si="110"/>
        <v/>
      </c>
      <c r="L453" s="33"/>
      <c r="M453" s="33"/>
      <c r="N453" s="33"/>
      <c r="O453" s="29"/>
      <c r="P453" s="29"/>
      <c r="Q453" s="35" t="str">
        <f t="shared" ca="1" si="111"/>
        <v/>
      </c>
      <c r="R453" s="27"/>
      <c r="S453" s="47"/>
    </row>
    <row r="454" spans="1:20" ht="15" customHeight="1">
      <c r="A454" s="68">
        <v>46251</v>
      </c>
      <c r="B454" s="25">
        <f t="shared" si="112"/>
        <v>1.1249999999999998</v>
      </c>
      <c r="C454" s="33"/>
      <c r="D454" s="62"/>
      <c r="E454" s="110"/>
      <c r="F454" s="135" t="str">
        <f>IFERROR(IF($D454="","",VLOOKUP($D454,Cadastro!$C$4:$E$7,3,FALSE)),"")</f>
        <v/>
      </c>
      <c r="G454" s="106"/>
      <c r="H454" s="135" t="str">
        <f>IFERROR(IF($G454="","",$G454*$S$459/$G$459/Cadastro!$E$33),"")</f>
        <v/>
      </c>
      <c r="I454" s="136" t="str">
        <f>IFERROR(IF($D454="","",VLOOKUP($D454,Cadastro!$C$4:$G$7,5,FALSE)),"")</f>
        <v/>
      </c>
      <c r="J454" s="137" t="str">
        <f t="shared" si="109"/>
        <v/>
      </c>
      <c r="K454" s="28" t="str">
        <f t="shared" si="110"/>
        <v/>
      </c>
      <c r="L454" s="26"/>
      <c r="M454" s="26"/>
      <c r="N454" s="26"/>
      <c r="O454" s="29"/>
      <c r="P454" s="29"/>
      <c r="Q454" s="30" t="str">
        <f t="shared" ca="1" si="111"/>
        <v/>
      </c>
      <c r="R454" s="27"/>
      <c r="S454" s="47"/>
    </row>
    <row r="455" spans="1:20" ht="15" customHeight="1">
      <c r="A455" s="69">
        <v>46251</v>
      </c>
      <c r="B455" s="32">
        <f t="shared" si="112"/>
        <v>1.1666666666666665</v>
      </c>
      <c r="C455" s="33"/>
      <c r="D455" s="62"/>
      <c r="E455" s="110"/>
      <c r="F455" s="135" t="str">
        <f>IFERROR(IF($D455="","",VLOOKUP($D455,Cadastro!$C$4:$E$7,3,FALSE)),"")</f>
        <v/>
      </c>
      <c r="G455" s="106"/>
      <c r="H455" s="135" t="str">
        <f>IFERROR(IF($G455="","",$G455*$S$459/$G$459/Cadastro!$E$33),"")</f>
        <v/>
      </c>
      <c r="I455" s="136" t="str">
        <f>IFERROR(IF($D455="","",VLOOKUP($D455,Cadastro!$C$4:$G$7,5,FALSE)),"")</f>
        <v/>
      </c>
      <c r="J455" s="137" t="str">
        <f t="shared" si="109"/>
        <v/>
      </c>
      <c r="K455" s="34" t="str">
        <f t="shared" si="110"/>
        <v/>
      </c>
      <c r="L455" s="33"/>
      <c r="M455" s="33"/>
      <c r="N455" s="33"/>
      <c r="O455" s="29"/>
      <c r="P455" s="29"/>
      <c r="Q455" s="35" t="str">
        <f t="shared" ca="1" si="111"/>
        <v/>
      </c>
      <c r="R455" s="27"/>
      <c r="S455" s="47"/>
    </row>
    <row r="456" spans="1:20" ht="15" customHeight="1">
      <c r="A456" s="68">
        <v>46251</v>
      </c>
      <c r="B456" s="25">
        <f t="shared" si="112"/>
        <v>1.2083333333333333</v>
      </c>
      <c r="C456" s="33"/>
      <c r="D456" s="62"/>
      <c r="E456" s="110"/>
      <c r="F456" s="135" t="str">
        <f>IFERROR(IF($D456="","",VLOOKUP($D456,Cadastro!$C$4:$E$7,3,FALSE)),"")</f>
        <v/>
      </c>
      <c r="G456" s="106"/>
      <c r="H456" s="135" t="str">
        <f>IFERROR(IF($G456="","",$G456*$S$459/$G$459/Cadastro!$E$33),"")</f>
        <v/>
      </c>
      <c r="I456" s="136" t="str">
        <f>IFERROR(IF($D456="","",VLOOKUP($D456,Cadastro!$C$4:$G$7,5,FALSE)),"")</f>
        <v/>
      </c>
      <c r="J456" s="137" t="str">
        <f t="shared" si="109"/>
        <v/>
      </c>
      <c r="K456" s="28" t="str">
        <f t="shared" si="110"/>
        <v/>
      </c>
      <c r="L456" s="26"/>
      <c r="M456" s="26"/>
      <c r="N456" s="26"/>
      <c r="O456" s="29"/>
      <c r="P456" s="29"/>
      <c r="Q456" s="30" t="str">
        <f t="shared" ca="1" si="111"/>
        <v/>
      </c>
      <c r="R456" s="27"/>
      <c r="S456" s="47"/>
    </row>
    <row r="457" spans="1:20" ht="15" customHeight="1">
      <c r="A457" s="69">
        <v>46251</v>
      </c>
      <c r="B457" s="32">
        <f t="shared" si="112"/>
        <v>1.25</v>
      </c>
      <c r="C457" s="33"/>
      <c r="D457" s="62"/>
      <c r="E457" s="110"/>
      <c r="F457" s="135" t="str">
        <f>IFERROR(IF($D457="","",VLOOKUP($D457,Cadastro!$C$4:$E$7,3,FALSE)),"")</f>
        <v/>
      </c>
      <c r="G457" s="106"/>
      <c r="H457" s="135" t="str">
        <f>IFERROR(IF($G457="","",$G457*$S$459/$G$459/Cadastro!$E$33),"")</f>
        <v/>
      </c>
      <c r="I457" s="136" t="str">
        <f>IFERROR(IF($D457="","",VLOOKUP($D457,Cadastro!$C$4:$G$7,5,FALSE)),"")</f>
        <v/>
      </c>
      <c r="J457" s="137" t="str">
        <f t="shared" si="109"/>
        <v/>
      </c>
      <c r="K457" s="34" t="str">
        <f t="shared" si="110"/>
        <v/>
      </c>
      <c r="L457" s="33"/>
      <c r="M457" s="33"/>
      <c r="N457" s="33"/>
      <c r="O457" s="29"/>
      <c r="P457" s="29"/>
      <c r="Q457" s="35" t="str">
        <f t="shared" ca="1" si="111"/>
        <v/>
      </c>
      <c r="R457" s="27"/>
      <c r="S457" s="47"/>
    </row>
    <row r="458" spans="1:20" ht="15" customHeight="1" thickBot="1">
      <c r="A458" s="68">
        <v>46251</v>
      </c>
      <c r="B458" s="25">
        <f t="shared" si="112"/>
        <v>1.2916666666666667</v>
      </c>
      <c r="C458" s="33"/>
      <c r="D458" s="62"/>
      <c r="E458" s="110"/>
      <c r="F458" s="138" t="str">
        <f>IFERROR(IF($D458="","",VLOOKUP($D458,Cadastro!$C$4:$E$7,3,FALSE)),"")</f>
        <v/>
      </c>
      <c r="G458" s="106"/>
      <c r="H458" s="138" t="str">
        <f>IFERROR(IF($G458="","",$G458*$S$459/$G$459/Cadastro!$E$33),"")</f>
        <v/>
      </c>
      <c r="I458" s="139" t="str">
        <f>IFERROR(IF($D458="","",VLOOKUP($D458,Cadastro!$C$4:$G$7,5,FALSE)),"")</f>
        <v/>
      </c>
      <c r="J458" s="140" t="str">
        <f t="shared" si="109"/>
        <v/>
      </c>
      <c r="K458" s="28" t="str">
        <f t="shared" si="110"/>
        <v/>
      </c>
      <c r="L458" s="26"/>
      <c r="M458" s="26"/>
      <c r="N458" s="26"/>
      <c r="O458" s="29"/>
      <c r="P458" s="29"/>
      <c r="Q458" s="30" t="str">
        <f t="shared" ca="1" si="111"/>
        <v/>
      </c>
      <c r="R458" s="27"/>
      <c r="S458" s="47"/>
    </row>
    <row r="459" spans="1:20" ht="15.75" customHeight="1" thickBot="1">
      <c r="A459" s="152" t="s">
        <v>244</v>
      </c>
      <c r="B459" s="153"/>
      <c r="C459" s="153"/>
      <c r="D459" s="153"/>
      <c r="E459" s="153">
        <f>SUM(E447:E458)</f>
        <v>0</v>
      </c>
      <c r="F459" s="112"/>
      <c r="G459" s="81">
        <f>SUM(G447:G458)</f>
        <v>0</v>
      </c>
      <c r="H459" s="112">
        <f>IFERROR(SUM(H447:H458),"")</f>
        <v>0</v>
      </c>
      <c r="I459" s="116"/>
      <c r="J459" s="125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20">
        <f>IFERROR(J459,"")</f>
        <v>0</v>
      </c>
    </row>
    <row r="460" spans="1:20" ht="18" customHeight="1">
      <c r="A460" s="150" t="s">
        <v>245</v>
      </c>
      <c r="B460" s="151"/>
      <c r="C460" s="151"/>
      <c r="D460" s="151"/>
      <c r="E460" s="151">
        <f>E446+E459</f>
        <v>0</v>
      </c>
      <c r="F460" s="113"/>
      <c r="G460" s="92">
        <f>G446+G459</f>
        <v>0</v>
      </c>
      <c r="H460" s="113">
        <f>IFERROR(H446+H459,"")</f>
        <v>0</v>
      </c>
      <c r="I460" s="117"/>
      <c r="J460" s="126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2">
        <f>IFERROR(J460,"")</f>
        <v>0</v>
      </c>
    </row>
    <row r="461" spans="1:20" ht="15" customHeight="1">
      <c r="A461" s="69">
        <v>46252</v>
      </c>
      <c r="B461" s="32">
        <v>0.33333333333333298</v>
      </c>
      <c r="C461" s="33"/>
      <c r="D461" s="62"/>
      <c r="E461" s="110"/>
      <c r="F461" s="141" t="str">
        <f>IFERROR(IF($D461="","",VLOOKUP($D461,Cadastro!$C$4:$E$7,3,FALSE)),"")</f>
        <v/>
      </c>
      <c r="G461" s="106"/>
      <c r="H461" s="141" t="str">
        <f>IFERROR(IF($G461="","",$G461*$S$473/$G$473/Cadastro!$E$33),"")</f>
        <v/>
      </c>
      <c r="I461" s="142" t="str">
        <f>IFERROR(IF($D461="","",VLOOKUP($D461,Cadastro!$C$4:$G$7,5,FALSE)),"")</f>
        <v/>
      </c>
      <c r="J461" s="143" t="str">
        <f t="shared" ref="J461:J472" si="113">IFERROR(IF($H461="","",$H461*$F461*$I461),"")</f>
        <v/>
      </c>
      <c r="K461" s="34" t="str">
        <f t="shared" ref="K461:K472" si="114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5">IFERROR(IF(O461="","",IF(P461="",MOD(NOW()-O461,1),IF(P461&gt;=O461,P461-O461,P461+1-O461))),"")</f>
        <v/>
      </c>
      <c r="R461" s="27"/>
      <c r="S461" s="47"/>
    </row>
    <row r="462" spans="1:20" ht="15" customHeight="1">
      <c r="A462" s="68">
        <v>46252</v>
      </c>
      <c r="B462" s="25">
        <f t="shared" ref="B462:B472" si="116">B461+TIME(0,60,0)</f>
        <v>0.37499999999999967</v>
      </c>
      <c r="C462" s="33"/>
      <c r="D462" s="62"/>
      <c r="E462" s="110"/>
      <c r="F462" s="135" t="str">
        <f>IFERROR(IF($D462="","",VLOOKUP($D462,Cadastro!$C$4:$E$7,3,FALSE)),"")</f>
        <v/>
      </c>
      <c r="G462" s="106"/>
      <c r="H462" s="135" t="str">
        <f>IFERROR(IF($G462="","",$G462*$S$473/$G$473/Cadastro!$E$33),"")</f>
        <v/>
      </c>
      <c r="I462" s="136" t="str">
        <f>IFERROR(IF($D462="","",VLOOKUP($D462,Cadastro!$C$4:$G$7,5,FALSE)),"")</f>
        <v/>
      </c>
      <c r="J462" s="137" t="str">
        <f t="shared" si="113"/>
        <v/>
      </c>
      <c r="K462" s="28" t="str">
        <f t="shared" si="114"/>
        <v/>
      </c>
      <c r="L462" s="26"/>
      <c r="M462" s="26"/>
      <c r="N462" s="26"/>
      <c r="O462" s="29"/>
      <c r="P462" s="29"/>
      <c r="Q462" s="30" t="str">
        <f t="shared" ca="1" si="115"/>
        <v/>
      </c>
      <c r="R462" s="27"/>
      <c r="S462" s="47"/>
    </row>
    <row r="463" spans="1:20" ht="15" customHeight="1">
      <c r="A463" s="69">
        <v>46252</v>
      </c>
      <c r="B463" s="32">
        <f t="shared" si="116"/>
        <v>0.41666666666666635</v>
      </c>
      <c r="C463" s="33"/>
      <c r="D463" s="62"/>
      <c r="E463" s="110"/>
      <c r="F463" s="135" t="str">
        <f>IFERROR(IF($D463="","",VLOOKUP($D463,Cadastro!$C$4:$E$7,3,FALSE)),"")</f>
        <v/>
      </c>
      <c r="G463" s="106"/>
      <c r="H463" s="135" t="str">
        <f>IFERROR(IF($G463="","",$G463*$S$473/$G$473/Cadastro!$E$33),"")</f>
        <v/>
      </c>
      <c r="I463" s="136" t="str">
        <f>IFERROR(IF($D463="","",VLOOKUP($D463,Cadastro!$C$4:$G$7,5,FALSE)),"")</f>
        <v/>
      </c>
      <c r="J463" s="137" t="str">
        <f t="shared" si="113"/>
        <v/>
      </c>
      <c r="K463" s="34" t="str">
        <f t="shared" si="114"/>
        <v/>
      </c>
      <c r="L463" s="33"/>
      <c r="M463" s="33"/>
      <c r="N463" s="33"/>
      <c r="O463" s="29"/>
      <c r="P463" s="29"/>
      <c r="Q463" s="35" t="str">
        <f t="shared" ca="1" si="115"/>
        <v/>
      </c>
      <c r="R463" s="27"/>
      <c r="S463" s="47"/>
    </row>
    <row r="464" spans="1:20" ht="15" customHeight="1">
      <c r="A464" s="68">
        <v>46252</v>
      </c>
      <c r="B464" s="25">
        <f t="shared" si="116"/>
        <v>0.45833333333333304</v>
      </c>
      <c r="C464" s="33"/>
      <c r="D464" s="62"/>
      <c r="E464" s="110"/>
      <c r="F464" s="135" t="str">
        <f>IFERROR(IF($D464="","",VLOOKUP($D464,Cadastro!$C$4:$E$7,3,FALSE)),"")</f>
        <v/>
      </c>
      <c r="G464" s="106"/>
      <c r="H464" s="135" t="str">
        <f>IFERROR(IF($G464="","",$G464*$S$473/$G$473/Cadastro!$E$33),"")</f>
        <v/>
      </c>
      <c r="I464" s="136" t="str">
        <f>IFERROR(IF($D464="","",VLOOKUP($D464,Cadastro!$C$4:$G$7,5,FALSE)),"")</f>
        <v/>
      </c>
      <c r="J464" s="137" t="str">
        <f t="shared" si="113"/>
        <v/>
      </c>
      <c r="K464" s="28" t="str">
        <f t="shared" si="114"/>
        <v/>
      </c>
      <c r="L464" s="26"/>
      <c r="M464" s="26"/>
      <c r="N464" s="26"/>
      <c r="O464" s="29"/>
      <c r="P464" s="29"/>
      <c r="Q464" s="30" t="str">
        <f t="shared" ca="1" si="115"/>
        <v/>
      </c>
      <c r="R464" s="27"/>
      <c r="S464" s="47"/>
    </row>
    <row r="465" spans="1:20" ht="15" customHeight="1">
      <c r="A465" s="69">
        <v>46252</v>
      </c>
      <c r="B465" s="32">
        <f t="shared" si="116"/>
        <v>0.49999999999999972</v>
      </c>
      <c r="C465" s="33"/>
      <c r="D465" s="62"/>
      <c r="E465" s="110"/>
      <c r="F465" s="135" t="str">
        <f>IFERROR(IF($D465="","",VLOOKUP($D465,Cadastro!$C$4:$E$7,3,FALSE)),"")</f>
        <v/>
      </c>
      <c r="G465" s="106"/>
      <c r="H465" s="135" t="str">
        <f>IFERROR(IF($G465="","",$G465*$S$473/$G$473/Cadastro!$E$33),"")</f>
        <v/>
      </c>
      <c r="I465" s="136" t="str">
        <f>IFERROR(IF($D465="","",VLOOKUP($D465,Cadastro!$C$4:$G$7,5,FALSE)),"")</f>
        <v/>
      </c>
      <c r="J465" s="137" t="str">
        <f t="shared" si="113"/>
        <v/>
      </c>
      <c r="K465" s="34" t="str">
        <f t="shared" si="114"/>
        <v/>
      </c>
      <c r="L465" s="33"/>
      <c r="M465" s="33"/>
      <c r="N465" s="33"/>
      <c r="O465" s="29"/>
      <c r="P465" s="29"/>
      <c r="Q465" s="35" t="str">
        <f t="shared" ca="1" si="115"/>
        <v/>
      </c>
      <c r="R465" s="27"/>
      <c r="S465" s="47"/>
    </row>
    <row r="466" spans="1:20" ht="15" customHeight="1">
      <c r="A466" s="68">
        <v>46252</v>
      </c>
      <c r="B466" s="25">
        <f t="shared" si="116"/>
        <v>0.54166666666666641</v>
      </c>
      <c r="C466" s="33"/>
      <c r="D466" s="62"/>
      <c r="E466" s="110"/>
      <c r="F466" s="135" t="str">
        <f>IFERROR(IF($D466="","",VLOOKUP($D466,Cadastro!$C$4:$E$7,3,FALSE)),"")</f>
        <v/>
      </c>
      <c r="G466" s="106"/>
      <c r="H466" s="135" t="str">
        <f>IFERROR(IF($G466="","",$G466*$S$473/$G$473/Cadastro!$E$33),"")</f>
        <v/>
      </c>
      <c r="I466" s="136" t="str">
        <f>IFERROR(IF($D466="","",VLOOKUP($D466,Cadastro!$C$4:$G$7,5,FALSE)),"")</f>
        <v/>
      </c>
      <c r="J466" s="137" t="str">
        <f t="shared" si="113"/>
        <v/>
      </c>
      <c r="K466" s="28" t="str">
        <f t="shared" si="114"/>
        <v/>
      </c>
      <c r="L466" s="26"/>
      <c r="M466" s="26"/>
      <c r="N466" s="26"/>
      <c r="O466" s="29"/>
      <c r="P466" s="29"/>
      <c r="Q466" s="30" t="str">
        <f t="shared" ca="1" si="115"/>
        <v/>
      </c>
      <c r="R466" s="27"/>
      <c r="S466" s="47"/>
    </row>
    <row r="467" spans="1:20" ht="15" customHeight="1">
      <c r="A467" s="69">
        <v>46252</v>
      </c>
      <c r="B467" s="32">
        <f t="shared" si="116"/>
        <v>0.58333333333333304</v>
      </c>
      <c r="C467" s="33"/>
      <c r="D467" s="62"/>
      <c r="E467" s="110"/>
      <c r="F467" s="135" t="str">
        <f>IFERROR(IF($D467="","",VLOOKUP($D467,Cadastro!$C$4:$E$7,3,FALSE)),"")</f>
        <v/>
      </c>
      <c r="G467" s="106"/>
      <c r="H467" s="135" t="str">
        <f>IFERROR(IF($G467="","",$G467*$S$473/$G$473/Cadastro!$E$33),"")</f>
        <v/>
      </c>
      <c r="I467" s="136" t="str">
        <f>IFERROR(IF($D467="","",VLOOKUP($D467,Cadastro!$C$4:$G$7,5,FALSE)),"")</f>
        <v/>
      </c>
      <c r="J467" s="137" t="str">
        <f t="shared" si="113"/>
        <v/>
      </c>
      <c r="K467" s="34" t="str">
        <f t="shared" si="114"/>
        <v/>
      </c>
      <c r="L467" s="33"/>
      <c r="M467" s="33"/>
      <c r="N467" s="33"/>
      <c r="O467" s="29"/>
      <c r="P467" s="29"/>
      <c r="Q467" s="35" t="str">
        <f t="shared" ca="1" si="115"/>
        <v/>
      </c>
      <c r="R467" s="27"/>
      <c r="S467" s="47"/>
    </row>
    <row r="468" spans="1:20" ht="15" customHeight="1">
      <c r="A468" s="68">
        <v>46252</v>
      </c>
      <c r="B468" s="25">
        <f t="shared" si="116"/>
        <v>0.62499999999999967</v>
      </c>
      <c r="C468" s="33"/>
      <c r="D468" s="62"/>
      <c r="E468" s="110"/>
      <c r="F468" s="135" t="str">
        <f>IFERROR(IF($D468="","",VLOOKUP($D468,Cadastro!$C$4:$E$7,3,FALSE)),"")</f>
        <v/>
      </c>
      <c r="G468" s="106"/>
      <c r="H468" s="135" t="str">
        <f>IFERROR(IF($G468="","",$G468*$S$473/$G$473/Cadastro!$E$33),"")</f>
        <v/>
      </c>
      <c r="I468" s="136" t="str">
        <f>IFERROR(IF($D468="","",VLOOKUP($D468,Cadastro!$C$4:$G$7,5,FALSE)),"")</f>
        <v/>
      </c>
      <c r="J468" s="137" t="str">
        <f t="shared" si="113"/>
        <v/>
      </c>
      <c r="K468" s="28" t="str">
        <f t="shared" si="114"/>
        <v/>
      </c>
      <c r="L468" s="26"/>
      <c r="M468" s="26"/>
      <c r="N468" s="26"/>
      <c r="O468" s="29"/>
      <c r="P468" s="29"/>
      <c r="Q468" s="30" t="str">
        <f t="shared" ca="1" si="115"/>
        <v/>
      </c>
      <c r="R468" s="27"/>
      <c r="S468" s="47"/>
    </row>
    <row r="469" spans="1:20" ht="15" customHeight="1">
      <c r="A469" s="69">
        <v>46252</v>
      </c>
      <c r="B469" s="32">
        <f t="shared" si="116"/>
        <v>0.6666666666666663</v>
      </c>
      <c r="C469" s="33"/>
      <c r="D469" s="62"/>
      <c r="E469" s="110"/>
      <c r="F469" s="135" t="str">
        <f>IFERROR(IF($D469="","",VLOOKUP($D469,Cadastro!$C$4:$E$7,3,FALSE)),"")</f>
        <v/>
      </c>
      <c r="G469" s="106"/>
      <c r="H469" s="135" t="str">
        <f>IFERROR(IF($G469="","",$G469*$S$473/$G$473/Cadastro!$E$33),"")</f>
        <v/>
      </c>
      <c r="I469" s="136" t="str">
        <f>IFERROR(IF($D469="","",VLOOKUP($D469,Cadastro!$C$4:$G$7,5,FALSE)),"")</f>
        <v/>
      </c>
      <c r="J469" s="137" t="str">
        <f t="shared" si="113"/>
        <v/>
      </c>
      <c r="K469" s="34" t="str">
        <f t="shared" si="114"/>
        <v/>
      </c>
      <c r="L469" s="33"/>
      <c r="M469" s="33"/>
      <c r="N469" s="33"/>
      <c r="O469" s="29"/>
      <c r="P469" s="29"/>
      <c r="Q469" s="35" t="str">
        <f t="shared" ca="1" si="115"/>
        <v/>
      </c>
      <c r="R469" s="27"/>
      <c r="S469" s="47"/>
    </row>
    <row r="470" spans="1:20" ht="15" customHeight="1">
      <c r="A470" s="68">
        <v>46252</v>
      </c>
      <c r="B470" s="25">
        <f t="shared" si="116"/>
        <v>0.70833333333333293</v>
      </c>
      <c r="C470" s="33"/>
      <c r="D470" s="62"/>
      <c r="E470" s="110"/>
      <c r="F470" s="135" t="str">
        <f>IFERROR(IF($D470="","",VLOOKUP($D470,Cadastro!$C$4:$E$7,3,FALSE)),"")</f>
        <v/>
      </c>
      <c r="G470" s="106"/>
      <c r="H470" s="135" t="str">
        <f>IFERROR(IF($G470="","",$G470*$S$473/$G$473/Cadastro!$E$33),"")</f>
        <v/>
      </c>
      <c r="I470" s="136" t="str">
        <f>IFERROR(IF($D470="","",VLOOKUP($D470,Cadastro!$C$4:$G$7,5,FALSE)),"")</f>
        <v/>
      </c>
      <c r="J470" s="137" t="str">
        <f t="shared" si="113"/>
        <v/>
      </c>
      <c r="K470" s="28" t="str">
        <f t="shared" si="114"/>
        <v/>
      </c>
      <c r="L470" s="26"/>
      <c r="M470" s="26"/>
      <c r="N470" s="26"/>
      <c r="O470" s="29"/>
      <c r="P470" s="29"/>
      <c r="Q470" s="30" t="str">
        <f t="shared" ca="1" si="115"/>
        <v/>
      </c>
      <c r="R470" s="27"/>
      <c r="S470" s="47"/>
    </row>
    <row r="471" spans="1:20" ht="15" customHeight="1">
      <c r="A471" s="69">
        <v>46252</v>
      </c>
      <c r="B471" s="32">
        <f t="shared" si="116"/>
        <v>0.74999999999999956</v>
      </c>
      <c r="C471" s="33"/>
      <c r="D471" s="62"/>
      <c r="E471" s="110"/>
      <c r="F471" s="135" t="str">
        <f>IFERROR(IF($D471="","",VLOOKUP($D471,Cadastro!$C$4:$E$7,3,FALSE)),"")</f>
        <v/>
      </c>
      <c r="G471" s="106"/>
      <c r="H471" s="135" t="str">
        <f>IFERROR(IF($G471="","",$G471*$S$473/$G$473/Cadastro!$E$33),"")</f>
        <v/>
      </c>
      <c r="I471" s="136" t="str">
        <f>IFERROR(IF($D471="","",VLOOKUP($D471,Cadastro!$C$4:$G$7,5,FALSE)),"")</f>
        <v/>
      </c>
      <c r="J471" s="137" t="str">
        <f t="shared" si="113"/>
        <v/>
      </c>
      <c r="K471" s="34" t="str">
        <f t="shared" si="114"/>
        <v/>
      </c>
      <c r="L471" s="33"/>
      <c r="M471" s="33"/>
      <c r="N471" s="33"/>
      <c r="O471" s="29"/>
      <c r="P471" s="29"/>
      <c r="Q471" s="35" t="str">
        <f t="shared" ca="1" si="115"/>
        <v/>
      </c>
      <c r="R471" s="27"/>
      <c r="S471" s="47"/>
    </row>
    <row r="472" spans="1:20" ht="15" customHeight="1" thickBot="1">
      <c r="A472" s="68">
        <v>46252</v>
      </c>
      <c r="B472" s="25">
        <f t="shared" si="116"/>
        <v>0.79166666666666619</v>
      </c>
      <c r="C472" s="33"/>
      <c r="D472" s="62"/>
      <c r="E472" s="110"/>
      <c r="F472" s="138" t="str">
        <f>IFERROR(IF($D472="","",VLOOKUP($D472,Cadastro!$C$4:$E$7,3,FALSE)),"")</f>
        <v/>
      </c>
      <c r="G472" s="106"/>
      <c r="H472" s="138" t="str">
        <f>IFERROR(IF($G472="","",$G472*$S$473/$G$473/Cadastro!$E$33),"")</f>
        <v/>
      </c>
      <c r="I472" s="139" t="str">
        <f>IFERROR(IF($D472="","",VLOOKUP($D472,Cadastro!$C$4:$G$7,5,FALSE)),"")</f>
        <v/>
      </c>
      <c r="J472" s="140" t="str">
        <f t="shared" si="113"/>
        <v/>
      </c>
      <c r="K472" s="28" t="str">
        <f t="shared" si="114"/>
        <v/>
      </c>
      <c r="L472" s="26"/>
      <c r="M472" s="26"/>
      <c r="N472" s="26"/>
      <c r="O472" s="29"/>
      <c r="P472" s="29"/>
      <c r="Q472" s="30" t="str">
        <f t="shared" ca="1" si="115"/>
        <v/>
      </c>
      <c r="R472" s="27"/>
      <c r="S472" s="47"/>
    </row>
    <row r="473" spans="1:20" ht="15.75" customHeight="1" thickBot="1">
      <c r="A473" s="152" t="s">
        <v>241</v>
      </c>
      <c r="B473" s="153"/>
      <c r="C473" s="153"/>
      <c r="D473" s="153"/>
      <c r="E473" s="153">
        <f>SUM(E461:E472)</f>
        <v>0</v>
      </c>
      <c r="F473" s="111"/>
      <c r="G473" s="81">
        <f>SUM(G461:G472)</f>
        <v>0</v>
      </c>
      <c r="H473" s="111">
        <f>IFERROR(SUM(H461:H472),"")</f>
        <v>0</v>
      </c>
      <c r="I473" s="115"/>
      <c r="J473" s="124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20">
        <f>IFERROR(J473,"")</f>
        <v>0</v>
      </c>
    </row>
    <row r="474" spans="1:20" ht="15" customHeight="1">
      <c r="A474" s="68">
        <v>46252</v>
      </c>
      <c r="B474" s="25">
        <v>0.83333333333333304</v>
      </c>
      <c r="C474" s="26"/>
      <c r="D474" s="59"/>
      <c r="E474" s="109"/>
      <c r="F474" s="141" t="str">
        <f>IFERROR(IF($D474="","",VLOOKUP($D474,Cadastro!$C$4:$E$7,3,FALSE)),"")</f>
        <v/>
      </c>
      <c r="G474" s="106"/>
      <c r="H474" s="141" t="str">
        <f>IFERROR(IF($G474="","",$G474*$S$486/$G$486/Cadastro!$E$33),"")</f>
        <v/>
      </c>
      <c r="I474" s="142" t="str">
        <f>IFERROR(IF($D474="","",VLOOKUP($D474,Cadastro!$C$4:$G$7,5,FALSE)),"")</f>
        <v/>
      </c>
      <c r="J474" s="143" t="str">
        <f t="shared" ref="J474:J485" si="117">IFERROR(IF($H474="","",$H474*$F474*$I474),"")</f>
        <v/>
      </c>
      <c r="K474" s="28" t="str">
        <f t="shared" ref="K474:K485" si="118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9">IFERROR(IF(O474="","",IF(P474="",MOD(NOW()-O474,1),IF(P474&gt;=O474,P474-O474,P474+1-O474))),"")</f>
        <v/>
      </c>
      <c r="R474" s="27"/>
      <c r="S474" s="47"/>
    </row>
    <row r="475" spans="1:20" ht="15" customHeight="1">
      <c r="A475" s="69">
        <v>46252</v>
      </c>
      <c r="B475" s="32">
        <f t="shared" ref="B475:B485" si="120">B474+TIME(0,60,0)</f>
        <v>0.87499999999999967</v>
      </c>
      <c r="C475" s="26"/>
      <c r="D475" s="59"/>
      <c r="E475" s="109"/>
      <c r="F475" s="135" t="str">
        <f>IFERROR(IF($D475="","",VLOOKUP($D475,Cadastro!$C$4:$E$7,3,FALSE)),"")</f>
        <v/>
      </c>
      <c r="G475" s="106"/>
      <c r="H475" s="135" t="str">
        <f>IFERROR(IF($G475="","",$G475*$S$486/$G$486/Cadastro!$E$33),"")</f>
        <v/>
      </c>
      <c r="I475" s="136" t="str">
        <f>IFERROR(IF($D475="","",VLOOKUP($D475,Cadastro!$C$4:$G$7,5,FALSE)),"")</f>
        <v/>
      </c>
      <c r="J475" s="137" t="str">
        <f t="shared" si="117"/>
        <v/>
      </c>
      <c r="K475" s="34" t="str">
        <f t="shared" si="118"/>
        <v/>
      </c>
      <c r="L475" s="33"/>
      <c r="M475" s="33"/>
      <c r="N475" s="33"/>
      <c r="O475" s="29"/>
      <c r="P475" s="29"/>
      <c r="Q475" s="35" t="str">
        <f t="shared" ca="1" si="119"/>
        <v/>
      </c>
      <c r="R475" s="27"/>
      <c r="S475" s="47"/>
    </row>
    <row r="476" spans="1:20" ht="15" customHeight="1">
      <c r="A476" s="68">
        <v>46252</v>
      </c>
      <c r="B476" s="25">
        <f t="shared" si="120"/>
        <v>0.9166666666666663</v>
      </c>
      <c r="C476" s="26"/>
      <c r="D476" s="59"/>
      <c r="E476" s="109"/>
      <c r="F476" s="135" t="str">
        <f>IFERROR(IF($D476="","",VLOOKUP($D476,Cadastro!$C$4:$E$7,3,FALSE)),"")</f>
        <v/>
      </c>
      <c r="G476" s="106"/>
      <c r="H476" s="135" t="str">
        <f>IFERROR(IF($G476="","",$G476*$S$486/$G$486/Cadastro!$E$33),"")</f>
        <v/>
      </c>
      <c r="I476" s="136" t="str">
        <f>IFERROR(IF($D476="","",VLOOKUP($D476,Cadastro!$C$4:$G$7,5,FALSE)),"")</f>
        <v/>
      </c>
      <c r="J476" s="137" t="str">
        <f t="shared" si="117"/>
        <v/>
      </c>
      <c r="K476" s="28" t="str">
        <f t="shared" si="118"/>
        <v/>
      </c>
      <c r="L476" s="26"/>
      <c r="M476" s="26"/>
      <c r="N476" s="26"/>
      <c r="O476" s="29"/>
      <c r="P476" s="29"/>
      <c r="Q476" s="30" t="str">
        <f t="shared" ca="1" si="119"/>
        <v/>
      </c>
      <c r="R476" s="27"/>
      <c r="S476" s="47"/>
    </row>
    <row r="477" spans="1:20" ht="15" customHeight="1">
      <c r="A477" s="69">
        <v>46252</v>
      </c>
      <c r="B477" s="32">
        <f t="shared" si="120"/>
        <v>0.95833333333333293</v>
      </c>
      <c r="C477" s="26"/>
      <c r="D477" s="59"/>
      <c r="E477" s="109"/>
      <c r="F477" s="135" t="str">
        <f>IFERROR(IF($D477="","",VLOOKUP($D477,Cadastro!$C$4:$E$7,3,FALSE)),"")</f>
        <v/>
      </c>
      <c r="G477" s="106"/>
      <c r="H477" s="135" t="str">
        <f>IFERROR(IF($G477="","",$G477*$S$486/$G$486/Cadastro!$E$33),"")</f>
        <v/>
      </c>
      <c r="I477" s="136" t="str">
        <f>IFERROR(IF($D477="","",VLOOKUP($D477,Cadastro!$C$4:$G$7,5,FALSE)),"")</f>
        <v/>
      </c>
      <c r="J477" s="137" t="str">
        <f t="shared" si="117"/>
        <v/>
      </c>
      <c r="K477" s="34" t="str">
        <f t="shared" si="118"/>
        <v/>
      </c>
      <c r="L477" s="33"/>
      <c r="M477" s="33"/>
      <c r="N477" s="33"/>
      <c r="O477" s="29"/>
      <c r="P477" s="29"/>
      <c r="Q477" s="35" t="str">
        <f t="shared" ca="1" si="119"/>
        <v/>
      </c>
      <c r="R477" s="27"/>
      <c r="S477" s="47"/>
    </row>
    <row r="478" spans="1:20" ht="15" customHeight="1">
      <c r="A478" s="68">
        <v>46252</v>
      </c>
      <c r="B478" s="25">
        <f t="shared" si="120"/>
        <v>0.99999999999999956</v>
      </c>
      <c r="C478" s="26"/>
      <c r="D478" s="59"/>
      <c r="E478" s="109"/>
      <c r="F478" s="135" t="str">
        <f>IFERROR(IF($D478="","",VLOOKUP($D478,Cadastro!$C$4:$E$7,3,FALSE)),"")</f>
        <v/>
      </c>
      <c r="G478" s="106"/>
      <c r="H478" s="135" t="str">
        <f>IFERROR(IF($G478="","",$G478*$S$486/$G$486/Cadastro!$E$33),"")</f>
        <v/>
      </c>
      <c r="I478" s="136" t="str">
        <f>IFERROR(IF($D478="","",VLOOKUP($D478,Cadastro!$C$4:$G$7,5,FALSE)),"")</f>
        <v/>
      </c>
      <c r="J478" s="137" t="str">
        <f t="shared" si="117"/>
        <v/>
      </c>
      <c r="K478" s="28" t="str">
        <f t="shared" si="118"/>
        <v/>
      </c>
      <c r="L478" s="26"/>
      <c r="M478" s="26"/>
      <c r="N478" s="26"/>
      <c r="O478" s="29"/>
      <c r="P478" s="29"/>
      <c r="Q478" s="30" t="str">
        <f t="shared" ca="1" si="119"/>
        <v/>
      </c>
      <c r="R478" s="27"/>
      <c r="S478" s="47"/>
    </row>
    <row r="479" spans="1:20" ht="15" customHeight="1">
      <c r="A479" s="69">
        <v>46252</v>
      </c>
      <c r="B479" s="32">
        <f t="shared" si="120"/>
        <v>1.0416666666666663</v>
      </c>
      <c r="C479" s="26"/>
      <c r="D479" s="59"/>
      <c r="E479" s="109"/>
      <c r="F479" s="135" t="str">
        <f>IFERROR(IF($D479="","",VLOOKUP($D479,Cadastro!$C$4:$E$7,3,FALSE)),"")</f>
        <v/>
      </c>
      <c r="G479" s="106"/>
      <c r="H479" s="135" t="str">
        <f>IFERROR(IF($G479="","",$G479*$S$486/$G$486/Cadastro!$E$33),"")</f>
        <v/>
      </c>
      <c r="I479" s="136" t="str">
        <f>IFERROR(IF($D479="","",VLOOKUP($D479,Cadastro!$C$4:$G$7,5,FALSE)),"")</f>
        <v/>
      </c>
      <c r="J479" s="137" t="str">
        <f t="shared" si="117"/>
        <v/>
      </c>
      <c r="K479" s="34" t="str">
        <f t="shared" si="118"/>
        <v/>
      </c>
      <c r="L479" s="33"/>
      <c r="M479" s="33"/>
      <c r="N479" s="33"/>
      <c r="O479" s="29"/>
      <c r="P479" s="29"/>
      <c r="Q479" s="35" t="str">
        <f t="shared" ca="1" si="119"/>
        <v/>
      </c>
      <c r="R479" s="27"/>
      <c r="S479" s="47"/>
    </row>
    <row r="480" spans="1:20" ht="15" customHeight="1">
      <c r="A480" s="68">
        <v>46252</v>
      </c>
      <c r="B480" s="25">
        <f t="shared" si="120"/>
        <v>1.083333333333333</v>
      </c>
      <c r="C480" s="26"/>
      <c r="D480" s="59"/>
      <c r="E480" s="109"/>
      <c r="F480" s="135" t="str">
        <f>IFERROR(IF($D480="","",VLOOKUP($D480,Cadastro!$C$4:$E$7,3,FALSE)),"")</f>
        <v/>
      </c>
      <c r="G480" s="106"/>
      <c r="H480" s="135" t="str">
        <f>IFERROR(IF($G480="","",$G480*$S$486/$G$486/Cadastro!$E$33),"")</f>
        <v/>
      </c>
      <c r="I480" s="136" t="str">
        <f>IFERROR(IF($D480="","",VLOOKUP($D480,Cadastro!$C$4:$G$7,5,FALSE)),"")</f>
        <v/>
      </c>
      <c r="J480" s="137" t="str">
        <f t="shared" si="117"/>
        <v/>
      </c>
      <c r="K480" s="28" t="str">
        <f t="shared" si="118"/>
        <v/>
      </c>
      <c r="L480" s="26"/>
      <c r="M480" s="26"/>
      <c r="N480" s="26"/>
      <c r="O480" s="29"/>
      <c r="P480" s="29"/>
      <c r="Q480" s="30" t="str">
        <f t="shared" ca="1" si="119"/>
        <v/>
      </c>
      <c r="R480" s="27"/>
      <c r="S480" s="47"/>
    </row>
    <row r="481" spans="1:20" ht="15" customHeight="1">
      <c r="A481" s="69">
        <v>46252</v>
      </c>
      <c r="B481" s="32">
        <f t="shared" si="120"/>
        <v>1.1249999999999998</v>
      </c>
      <c r="C481" s="26"/>
      <c r="D481" s="59"/>
      <c r="E481" s="109"/>
      <c r="F481" s="135" t="str">
        <f>IFERROR(IF($D481="","",VLOOKUP($D481,Cadastro!$C$4:$E$7,3,FALSE)),"")</f>
        <v/>
      </c>
      <c r="G481" s="106"/>
      <c r="H481" s="135" t="str">
        <f>IFERROR(IF($G481="","",$G481*$S$486/$G$486/Cadastro!$E$33),"")</f>
        <v/>
      </c>
      <c r="I481" s="136" t="str">
        <f>IFERROR(IF($D481="","",VLOOKUP($D481,Cadastro!$C$4:$G$7,5,FALSE)),"")</f>
        <v/>
      </c>
      <c r="J481" s="137" t="str">
        <f t="shared" si="117"/>
        <v/>
      </c>
      <c r="K481" s="34" t="str">
        <f t="shared" si="118"/>
        <v/>
      </c>
      <c r="L481" s="33"/>
      <c r="M481" s="33"/>
      <c r="N481" s="33"/>
      <c r="O481" s="29"/>
      <c r="P481" s="29"/>
      <c r="Q481" s="35" t="str">
        <f t="shared" ca="1" si="119"/>
        <v/>
      </c>
      <c r="R481" s="27"/>
      <c r="S481" s="47"/>
    </row>
    <row r="482" spans="1:20" ht="15" customHeight="1">
      <c r="A482" s="68">
        <v>46252</v>
      </c>
      <c r="B482" s="25">
        <f t="shared" si="120"/>
        <v>1.1666666666666665</v>
      </c>
      <c r="C482" s="26"/>
      <c r="D482" s="59"/>
      <c r="E482" s="109"/>
      <c r="F482" s="135" t="str">
        <f>IFERROR(IF($D482="","",VLOOKUP($D482,Cadastro!$C$4:$E$7,3,FALSE)),"")</f>
        <v/>
      </c>
      <c r="G482" s="106"/>
      <c r="H482" s="135" t="str">
        <f>IFERROR(IF($G482="","",$G482*$S$486/$G$486/Cadastro!$E$33),"")</f>
        <v/>
      </c>
      <c r="I482" s="136" t="str">
        <f>IFERROR(IF($D482="","",VLOOKUP($D482,Cadastro!$C$4:$G$7,5,FALSE)),"")</f>
        <v/>
      </c>
      <c r="J482" s="137" t="str">
        <f t="shared" si="117"/>
        <v/>
      </c>
      <c r="K482" s="28" t="str">
        <f t="shared" si="118"/>
        <v/>
      </c>
      <c r="L482" s="26"/>
      <c r="M482" s="26"/>
      <c r="N482" s="26"/>
      <c r="O482" s="29"/>
      <c r="P482" s="29"/>
      <c r="Q482" s="30" t="str">
        <f t="shared" ca="1" si="119"/>
        <v/>
      </c>
      <c r="R482" s="27"/>
      <c r="S482" s="47"/>
    </row>
    <row r="483" spans="1:20" ht="15" customHeight="1">
      <c r="A483" s="69">
        <v>46252</v>
      </c>
      <c r="B483" s="32">
        <f t="shared" si="120"/>
        <v>1.2083333333333333</v>
      </c>
      <c r="C483" s="26"/>
      <c r="D483" s="59"/>
      <c r="E483" s="109"/>
      <c r="F483" s="135" t="str">
        <f>IFERROR(IF($D483="","",VLOOKUP($D483,Cadastro!$C$4:$E$7,3,FALSE)),"")</f>
        <v/>
      </c>
      <c r="G483" s="106"/>
      <c r="H483" s="135" t="str">
        <f>IFERROR(IF($G483="","",$G483*$S$486/$G$486/Cadastro!$E$33),"")</f>
        <v/>
      </c>
      <c r="I483" s="136" t="str">
        <f>IFERROR(IF($D483="","",VLOOKUP($D483,Cadastro!$C$4:$G$7,5,FALSE)),"")</f>
        <v/>
      </c>
      <c r="J483" s="137" t="str">
        <f t="shared" si="117"/>
        <v/>
      </c>
      <c r="K483" s="34" t="str">
        <f t="shared" si="118"/>
        <v/>
      </c>
      <c r="L483" s="33"/>
      <c r="M483" s="33"/>
      <c r="N483" s="33"/>
      <c r="O483" s="29"/>
      <c r="P483" s="29"/>
      <c r="Q483" s="35" t="str">
        <f t="shared" ca="1" si="119"/>
        <v/>
      </c>
      <c r="R483" s="27"/>
      <c r="S483" s="47"/>
    </row>
    <row r="484" spans="1:20" ht="15" customHeight="1">
      <c r="A484" s="68">
        <v>46252</v>
      </c>
      <c r="B484" s="25">
        <f t="shared" si="120"/>
        <v>1.25</v>
      </c>
      <c r="C484" s="26"/>
      <c r="D484" s="59"/>
      <c r="E484" s="109"/>
      <c r="F484" s="135" t="str">
        <f>IFERROR(IF($D484="","",VLOOKUP($D484,Cadastro!$C$4:$E$7,3,FALSE)),"")</f>
        <v/>
      </c>
      <c r="G484" s="106"/>
      <c r="H484" s="135" t="str">
        <f>IFERROR(IF($G484="","",$G484*$S$486/$G$486/Cadastro!$E$33),"")</f>
        <v/>
      </c>
      <c r="I484" s="136" t="str">
        <f>IFERROR(IF($D484="","",VLOOKUP($D484,Cadastro!$C$4:$G$7,5,FALSE)),"")</f>
        <v/>
      </c>
      <c r="J484" s="137" t="str">
        <f t="shared" si="117"/>
        <v/>
      </c>
      <c r="K484" s="28" t="str">
        <f t="shared" si="118"/>
        <v/>
      </c>
      <c r="L484" s="26"/>
      <c r="M484" s="26"/>
      <c r="N484" s="26"/>
      <c r="O484" s="29"/>
      <c r="P484" s="29"/>
      <c r="Q484" s="30" t="str">
        <f t="shared" ca="1" si="119"/>
        <v/>
      </c>
      <c r="R484" s="27"/>
      <c r="S484" s="47"/>
    </row>
    <row r="485" spans="1:20" ht="15" customHeight="1" thickBot="1">
      <c r="A485" s="69">
        <v>46252</v>
      </c>
      <c r="B485" s="32">
        <f t="shared" si="120"/>
        <v>1.2916666666666667</v>
      </c>
      <c r="C485" s="26"/>
      <c r="D485" s="59"/>
      <c r="E485" s="109"/>
      <c r="F485" s="138" t="str">
        <f>IFERROR(IF($D485="","",VLOOKUP($D485,Cadastro!$C$4:$E$7,3,FALSE)),"")</f>
        <v/>
      </c>
      <c r="G485" s="106"/>
      <c r="H485" s="138" t="str">
        <f>IFERROR(IF($G485="","",$G485*$S$486/$G$486/Cadastro!$E$33),"")</f>
        <v/>
      </c>
      <c r="I485" s="139" t="str">
        <f>IFERROR(IF($D485="","",VLOOKUP($D485,Cadastro!$C$4:$G$7,5,FALSE)),"")</f>
        <v/>
      </c>
      <c r="J485" s="140" t="str">
        <f t="shared" si="117"/>
        <v/>
      </c>
      <c r="K485" s="34" t="str">
        <f t="shared" si="118"/>
        <v/>
      </c>
      <c r="L485" s="33"/>
      <c r="M485" s="33"/>
      <c r="N485" s="33"/>
      <c r="O485" s="29"/>
      <c r="P485" s="29"/>
      <c r="Q485" s="35" t="str">
        <f t="shared" ca="1" si="119"/>
        <v/>
      </c>
      <c r="R485" s="27"/>
      <c r="S485" s="47"/>
    </row>
    <row r="486" spans="1:20" ht="15.75" customHeight="1" thickBot="1">
      <c r="A486" s="152" t="s">
        <v>244</v>
      </c>
      <c r="B486" s="153"/>
      <c r="C486" s="153"/>
      <c r="D486" s="153"/>
      <c r="E486" s="153">
        <f>SUM(E474:E485)</f>
        <v>0</v>
      </c>
      <c r="F486" s="112"/>
      <c r="G486" s="81">
        <f>SUM(G474:G485)</f>
        <v>0</v>
      </c>
      <c r="H486" s="112">
        <f>IFERROR(SUM(H474:H485),"")</f>
        <v>0</v>
      </c>
      <c r="I486" s="116"/>
      <c r="J486" s="125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20">
        <f>IFERROR(J486,"")</f>
        <v>0</v>
      </c>
    </row>
    <row r="487" spans="1:20" ht="18" customHeight="1">
      <c r="A487" s="150" t="s">
        <v>245</v>
      </c>
      <c r="B487" s="151"/>
      <c r="C487" s="151"/>
      <c r="D487" s="151"/>
      <c r="E487" s="151">
        <f>E473+E486</f>
        <v>0</v>
      </c>
      <c r="F487" s="113"/>
      <c r="G487" s="92">
        <f>G473+G486</f>
        <v>0</v>
      </c>
      <c r="H487" s="113">
        <f>IFERROR(H473+H486,"")</f>
        <v>0</v>
      </c>
      <c r="I487" s="117"/>
      <c r="J487" s="126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2">
        <f>IFERROR(J487,"")</f>
        <v>0</v>
      </c>
    </row>
    <row r="488" spans="1:20" ht="15" customHeight="1">
      <c r="A488" s="68">
        <v>46253</v>
      </c>
      <c r="B488" s="25">
        <v>0.33333333333333298</v>
      </c>
      <c r="C488" s="26"/>
      <c r="D488" s="59"/>
      <c r="E488" s="109"/>
      <c r="F488" s="141" t="str">
        <f>IFERROR(IF($D488="","",VLOOKUP($D488,Cadastro!$C$4:$E$7,3,FALSE)),"")</f>
        <v/>
      </c>
      <c r="G488" s="106"/>
      <c r="H488" s="141" t="str">
        <f>IFERROR(IF($G488="","",$G488*$S$500/$G$500/Cadastro!$E$33),"")</f>
        <v/>
      </c>
      <c r="I488" s="142" t="str">
        <f>IFERROR(IF($D488="","",VLOOKUP($D488,Cadastro!$C$4:$G$7,5,FALSE)),"")</f>
        <v/>
      </c>
      <c r="J488" s="143" t="str">
        <f t="shared" ref="J488:J499" si="121">IFERROR(IF($H488="","",$H488*$F488*$I488),"")</f>
        <v/>
      </c>
      <c r="K488" s="28" t="str">
        <f t="shared" ref="K488:K499" si="122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3">IFERROR(IF(O488="","",IF(P488="",MOD(NOW()-O488,1),IF(P488&gt;=O488,P488-O488,P488+1-O488))),"")</f>
        <v/>
      </c>
      <c r="R488" s="27"/>
      <c r="S488" s="47"/>
    </row>
    <row r="489" spans="1:20" ht="15" customHeight="1">
      <c r="A489" s="69">
        <v>46253</v>
      </c>
      <c r="B489" s="32">
        <f t="shared" ref="B489:B499" si="124">B488+TIME(0,60,0)</f>
        <v>0.37499999999999967</v>
      </c>
      <c r="C489" s="26"/>
      <c r="D489" s="59"/>
      <c r="E489" s="109"/>
      <c r="F489" s="135" t="str">
        <f>IFERROR(IF($D489="","",VLOOKUP($D489,Cadastro!$C$4:$E$7,3,FALSE)),"")</f>
        <v/>
      </c>
      <c r="G489" s="106"/>
      <c r="H489" s="135" t="str">
        <f>IFERROR(IF($G489="","",$G489*$S$500/$G$500/Cadastro!$E$33),"")</f>
        <v/>
      </c>
      <c r="I489" s="136" t="str">
        <f>IFERROR(IF($D489="","",VLOOKUP($D489,Cadastro!$C$4:$G$7,5,FALSE)),"")</f>
        <v/>
      </c>
      <c r="J489" s="137" t="str">
        <f t="shared" si="121"/>
        <v/>
      </c>
      <c r="K489" s="34" t="str">
        <f t="shared" si="122"/>
        <v/>
      </c>
      <c r="L489" s="33"/>
      <c r="M489" s="33"/>
      <c r="N489" s="33"/>
      <c r="O489" s="29"/>
      <c r="P489" s="29"/>
      <c r="Q489" s="35" t="str">
        <f t="shared" ca="1" si="123"/>
        <v/>
      </c>
      <c r="R489" s="27"/>
      <c r="S489" s="47"/>
    </row>
    <row r="490" spans="1:20" ht="15" customHeight="1">
      <c r="A490" s="68">
        <v>46253</v>
      </c>
      <c r="B490" s="25">
        <f t="shared" si="124"/>
        <v>0.41666666666666635</v>
      </c>
      <c r="C490" s="26"/>
      <c r="D490" s="59"/>
      <c r="E490" s="109"/>
      <c r="F490" s="135" t="str">
        <f>IFERROR(IF($D490="","",VLOOKUP($D490,Cadastro!$C$4:$E$7,3,FALSE)),"")</f>
        <v/>
      </c>
      <c r="G490" s="106"/>
      <c r="H490" s="135" t="str">
        <f>IFERROR(IF($G490="","",$G490*$S$500/$G$500/Cadastro!$E$33),"")</f>
        <v/>
      </c>
      <c r="I490" s="136" t="str">
        <f>IFERROR(IF($D490="","",VLOOKUP($D490,Cadastro!$C$4:$G$7,5,FALSE)),"")</f>
        <v/>
      </c>
      <c r="J490" s="137" t="str">
        <f t="shared" si="121"/>
        <v/>
      </c>
      <c r="K490" s="28" t="str">
        <f t="shared" si="122"/>
        <v/>
      </c>
      <c r="L490" s="26"/>
      <c r="M490" s="26"/>
      <c r="N490" s="26"/>
      <c r="O490" s="29"/>
      <c r="P490" s="29"/>
      <c r="Q490" s="30" t="str">
        <f t="shared" ca="1" si="123"/>
        <v/>
      </c>
      <c r="R490" s="27"/>
      <c r="S490" s="47"/>
    </row>
    <row r="491" spans="1:20" ht="15" customHeight="1">
      <c r="A491" s="69">
        <v>46253</v>
      </c>
      <c r="B491" s="32">
        <f t="shared" si="124"/>
        <v>0.45833333333333304</v>
      </c>
      <c r="C491" s="26"/>
      <c r="D491" s="59"/>
      <c r="E491" s="109"/>
      <c r="F491" s="135" t="str">
        <f>IFERROR(IF($D491="","",VLOOKUP($D491,Cadastro!$C$4:$E$7,3,FALSE)),"")</f>
        <v/>
      </c>
      <c r="G491" s="106"/>
      <c r="H491" s="135" t="str">
        <f>IFERROR(IF($G491="","",$G491*$S$500/$G$500/Cadastro!$E$33),"")</f>
        <v/>
      </c>
      <c r="I491" s="136" t="str">
        <f>IFERROR(IF($D491="","",VLOOKUP($D491,Cadastro!$C$4:$G$7,5,FALSE)),"")</f>
        <v/>
      </c>
      <c r="J491" s="137" t="str">
        <f t="shared" si="121"/>
        <v/>
      </c>
      <c r="K491" s="34" t="str">
        <f t="shared" si="122"/>
        <v/>
      </c>
      <c r="L491" s="33"/>
      <c r="M491" s="33"/>
      <c r="N491" s="33"/>
      <c r="O491" s="29"/>
      <c r="P491" s="29"/>
      <c r="Q491" s="35" t="str">
        <f t="shared" ca="1" si="123"/>
        <v/>
      </c>
      <c r="R491" s="27"/>
      <c r="S491" s="47"/>
    </row>
    <row r="492" spans="1:20" ht="15" customHeight="1">
      <c r="A492" s="68">
        <v>46253</v>
      </c>
      <c r="B492" s="25">
        <f t="shared" si="124"/>
        <v>0.49999999999999972</v>
      </c>
      <c r="C492" s="26"/>
      <c r="D492" s="59"/>
      <c r="E492" s="109"/>
      <c r="F492" s="135" t="str">
        <f>IFERROR(IF($D492="","",VLOOKUP($D492,Cadastro!$C$4:$E$7,3,FALSE)),"")</f>
        <v/>
      </c>
      <c r="G492" s="106"/>
      <c r="H492" s="135" t="str">
        <f>IFERROR(IF($G492="","",$G492*$S$500/$G$500/Cadastro!$E$33),"")</f>
        <v/>
      </c>
      <c r="I492" s="136" t="str">
        <f>IFERROR(IF($D492="","",VLOOKUP($D492,Cadastro!$C$4:$G$7,5,FALSE)),"")</f>
        <v/>
      </c>
      <c r="J492" s="137" t="str">
        <f t="shared" si="121"/>
        <v/>
      </c>
      <c r="K492" s="28" t="str">
        <f t="shared" si="122"/>
        <v/>
      </c>
      <c r="L492" s="26"/>
      <c r="M492" s="26"/>
      <c r="N492" s="26"/>
      <c r="O492" s="29"/>
      <c r="P492" s="29"/>
      <c r="Q492" s="30" t="str">
        <f t="shared" ca="1" si="123"/>
        <v/>
      </c>
      <c r="R492" s="27"/>
      <c r="S492" s="47"/>
    </row>
    <row r="493" spans="1:20" ht="15" customHeight="1">
      <c r="A493" s="69">
        <v>46253</v>
      </c>
      <c r="B493" s="32">
        <f t="shared" si="124"/>
        <v>0.54166666666666641</v>
      </c>
      <c r="C493" s="26"/>
      <c r="D493" s="59"/>
      <c r="E493" s="109"/>
      <c r="F493" s="135" t="str">
        <f>IFERROR(IF($D493="","",VLOOKUP($D493,Cadastro!$C$4:$E$7,3,FALSE)),"")</f>
        <v/>
      </c>
      <c r="G493" s="106"/>
      <c r="H493" s="135" t="str">
        <f>IFERROR(IF($G493="","",$G493*$S$500/$G$500/Cadastro!$E$33),"")</f>
        <v/>
      </c>
      <c r="I493" s="136" t="str">
        <f>IFERROR(IF($D493="","",VLOOKUP($D493,Cadastro!$C$4:$G$7,5,FALSE)),"")</f>
        <v/>
      </c>
      <c r="J493" s="137" t="str">
        <f t="shared" si="121"/>
        <v/>
      </c>
      <c r="K493" s="34" t="str">
        <f t="shared" si="122"/>
        <v/>
      </c>
      <c r="L493" s="33"/>
      <c r="M493" s="33"/>
      <c r="N493" s="33"/>
      <c r="O493" s="29"/>
      <c r="P493" s="29"/>
      <c r="Q493" s="35" t="str">
        <f t="shared" ca="1" si="123"/>
        <v/>
      </c>
      <c r="R493" s="27"/>
      <c r="S493" s="47"/>
    </row>
    <row r="494" spans="1:20" ht="15" customHeight="1">
      <c r="A494" s="68">
        <v>46253</v>
      </c>
      <c r="B494" s="25">
        <f t="shared" si="124"/>
        <v>0.58333333333333304</v>
      </c>
      <c r="C494" s="26"/>
      <c r="D494" s="59"/>
      <c r="E494" s="109"/>
      <c r="F494" s="135" t="str">
        <f>IFERROR(IF($D494="","",VLOOKUP($D494,Cadastro!$C$4:$E$7,3,FALSE)),"")</f>
        <v/>
      </c>
      <c r="G494" s="106"/>
      <c r="H494" s="135" t="str">
        <f>IFERROR(IF($G494="","",$G494*$S$500/$G$500/Cadastro!$E$33),"")</f>
        <v/>
      </c>
      <c r="I494" s="136" t="str">
        <f>IFERROR(IF($D494="","",VLOOKUP($D494,Cadastro!$C$4:$G$7,5,FALSE)),"")</f>
        <v/>
      </c>
      <c r="J494" s="137" t="str">
        <f t="shared" si="121"/>
        <v/>
      </c>
      <c r="K494" s="28" t="str">
        <f t="shared" si="122"/>
        <v/>
      </c>
      <c r="L494" s="26"/>
      <c r="M494" s="26"/>
      <c r="N494" s="26"/>
      <c r="O494" s="29"/>
      <c r="P494" s="29"/>
      <c r="Q494" s="30" t="str">
        <f t="shared" ca="1" si="123"/>
        <v/>
      </c>
      <c r="R494" s="27"/>
      <c r="S494" s="47"/>
    </row>
    <row r="495" spans="1:20" ht="15" customHeight="1">
      <c r="A495" s="69">
        <v>46253</v>
      </c>
      <c r="B495" s="32">
        <f t="shared" si="124"/>
        <v>0.62499999999999967</v>
      </c>
      <c r="C495" s="26"/>
      <c r="D495" s="59"/>
      <c r="E495" s="109"/>
      <c r="F495" s="135" t="str">
        <f>IFERROR(IF($D495="","",VLOOKUP($D495,Cadastro!$C$4:$E$7,3,FALSE)),"")</f>
        <v/>
      </c>
      <c r="G495" s="106"/>
      <c r="H495" s="135" t="str">
        <f>IFERROR(IF($G495="","",$G495*$S$500/$G$500/Cadastro!$E$33),"")</f>
        <v/>
      </c>
      <c r="I495" s="136" t="str">
        <f>IFERROR(IF($D495="","",VLOOKUP($D495,Cadastro!$C$4:$G$7,5,FALSE)),"")</f>
        <v/>
      </c>
      <c r="J495" s="137" t="str">
        <f t="shared" si="121"/>
        <v/>
      </c>
      <c r="K495" s="34" t="str">
        <f t="shared" si="122"/>
        <v/>
      </c>
      <c r="L495" s="33"/>
      <c r="M495" s="33"/>
      <c r="N495" s="33"/>
      <c r="O495" s="29"/>
      <c r="P495" s="29"/>
      <c r="Q495" s="35" t="str">
        <f t="shared" ca="1" si="123"/>
        <v/>
      </c>
      <c r="R495" s="27"/>
      <c r="S495" s="47"/>
    </row>
    <row r="496" spans="1:20" ht="15" customHeight="1">
      <c r="A496" s="68">
        <v>46253</v>
      </c>
      <c r="B496" s="25">
        <f t="shared" si="124"/>
        <v>0.6666666666666663</v>
      </c>
      <c r="C496" s="26"/>
      <c r="D496" s="59"/>
      <c r="E496" s="109"/>
      <c r="F496" s="135" t="str">
        <f>IFERROR(IF($D496="","",VLOOKUP($D496,Cadastro!$C$4:$E$7,3,FALSE)),"")</f>
        <v/>
      </c>
      <c r="G496" s="106"/>
      <c r="H496" s="135" t="str">
        <f>IFERROR(IF($G496="","",$G496*$S$500/$G$500/Cadastro!$E$33),"")</f>
        <v/>
      </c>
      <c r="I496" s="136" t="str">
        <f>IFERROR(IF($D496="","",VLOOKUP($D496,Cadastro!$C$4:$G$7,5,FALSE)),"")</f>
        <v/>
      </c>
      <c r="J496" s="137" t="str">
        <f t="shared" si="121"/>
        <v/>
      </c>
      <c r="K496" s="28" t="str">
        <f t="shared" si="122"/>
        <v/>
      </c>
      <c r="L496" s="26"/>
      <c r="M496" s="26"/>
      <c r="N496" s="26"/>
      <c r="O496" s="29"/>
      <c r="P496" s="29"/>
      <c r="Q496" s="30" t="str">
        <f t="shared" ca="1" si="123"/>
        <v/>
      </c>
      <c r="R496" s="27"/>
      <c r="S496" s="47"/>
    </row>
    <row r="497" spans="1:20" ht="15" customHeight="1">
      <c r="A497" s="69">
        <v>46253</v>
      </c>
      <c r="B497" s="32">
        <f t="shared" si="124"/>
        <v>0.70833333333333293</v>
      </c>
      <c r="C497" s="26"/>
      <c r="D497" s="59"/>
      <c r="E497" s="109"/>
      <c r="F497" s="135" t="str">
        <f>IFERROR(IF($D497="","",VLOOKUP($D497,Cadastro!$C$4:$E$7,3,FALSE)),"")</f>
        <v/>
      </c>
      <c r="G497" s="106"/>
      <c r="H497" s="135" t="str">
        <f>IFERROR(IF($G497="","",$G497*$S$500/$G$500/Cadastro!$E$33),"")</f>
        <v/>
      </c>
      <c r="I497" s="136" t="str">
        <f>IFERROR(IF($D497="","",VLOOKUP($D497,Cadastro!$C$4:$G$7,5,FALSE)),"")</f>
        <v/>
      </c>
      <c r="J497" s="137" t="str">
        <f t="shared" si="121"/>
        <v/>
      </c>
      <c r="K497" s="34" t="str">
        <f t="shared" si="122"/>
        <v/>
      </c>
      <c r="L497" s="33"/>
      <c r="M497" s="33"/>
      <c r="N497" s="33"/>
      <c r="O497" s="29"/>
      <c r="P497" s="29"/>
      <c r="Q497" s="35" t="str">
        <f t="shared" ca="1" si="123"/>
        <v/>
      </c>
      <c r="R497" s="27"/>
      <c r="S497" s="47"/>
    </row>
    <row r="498" spans="1:20" ht="15" customHeight="1">
      <c r="A498" s="68">
        <v>46253</v>
      </c>
      <c r="B498" s="25">
        <f t="shared" si="124"/>
        <v>0.74999999999999956</v>
      </c>
      <c r="C498" s="26"/>
      <c r="D498" s="59"/>
      <c r="E498" s="109"/>
      <c r="F498" s="135" t="str">
        <f>IFERROR(IF($D498="","",VLOOKUP($D498,Cadastro!$C$4:$E$7,3,FALSE)),"")</f>
        <v/>
      </c>
      <c r="G498" s="106"/>
      <c r="H498" s="135" t="str">
        <f>IFERROR(IF($G498="","",$G498*$S$500/$G$500/Cadastro!$E$33),"")</f>
        <v/>
      </c>
      <c r="I498" s="136" t="str">
        <f>IFERROR(IF($D498="","",VLOOKUP($D498,Cadastro!$C$4:$G$7,5,FALSE)),"")</f>
        <v/>
      </c>
      <c r="J498" s="137" t="str">
        <f t="shared" si="121"/>
        <v/>
      </c>
      <c r="K498" s="28" t="str">
        <f t="shared" si="122"/>
        <v/>
      </c>
      <c r="L498" s="26"/>
      <c r="M498" s="26"/>
      <c r="N498" s="26"/>
      <c r="O498" s="29"/>
      <c r="P498" s="29"/>
      <c r="Q498" s="30" t="str">
        <f t="shared" ca="1" si="123"/>
        <v/>
      </c>
      <c r="R498" s="27"/>
      <c r="S498" s="47"/>
    </row>
    <row r="499" spans="1:20" ht="15" customHeight="1" thickBot="1">
      <c r="A499" s="69">
        <v>46253</v>
      </c>
      <c r="B499" s="32">
        <f t="shared" si="124"/>
        <v>0.79166666666666619</v>
      </c>
      <c r="C499" s="26"/>
      <c r="D499" s="59"/>
      <c r="E499" s="109"/>
      <c r="F499" s="138" t="str">
        <f>IFERROR(IF($D499="","",VLOOKUP($D499,Cadastro!$C$4:$E$7,3,FALSE)),"")</f>
        <v/>
      </c>
      <c r="G499" s="106"/>
      <c r="H499" s="138" t="str">
        <f>IFERROR(IF($G499="","",$G499*$S$500/$G$500/Cadastro!$E$33),"")</f>
        <v/>
      </c>
      <c r="I499" s="139" t="str">
        <f>IFERROR(IF($D499="","",VLOOKUP($D499,Cadastro!$C$4:$G$7,5,FALSE)),"")</f>
        <v/>
      </c>
      <c r="J499" s="140" t="str">
        <f t="shared" si="121"/>
        <v/>
      </c>
      <c r="K499" s="34" t="str">
        <f t="shared" si="122"/>
        <v/>
      </c>
      <c r="L499" s="33"/>
      <c r="M499" s="33"/>
      <c r="N499" s="33"/>
      <c r="O499" s="29"/>
      <c r="P499" s="29"/>
      <c r="Q499" s="35" t="str">
        <f t="shared" ca="1" si="123"/>
        <v/>
      </c>
      <c r="R499" s="27"/>
      <c r="S499" s="47"/>
    </row>
    <row r="500" spans="1:20" ht="15.75" customHeight="1" thickBot="1">
      <c r="A500" s="152" t="s">
        <v>241</v>
      </c>
      <c r="B500" s="153"/>
      <c r="C500" s="153"/>
      <c r="D500" s="153"/>
      <c r="E500" s="153">
        <f>SUM(E488:E499)</f>
        <v>0</v>
      </c>
      <c r="F500" s="111"/>
      <c r="G500" s="81">
        <f>SUM(G488:G499)</f>
        <v>0</v>
      </c>
      <c r="H500" s="111">
        <f>IFERROR(SUM(H488:H499),"")</f>
        <v>0</v>
      </c>
      <c r="I500" s="115"/>
      <c r="J500" s="124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20">
        <f>IFERROR(J500,"")</f>
        <v>0</v>
      </c>
    </row>
    <row r="501" spans="1:20" ht="15" customHeight="1">
      <c r="A501" s="69">
        <v>46253</v>
      </c>
      <c r="B501" s="32">
        <v>0.83333333333333304</v>
      </c>
      <c r="C501" s="33"/>
      <c r="D501" s="62"/>
      <c r="E501" s="110"/>
      <c r="F501" s="141" t="str">
        <f>IFERROR(IF($D501="","",VLOOKUP($D501,Cadastro!$C$4:$E$7,3,FALSE)),"")</f>
        <v/>
      </c>
      <c r="G501" s="106"/>
      <c r="H501" s="141" t="str">
        <f>IFERROR(IF($G501="","",$G501*$S$513/$G$513/Cadastro!$E$33),"")</f>
        <v/>
      </c>
      <c r="I501" s="142" t="str">
        <f>IFERROR(IF($D501="","",VLOOKUP($D501,Cadastro!$C$4:$G$7,5,FALSE)),"")</f>
        <v/>
      </c>
      <c r="J501" s="143" t="str">
        <f t="shared" ref="J501:J512" si="125">IFERROR(IF($H501="","",$H501*$F501*$I501),"")</f>
        <v/>
      </c>
      <c r="K501" s="34" t="str">
        <f t="shared" ref="K501:K512" si="126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7">IFERROR(IF(O501="","",IF(P501="",MOD(NOW()-O501,1),IF(P501&gt;=O501,P501-O501,P501+1-O501))),"")</f>
        <v/>
      </c>
      <c r="R501" s="27"/>
      <c r="S501" s="47"/>
    </row>
    <row r="502" spans="1:20" ht="15" customHeight="1">
      <c r="A502" s="68">
        <v>46253</v>
      </c>
      <c r="B502" s="25">
        <f t="shared" ref="B502:B512" si="128">B501+TIME(0,60,0)</f>
        <v>0.87499999999999967</v>
      </c>
      <c r="C502" s="33"/>
      <c r="D502" s="62"/>
      <c r="E502" s="110"/>
      <c r="F502" s="135" t="str">
        <f>IFERROR(IF($D502="","",VLOOKUP($D502,Cadastro!$C$4:$E$7,3,FALSE)),"")</f>
        <v/>
      </c>
      <c r="G502" s="106"/>
      <c r="H502" s="135" t="str">
        <f>IFERROR(IF($G502="","",$G502*$S$513/$G$513/Cadastro!$E$33),"")</f>
        <v/>
      </c>
      <c r="I502" s="136" t="str">
        <f>IFERROR(IF($D502="","",VLOOKUP($D502,Cadastro!$C$4:$G$7,5,FALSE)),"")</f>
        <v/>
      </c>
      <c r="J502" s="137" t="str">
        <f t="shared" si="125"/>
        <v/>
      </c>
      <c r="K502" s="28" t="str">
        <f t="shared" si="126"/>
        <v/>
      </c>
      <c r="L502" s="26"/>
      <c r="M502" s="26"/>
      <c r="N502" s="26"/>
      <c r="O502" s="29"/>
      <c r="P502" s="29"/>
      <c r="Q502" s="30" t="str">
        <f t="shared" ca="1" si="127"/>
        <v/>
      </c>
      <c r="R502" s="27"/>
      <c r="S502" s="47"/>
    </row>
    <row r="503" spans="1:20" ht="15" customHeight="1">
      <c r="A503" s="69">
        <v>46253</v>
      </c>
      <c r="B503" s="32">
        <f t="shared" si="128"/>
        <v>0.9166666666666663</v>
      </c>
      <c r="C503" s="33"/>
      <c r="D503" s="62"/>
      <c r="E503" s="110"/>
      <c r="F503" s="135" t="str">
        <f>IFERROR(IF($D503="","",VLOOKUP($D503,Cadastro!$C$4:$E$7,3,FALSE)),"")</f>
        <v/>
      </c>
      <c r="G503" s="106"/>
      <c r="H503" s="135" t="str">
        <f>IFERROR(IF($G503="","",$G503*$S$513/$G$513/Cadastro!$E$33),"")</f>
        <v/>
      </c>
      <c r="I503" s="136" t="str">
        <f>IFERROR(IF($D503="","",VLOOKUP($D503,Cadastro!$C$4:$G$7,5,FALSE)),"")</f>
        <v/>
      </c>
      <c r="J503" s="137" t="str">
        <f t="shared" si="125"/>
        <v/>
      </c>
      <c r="K503" s="34" t="str">
        <f t="shared" si="126"/>
        <v/>
      </c>
      <c r="L503" s="33"/>
      <c r="M503" s="33"/>
      <c r="N503" s="33"/>
      <c r="O503" s="29"/>
      <c r="P503" s="29"/>
      <c r="Q503" s="35" t="str">
        <f t="shared" ca="1" si="127"/>
        <v/>
      </c>
      <c r="R503" s="27"/>
      <c r="S503" s="47"/>
    </row>
    <row r="504" spans="1:20" ht="15" customHeight="1">
      <c r="A504" s="68">
        <v>46253</v>
      </c>
      <c r="B504" s="25">
        <f t="shared" si="128"/>
        <v>0.95833333333333293</v>
      </c>
      <c r="C504" s="33"/>
      <c r="D504" s="62"/>
      <c r="E504" s="110"/>
      <c r="F504" s="135" t="str">
        <f>IFERROR(IF($D504="","",VLOOKUP($D504,Cadastro!$C$4:$E$7,3,FALSE)),"")</f>
        <v/>
      </c>
      <c r="G504" s="106"/>
      <c r="H504" s="135" t="str">
        <f>IFERROR(IF($G504="","",$G504*$S$513/$G$513/Cadastro!$E$33),"")</f>
        <v/>
      </c>
      <c r="I504" s="136" t="str">
        <f>IFERROR(IF($D504="","",VLOOKUP($D504,Cadastro!$C$4:$G$7,5,FALSE)),"")</f>
        <v/>
      </c>
      <c r="J504" s="137" t="str">
        <f t="shared" si="125"/>
        <v/>
      </c>
      <c r="K504" s="28" t="str">
        <f t="shared" si="126"/>
        <v/>
      </c>
      <c r="L504" s="26"/>
      <c r="M504" s="26"/>
      <c r="N504" s="26"/>
      <c r="O504" s="29"/>
      <c r="P504" s="29"/>
      <c r="Q504" s="30" t="str">
        <f t="shared" ca="1" si="127"/>
        <v/>
      </c>
      <c r="R504" s="27"/>
      <c r="S504" s="47"/>
    </row>
    <row r="505" spans="1:20" ht="15" customHeight="1">
      <c r="A505" s="69">
        <v>46253</v>
      </c>
      <c r="B505" s="32">
        <f t="shared" si="128"/>
        <v>0.99999999999999956</v>
      </c>
      <c r="C505" s="33"/>
      <c r="D505" s="62"/>
      <c r="E505" s="110"/>
      <c r="F505" s="135" t="str">
        <f>IFERROR(IF($D505="","",VLOOKUP($D505,Cadastro!$C$4:$E$7,3,FALSE)),"")</f>
        <v/>
      </c>
      <c r="G505" s="106"/>
      <c r="H505" s="135" t="str">
        <f>IFERROR(IF($G505="","",$G505*$S$513/$G$513/Cadastro!$E$33),"")</f>
        <v/>
      </c>
      <c r="I505" s="136" t="str">
        <f>IFERROR(IF($D505="","",VLOOKUP($D505,Cadastro!$C$4:$G$7,5,FALSE)),"")</f>
        <v/>
      </c>
      <c r="J505" s="137" t="str">
        <f t="shared" si="125"/>
        <v/>
      </c>
      <c r="K505" s="34" t="str">
        <f t="shared" si="126"/>
        <v/>
      </c>
      <c r="L505" s="33"/>
      <c r="M505" s="33"/>
      <c r="N505" s="33"/>
      <c r="O505" s="29"/>
      <c r="P505" s="29"/>
      <c r="Q505" s="35" t="str">
        <f t="shared" ca="1" si="127"/>
        <v/>
      </c>
      <c r="R505" s="27"/>
      <c r="S505" s="47"/>
    </row>
    <row r="506" spans="1:20" ht="15" customHeight="1">
      <c r="A506" s="68">
        <v>46253</v>
      </c>
      <c r="B506" s="25">
        <f t="shared" si="128"/>
        <v>1.0416666666666663</v>
      </c>
      <c r="C506" s="33"/>
      <c r="D506" s="62"/>
      <c r="E506" s="110"/>
      <c r="F506" s="135" t="str">
        <f>IFERROR(IF($D506="","",VLOOKUP($D506,Cadastro!$C$4:$E$7,3,FALSE)),"")</f>
        <v/>
      </c>
      <c r="G506" s="106"/>
      <c r="H506" s="135" t="str">
        <f>IFERROR(IF($G506="","",$G506*$S$513/$G$513/Cadastro!$E$33),"")</f>
        <v/>
      </c>
      <c r="I506" s="136" t="str">
        <f>IFERROR(IF($D506="","",VLOOKUP($D506,Cadastro!$C$4:$G$7,5,FALSE)),"")</f>
        <v/>
      </c>
      <c r="J506" s="137" t="str">
        <f t="shared" si="125"/>
        <v/>
      </c>
      <c r="K506" s="28" t="str">
        <f t="shared" si="126"/>
        <v/>
      </c>
      <c r="L506" s="26"/>
      <c r="M506" s="26"/>
      <c r="N506" s="26"/>
      <c r="O506" s="29"/>
      <c r="P506" s="29"/>
      <c r="Q506" s="30" t="str">
        <f t="shared" ca="1" si="127"/>
        <v/>
      </c>
      <c r="R506" s="27"/>
      <c r="S506" s="47"/>
    </row>
    <row r="507" spans="1:20" ht="15" customHeight="1">
      <c r="A507" s="69">
        <v>46253</v>
      </c>
      <c r="B507" s="32">
        <f t="shared" si="128"/>
        <v>1.083333333333333</v>
      </c>
      <c r="C507" s="33"/>
      <c r="D507" s="62"/>
      <c r="E507" s="110"/>
      <c r="F507" s="135" t="str">
        <f>IFERROR(IF($D507="","",VLOOKUP($D507,Cadastro!$C$4:$E$7,3,FALSE)),"")</f>
        <v/>
      </c>
      <c r="G507" s="106"/>
      <c r="H507" s="135" t="str">
        <f>IFERROR(IF($G507="","",$G507*$S$513/$G$513/Cadastro!$E$33),"")</f>
        <v/>
      </c>
      <c r="I507" s="136" t="str">
        <f>IFERROR(IF($D507="","",VLOOKUP($D507,Cadastro!$C$4:$G$7,5,FALSE)),"")</f>
        <v/>
      </c>
      <c r="J507" s="137" t="str">
        <f t="shared" si="125"/>
        <v/>
      </c>
      <c r="K507" s="34" t="str">
        <f t="shared" si="126"/>
        <v/>
      </c>
      <c r="L507" s="33"/>
      <c r="M507" s="33"/>
      <c r="N507" s="33"/>
      <c r="O507" s="29"/>
      <c r="P507" s="29"/>
      <c r="Q507" s="35" t="str">
        <f t="shared" ca="1" si="127"/>
        <v/>
      </c>
      <c r="R507" s="27"/>
      <c r="S507" s="47"/>
    </row>
    <row r="508" spans="1:20" ht="15" customHeight="1">
      <c r="A508" s="68">
        <v>46253</v>
      </c>
      <c r="B508" s="25">
        <f t="shared" si="128"/>
        <v>1.1249999999999998</v>
      </c>
      <c r="C508" s="33"/>
      <c r="D508" s="62"/>
      <c r="E508" s="110"/>
      <c r="F508" s="135" t="str">
        <f>IFERROR(IF($D508="","",VLOOKUP($D508,Cadastro!$C$4:$E$7,3,FALSE)),"")</f>
        <v/>
      </c>
      <c r="G508" s="106"/>
      <c r="H508" s="135" t="str">
        <f>IFERROR(IF($G508="","",$G508*$S$513/$G$513/Cadastro!$E$33),"")</f>
        <v/>
      </c>
      <c r="I508" s="136" t="str">
        <f>IFERROR(IF($D508="","",VLOOKUP($D508,Cadastro!$C$4:$G$7,5,FALSE)),"")</f>
        <v/>
      </c>
      <c r="J508" s="137" t="str">
        <f t="shared" si="125"/>
        <v/>
      </c>
      <c r="K508" s="28" t="str">
        <f t="shared" si="126"/>
        <v/>
      </c>
      <c r="L508" s="26"/>
      <c r="M508" s="26"/>
      <c r="N508" s="26"/>
      <c r="O508" s="29"/>
      <c r="P508" s="29"/>
      <c r="Q508" s="30" t="str">
        <f t="shared" ca="1" si="127"/>
        <v/>
      </c>
      <c r="R508" s="27"/>
      <c r="S508" s="47"/>
    </row>
    <row r="509" spans="1:20" ht="15" customHeight="1">
      <c r="A509" s="69">
        <v>46253</v>
      </c>
      <c r="B509" s="32">
        <f t="shared" si="128"/>
        <v>1.1666666666666665</v>
      </c>
      <c r="C509" s="33"/>
      <c r="D509" s="62"/>
      <c r="E509" s="110"/>
      <c r="F509" s="135" t="str">
        <f>IFERROR(IF($D509="","",VLOOKUP($D509,Cadastro!$C$4:$E$7,3,FALSE)),"")</f>
        <v/>
      </c>
      <c r="G509" s="106"/>
      <c r="H509" s="135" t="str">
        <f>IFERROR(IF($G509="","",$G509*$S$513/$G$513/Cadastro!$E$33),"")</f>
        <v/>
      </c>
      <c r="I509" s="136" t="str">
        <f>IFERROR(IF($D509="","",VLOOKUP($D509,Cadastro!$C$4:$G$7,5,FALSE)),"")</f>
        <v/>
      </c>
      <c r="J509" s="137" t="str">
        <f t="shared" si="125"/>
        <v/>
      </c>
      <c r="K509" s="34" t="str">
        <f t="shared" si="126"/>
        <v/>
      </c>
      <c r="L509" s="33"/>
      <c r="M509" s="33"/>
      <c r="N509" s="33"/>
      <c r="O509" s="29"/>
      <c r="P509" s="29"/>
      <c r="Q509" s="35" t="str">
        <f t="shared" ca="1" si="127"/>
        <v/>
      </c>
      <c r="R509" s="27"/>
      <c r="S509" s="47"/>
    </row>
    <row r="510" spans="1:20" ht="15" customHeight="1">
      <c r="A510" s="68">
        <v>46253</v>
      </c>
      <c r="B510" s="25">
        <f t="shared" si="128"/>
        <v>1.2083333333333333</v>
      </c>
      <c r="C510" s="33"/>
      <c r="D510" s="62"/>
      <c r="E510" s="110"/>
      <c r="F510" s="135" t="str">
        <f>IFERROR(IF($D510="","",VLOOKUP($D510,Cadastro!$C$4:$E$7,3,FALSE)),"")</f>
        <v/>
      </c>
      <c r="G510" s="106"/>
      <c r="H510" s="135" t="str">
        <f>IFERROR(IF($G510="","",$G510*$S$513/$G$513/Cadastro!$E$33),"")</f>
        <v/>
      </c>
      <c r="I510" s="136" t="str">
        <f>IFERROR(IF($D510="","",VLOOKUP($D510,Cadastro!$C$4:$G$7,5,FALSE)),"")</f>
        <v/>
      </c>
      <c r="J510" s="137" t="str">
        <f t="shared" si="125"/>
        <v/>
      </c>
      <c r="K510" s="28" t="str">
        <f t="shared" si="126"/>
        <v/>
      </c>
      <c r="L510" s="26"/>
      <c r="M510" s="26"/>
      <c r="N510" s="26"/>
      <c r="O510" s="29"/>
      <c r="P510" s="29"/>
      <c r="Q510" s="30" t="str">
        <f t="shared" ca="1" si="127"/>
        <v/>
      </c>
      <c r="R510" s="27"/>
      <c r="S510" s="47"/>
    </row>
    <row r="511" spans="1:20" ht="15" customHeight="1">
      <c r="A511" s="69">
        <v>46253</v>
      </c>
      <c r="B511" s="32">
        <f t="shared" si="128"/>
        <v>1.25</v>
      </c>
      <c r="C511" s="33"/>
      <c r="D511" s="62"/>
      <c r="E511" s="110"/>
      <c r="F511" s="135" t="str">
        <f>IFERROR(IF($D511="","",VLOOKUP($D511,Cadastro!$C$4:$E$7,3,FALSE)),"")</f>
        <v/>
      </c>
      <c r="G511" s="106"/>
      <c r="H511" s="135" t="str">
        <f>IFERROR(IF($G511="","",$G511*$S$513/$G$513/Cadastro!$E$33),"")</f>
        <v/>
      </c>
      <c r="I511" s="136" t="str">
        <f>IFERROR(IF($D511="","",VLOOKUP($D511,Cadastro!$C$4:$G$7,5,FALSE)),"")</f>
        <v/>
      </c>
      <c r="J511" s="137" t="str">
        <f t="shared" si="125"/>
        <v/>
      </c>
      <c r="K511" s="34" t="str">
        <f t="shared" si="126"/>
        <v/>
      </c>
      <c r="L511" s="33"/>
      <c r="M511" s="33"/>
      <c r="N511" s="33"/>
      <c r="O511" s="29"/>
      <c r="P511" s="29"/>
      <c r="Q511" s="35" t="str">
        <f t="shared" ca="1" si="127"/>
        <v/>
      </c>
      <c r="R511" s="27"/>
      <c r="S511" s="47"/>
    </row>
    <row r="512" spans="1:20" ht="15" customHeight="1" thickBot="1">
      <c r="A512" s="68">
        <v>46253</v>
      </c>
      <c r="B512" s="25">
        <f t="shared" si="128"/>
        <v>1.2916666666666667</v>
      </c>
      <c r="C512" s="33"/>
      <c r="D512" s="62"/>
      <c r="E512" s="110"/>
      <c r="F512" s="138" t="str">
        <f>IFERROR(IF($D512="","",VLOOKUP($D512,Cadastro!$C$4:$E$7,3,FALSE)),"")</f>
        <v/>
      </c>
      <c r="G512" s="106"/>
      <c r="H512" s="138" t="str">
        <f>IFERROR(IF($G512="","",$G512*$S$513/$G$513/Cadastro!$E$33),"")</f>
        <v/>
      </c>
      <c r="I512" s="139" t="str">
        <f>IFERROR(IF($D512="","",VLOOKUP($D512,Cadastro!$C$4:$G$7,5,FALSE)),"")</f>
        <v/>
      </c>
      <c r="J512" s="140" t="str">
        <f t="shared" si="125"/>
        <v/>
      </c>
      <c r="K512" s="28" t="str">
        <f t="shared" si="126"/>
        <v/>
      </c>
      <c r="L512" s="26"/>
      <c r="M512" s="26"/>
      <c r="N512" s="26"/>
      <c r="O512" s="29"/>
      <c r="P512" s="29"/>
      <c r="Q512" s="30" t="str">
        <f t="shared" ca="1" si="127"/>
        <v/>
      </c>
      <c r="R512" s="27"/>
      <c r="S512" s="47"/>
    </row>
    <row r="513" spans="1:20" ht="15.75" customHeight="1" thickBot="1">
      <c r="A513" s="152" t="s">
        <v>244</v>
      </c>
      <c r="B513" s="153"/>
      <c r="C513" s="153"/>
      <c r="D513" s="153"/>
      <c r="E513" s="153">
        <f>SUM(E501:E512)</f>
        <v>0</v>
      </c>
      <c r="F513" s="112"/>
      <c r="G513" s="81">
        <f>SUM(G501:G512)</f>
        <v>0</v>
      </c>
      <c r="H513" s="112">
        <f>IFERROR(SUM(H501:H512),"")</f>
        <v>0</v>
      </c>
      <c r="I513" s="116"/>
      <c r="J513" s="125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20">
        <f>IFERROR(J513,"")</f>
        <v>0</v>
      </c>
    </row>
    <row r="514" spans="1:20" ht="18" customHeight="1">
      <c r="A514" s="150" t="s">
        <v>245</v>
      </c>
      <c r="B514" s="151"/>
      <c r="C514" s="151"/>
      <c r="D514" s="151"/>
      <c r="E514" s="151">
        <f>E500+E513</f>
        <v>0</v>
      </c>
      <c r="F514" s="113"/>
      <c r="G514" s="92">
        <f>G500+G513</f>
        <v>0</v>
      </c>
      <c r="H514" s="113">
        <f>IFERROR(H500+H513,"")</f>
        <v>0</v>
      </c>
      <c r="I514" s="117"/>
      <c r="J514" s="126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2">
        <f>IFERROR(J514,"")</f>
        <v>0</v>
      </c>
    </row>
    <row r="515" spans="1:20" ht="15" customHeight="1">
      <c r="A515" s="69">
        <v>46254</v>
      </c>
      <c r="B515" s="32">
        <v>0.33333333333333298</v>
      </c>
      <c r="C515" s="33"/>
      <c r="D515" s="62"/>
      <c r="E515" s="110"/>
      <c r="F515" s="141" t="str">
        <f>IFERROR(IF($D515="","",VLOOKUP($D515,Cadastro!$C$4:$E$7,3,FALSE)),"")</f>
        <v/>
      </c>
      <c r="G515" s="106"/>
      <c r="H515" s="141" t="str">
        <f>IFERROR(IF($G515="","",$G515*$S$527/$G$527/Cadastro!$E$33),"")</f>
        <v/>
      </c>
      <c r="I515" s="142" t="str">
        <f>IFERROR(IF($D515="","",VLOOKUP($D515,Cadastro!$C$4:$G$7,5,FALSE)),"")</f>
        <v/>
      </c>
      <c r="J515" s="143" t="str">
        <f t="shared" ref="J515:J526" si="129">IFERROR(IF($H515="","",$H515*$F515*$I515),"")</f>
        <v/>
      </c>
      <c r="K515" s="34" t="str">
        <f t="shared" ref="K515:K526" si="130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1">IFERROR(IF(O515="","",IF(P515="",MOD(NOW()-O515,1),IF(P515&gt;=O515,P515-O515,P515+1-O515))),"")</f>
        <v/>
      </c>
      <c r="R515" s="27"/>
      <c r="S515" s="47"/>
    </row>
    <row r="516" spans="1:20" ht="15" customHeight="1">
      <c r="A516" s="68">
        <v>46254</v>
      </c>
      <c r="B516" s="25">
        <f t="shared" ref="B516:B526" si="132">B515+TIME(0,60,0)</f>
        <v>0.37499999999999967</v>
      </c>
      <c r="C516" s="33"/>
      <c r="D516" s="62"/>
      <c r="E516" s="110"/>
      <c r="F516" s="135" t="str">
        <f>IFERROR(IF($D516="","",VLOOKUP($D516,Cadastro!$C$4:$E$7,3,FALSE)),"")</f>
        <v/>
      </c>
      <c r="G516" s="106"/>
      <c r="H516" s="135" t="str">
        <f>IFERROR(IF($G516="","",$G516*$S$527/$G$527/Cadastro!$E$33),"")</f>
        <v/>
      </c>
      <c r="I516" s="136" t="str">
        <f>IFERROR(IF($D516="","",VLOOKUP($D516,Cadastro!$C$4:$G$7,5,FALSE)),"")</f>
        <v/>
      </c>
      <c r="J516" s="137" t="str">
        <f t="shared" si="129"/>
        <v/>
      </c>
      <c r="K516" s="28" t="str">
        <f t="shared" si="130"/>
        <v/>
      </c>
      <c r="L516" s="49"/>
      <c r="M516" s="26"/>
      <c r="N516" s="49"/>
      <c r="O516" s="29"/>
      <c r="P516" s="29"/>
      <c r="Q516" s="30" t="str">
        <f t="shared" ca="1" si="131"/>
        <v/>
      </c>
      <c r="R516" s="27"/>
      <c r="S516" s="47"/>
    </row>
    <row r="517" spans="1:20" ht="15" customHeight="1">
      <c r="A517" s="69">
        <v>46254</v>
      </c>
      <c r="B517" s="32">
        <f t="shared" si="132"/>
        <v>0.41666666666666635</v>
      </c>
      <c r="C517" s="33"/>
      <c r="D517" s="62"/>
      <c r="E517" s="110"/>
      <c r="F517" s="135" t="str">
        <f>IFERROR(IF($D517="","",VLOOKUP($D517,Cadastro!$C$4:$E$7,3,FALSE)),"")</f>
        <v/>
      </c>
      <c r="G517" s="106"/>
      <c r="H517" s="135" t="str">
        <f>IFERROR(IF($G517="","",$G517*$S$527/$G$527/Cadastro!$E$33),"")</f>
        <v/>
      </c>
      <c r="I517" s="136" t="str">
        <f>IFERROR(IF($D517="","",VLOOKUP($D517,Cadastro!$C$4:$G$7,5,FALSE)),"")</f>
        <v/>
      </c>
      <c r="J517" s="137" t="str">
        <f t="shared" si="129"/>
        <v/>
      </c>
      <c r="K517" s="34" t="str">
        <f t="shared" si="130"/>
        <v/>
      </c>
      <c r="L517" s="33"/>
      <c r="M517" s="33"/>
      <c r="N517" s="33"/>
      <c r="O517" s="29"/>
      <c r="P517" s="29"/>
      <c r="Q517" s="35" t="str">
        <f t="shared" ca="1" si="131"/>
        <v/>
      </c>
      <c r="R517" s="27"/>
      <c r="S517" s="47"/>
    </row>
    <row r="518" spans="1:20" ht="15" customHeight="1">
      <c r="A518" s="68">
        <v>46254</v>
      </c>
      <c r="B518" s="25">
        <f t="shared" si="132"/>
        <v>0.45833333333333304</v>
      </c>
      <c r="C518" s="33"/>
      <c r="D518" s="62"/>
      <c r="E518" s="110"/>
      <c r="F518" s="135" t="str">
        <f>IFERROR(IF($D518="","",VLOOKUP($D518,Cadastro!$C$4:$E$7,3,FALSE)),"")</f>
        <v/>
      </c>
      <c r="G518" s="106"/>
      <c r="H518" s="135" t="str">
        <f>IFERROR(IF($G518="","",$G518*$S$527/$G$527/Cadastro!$E$33),"")</f>
        <v/>
      </c>
      <c r="I518" s="136" t="str">
        <f>IFERROR(IF($D518="","",VLOOKUP($D518,Cadastro!$C$4:$G$7,5,FALSE)),"")</f>
        <v/>
      </c>
      <c r="J518" s="137" t="str">
        <f t="shared" si="129"/>
        <v/>
      </c>
      <c r="K518" s="28" t="str">
        <f t="shared" si="130"/>
        <v/>
      </c>
      <c r="L518" s="33"/>
      <c r="M518" s="26"/>
      <c r="N518" s="26"/>
      <c r="O518" s="29"/>
      <c r="P518" s="29"/>
      <c r="Q518" s="30" t="str">
        <f t="shared" ca="1" si="131"/>
        <v/>
      </c>
      <c r="R518" s="27"/>
      <c r="S518" s="47"/>
    </row>
    <row r="519" spans="1:20" ht="15" customHeight="1">
      <c r="A519" s="69">
        <v>46254</v>
      </c>
      <c r="B519" s="32">
        <f t="shared" si="132"/>
        <v>0.49999999999999972</v>
      </c>
      <c r="C519" s="33"/>
      <c r="D519" s="62"/>
      <c r="E519" s="110"/>
      <c r="F519" s="135" t="str">
        <f>IFERROR(IF($D519="","",VLOOKUP($D519,Cadastro!$C$4:$E$7,3,FALSE)),"")</f>
        <v/>
      </c>
      <c r="G519" s="106"/>
      <c r="H519" s="135" t="str">
        <f>IFERROR(IF($G519="","",$G519*$S$527/$G$527/Cadastro!$E$33),"")</f>
        <v/>
      </c>
      <c r="I519" s="136" t="str">
        <f>IFERROR(IF($D519="","",VLOOKUP($D519,Cadastro!$C$4:$G$7,5,FALSE)),"")</f>
        <v/>
      </c>
      <c r="J519" s="137" t="str">
        <f t="shared" si="129"/>
        <v/>
      </c>
      <c r="K519" s="34" t="str">
        <f t="shared" si="130"/>
        <v/>
      </c>
      <c r="L519" s="33"/>
      <c r="M519" s="33"/>
      <c r="N519" s="33"/>
      <c r="O519" s="29"/>
      <c r="P519" s="29"/>
      <c r="Q519" s="35" t="str">
        <f t="shared" ca="1" si="131"/>
        <v/>
      </c>
      <c r="R519" s="27"/>
      <c r="S519" s="47"/>
    </row>
    <row r="520" spans="1:20" ht="15" customHeight="1">
      <c r="A520" s="68">
        <v>46254</v>
      </c>
      <c r="B520" s="25">
        <f t="shared" si="132"/>
        <v>0.54166666666666641</v>
      </c>
      <c r="C520" s="33"/>
      <c r="D520" s="62"/>
      <c r="E520" s="110"/>
      <c r="F520" s="135" t="str">
        <f>IFERROR(IF($D520="","",VLOOKUP($D520,Cadastro!$C$4:$E$7,3,FALSE)),"")</f>
        <v/>
      </c>
      <c r="G520" s="106"/>
      <c r="H520" s="135" t="str">
        <f>IFERROR(IF($G520="","",$G520*$S$527/$G$527/Cadastro!$E$33),"")</f>
        <v/>
      </c>
      <c r="I520" s="136" t="str">
        <f>IFERROR(IF($D520="","",VLOOKUP($D520,Cadastro!$C$4:$G$7,5,FALSE)),"")</f>
        <v/>
      </c>
      <c r="J520" s="137" t="str">
        <f t="shared" si="129"/>
        <v/>
      </c>
      <c r="K520" s="28" t="str">
        <f t="shared" si="130"/>
        <v/>
      </c>
      <c r="L520" s="26"/>
      <c r="M520" s="26"/>
      <c r="N520" s="26"/>
      <c r="O520" s="29"/>
      <c r="P520" s="29"/>
      <c r="Q520" s="30" t="str">
        <f t="shared" ca="1" si="131"/>
        <v/>
      </c>
      <c r="R520" s="27"/>
      <c r="S520" s="47"/>
    </row>
    <row r="521" spans="1:20" ht="15" customHeight="1">
      <c r="A521" s="69">
        <v>46254</v>
      </c>
      <c r="B521" s="32">
        <f t="shared" si="132"/>
        <v>0.58333333333333304</v>
      </c>
      <c r="C521" s="33"/>
      <c r="D521" s="62"/>
      <c r="E521" s="110"/>
      <c r="F521" s="135" t="str">
        <f>IFERROR(IF($D521="","",VLOOKUP($D521,Cadastro!$C$4:$E$7,3,FALSE)),"")</f>
        <v/>
      </c>
      <c r="G521" s="106"/>
      <c r="H521" s="135" t="str">
        <f>IFERROR(IF($G521="","",$G521*$S$527/$G$527/Cadastro!$E$33),"")</f>
        <v/>
      </c>
      <c r="I521" s="136" t="str">
        <f>IFERROR(IF($D521="","",VLOOKUP($D521,Cadastro!$C$4:$G$7,5,FALSE)),"")</f>
        <v/>
      </c>
      <c r="J521" s="137" t="str">
        <f t="shared" si="129"/>
        <v/>
      </c>
      <c r="K521" s="34" t="str">
        <f t="shared" si="130"/>
        <v/>
      </c>
      <c r="L521" s="33"/>
      <c r="M521" s="33"/>
      <c r="N521" s="33"/>
      <c r="O521" s="29"/>
      <c r="P521" s="29"/>
      <c r="Q521" s="35" t="str">
        <f t="shared" ca="1" si="131"/>
        <v/>
      </c>
      <c r="R521" s="27"/>
      <c r="S521" s="47"/>
    </row>
    <row r="522" spans="1:20" ht="15" customHeight="1">
      <c r="A522" s="68">
        <v>46254</v>
      </c>
      <c r="B522" s="25">
        <f t="shared" si="132"/>
        <v>0.62499999999999967</v>
      </c>
      <c r="C522" s="33"/>
      <c r="D522" s="62"/>
      <c r="E522" s="110"/>
      <c r="F522" s="135" t="str">
        <f>IFERROR(IF($D522="","",VLOOKUP($D522,Cadastro!$C$4:$E$7,3,FALSE)),"")</f>
        <v/>
      </c>
      <c r="G522" s="106"/>
      <c r="H522" s="135" t="str">
        <f>IFERROR(IF($G522="","",$G522*$S$527/$G$527/Cadastro!$E$33),"")</f>
        <v/>
      </c>
      <c r="I522" s="136" t="str">
        <f>IFERROR(IF($D522="","",VLOOKUP($D522,Cadastro!$C$4:$G$7,5,FALSE)),"")</f>
        <v/>
      </c>
      <c r="J522" s="137" t="str">
        <f t="shared" si="129"/>
        <v/>
      </c>
      <c r="K522" s="28" t="str">
        <f t="shared" si="130"/>
        <v/>
      </c>
      <c r="L522" s="26"/>
      <c r="M522" s="26"/>
      <c r="N522" s="26"/>
      <c r="O522" s="29"/>
      <c r="P522" s="29"/>
      <c r="Q522" s="30" t="str">
        <f t="shared" ca="1" si="131"/>
        <v/>
      </c>
      <c r="R522" s="27"/>
      <c r="S522" s="47"/>
    </row>
    <row r="523" spans="1:20" ht="15" customHeight="1">
      <c r="A523" s="69">
        <v>46254</v>
      </c>
      <c r="B523" s="32">
        <f t="shared" si="132"/>
        <v>0.6666666666666663</v>
      </c>
      <c r="C523" s="33"/>
      <c r="D523" s="62"/>
      <c r="E523" s="110"/>
      <c r="F523" s="135" t="str">
        <f>IFERROR(IF($D523="","",VLOOKUP($D523,Cadastro!$C$4:$E$7,3,FALSE)),"")</f>
        <v/>
      </c>
      <c r="G523" s="106"/>
      <c r="H523" s="135" t="str">
        <f>IFERROR(IF($G523="","",$G523*$S$527/$G$527/Cadastro!$E$33),"")</f>
        <v/>
      </c>
      <c r="I523" s="136" t="str">
        <f>IFERROR(IF($D523="","",VLOOKUP($D523,Cadastro!$C$4:$G$7,5,FALSE)),"")</f>
        <v/>
      </c>
      <c r="J523" s="137" t="str">
        <f t="shared" si="129"/>
        <v/>
      </c>
      <c r="K523" s="34" t="str">
        <f t="shared" si="130"/>
        <v/>
      </c>
      <c r="L523" s="33"/>
      <c r="M523" s="33"/>
      <c r="N523" s="33"/>
      <c r="O523" s="29"/>
      <c r="P523" s="29"/>
      <c r="Q523" s="35" t="str">
        <f t="shared" ca="1" si="131"/>
        <v/>
      </c>
      <c r="R523" s="27"/>
      <c r="S523" s="47"/>
    </row>
    <row r="524" spans="1:20" ht="15" customHeight="1">
      <c r="A524" s="68">
        <v>46254</v>
      </c>
      <c r="B524" s="25">
        <f t="shared" si="132"/>
        <v>0.70833333333333293</v>
      </c>
      <c r="C524" s="33"/>
      <c r="D524" s="62"/>
      <c r="E524" s="110"/>
      <c r="F524" s="135" t="str">
        <f>IFERROR(IF($D524="","",VLOOKUP($D524,Cadastro!$C$4:$E$7,3,FALSE)),"")</f>
        <v/>
      </c>
      <c r="G524" s="106"/>
      <c r="H524" s="135" t="str">
        <f>IFERROR(IF($G524="","",$G524*$S$527/$G$527/Cadastro!$E$33),"")</f>
        <v/>
      </c>
      <c r="I524" s="136" t="str">
        <f>IFERROR(IF($D524="","",VLOOKUP($D524,Cadastro!$C$4:$G$7,5,FALSE)),"")</f>
        <v/>
      </c>
      <c r="J524" s="137" t="str">
        <f t="shared" si="129"/>
        <v/>
      </c>
      <c r="K524" s="28" t="str">
        <f t="shared" si="130"/>
        <v/>
      </c>
      <c r="L524" s="26"/>
      <c r="M524" s="26"/>
      <c r="N524" s="26"/>
      <c r="O524" s="29"/>
      <c r="P524" s="29"/>
      <c r="Q524" s="30" t="str">
        <f t="shared" ca="1" si="131"/>
        <v/>
      </c>
      <c r="R524" s="27"/>
      <c r="S524" s="47"/>
    </row>
    <row r="525" spans="1:20" ht="15" customHeight="1">
      <c r="A525" s="69">
        <v>46254</v>
      </c>
      <c r="B525" s="32">
        <f t="shared" si="132"/>
        <v>0.74999999999999956</v>
      </c>
      <c r="C525" s="33"/>
      <c r="D525" s="62"/>
      <c r="E525" s="110"/>
      <c r="F525" s="135" t="str">
        <f>IFERROR(IF($D525="","",VLOOKUP($D525,Cadastro!$C$4:$E$7,3,FALSE)),"")</f>
        <v/>
      </c>
      <c r="G525" s="106"/>
      <c r="H525" s="135" t="str">
        <f>IFERROR(IF($G525="","",$G525*$S$527/$G$527/Cadastro!$E$33),"")</f>
        <v/>
      </c>
      <c r="I525" s="136" t="str">
        <f>IFERROR(IF($D525="","",VLOOKUP($D525,Cadastro!$C$4:$G$7,5,FALSE)),"")</f>
        <v/>
      </c>
      <c r="J525" s="137" t="str">
        <f t="shared" si="129"/>
        <v/>
      </c>
      <c r="K525" s="34" t="str">
        <f t="shared" si="130"/>
        <v/>
      </c>
      <c r="L525" s="33"/>
      <c r="M525" s="33"/>
      <c r="N525" s="33"/>
      <c r="O525" s="29"/>
      <c r="P525" s="29"/>
      <c r="Q525" s="35" t="str">
        <f t="shared" ca="1" si="131"/>
        <v/>
      </c>
      <c r="R525" s="27"/>
      <c r="S525" s="47"/>
    </row>
    <row r="526" spans="1:20" ht="15" customHeight="1" thickBot="1">
      <c r="A526" s="68">
        <v>46254</v>
      </c>
      <c r="B526" s="25">
        <f t="shared" si="132"/>
        <v>0.79166666666666619</v>
      </c>
      <c r="C526" s="33"/>
      <c r="D526" s="62"/>
      <c r="E526" s="110"/>
      <c r="F526" s="138" t="str">
        <f>IFERROR(IF($D526="","",VLOOKUP($D526,Cadastro!$C$4:$E$7,3,FALSE)),"")</f>
        <v/>
      </c>
      <c r="G526" s="106"/>
      <c r="H526" s="138" t="str">
        <f>IFERROR(IF($G526="","",$G526*$S$527/$G$527/Cadastro!$E$33),"")</f>
        <v/>
      </c>
      <c r="I526" s="139" t="str">
        <f>IFERROR(IF($D526="","",VLOOKUP($D526,Cadastro!$C$4:$G$7,5,FALSE)),"")</f>
        <v/>
      </c>
      <c r="J526" s="140" t="str">
        <f t="shared" si="129"/>
        <v/>
      </c>
      <c r="K526" s="28" t="str">
        <f t="shared" si="130"/>
        <v/>
      </c>
      <c r="L526" s="26"/>
      <c r="M526" s="26"/>
      <c r="N526" s="26"/>
      <c r="O526" s="29"/>
      <c r="P526" s="29"/>
      <c r="Q526" s="30" t="str">
        <f t="shared" ca="1" si="131"/>
        <v/>
      </c>
      <c r="R526" s="27"/>
      <c r="S526" s="47"/>
    </row>
    <row r="527" spans="1:20" ht="15.75" customHeight="1" thickBot="1">
      <c r="A527" s="152" t="s">
        <v>241</v>
      </c>
      <c r="B527" s="153"/>
      <c r="C527" s="153"/>
      <c r="D527" s="153"/>
      <c r="E527" s="153">
        <f>SUM(E515:E526)</f>
        <v>0</v>
      </c>
      <c r="F527" s="111"/>
      <c r="G527" s="81">
        <f>SUM(G515:G526)</f>
        <v>0</v>
      </c>
      <c r="H527" s="111">
        <f>IFERROR(SUM(H515:H526),"")</f>
        <v>0</v>
      </c>
      <c r="I527" s="115"/>
      <c r="J527" s="124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20">
        <f>IFERROR(J527,"")</f>
        <v>0</v>
      </c>
    </row>
    <row r="528" spans="1:20" ht="15" customHeight="1">
      <c r="A528" s="68">
        <v>46254</v>
      </c>
      <c r="B528" s="25">
        <v>0.83333333333333304</v>
      </c>
      <c r="C528" s="26"/>
      <c r="D528" s="59"/>
      <c r="E528" s="109"/>
      <c r="F528" s="141" t="str">
        <f>IFERROR(IF($D528="","",VLOOKUP($D528,Cadastro!$C$4:$E$7,3,FALSE)),"")</f>
        <v/>
      </c>
      <c r="G528" s="106"/>
      <c r="H528" s="141" t="str">
        <f>IFERROR(IF($G528="","",$G528*$S$540/$G$540/Cadastro!$E$33),"")</f>
        <v/>
      </c>
      <c r="I528" s="142" t="str">
        <f>IFERROR(IF($D528="","",VLOOKUP($D528,Cadastro!$C$4:$G$7,5,FALSE)),"")</f>
        <v/>
      </c>
      <c r="J528" s="143" t="str">
        <f t="shared" ref="J528:J539" si="133">IFERROR(IF($H528="","",$H528*$F528*$I528),"")</f>
        <v/>
      </c>
      <c r="K528" s="28" t="str">
        <f t="shared" ref="K528:K539" si="134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5">IFERROR(IF(O528="","",IF(P528="",MOD(NOW()-O528,1),IF(P528&gt;=O528,P528-O528,P528+1-O528))),"")</f>
        <v/>
      </c>
      <c r="R528" s="27"/>
      <c r="S528" s="47"/>
    </row>
    <row r="529" spans="1:20" ht="15" customHeight="1">
      <c r="A529" s="69">
        <v>46254</v>
      </c>
      <c r="B529" s="32">
        <f t="shared" ref="B529:B539" si="136">B528+TIME(0,60,0)</f>
        <v>0.87499999999999967</v>
      </c>
      <c r="C529" s="26"/>
      <c r="D529" s="59"/>
      <c r="E529" s="109"/>
      <c r="F529" s="135" t="str">
        <f>IFERROR(IF($D529="","",VLOOKUP($D529,Cadastro!$C$4:$E$7,3,FALSE)),"")</f>
        <v/>
      </c>
      <c r="G529" s="106"/>
      <c r="H529" s="135" t="str">
        <f>IFERROR(IF($G529="","",$G529*$S$540/$G$540/Cadastro!$E$33),"")</f>
        <v/>
      </c>
      <c r="I529" s="136" t="str">
        <f>IFERROR(IF($D529="","",VLOOKUP($D529,Cadastro!$C$4:$G$7,5,FALSE)),"")</f>
        <v/>
      </c>
      <c r="J529" s="137" t="str">
        <f t="shared" si="133"/>
        <v/>
      </c>
      <c r="K529" s="34" t="str">
        <f t="shared" si="134"/>
        <v/>
      </c>
      <c r="L529" s="33"/>
      <c r="M529" s="33"/>
      <c r="N529" s="33"/>
      <c r="O529" s="29"/>
      <c r="P529" s="29"/>
      <c r="Q529" s="35" t="str">
        <f t="shared" ca="1" si="135"/>
        <v/>
      </c>
      <c r="R529" s="27"/>
      <c r="S529" s="47"/>
    </row>
    <row r="530" spans="1:20" ht="15" customHeight="1">
      <c r="A530" s="68">
        <v>46254</v>
      </c>
      <c r="B530" s="25">
        <f t="shared" si="136"/>
        <v>0.9166666666666663</v>
      </c>
      <c r="C530" s="26"/>
      <c r="D530" s="59"/>
      <c r="E530" s="109"/>
      <c r="F530" s="135" t="str">
        <f>IFERROR(IF($D530="","",VLOOKUP($D530,Cadastro!$C$4:$E$7,3,FALSE)),"")</f>
        <v/>
      </c>
      <c r="G530" s="106"/>
      <c r="H530" s="135" t="str">
        <f>IFERROR(IF($G530="","",$G530*$S$540/$G$540/Cadastro!$E$33),"")</f>
        <v/>
      </c>
      <c r="I530" s="136" t="str">
        <f>IFERROR(IF($D530="","",VLOOKUP($D530,Cadastro!$C$4:$G$7,5,FALSE)),"")</f>
        <v/>
      </c>
      <c r="J530" s="137" t="str">
        <f t="shared" si="133"/>
        <v/>
      </c>
      <c r="K530" s="28" t="str">
        <f t="shared" si="134"/>
        <v/>
      </c>
      <c r="L530" s="26"/>
      <c r="M530" s="26"/>
      <c r="N530" s="26"/>
      <c r="O530" s="29"/>
      <c r="P530" s="29"/>
      <c r="Q530" s="30" t="str">
        <f t="shared" ca="1" si="135"/>
        <v/>
      </c>
      <c r="R530" s="27"/>
      <c r="S530" s="47"/>
    </row>
    <row r="531" spans="1:20" ht="15" customHeight="1">
      <c r="A531" s="69">
        <v>46254</v>
      </c>
      <c r="B531" s="32">
        <f t="shared" si="136"/>
        <v>0.95833333333333293</v>
      </c>
      <c r="C531" s="26"/>
      <c r="D531" s="59"/>
      <c r="E531" s="109"/>
      <c r="F531" s="135" t="str">
        <f>IFERROR(IF($D531="","",VLOOKUP($D531,Cadastro!$C$4:$E$7,3,FALSE)),"")</f>
        <v/>
      </c>
      <c r="G531" s="106"/>
      <c r="H531" s="135" t="str">
        <f>IFERROR(IF($G531="","",$G531*$S$540/$G$540/Cadastro!$E$33),"")</f>
        <v/>
      </c>
      <c r="I531" s="136" t="str">
        <f>IFERROR(IF($D531="","",VLOOKUP($D531,Cadastro!$C$4:$G$7,5,FALSE)),"")</f>
        <v/>
      </c>
      <c r="J531" s="137" t="str">
        <f t="shared" si="133"/>
        <v/>
      </c>
      <c r="K531" s="34" t="str">
        <f t="shared" si="134"/>
        <v/>
      </c>
      <c r="L531" s="33"/>
      <c r="M531" s="33"/>
      <c r="N531" s="33"/>
      <c r="O531" s="29"/>
      <c r="P531" s="29"/>
      <c r="Q531" s="35" t="str">
        <f t="shared" ca="1" si="135"/>
        <v/>
      </c>
      <c r="R531" s="27"/>
      <c r="S531" s="47"/>
    </row>
    <row r="532" spans="1:20" ht="15" customHeight="1">
      <c r="A532" s="68">
        <v>46254</v>
      </c>
      <c r="B532" s="25">
        <f t="shared" si="136"/>
        <v>0.99999999999999956</v>
      </c>
      <c r="C532" s="26"/>
      <c r="D532" s="59"/>
      <c r="E532" s="109"/>
      <c r="F532" s="135" t="str">
        <f>IFERROR(IF($D532="","",VLOOKUP($D532,Cadastro!$C$4:$E$7,3,FALSE)),"")</f>
        <v/>
      </c>
      <c r="G532" s="106"/>
      <c r="H532" s="135" t="str">
        <f>IFERROR(IF($G532="","",$G532*$S$540/$G$540/Cadastro!$E$33),"")</f>
        <v/>
      </c>
      <c r="I532" s="136" t="str">
        <f>IFERROR(IF($D532="","",VLOOKUP($D532,Cadastro!$C$4:$G$7,5,FALSE)),"")</f>
        <v/>
      </c>
      <c r="J532" s="137" t="str">
        <f t="shared" si="133"/>
        <v/>
      </c>
      <c r="K532" s="28" t="str">
        <f t="shared" si="134"/>
        <v/>
      </c>
      <c r="L532" s="26"/>
      <c r="M532" s="26"/>
      <c r="N532" s="26"/>
      <c r="O532" s="29"/>
      <c r="P532" s="29"/>
      <c r="Q532" s="30" t="str">
        <f t="shared" ca="1" si="135"/>
        <v/>
      </c>
      <c r="R532" s="27"/>
      <c r="S532" s="47"/>
    </row>
    <row r="533" spans="1:20" ht="15" customHeight="1">
      <c r="A533" s="69">
        <v>46254</v>
      </c>
      <c r="B533" s="32">
        <f t="shared" si="136"/>
        <v>1.0416666666666663</v>
      </c>
      <c r="C533" s="26"/>
      <c r="D533" s="59"/>
      <c r="E533" s="109"/>
      <c r="F533" s="135" t="str">
        <f>IFERROR(IF($D533="","",VLOOKUP($D533,Cadastro!$C$4:$E$7,3,FALSE)),"")</f>
        <v/>
      </c>
      <c r="G533" s="106"/>
      <c r="H533" s="135" t="str">
        <f>IFERROR(IF($G533="","",$G533*$S$540/$G$540/Cadastro!$E$33),"")</f>
        <v/>
      </c>
      <c r="I533" s="136" t="str">
        <f>IFERROR(IF($D533="","",VLOOKUP($D533,Cadastro!$C$4:$G$7,5,FALSE)),"")</f>
        <v/>
      </c>
      <c r="J533" s="137" t="str">
        <f t="shared" si="133"/>
        <v/>
      </c>
      <c r="K533" s="34" t="str">
        <f t="shared" si="134"/>
        <v/>
      </c>
      <c r="L533" s="33"/>
      <c r="M533" s="33"/>
      <c r="N533" s="33"/>
      <c r="O533" s="29"/>
      <c r="P533" s="29"/>
      <c r="Q533" s="35" t="str">
        <f t="shared" ca="1" si="135"/>
        <v/>
      </c>
      <c r="R533" s="27"/>
      <c r="S533" s="47"/>
    </row>
    <row r="534" spans="1:20" ht="15" customHeight="1">
      <c r="A534" s="68">
        <v>46254</v>
      </c>
      <c r="B534" s="25">
        <f t="shared" si="136"/>
        <v>1.083333333333333</v>
      </c>
      <c r="C534" s="26"/>
      <c r="D534" s="59"/>
      <c r="E534" s="109"/>
      <c r="F534" s="135" t="str">
        <f>IFERROR(IF($D534="","",VLOOKUP($D534,Cadastro!$C$4:$E$7,3,FALSE)),"")</f>
        <v/>
      </c>
      <c r="G534" s="106"/>
      <c r="H534" s="135" t="str">
        <f>IFERROR(IF($G534="","",$G534*$S$540/$G$540/Cadastro!$E$33),"")</f>
        <v/>
      </c>
      <c r="I534" s="136" t="str">
        <f>IFERROR(IF($D534="","",VLOOKUP($D534,Cadastro!$C$4:$G$7,5,FALSE)),"")</f>
        <v/>
      </c>
      <c r="J534" s="137" t="str">
        <f t="shared" si="133"/>
        <v/>
      </c>
      <c r="K534" s="28" t="str">
        <f t="shared" si="134"/>
        <v/>
      </c>
      <c r="L534" s="26"/>
      <c r="M534" s="26"/>
      <c r="N534" s="26"/>
      <c r="O534" s="29"/>
      <c r="P534" s="29"/>
      <c r="Q534" s="30" t="str">
        <f t="shared" ca="1" si="135"/>
        <v/>
      </c>
      <c r="R534" s="27"/>
      <c r="S534" s="47"/>
    </row>
    <row r="535" spans="1:20" ht="15" customHeight="1">
      <c r="A535" s="69">
        <v>46254</v>
      </c>
      <c r="B535" s="32">
        <f t="shared" si="136"/>
        <v>1.1249999999999998</v>
      </c>
      <c r="C535" s="26"/>
      <c r="D535" s="59"/>
      <c r="E535" s="109"/>
      <c r="F535" s="135" t="str">
        <f>IFERROR(IF($D535="","",VLOOKUP($D535,Cadastro!$C$4:$E$7,3,FALSE)),"")</f>
        <v/>
      </c>
      <c r="G535" s="106"/>
      <c r="H535" s="135" t="str">
        <f>IFERROR(IF($G535="","",$G535*$S$540/$G$540/Cadastro!$E$33),"")</f>
        <v/>
      </c>
      <c r="I535" s="136" t="str">
        <f>IFERROR(IF($D535="","",VLOOKUP($D535,Cadastro!$C$4:$G$7,5,FALSE)),"")</f>
        <v/>
      </c>
      <c r="J535" s="137" t="str">
        <f t="shared" si="133"/>
        <v/>
      </c>
      <c r="K535" s="34" t="str">
        <f t="shared" si="134"/>
        <v/>
      </c>
      <c r="L535" s="33"/>
      <c r="M535" s="33"/>
      <c r="N535" s="33"/>
      <c r="O535" s="29"/>
      <c r="P535" s="29"/>
      <c r="Q535" s="35" t="str">
        <f t="shared" ca="1" si="135"/>
        <v/>
      </c>
      <c r="R535" s="27"/>
      <c r="S535" s="47"/>
    </row>
    <row r="536" spans="1:20" ht="15" customHeight="1">
      <c r="A536" s="68">
        <v>46254</v>
      </c>
      <c r="B536" s="25">
        <f t="shared" si="136"/>
        <v>1.1666666666666665</v>
      </c>
      <c r="C536" s="26"/>
      <c r="D536" s="59"/>
      <c r="E536" s="109"/>
      <c r="F536" s="135" t="str">
        <f>IFERROR(IF($D536="","",VLOOKUP($D536,Cadastro!$C$4:$E$7,3,FALSE)),"")</f>
        <v/>
      </c>
      <c r="G536" s="106"/>
      <c r="H536" s="135" t="str">
        <f>IFERROR(IF($G536="","",$G536*$S$540/$G$540/Cadastro!$E$33),"")</f>
        <v/>
      </c>
      <c r="I536" s="136" t="str">
        <f>IFERROR(IF($D536="","",VLOOKUP($D536,Cadastro!$C$4:$G$7,5,FALSE)),"")</f>
        <v/>
      </c>
      <c r="J536" s="137" t="str">
        <f t="shared" si="133"/>
        <v/>
      </c>
      <c r="K536" s="28" t="str">
        <f t="shared" si="134"/>
        <v/>
      </c>
      <c r="L536" s="26"/>
      <c r="M536" s="26"/>
      <c r="N536" s="26"/>
      <c r="O536" s="29"/>
      <c r="P536" s="29"/>
      <c r="Q536" s="30" t="str">
        <f t="shared" ca="1" si="135"/>
        <v/>
      </c>
      <c r="R536" s="27"/>
      <c r="S536" s="47"/>
    </row>
    <row r="537" spans="1:20" ht="15" customHeight="1">
      <c r="A537" s="69">
        <v>46254</v>
      </c>
      <c r="B537" s="32">
        <f t="shared" si="136"/>
        <v>1.2083333333333333</v>
      </c>
      <c r="C537" s="26"/>
      <c r="D537" s="59"/>
      <c r="E537" s="109"/>
      <c r="F537" s="135" t="str">
        <f>IFERROR(IF($D537="","",VLOOKUP($D537,Cadastro!$C$4:$E$7,3,FALSE)),"")</f>
        <v/>
      </c>
      <c r="G537" s="106"/>
      <c r="H537" s="135" t="str">
        <f>IFERROR(IF($G537="","",$G537*$S$540/$G$540/Cadastro!$E$33),"")</f>
        <v/>
      </c>
      <c r="I537" s="136" t="str">
        <f>IFERROR(IF($D537="","",VLOOKUP($D537,Cadastro!$C$4:$G$7,5,FALSE)),"")</f>
        <v/>
      </c>
      <c r="J537" s="137" t="str">
        <f t="shared" si="133"/>
        <v/>
      </c>
      <c r="K537" s="34" t="str">
        <f t="shared" si="134"/>
        <v/>
      </c>
      <c r="L537" s="33"/>
      <c r="M537" s="33"/>
      <c r="N537" s="33"/>
      <c r="O537" s="29"/>
      <c r="P537" s="29"/>
      <c r="Q537" s="35" t="str">
        <f t="shared" ca="1" si="135"/>
        <v/>
      </c>
      <c r="R537" s="27"/>
      <c r="S537" s="47"/>
    </row>
    <row r="538" spans="1:20" ht="15" customHeight="1">
      <c r="A538" s="68">
        <v>46254</v>
      </c>
      <c r="B538" s="25">
        <f t="shared" si="136"/>
        <v>1.25</v>
      </c>
      <c r="C538" s="26"/>
      <c r="D538" s="59"/>
      <c r="E538" s="109"/>
      <c r="F538" s="135" t="str">
        <f>IFERROR(IF($D538="","",VLOOKUP($D538,Cadastro!$C$4:$E$7,3,FALSE)),"")</f>
        <v/>
      </c>
      <c r="G538" s="106"/>
      <c r="H538" s="135" t="str">
        <f>IFERROR(IF($G538="","",$G538*$S$540/$G$540/Cadastro!$E$33),"")</f>
        <v/>
      </c>
      <c r="I538" s="136" t="str">
        <f>IFERROR(IF($D538="","",VLOOKUP($D538,Cadastro!$C$4:$G$7,5,FALSE)),"")</f>
        <v/>
      </c>
      <c r="J538" s="137" t="str">
        <f t="shared" si="133"/>
        <v/>
      </c>
      <c r="K538" s="28" t="str">
        <f t="shared" si="134"/>
        <v/>
      </c>
      <c r="L538" s="26"/>
      <c r="M538" s="26"/>
      <c r="N538" s="26"/>
      <c r="O538" s="29"/>
      <c r="P538" s="29"/>
      <c r="Q538" s="30" t="str">
        <f t="shared" ca="1" si="135"/>
        <v/>
      </c>
      <c r="R538" s="27"/>
      <c r="S538" s="47"/>
    </row>
    <row r="539" spans="1:20" ht="15" customHeight="1" thickBot="1">
      <c r="A539" s="69">
        <v>46254</v>
      </c>
      <c r="B539" s="32">
        <f t="shared" si="136"/>
        <v>1.2916666666666667</v>
      </c>
      <c r="C539" s="26"/>
      <c r="D539" s="59"/>
      <c r="E539" s="109"/>
      <c r="F539" s="138" t="str">
        <f>IFERROR(IF($D539="","",VLOOKUP($D539,Cadastro!$C$4:$E$7,3,FALSE)),"")</f>
        <v/>
      </c>
      <c r="G539" s="106"/>
      <c r="H539" s="138" t="str">
        <f>IFERROR(IF($G539="","",$G539*$S$540/$G$540/Cadastro!$E$33),"")</f>
        <v/>
      </c>
      <c r="I539" s="139" t="str">
        <f>IFERROR(IF($D539="","",VLOOKUP($D539,Cadastro!$C$4:$G$7,5,FALSE)),"")</f>
        <v/>
      </c>
      <c r="J539" s="140" t="str">
        <f t="shared" si="133"/>
        <v/>
      </c>
      <c r="K539" s="34" t="str">
        <f t="shared" si="134"/>
        <v/>
      </c>
      <c r="L539" s="33"/>
      <c r="M539" s="33"/>
      <c r="N539" s="33"/>
      <c r="O539" s="29"/>
      <c r="P539" s="29"/>
      <c r="Q539" s="35" t="str">
        <f t="shared" ca="1" si="135"/>
        <v/>
      </c>
      <c r="R539" s="27"/>
      <c r="S539" s="47"/>
    </row>
    <row r="540" spans="1:20" ht="15.75" customHeight="1" thickBot="1">
      <c r="A540" s="152" t="s">
        <v>244</v>
      </c>
      <c r="B540" s="153"/>
      <c r="C540" s="153"/>
      <c r="D540" s="153"/>
      <c r="E540" s="153">
        <f>SUM(E528:E539)</f>
        <v>0</v>
      </c>
      <c r="F540" s="112"/>
      <c r="G540" s="81">
        <f>SUM(G528:G539)</f>
        <v>0</v>
      </c>
      <c r="H540" s="112">
        <f>IFERROR(SUM(H528:H539),"")</f>
        <v>0</v>
      </c>
      <c r="I540" s="116"/>
      <c r="J540" s="125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20">
        <f>IFERROR(J540,"")</f>
        <v>0</v>
      </c>
    </row>
    <row r="541" spans="1:20" ht="18" customHeight="1">
      <c r="A541" s="150" t="s">
        <v>245</v>
      </c>
      <c r="B541" s="151"/>
      <c r="C541" s="151"/>
      <c r="D541" s="151"/>
      <c r="E541" s="151">
        <f>E527+E540</f>
        <v>0</v>
      </c>
      <c r="F541" s="113"/>
      <c r="G541" s="92">
        <f>G527+G540</f>
        <v>0</v>
      </c>
      <c r="H541" s="113">
        <f>IFERROR(H527+H540,"")</f>
        <v>0</v>
      </c>
      <c r="I541" s="117"/>
      <c r="J541" s="126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2">
        <f>IFERROR(J541,"")</f>
        <v>0</v>
      </c>
    </row>
    <row r="542" spans="1:20" ht="15" customHeight="1">
      <c r="A542" s="68">
        <v>46255</v>
      </c>
      <c r="B542" s="25">
        <v>0.33333333333333298</v>
      </c>
      <c r="C542" s="26"/>
      <c r="D542" s="59"/>
      <c r="E542" s="109"/>
      <c r="F542" s="141" t="str">
        <f>IFERROR(IF($D542="","",VLOOKUP($D542,Cadastro!$C$4:$E$7,3,FALSE)),"")</f>
        <v/>
      </c>
      <c r="G542" s="106"/>
      <c r="H542" s="141" t="str">
        <f>IFERROR(IF($G542="","",$G542*$S$554/$G$554/Cadastro!$E$33),"")</f>
        <v/>
      </c>
      <c r="I542" s="142" t="str">
        <f>IFERROR(IF($D542="","",VLOOKUP($D542,Cadastro!$C$4:$G$7,5,FALSE)),"")</f>
        <v/>
      </c>
      <c r="J542" s="143" t="str">
        <f t="shared" ref="J542:J553" si="137">IFERROR(IF($H542="","",$H542*$F542*$I542),"")</f>
        <v/>
      </c>
      <c r="K542" s="28" t="str">
        <f t="shared" ref="K542:K553" si="138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9">IFERROR(IF(O542="","",IF(P542="",MOD(NOW()-O542,1),IF(P542&gt;=O542,P542-O542,P542+1-O542))),"")</f>
        <v/>
      </c>
      <c r="R542" s="27"/>
      <c r="S542" s="47"/>
    </row>
    <row r="543" spans="1:20" ht="15" customHeight="1">
      <c r="A543" s="69">
        <v>46255</v>
      </c>
      <c r="B543" s="32">
        <f t="shared" ref="B543:B553" si="140">B542+TIME(0,60,0)</f>
        <v>0.37499999999999967</v>
      </c>
      <c r="C543" s="26"/>
      <c r="D543" s="59"/>
      <c r="E543" s="109"/>
      <c r="F543" s="135" t="str">
        <f>IFERROR(IF($D543="","",VLOOKUP($D543,Cadastro!$C$4:$E$7,3,FALSE)),"")</f>
        <v/>
      </c>
      <c r="G543" s="106"/>
      <c r="H543" s="135" t="str">
        <f>IFERROR(IF($G543="","",$G543*$S$554/$G$554/Cadastro!$E$33),"")</f>
        <v/>
      </c>
      <c r="I543" s="136" t="str">
        <f>IFERROR(IF($D543="","",VLOOKUP($D543,Cadastro!$C$4:$G$7,5,FALSE)),"")</f>
        <v/>
      </c>
      <c r="J543" s="137" t="str">
        <f t="shared" si="137"/>
        <v/>
      </c>
      <c r="K543" s="34" t="str">
        <f t="shared" si="138"/>
        <v/>
      </c>
      <c r="L543" s="33"/>
      <c r="M543" s="33"/>
      <c r="N543" s="33"/>
      <c r="O543" s="29"/>
      <c r="P543" s="29"/>
      <c r="Q543" s="35" t="str">
        <f t="shared" ca="1" si="139"/>
        <v/>
      </c>
      <c r="R543" s="27"/>
      <c r="S543" s="47"/>
    </row>
    <row r="544" spans="1:20" ht="15" customHeight="1">
      <c r="A544" s="68">
        <v>46255</v>
      </c>
      <c r="B544" s="25">
        <f t="shared" si="140"/>
        <v>0.41666666666666635</v>
      </c>
      <c r="C544" s="26"/>
      <c r="D544" s="59"/>
      <c r="E544" s="109"/>
      <c r="F544" s="135" t="str">
        <f>IFERROR(IF($D544="","",VLOOKUP($D544,Cadastro!$C$4:$E$7,3,FALSE)),"")</f>
        <v/>
      </c>
      <c r="G544" s="106"/>
      <c r="H544" s="135" t="str">
        <f>IFERROR(IF($G544="","",$G544*$S$554/$G$554/Cadastro!$E$33),"")</f>
        <v/>
      </c>
      <c r="I544" s="136" t="str">
        <f>IFERROR(IF($D544="","",VLOOKUP($D544,Cadastro!$C$4:$G$7,5,FALSE)),"")</f>
        <v/>
      </c>
      <c r="J544" s="137" t="str">
        <f t="shared" si="137"/>
        <v/>
      </c>
      <c r="K544" s="28" t="str">
        <f t="shared" si="138"/>
        <v/>
      </c>
      <c r="L544" s="26"/>
      <c r="M544" s="26"/>
      <c r="N544" s="26"/>
      <c r="O544" s="29"/>
      <c r="P544" s="29"/>
      <c r="Q544" s="30" t="str">
        <f t="shared" ca="1" si="139"/>
        <v/>
      </c>
      <c r="R544" s="27"/>
      <c r="S544" s="47"/>
    </row>
    <row r="545" spans="1:20" ht="15" customHeight="1">
      <c r="A545" s="69">
        <v>46255</v>
      </c>
      <c r="B545" s="32">
        <f t="shared" si="140"/>
        <v>0.45833333333333304</v>
      </c>
      <c r="C545" s="26"/>
      <c r="D545" s="59"/>
      <c r="E545" s="109"/>
      <c r="F545" s="135" t="str">
        <f>IFERROR(IF($D545="","",VLOOKUP($D545,Cadastro!$C$4:$E$7,3,FALSE)),"")</f>
        <v/>
      </c>
      <c r="G545" s="106"/>
      <c r="H545" s="135" t="str">
        <f>IFERROR(IF($G545="","",$G545*$S$554/$G$554/Cadastro!$E$33),"")</f>
        <v/>
      </c>
      <c r="I545" s="136" t="str">
        <f>IFERROR(IF($D545="","",VLOOKUP($D545,Cadastro!$C$4:$G$7,5,FALSE)),"")</f>
        <v/>
      </c>
      <c r="J545" s="137" t="str">
        <f t="shared" si="137"/>
        <v/>
      </c>
      <c r="K545" s="34" t="str">
        <f t="shared" si="138"/>
        <v/>
      </c>
      <c r="L545" s="33"/>
      <c r="M545" s="33"/>
      <c r="N545" s="33"/>
      <c r="O545" s="29"/>
      <c r="P545" s="29"/>
      <c r="Q545" s="35" t="str">
        <f t="shared" ca="1" si="139"/>
        <v/>
      </c>
      <c r="R545" s="27"/>
      <c r="S545" s="47"/>
    </row>
    <row r="546" spans="1:20" ht="15" customHeight="1">
      <c r="A546" s="68">
        <v>46255</v>
      </c>
      <c r="B546" s="25">
        <f t="shared" si="140"/>
        <v>0.49999999999999972</v>
      </c>
      <c r="C546" s="26"/>
      <c r="D546" s="59"/>
      <c r="E546" s="109"/>
      <c r="F546" s="135" t="str">
        <f>IFERROR(IF($D546="","",VLOOKUP($D546,Cadastro!$C$4:$E$7,3,FALSE)),"")</f>
        <v/>
      </c>
      <c r="G546" s="106"/>
      <c r="H546" s="135" t="str">
        <f>IFERROR(IF($G546="","",$G546*$S$554/$G$554/Cadastro!$E$33),"")</f>
        <v/>
      </c>
      <c r="I546" s="136" t="str">
        <f>IFERROR(IF($D546="","",VLOOKUP($D546,Cadastro!$C$4:$G$7,5,FALSE)),"")</f>
        <v/>
      </c>
      <c r="J546" s="137" t="str">
        <f t="shared" si="137"/>
        <v/>
      </c>
      <c r="K546" s="28" t="str">
        <f t="shared" si="138"/>
        <v/>
      </c>
      <c r="L546" s="26"/>
      <c r="M546" s="26"/>
      <c r="N546" s="26"/>
      <c r="O546" s="29"/>
      <c r="P546" s="29"/>
      <c r="Q546" s="30" t="str">
        <f t="shared" ca="1" si="139"/>
        <v/>
      </c>
      <c r="R546" s="27"/>
      <c r="S546" s="47"/>
    </row>
    <row r="547" spans="1:20" ht="15" customHeight="1">
      <c r="A547" s="69">
        <v>46255</v>
      </c>
      <c r="B547" s="32">
        <f t="shared" si="140"/>
        <v>0.54166666666666641</v>
      </c>
      <c r="C547" s="26"/>
      <c r="D547" s="59"/>
      <c r="E547" s="109"/>
      <c r="F547" s="135" t="str">
        <f>IFERROR(IF($D547="","",VLOOKUP($D547,Cadastro!$C$4:$E$7,3,FALSE)),"")</f>
        <v/>
      </c>
      <c r="G547" s="106"/>
      <c r="H547" s="135" t="str">
        <f>IFERROR(IF($G547="","",$G547*$S$554/$G$554/Cadastro!$E$33),"")</f>
        <v/>
      </c>
      <c r="I547" s="136" t="str">
        <f>IFERROR(IF($D547="","",VLOOKUP($D547,Cadastro!$C$4:$G$7,5,FALSE)),"")</f>
        <v/>
      </c>
      <c r="J547" s="137" t="str">
        <f t="shared" si="137"/>
        <v/>
      </c>
      <c r="K547" s="34" t="str">
        <f t="shared" si="138"/>
        <v/>
      </c>
      <c r="L547" s="33"/>
      <c r="M547" s="33"/>
      <c r="N547" s="33"/>
      <c r="O547" s="29"/>
      <c r="P547" s="29"/>
      <c r="Q547" s="35" t="str">
        <f t="shared" ca="1" si="139"/>
        <v/>
      </c>
      <c r="R547" s="27"/>
      <c r="S547" s="47"/>
    </row>
    <row r="548" spans="1:20" ht="15" customHeight="1">
      <c r="A548" s="68">
        <v>46255</v>
      </c>
      <c r="B548" s="25">
        <f t="shared" si="140"/>
        <v>0.58333333333333304</v>
      </c>
      <c r="C548" s="26"/>
      <c r="D548" s="59"/>
      <c r="E548" s="109"/>
      <c r="F548" s="135" t="str">
        <f>IFERROR(IF($D548="","",VLOOKUP($D548,Cadastro!$C$4:$E$7,3,FALSE)),"")</f>
        <v/>
      </c>
      <c r="G548" s="106"/>
      <c r="H548" s="135" t="str">
        <f>IFERROR(IF($G548="","",$G548*$S$554/$G$554/Cadastro!$E$33),"")</f>
        <v/>
      </c>
      <c r="I548" s="136" t="str">
        <f>IFERROR(IF($D548="","",VLOOKUP($D548,Cadastro!$C$4:$G$7,5,FALSE)),"")</f>
        <v/>
      </c>
      <c r="J548" s="137" t="str">
        <f t="shared" si="137"/>
        <v/>
      </c>
      <c r="K548" s="28" t="str">
        <f t="shared" si="138"/>
        <v/>
      </c>
      <c r="L548" s="26"/>
      <c r="M548" s="26"/>
      <c r="N548" s="26"/>
      <c r="O548" s="29"/>
      <c r="P548" s="29"/>
      <c r="Q548" s="30" t="str">
        <f t="shared" ca="1" si="139"/>
        <v/>
      </c>
      <c r="R548" s="27"/>
      <c r="S548" s="47"/>
    </row>
    <row r="549" spans="1:20" ht="15" customHeight="1">
      <c r="A549" s="69">
        <v>46255</v>
      </c>
      <c r="B549" s="32">
        <f t="shared" si="140"/>
        <v>0.62499999999999967</v>
      </c>
      <c r="C549" s="26"/>
      <c r="D549" s="59"/>
      <c r="E549" s="109"/>
      <c r="F549" s="135" t="str">
        <f>IFERROR(IF($D549="","",VLOOKUP($D549,Cadastro!$C$4:$E$7,3,FALSE)),"")</f>
        <v/>
      </c>
      <c r="G549" s="106"/>
      <c r="H549" s="135" t="str">
        <f>IFERROR(IF($G549="","",$G549*$S$554/$G$554/Cadastro!$E$33),"")</f>
        <v/>
      </c>
      <c r="I549" s="136" t="str">
        <f>IFERROR(IF($D549="","",VLOOKUP($D549,Cadastro!$C$4:$G$7,5,FALSE)),"")</f>
        <v/>
      </c>
      <c r="J549" s="137" t="str">
        <f t="shared" si="137"/>
        <v/>
      </c>
      <c r="K549" s="34" t="str">
        <f t="shared" si="138"/>
        <v/>
      </c>
      <c r="L549" s="33"/>
      <c r="M549" s="33"/>
      <c r="N549" s="33"/>
      <c r="O549" s="29"/>
      <c r="P549" s="29"/>
      <c r="Q549" s="35" t="str">
        <f t="shared" ca="1" si="139"/>
        <v/>
      </c>
      <c r="R549" s="27"/>
      <c r="S549" s="47"/>
    </row>
    <row r="550" spans="1:20" ht="15" customHeight="1">
      <c r="A550" s="68">
        <v>46255</v>
      </c>
      <c r="B550" s="25">
        <f t="shared" si="140"/>
        <v>0.6666666666666663</v>
      </c>
      <c r="C550" s="26"/>
      <c r="D550" s="59"/>
      <c r="E550" s="109"/>
      <c r="F550" s="135" t="str">
        <f>IFERROR(IF($D550="","",VLOOKUP($D550,Cadastro!$C$4:$E$7,3,FALSE)),"")</f>
        <v/>
      </c>
      <c r="G550" s="106"/>
      <c r="H550" s="135" t="str">
        <f>IFERROR(IF($G550="","",$G550*$S$554/$G$554/Cadastro!$E$33),"")</f>
        <v/>
      </c>
      <c r="I550" s="136" t="str">
        <f>IFERROR(IF($D550="","",VLOOKUP($D550,Cadastro!$C$4:$G$7,5,FALSE)),"")</f>
        <v/>
      </c>
      <c r="J550" s="137" t="str">
        <f t="shared" si="137"/>
        <v/>
      </c>
      <c r="K550" s="28" t="str">
        <f t="shared" si="138"/>
        <v/>
      </c>
      <c r="L550" s="26"/>
      <c r="M550" s="26"/>
      <c r="N550" s="26"/>
      <c r="O550" s="29"/>
      <c r="P550" s="29"/>
      <c r="Q550" s="30" t="str">
        <f t="shared" ca="1" si="139"/>
        <v/>
      </c>
      <c r="R550" s="27"/>
      <c r="S550" s="47"/>
    </row>
    <row r="551" spans="1:20" ht="15" customHeight="1">
      <c r="A551" s="69">
        <v>46255</v>
      </c>
      <c r="B551" s="32">
        <f t="shared" si="140"/>
        <v>0.70833333333333293</v>
      </c>
      <c r="C551" s="26"/>
      <c r="D551" s="59"/>
      <c r="E551" s="109"/>
      <c r="F551" s="135" t="str">
        <f>IFERROR(IF($D551="","",VLOOKUP($D551,Cadastro!$C$4:$E$7,3,FALSE)),"")</f>
        <v/>
      </c>
      <c r="G551" s="106"/>
      <c r="H551" s="135" t="str">
        <f>IFERROR(IF($G551="","",$G551*$S$554/$G$554/Cadastro!$E$33),"")</f>
        <v/>
      </c>
      <c r="I551" s="136" t="str">
        <f>IFERROR(IF($D551="","",VLOOKUP($D551,Cadastro!$C$4:$G$7,5,FALSE)),"")</f>
        <v/>
      </c>
      <c r="J551" s="137" t="str">
        <f t="shared" si="137"/>
        <v/>
      </c>
      <c r="K551" s="34" t="str">
        <f t="shared" si="138"/>
        <v/>
      </c>
      <c r="L551" s="33"/>
      <c r="M551" s="33"/>
      <c r="N551" s="33"/>
      <c r="O551" s="29"/>
      <c r="P551" s="29"/>
      <c r="Q551" s="35" t="str">
        <f t="shared" ca="1" si="139"/>
        <v/>
      </c>
      <c r="R551" s="27"/>
      <c r="S551" s="47"/>
    </row>
    <row r="552" spans="1:20" ht="15" customHeight="1">
      <c r="A552" s="68">
        <v>46255</v>
      </c>
      <c r="B552" s="25">
        <f t="shared" si="140"/>
        <v>0.74999999999999956</v>
      </c>
      <c r="C552" s="26"/>
      <c r="D552" s="59"/>
      <c r="E552" s="109"/>
      <c r="F552" s="135" t="str">
        <f>IFERROR(IF($D552="","",VLOOKUP($D552,Cadastro!$C$4:$E$7,3,FALSE)),"")</f>
        <v/>
      </c>
      <c r="G552" s="106"/>
      <c r="H552" s="135" t="str">
        <f>IFERROR(IF($G552="","",$G552*$S$554/$G$554/Cadastro!$E$33),"")</f>
        <v/>
      </c>
      <c r="I552" s="136" t="str">
        <f>IFERROR(IF($D552="","",VLOOKUP($D552,Cadastro!$C$4:$G$7,5,FALSE)),"")</f>
        <v/>
      </c>
      <c r="J552" s="137" t="str">
        <f t="shared" si="137"/>
        <v/>
      </c>
      <c r="K552" s="28" t="str">
        <f t="shared" si="138"/>
        <v/>
      </c>
      <c r="L552" s="26"/>
      <c r="M552" s="26"/>
      <c r="N552" s="26"/>
      <c r="O552" s="29"/>
      <c r="P552" s="29"/>
      <c r="Q552" s="30" t="str">
        <f t="shared" ca="1" si="139"/>
        <v/>
      </c>
      <c r="R552" s="27"/>
      <c r="S552" s="47"/>
    </row>
    <row r="553" spans="1:20" ht="15" customHeight="1" thickBot="1">
      <c r="A553" s="69">
        <v>46255</v>
      </c>
      <c r="B553" s="32">
        <f t="shared" si="140"/>
        <v>0.79166666666666619</v>
      </c>
      <c r="C553" s="26"/>
      <c r="D553" s="59"/>
      <c r="E553" s="109"/>
      <c r="F553" s="138" t="str">
        <f>IFERROR(IF($D553="","",VLOOKUP($D553,Cadastro!$C$4:$E$7,3,FALSE)),"")</f>
        <v/>
      </c>
      <c r="G553" s="106"/>
      <c r="H553" s="138" t="str">
        <f>IFERROR(IF($G553="","",$G553*$S$554/$G$554/Cadastro!$E$33),"")</f>
        <v/>
      </c>
      <c r="I553" s="139" t="str">
        <f>IFERROR(IF($D553="","",VLOOKUP($D553,Cadastro!$C$4:$G$7,5,FALSE)),"")</f>
        <v/>
      </c>
      <c r="J553" s="140" t="str">
        <f t="shared" si="137"/>
        <v/>
      </c>
      <c r="K553" s="34" t="str">
        <f t="shared" si="138"/>
        <v/>
      </c>
      <c r="L553" s="33"/>
      <c r="M553" s="33"/>
      <c r="N553" s="33"/>
      <c r="O553" s="29"/>
      <c r="P553" s="29"/>
      <c r="Q553" s="35" t="str">
        <f t="shared" ca="1" si="139"/>
        <v/>
      </c>
      <c r="R553" s="27"/>
      <c r="S553" s="47"/>
    </row>
    <row r="554" spans="1:20" ht="15.75" customHeight="1" thickBot="1">
      <c r="A554" s="152" t="s">
        <v>241</v>
      </c>
      <c r="B554" s="153"/>
      <c r="C554" s="153"/>
      <c r="D554" s="153"/>
      <c r="E554" s="153">
        <f>SUM(E542:E553)</f>
        <v>0</v>
      </c>
      <c r="F554" s="111"/>
      <c r="G554" s="81">
        <f>SUM(G542:G553)</f>
        <v>0</v>
      </c>
      <c r="H554" s="111">
        <f>IFERROR(SUM(H542:H553),"")</f>
        <v>0</v>
      </c>
      <c r="I554" s="115"/>
      <c r="J554" s="124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20">
        <f>IFERROR(J554,"")</f>
        <v>0</v>
      </c>
    </row>
    <row r="555" spans="1:20" ht="15" customHeight="1">
      <c r="A555" s="69">
        <v>46255</v>
      </c>
      <c r="B555" s="32">
        <v>0.83333333333333304</v>
      </c>
      <c r="C555" s="33"/>
      <c r="D555" s="62"/>
      <c r="E555" s="110"/>
      <c r="F555" s="141" t="str">
        <f>IFERROR(IF($D555="","",VLOOKUP($D555,Cadastro!$C$4:$E$7,3,FALSE)),"")</f>
        <v/>
      </c>
      <c r="G555" s="106"/>
      <c r="H555" s="141" t="str">
        <f>IFERROR(IF($G555="","",$G555*$S$567/$G$567/Cadastro!$E$33),"")</f>
        <v/>
      </c>
      <c r="I555" s="142" t="str">
        <f>IFERROR(IF($D555="","",VLOOKUP($D555,Cadastro!$C$4:$G$7,5,FALSE)),"")</f>
        <v/>
      </c>
      <c r="J555" s="143" t="str">
        <f t="shared" ref="J555:J566" si="141">IFERROR(IF($H555="","",$H555*$F555*$I555),"")</f>
        <v/>
      </c>
      <c r="K555" s="34" t="str">
        <f t="shared" ref="K555:K566" si="142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3">IFERROR(IF(O555="","",IF(P555="",MOD(NOW()-O555,1),IF(P555&gt;=O555,P555-O555,P555+1-O555))),"")</f>
        <v/>
      </c>
      <c r="R555" s="27"/>
      <c r="S555" s="47"/>
    </row>
    <row r="556" spans="1:20" ht="15" customHeight="1">
      <c r="A556" s="68">
        <v>46255</v>
      </c>
      <c r="B556" s="25">
        <f t="shared" ref="B556:B566" si="144">B555+TIME(0,60,0)</f>
        <v>0.87499999999999967</v>
      </c>
      <c r="C556" s="33"/>
      <c r="D556" s="62"/>
      <c r="E556" s="110"/>
      <c r="F556" s="135" t="str">
        <f>IFERROR(IF($D556="","",VLOOKUP($D556,Cadastro!$C$4:$E$7,3,FALSE)),"")</f>
        <v/>
      </c>
      <c r="G556" s="106"/>
      <c r="H556" s="135" t="str">
        <f>IFERROR(IF($G556="","",$G556*$S$567/$G$567/Cadastro!$E$33),"")</f>
        <v/>
      </c>
      <c r="I556" s="136" t="str">
        <f>IFERROR(IF($D556="","",VLOOKUP($D556,Cadastro!$C$4:$G$7,5,FALSE)),"")</f>
        <v/>
      </c>
      <c r="J556" s="137" t="str">
        <f t="shared" si="141"/>
        <v/>
      </c>
      <c r="K556" s="28" t="str">
        <f t="shared" si="142"/>
        <v/>
      </c>
      <c r="L556" s="26"/>
      <c r="M556" s="26"/>
      <c r="N556" s="26"/>
      <c r="O556" s="29"/>
      <c r="P556" s="29"/>
      <c r="Q556" s="30" t="str">
        <f t="shared" ca="1" si="143"/>
        <v/>
      </c>
      <c r="R556" s="27"/>
      <c r="S556" s="47"/>
    </row>
    <row r="557" spans="1:20" ht="15" customHeight="1">
      <c r="A557" s="69">
        <v>46255</v>
      </c>
      <c r="B557" s="32">
        <f t="shared" si="144"/>
        <v>0.9166666666666663</v>
      </c>
      <c r="C557" s="33"/>
      <c r="D557" s="62"/>
      <c r="E557" s="110"/>
      <c r="F557" s="135" t="str">
        <f>IFERROR(IF($D557="","",VLOOKUP($D557,Cadastro!$C$4:$E$7,3,FALSE)),"")</f>
        <v/>
      </c>
      <c r="G557" s="106"/>
      <c r="H557" s="135" t="str">
        <f>IFERROR(IF($G557="","",$G557*$S$567/$G$567/Cadastro!$E$33),"")</f>
        <v/>
      </c>
      <c r="I557" s="136" t="str">
        <f>IFERROR(IF($D557="","",VLOOKUP($D557,Cadastro!$C$4:$G$7,5,FALSE)),"")</f>
        <v/>
      </c>
      <c r="J557" s="137" t="str">
        <f t="shared" si="141"/>
        <v/>
      </c>
      <c r="K557" s="34" t="str">
        <f t="shared" si="142"/>
        <v/>
      </c>
      <c r="L557" s="33"/>
      <c r="M557" s="33"/>
      <c r="N557" s="33"/>
      <c r="O557" s="29"/>
      <c r="P557" s="29"/>
      <c r="Q557" s="35" t="str">
        <f t="shared" ca="1" si="143"/>
        <v/>
      </c>
      <c r="R557" s="27"/>
      <c r="S557" s="47"/>
    </row>
    <row r="558" spans="1:20" ht="15" customHeight="1">
      <c r="A558" s="68">
        <v>46255</v>
      </c>
      <c r="B558" s="25">
        <f t="shared" si="144"/>
        <v>0.95833333333333293</v>
      </c>
      <c r="C558" s="33"/>
      <c r="D558" s="62"/>
      <c r="E558" s="110"/>
      <c r="F558" s="135" t="str">
        <f>IFERROR(IF($D558="","",VLOOKUP($D558,Cadastro!$C$4:$E$7,3,FALSE)),"")</f>
        <v/>
      </c>
      <c r="G558" s="106"/>
      <c r="H558" s="135" t="str">
        <f>IFERROR(IF($G558="","",$G558*$S$567/$G$567/Cadastro!$E$33),"")</f>
        <v/>
      </c>
      <c r="I558" s="136" t="str">
        <f>IFERROR(IF($D558="","",VLOOKUP($D558,Cadastro!$C$4:$G$7,5,FALSE)),"")</f>
        <v/>
      </c>
      <c r="J558" s="137" t="str">
        <f t="shared" si="141"/>
        <v/>
      </c>
      <c r="K558" s="28" t="str">
        <f t="shared" si="142"/>
        <v/>
      </c>
      <c r="L558" s="26"/>
      <c r="M558" s="26"/>
      <c r="N558" s="26"/>
      <c r="O558" s="29"/>
      <c r="P558" s="29"/>
      <c r="Q558" s="30" t="str">
        <f t="shared" ca="1" si="143"/>
        <v/>
      </c>
      <c r="R558" s="27"/>
      <c r="S558" s="47"/>
    </row>
    <row r="559" spans="1:20" ht="15" customHeight="1">
      <c r="A559" s="69">
        <v>46255</v>
      </c>
      <c r="B559" s="32">
        <f t="shared" si="144"/>
        <v>0.99999999999999956</v>
      </c>
      <c r="C559" s="33"/>
      <c r="D559" s="62"/>
      <c r="E559" s="110"/>
      <c r="F559" s="135" t="str">
        <f>IFERROR(IF($D559="","",VLOOKUP($D559,Cadastro!$C$4:$E$7,3,FALSE)),"")</f>
        <v/>
      </c>
      <c r="G559" s="106"/>
      <c r="H559" s="135" t="str">
        <f>IFERROR(IF($G559="","",$G559*$S$567/$G$567/Cadastro!$E$33),"")</f>
        <v/>
      </c>
      <c r="I559" s="136" t="str">
        <f>IFERROR(IF($D559="","",VLOOKUP($D559,Cadastro!$C$4:$G$7,5,FALSE)),"")</f>
        <v/>
      </c>
      <c r="J559" s="137" t="str">
        <f t="shared" si="141"/>
        <v/>
      </c>
      <c r="K559" s="34" t="str">
        <f t="shared" si="142"/>
        <v/>
      </c>
      <c r="L559" s="33"/>
      <c r="M559" s="33"/>
      <c r="N559" s="33"/>
      <c r="O559" s="29"/>
      <c r="P559" s="29"/>
      <c r="Q559" s="35" t="str">
        <f t="shared" ca="1" si="143"/>
        <v/>
      </c>
      <c r="R559" s="27"/>
      <c r="S559" s="47"/>
    </row>
    <row r="560" spans="1:20" ht="15" customHeight="1">
      <c r="A560" s="68">
        <v>46255</v>
      </c>
      <c r="B560" s="25">
        <f t="shared" si="144"/>
        <v>1.0416666666666663</v>
      </c>
      <c r="C560" s="33"/>
      <c r="D560" s="62"/>
      <c r="E560" s="110"/>
      <c r="F560" s="135" t="str">
        <f>IFERROR(IF($D560="","",VLOOKUP($D560,Cadastro!$C$4:$E$7,3,FALSE)),"")</f>
        <v/>
      </c>
      <c r="G560" s="106"/>
      <c r="H560" s="135" t="str">
        <f>IFERROR(IF($G560="","",$G560*$S$567/$G$567/Cadastro!$E$33),"")</f>
        <v/>
      </c>
      <c r="I560" s="136" t="str">
        <f>IFERROR(IF($D560="","",VLOOKUP($D560,Cadastro!$C$4:$G$7,5,FALSE)),"")</f>
        <v/>
      </c>
      <c r="J560" s="137" t="str">
        <f t="shared" si="141"/>
        <v/>
      </c>
      <c r="K560" s="28" t="str">
        <f t="shared" si="142"/>
        <v/>
      </c>
      <c r="L560" s="26"/>
      <c r="M560" s="26"/>
      <c r="N560" s="26"/>
      <c r="O560" s="29"/>
      <c r="P560" s="29"/>
      <c r="Q560" s="30" t="str">
        <f t="shared" ca="1" si="143"/>
        <v/>
      </c>
      <c r="R560" s="27"/>
      <c r="S560" s="47"/>
    </row>
    <row r="561" spans="1:20" ht="15" customHeight="1">
      <c r="A561" s="69">
        <v>46255</v>
      </c>
      <c r="B561" s="32">
        <f t="shared" si="144"/>
        <v>1.083333333333333</v>
      </c>
      <c r="C561" s="33"/>
      <c r="D561" s="62"/>
      <c r="E561" s="110"/>
      <c r="F561" s="135" t="str">
        <f>IFERROR(IF($D561="","",VLOOKUP($D561,Cadastro!$C$4:$E$7,3,FALSE)),"")</f>
        <v/>
      </c>
      <c r="G561" s="106"/>
      <c r="H561" s="135" t="str">
        <f>IFERROR(IF($G561="","",$G561*$S$567/$G$567/Cadastro!$E$33),"")</f>
        <v/>
      </c>
      <c r="I561" s="136" t="str">
        <f>IFERROR(IF($D561="","",VLOOKUP($D561,Cadastro!$C$4:$G$7,5,FALSE)),"")</f>
        <v/>
      </c>
      <c r="J561" s="137" t="str">
        <f t="shared" si="141"/>
        <v/>
      </c>
      <c r="K561" s="34" t="str">
        <f t="shared" si="142"/>
        <v/>
      </c>
      <c r="L561" s="33"/>
      <c r="M561" s="33"/>
      <c r="N561" s="33"/>
      <c r="O561" s="29"/>
      <c r="P561" s="29"/>
      <c r="Q561" s="35" t="str">
        <f t="shared" ca="1" si="143"/>
        <v/>
      </c>
      <c r="R561" s="27"/>
      <c r="S561" s="47"/>
    </row>
    <row r="562" spans="1:20" ht="15" customHeight="1">
      <c r="A562" s="68">
        <v>46255</v>
      </c>
      <c r="B562" s="25">
        <f t="shared" si="144"/>
        <v>1.1249999999999998</v>
      </c>
      <c r="C562" s="33"/>
      <c r="D562" s="62"/>
      <c r="E562" s="110"/>
      <c r="F562" s="135" t="str">
        <f>IFERROR(IF($D562="","",VLOOKUP($D562,Cadastro!$C$4:$E$7,3,FALSE)),"")</f>
        <v/>
      </c>
      <c r="G562" s="106"/>
      <c r="H562" s="135" t="str">
        <f>IFERROR(IF($G562="","",$G562*$S$567/$G$567/Cadastro!$E$33),"")</f>
        <v/>
      </c>
      <c r="I562" s="136" t="str">
        <f>IFERROR(IF($D562="","",VLOOKUP($D562,Cadastro!$C$4:$G$7,5,FALSE)),"")</f>
        <v/>
      </c>
      <c r="J562" s="137" t="str">
        <f t="shared" si="141"/>
        <v/>
      </c>
      <c r="K562" s="28" t="str">
        <f t="shared" si="142"/>
        <v/>
      </c>
      <c r="L562" s="26"/>
      <c r="M562" s="26"/>
      <c r="N562" s="26"/>
      <c r="O562" s="29"/>
      <c r="P562" s="29"/>
      <c r="Q562" s="30" t="str">
        <f t="shared" ca="1" si="143"/>
        <v/>
      </c>
      <c r="R562" s="27"/>
      <c r="S562" s="47"/>
    </row>
    <row r="563" spans="1:20" ht="15" customHeight="1">
      <c r="A563" s="69">
        <v>46255</v>
      </c>
      <c r="B563" s="32">
        <f t="shared" si="144"/>
        <v>1.1666666666666665</v>
      </c>
      <c r="C563" s="33"/>
      <c r="D563" s="62"/>
      <c r="E563" s="110"/>
      <c r="F563" s="135" t="str">
        <f>IFERROR(IF($D563="","",VLOOKUP($D563,Cadastro!$C$4:$E$7,3,FALSE)),"")</f>
        <v/>
      </c>
      <c r="G563" s="106"/>
      <c r="H563" s="135" t="str">
        <f>IFERROR(IF($G563="","",$G563*$S$567/$G$567/Cadastro!$E$33),"")</f>
        <v/>
      </c>
      <c r="I563" s="136" t="str">
        <f>IFERROR(IF($D563="","",VLOOKUP($D563,Cadastro!$C$4:$G$7,5,FALSE)),"")</f>
        <v/>
      </c>
      <c r="J563" s="137" t="str">
        <f t="shared" si="141"/>
        <v/>
      </c>
      <c r="K563" s="34" t="str">
        <f t="shared" si="142"/>
        <v/>
      </c>
      <c r="L563" s="33"/>
      <c r="M563" s="33"/>
      <c r="N563" s="33"/>
      <c r="O563" s="29"/>
      <c r="P563" s="29"/>
      <c r="Q563" s="35" t="str">
        <f t="shared" ca="1" si="143"/>
        <v/>
      </c>
      <c r="R563" s="27"/>
      <c r="S563" s="47"/>
    </row>
    <row r="564" spans="1:20" ht="15" customHeight="1">
      <c r="A564" s="68">
        <v>46255</v>
      </c>
      <c r="B564" s="25">
        <f t="shared" si="144"/>
        <v>1.2083333333333333</v>
      </c>
      <c r="C564" s="33"/>
      <c r="D564" s="62"/>
      <c r="E564" s="110"/>
      <c r="F564" s="135" t="str">
        <f>IFERROR(IF($D564="","",VLOOKUP($D564,Cadastro!$C$4:$E$7,3,FALSE)),"")</f>
        <v/>
      </c>
      <c r="G564" s="106"/>
      <c r="H564" s="135" t="str">
        <f>IFERROR(IF($G564="","",$G564*$S$567/$G$567/Cadastro!$E$33),"")</f>
        <v/>
      </c>
      <c r="I564" s="136" t="str">
        <f>IFERROR(IF($D564="","",VLOOKUP($D564,Cadastro!$C$4:$G$7,5,FALSE)),"")</f>
        <v/>
      </c>
      <c r="J564" s="137" t="str">
        <f t="shared" si="141"/>
        <v/>
      </c>
      <c r="K564" s="28" t="str">
        <f t="shared" si="142"/>
        <v/>
      </c>
      <c r="L564" s="26"/>
      <c r="M564" s="26"/>
      <c r="N564" s="26"/>
      <c r="O564" s="29"/>
      <c r="P564" s="29"/>
      <c r="Q564" s="30" t="str">
        <f t="shared" ca="1" si="143"/>
        <v/>
      </c>
      <c r="R564" s="27"/>
      <c r="S564" s="47"/>
    </row>
    <row r="565" spans="1:20" ht="15" customHeight="1">
      <c r="A565" s="69">
        <v>46255</v>
      </c>
      <c r="B565" s="32">
        <f t="shared" si="144"/>
        <v>1.25</v>
      </c>
      <c r="C565" s="33"/>
      <c r="D565" s="62"/>
      <c r="E565" s="110"/>
      <c r="F565" s="135" t="str">
        <f>IFERROR(IF($D565="","",VLOOKUP($D565,Cadastro!$C$4:$E$7,3,FALSE)),"")</f>
        <v/>
      </c>
      <c r="G565" s="106"/>
      <c r="H565" s="135" t="str">
        <f>IFERROR(IF($G565="","",$G565*$S$567/$G$567/Cadastro!$E$33),"")</f>
        <v/>
      </c>
      <c r="I565" s="136" t="str">
        <f>IFERROR(IF($D565="","",VLOOKUP($D565,Cadastro!$C$4:$G$7,5,FALSE)),"")</f>
        <v/>
      </c>
      <c r="J565" s="137" t="str">
        <f t="shared" si="141"/>
        <v/>
      </c>
      <c r="K565" s="34" t="str">
        <f t="shared" si="142"/>
        <v/>
      </c>
      <c r="L565" s="33"/>
      <c r="M565" s="33"/>
      <c r="N565" s="33"/>
      <c r="O565" s="29"/>
      <c r="P565" s="29"/>
      <c r="Q565" s="35" t="str">
        <f t="shared" ca="1" si="143"/>
        <v/>
      </c>
      <c r="R565" s="27"/>
      <c r="S565" s="47"/>
    </row>
    <row r="566" spans="1:20" ht="15" customHeight="1" thickBot="1">
      <c r="A566" s="68">
        <v>46255</v>
      </c>
      <c r="B566" s="25">
        <f t="shared" si="144"/>
        <v>1.2916666666666667</v>
      </c>
      <c r="C566" s="33"/>
      <c r="D566" s="62"/>
      <c r="E566" s="110"/>
      <c r="F566" s="138" t="str">
        <f>IFERROR(IF($D566="","",VLOOKUP($D566,Cadastro!$C$4:$E$7,3,FALSE)),"")</f>
        <v/>
      </c>
      <c r="G566" s="106"/>
      <c r="H566" s="138" t="str">
        <f>IFERROR(IF($G566="","",$G566*$S$567/$G$567/Cadastro!$E$33),"")</f>
        <v/>
      </c>
      <c r="I566" s="139" t="str">
        <f>IFERROR(IF($D566="","",VLOOKUP($D566,Cadastro!$C$4:$G$7,5,FALSE)),"")</f>
        <v/>
      </c>
      <c r="J566" s="140" t="str">
        <f t="shared" si="141"/>
        <v/>
      </c>
      <c r="K566" s="28" t="str">
        <f t="shared" si="142"/>
        <v/>
      </c>
      <c r="L566" s="26"/>
      <c r="M566" s="26"/>
      <c r="N566" s="26"/>
      <c r="O566" s="29"/>
      <c r="P566" s="29"/>
      <c r="Q566" s="30" t="str">
        <f t="shared" ca="1" si="143"/>
        <v/>
      </c>
      <c r="R566" s="27"/>
      <c r="S566" s="47"/>
    </row>
    <row r="567" spans="1:20" ht="15.75" customHeight="1" thickBot="1">
      <c r="A567" s="152" t="s">
        <v>244</v>
      </c>
      <c r="B567" s="153"/>
      <c r="C567" s="153"/>
      <c r="D567" s="153"/>
      <c r="E567" s="153">
        <f>SUM(E555:E566)</f>
        <v>0</v>
      </c>
      <c r="F567" s="112"/>
      <c r="G567" s="81">
        <f>SUM(G555:G566)</f>
        <v>0</v>
      </c>
      <c r="H567" s="112">
        <f>IFERROR(SUM(H555:H566),"")</f>
        <v>0</v>
      </c>
      <c r="I567" s="116"/>
      <c r="J567" s="125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20">
        <f>IFERROR(J567,"")</f>
        <v>0</v>
      </c>
    </row>
    <row r="568" spans="1:20" ht="18" customHeight="1">
      <c r="A568" s="150" t="s">
        <v>245</v>
      </c>
      <c r="B568" s="151"/>
      <c r="C568" s="151"/>
      <c r="D568" s="151"/>
      <c r="E568" s="151">
        <f>E554+E567</f>
        <v>0</v>
      </c>
      <c r="F568" s="113"/>
      <c r="G568" s="92">
        <f>G554+G567</f>
        <v>0</v>
      </c>
      <c r="H568" s="113">
        <f>IFERROR(H554+H567,"")</f>
        <v>0</v>
      </c>
      <c r="I568" s="117"/>
      <c r="J568" s="126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2">
        <f>IFERROR(J568,"")</f>
        <v>0</v>
      </c>
    </row>
    <row r="569" spans="1:20" ht="15" customHeight="1">
      <c r="A569" s="69">
        <v>46256</v>
      </c>
      <c r="B569" s="32">
        <v>0.33333333333333298</v>
      </c>
      <c r="C569" s="33"/>
      <c r="D569" s="62"/>
      <c r="E569" s="110"/>
      <c r="F569" s="141" t="str">
        <f>IFERROR(IF($D569="","",VLOOKUP($D569,Cadastro!$C$4:$E$7,3,FALSE)),"")</f>
        <v/>
      </c>
      <c r="G569" s="106"/>
      <c r="H569" s="141" t="str">
        <f>IFERROR(IF($G569="","",$G569*$S$581/$G$581/Cadastro!$E$33),"")</f>
        <v/>
      </c>
      <c r="I569" s="142" t="str">
        <f>IFERROR(IF($D569="","",VLOOKUP($D569,Cadastro!$C$4:$G$7,5,FALSE)),"")</f>
        <v/>
      </c>
      <c r="J569" s="143" t="str">
        <f t="shared" ref="J569:J580" si="145">IFERROR(IF($H569="","",$H569*$F569*$I569),"")</f>
        <v/>
      </c>
      <c r="K569" s="34" t="str">
        <f t="shared" ref="K569:K580" si="146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7">IFERROR(IF(O569="","",IF(P569="",MOD(NOW()-O569,1),IF(P569&gt;=O569,P569-O569,P569+1-O569))),"")</f>
        <v/>
      </c>
      <c r="R569" s="27"/>
      <c r="S569" s="47"/>
    </row>
    <row r="570" spans="1:20" ht="15" customHeight="1">
      <c r="A570" s="68">
        <v>46256</v>
      </c>
      <c r="B570" s="25">
        <f t="shared" ref="B570:B580" si="148">B569+TIME(0,60,0)</f>
        <v>0.37499999999999967</v>
      </c>
      <c r="C570" s="33"/>
      <c r="D570" s="62"/>
      <c r="E570" s="110"/>
      <c r="F570" s="135" t="str">
        <f>IFERROR(IF($D570="","",VLOOKUP($D570,Cadastro!$C$4:$E$7,3,FALSE)),"")</f>
        <v/>
      </c>
      <c r="G570" s="106"/>
      <c r="H570" s="135" t="str">
        <f>IFERROR(IF($G570="","",$G570*$S$581/$G$581/Cadastro!$E$33),"")</f>
        <v/>
      </c>
      <c r="I570" s="136" t="str">
        <f>IFERROR(IF($D570="","",VLOOKUP($D570,Cadastro!$C$4:$G$7,5,FALSE)),"")</f>
        <v/>
      </c>
      <c r="J570" s="137" t="str">
        <f t="shared" si="145"/>
        <v/>
      </c>
      <c r="K570" s="34" t="str">
        <f t="shared" si="146"/>
        <v/>
      </c>
      <c r="L570" s="26"/>
      <c r="M570" s="26"/>
      <c r="N570" s="26"/>
      <c r="O570" s="29"/>
      <c r="P570" s="29"/>
      <c r="Q570" s="30" t="str">
        <f t="shared" ca="1" si="147"/>
        <v/>
      </c>
      <c r="R570" s="27"/>
      <c r="S570" s="47"/>
    </row>
    <row r="571" spans="1:20" ht="15" customHeight="1">
      <c r="A571" s="69">
        <v>46256</v>
      </c>
      <c r="B571" s="32">
        <f t="shared" si="148"/>
        <v>0.41666666666666635</v>
      </c>
      <c r="C571" s="33"/>
      <c r="D571" s="62"/>
      <c r="E571" s="110"/>
      <c r="F571" s="135" t="str">
        <f>IFERROR(IF($D571="","",VLOOKUP($D571,Cadastro!$C$4:$E$7,3,FALSE)),"")</f>
        <v/>
      </c>
      <c r="G571" s="106"/>
      <c r="H571" s="135" t="str">
        <f>IFERROR(IF($G571="","",$G571*$S$581/$G$581/Cadastro!$E$33),"")</f>
        <v/>
      </c>
      <c r="I571" s="136" t="str">
        <f>IFERROR(IF($D571="","",VLOOKUP($D571,Cadastro!$C$4:$G$7,5,FALSE)),"")</f>
        <v/>
      </c>
      <c r="J571" s="137" t="str">
        <f t="shared" si="145"/>
        <v/>
      </c>
      <c r="K571" s="34" t="str">
        <f t="shared" si="146"/>
        <v/>
      </c>
      <c r="L571" s="33"/>
      <c r="M571" s="33"/>
      <c r="N571" s="33"/>
      <c r="O571" s="29"/>
      <c r="P571" s="29"/>
      <c r="Q571" s="35" t="str">
        <f t="shared" ca="1" si="147"/>
        <v/>
      </c>
      <c r="R571" s="27"/>
      <c r="S571" s="47"/>
    </row>
    <row r="572" spans="1:20" ht="15" customHeight="1">
      <c r="A572" s="68">
        <v>46256</v>
      </c>
      <c r="B572" s="25">
        <f t="shared" si="148"/>
        <v>0.45833333333333304</v>
      </c>
      <c r="C572" s="33"/>
      <c r="D572" s="62"/>
      <c r="E572" s="110"/>
      <c r="F572" s="135" t="str">
        <f>IFERROR(IF($D572="","",VLOOKUP($D572,Cadastro!$C$4:$E$7,3,FALSE)),"")</f>
        <v/>
      </c>
      <c r="G572" s="106"/>
      <c r="H572" s="135" t="str">
        <f>IFERROR(IF($G572="","",$G572*$S$581/$G$581/Cadastro!$E$33),"")</f>
        <v/>
      </c>
      <c r="I572" s="136" t="str">
        <f>IFERROR(IF($D572="","",VLOOKUP($D572,Cadastro!$C$4:$G$7,5,FALSE)),"")</f>
        <v/>
      </c>
      <c r="J572" s="137" t="str">
        <f t="shared" si="145"/>
        <v/>
      </c>
      <c r="K572" s="34" t="str">
        <f t="shared" si="146"/>
        <v/>
      </c>
      <c r="L572" s="26"/>
      <c r="M572" s="26"/>
      <c r="N572" s="26"/>
      <c r="O572" s="29"/>
      <c r="P572" s="29"/>
      <c r="Q572" s="30" t="str">
        <f t="shared" ca="1" si="147"/>
        <v/>
      </c>
      <c r="R572" s="27"/>
      <c r="S572" s="47"/>
    </row>
    <row r="573" spans="1:20" ht="15" customHeight="1">
      <c r="A573" s="69">
        <v>46256</v>
      </c>
      <c r="B573" s="32">
        <f t="shared" si="148"/>
        <v>0.49999999999999972</v>
      </c>
      <c r="C573" s="33"/>
      <c r="D573" s="62"/>
      <c r="E573" s="110"/>
      <c r="F573" s="135" t="str">
        <f>IFERROR(IF($D573="","",VLOOKUP($D573,Cadastro!$C$4:$E$7,3,FALSE)),"")</f>
        <v/>
      </c>
      <c r="G573" s="106"/>
      <c r="H573" s="135" t="str">
        <f>IFERROR(IF($G573="","",$G573*$S$581/$G$581/Cadastro!$E$33),"")</f>
        <v/>
      </c>
      <c r="I573" s="136" t="str">
        <f>IFERROR(IF($D573="","",VLOOKUP($D573,Cadastro!$C$4:$G$7,5,FALSE)),"")</f>
        <v/>
      </c>
      <c r="J573" s="137" t="str">
        <f t="shared" si="145"/>
        <v/>
      </c>
      <c r="K573" s="34" t="str">
        <f t="shared" si="146"/>
        <v/>
      </c>
      <c r="L573" s="33"/>
      <c r="M573" s="33"/>
      <c r="N573" s="33"/>
      <c r="O573" s="29"/>
      <c r="P573" s="29"/>
      <c r="Q573" s="35" t="str">
        <f t="shared" ca="1" si="147"/>
        <v/>
      </c>
      <c r="R573" s="27"/>
      <c r="S573" s="47"/>
    </row>
    <row r="574" spans="1:20" ht="15" customHeight="1">
      <c r="A574" s="68">
        <v>46256</v>
      </c>
      <c r="B574" s="25">
        <f t="shared" si="148"/>
        <v>0.54166666666666641</v>
      </c>
      <c r="C574" s="33"/>
      <c r="D574" s="62"/>
      <c r="E574" s="110"/>
      <c r="F574" s="135" t="str">
        <f>IFERROR(IF($D574="","",VLOOKUP($D574,Cadastro!$C$4:$E$7,3,FALSE)),"")</f>
        <v/>
      </c>
      <c r="G574" s="106"/>
      <c r="H574" s="135" t="str">
        <f>IFERROR(IF($G574="","",$G574*$S$581/$G$581/Cadastro!$E$33),"")</f>
        <v/>
      </c>
      <c r="I574" s="136" t="str">
        <f>IFERROR(IF($D574="","",VLOOKUP($D574,Cadastro!$C$4:$G$7,5,FALSE)),"")</f>
        <v/>
      </c>
      <c r="J574" s="137" t="str">
        <f t="shared" si="145"/>
        <v/>
      </c>
      <c r="K574" s="34" t="str">
        <f t="shared" si="146"/>
        <v/>
      </c>
      <c r="L574" s="26"/>
      <c r="M574" s="26"/>
      <c r="N574" s="26"/>
      <c r="O574" s="29"/>
      <c r="P574" s="29"/>
      <c r="Q574" s="30" t="str">
        <f t="shared" ca="1" si="147"/>
        <v/>
      </c>
      <c r="R574" s="27"/>
      <c r="S574" s="47"/>
    </row>
    <row r="575" spans="1:20" ht="15" customHeight="1">
      <c r="A575" s="69">
        <v>46256</v>
      </c>
      <c r="B575" s="32">
        <f t="shared" si="148"/>
        <v>0.58333333333333304</v>
      </c>
      <c r="C575" s="33"/>
      <c r="D575" s="62"/>
      <c r="E575" s="110"/>
      <c r="F575" s="135" t="str">
        <f>IFERROR(IF($D575="","",VLOOKUP($D575,Cadastro!$C$4:$E$7,3,FALSE)),"")</f>
        <v/>
      </c>
      <c r="G575" s="106"/>
      <c r="H575" s="135" t="str">
        <f>IFERROR(IF($G575="","",$G575*$S$581/$G$581/Cadastro!$E$33),"")</f>
        <v/>
      </c>
      <c r="I575" s="136" t="str">
        <f>IFERROR(IF($D575="","",VLOOKUP($D575,Cadastro!$C$4:$G$7,5,FALSE)),"")</f>
        <v/>
      </c>
      <c r="J575" s="137" t="str">
        <f t="shared" si="145"/>
        <v/>
      </c>
      <c r="K575" s="34" t="str">
        <f t="shared" si="146"/>
        <v/>
      </c>
      <c r="L575" s="33"/>
      <c r="M575" s="33"/>
      <c r="N575" s="33"/>
      <c r="O575" s="29"/>
      <c r="P575" s="29"/>
      <c r="Q575" s="35" t="str">
        <f t="shared" ca="1" si="147"/>
        <v/>
      </c>
      <c r="R575" s="27"/>
      <c r="S575" s="47"/>
    </row>
    <row r="576" spans="1:20" ht="15" customHeight="1">
      <c r="A576" s="68">
        <v>46256</v>
      </c>
      <c r="B576" s="25">
        <f t="shared" si="148"/>
        <v>0.62499999999999967</v>
      </c>
      <c r="C576" s="33"/>
      <c r="D576" s="62"/>
      <c r="E576" s="110"/>
      <c r="F576" s="135" t="str">
        <f>IFERROR(IF($D576="","",VLOOKUP($D576,Cadastro!$C$4:$E$7,3,FALSE)),"")</f>
        <v/>
      </c>
      <c r="G576" s="108"/>
      <c r="H576" s="135" t="str">
        <f>IFERROR(IF($G576="","",$G576*$S$581/$G$581/Cadastro!$E$33),"")</f>
        <v/>
      </c>
      <c r="I576" s="136" t="str">
        <f>IFERROR(IF($D576="","",VLOOKUP($D576,Cadastro!$C$4:$G$7,5,FALSE)),"")</f>
        <v/>
      </c>
      <c r="J576" s="137" t="str">
        <f t="shared" si="145"/>
        <v/>
      </c>
      <c r="K576" s="34" t="str">
        <f t="shared" si="146"/>
        <v/>
      </c>
      <c r="L576" s="26"/>
      <c r="M576" s="26"/>
      <c r="N576" s="26"/>
      <c r="O576" s="29"/>
      <c r="P576" s="29"/>
      <c r="Q576" s="30" t="str">
        <f t="shared" ca="1" si="147"/>
        <v/>
      </c>
      <c r="R576" s="27"/>
      <c r="S576" s="47"/>
    </row>
    <row r="577" spans="1:20" ht="15" customHeight="1">
      <c r="A577" s="69">
        <v>46256</v>
      </c>
      <c r="B577" s="32">
        <f t="shared" si="148"/>
        <v>0.6666666666666663</v>
      </c>
      <c r="C577" s="33"/>
      <c r="D577" s="62"/>
      <c r="E577" s="110"/>
      <c r="F577" s="135" t="str">
        <f>IFERROR(IF($D577="","",VLOOKUP($D577,Cadastro!$C$4:$E$7,3,FALSE)),"")</f>
        <v/>
      </c>
      <c r="G577" s="106"/>
      <c r="H577" s="135" t="str">
        <f>IFERROR(IF($G577="","",$G577*$S$581/$G$581/Cadastro!$E$33),"")</f>
        <v/>
      </c>
      <c r="I577" s="136" t="str">
        <f>IFERROR(IF($D577="","",VLOOKUP($D577,Cadastro!$C$4:$G$7,5,FALSE)),"")</f>
        <v/>
      </c>
      <c r="J577" s="137" t="str">
        <f t="shared" si="145"/>
        <v/>
      </c>
      <c r="K577" s="34" t="str">
        <f t="shared" si="146"/>
        <v/>
      </c>
      <c r="L577" s="33"/>
      <c r="M577" s="33"/>
      <c r="N577" s="33"/>
      <c r="O577" s="29"/>
      <c r="P577" s="29"/>
      <c r="Q577" s="35" t="str">
        <f t="shared" ca="1" si="147"/>
        <v/>
      </c>
      <c r="R577" s="27"/>
      <c r="S577" s="47"/>
    </row>
    <row r="578" spans="1:20" ht="15" customHeight="1">
      <c r="A578" s="68">
        <v>46256</v>
      </c>
      <c r="B578" s="25">
        <f t="shared" si="148"/>
        <v>0.70833333333333293</v>
      </c>
      <c r="C578" s="33"/>
      <c r="D578" s="62"/>
      <c r="E578" s="110"/>
      <c r="F578" s="135" t="str">
        <f>IFERROR(IF($D578="","",VLOOKUP($D578,Cadastro!$C$4:$E$7,3,FALSE)),"")</f>
        <v/>
      </c>
      <c r="G578" s="106"/>
      <c r="H578" s="135" t="str">
        <f>IFERROR(IF($G578="","",$G578*$S$581/$G$581/Cadastro!$E$33),"")</f>
        <v/>
      </c>
      <c r="I578" s="136" t="str">
        <f>IFERROR(IF($D578="","",VLOOKUP($D578,Cadastro!$C$4:$G$7,5,FALSE)),"")</f>
        <v/>
      </c>
      <c r="J578" s="137" t="str">
        <f t="shared" si="145"/>
        <v/>
      </c>
      <c r="K578" s="34" t="str">
        <f t="shared" si="146"/>
        <v/>
      </c>
      <c r="L578" s="26"/>
      <c r="M578" s="26"/>
      <c r="N578" s="26"/>
      <c r="O578" s="29"/>
      <c r="P578" s="29"/>
      <c r="Q578" s="30" t="str">
        <f t="shared" ca="1" si="147"/>
        <v/>
      </c>
      <c r="R578" s="27"/>
      <c r="S578" s="47"/>
    </row>
    <row r="579" spans="1:20" ht="15" customHeight="1">
      <c r="A579" s="69">
        <v>46256</v>
      </c>
      <c r="B579" s="32">
        <f t="shared" si="148"/>
        <v>0.74999999999999956</v>
      </c>
      <c r="C579" s="33"/>
      <c r="D579" s="62"/>
      <c r="E579" s="110"/>
      <c r="F579" s="135" t="str">
        <f>IFERROR(IF($D579="","",VLOOKUP($D579,Cadastro!$C$4:$E$7,3,FALSE)),"")</f>
        <v/>
      </c>
      <c r="G579" s="106"/>
      <c r="H579" s="135" t="str">
        <f>IFERROR(IF($G579="","",$G579*$S$581/$G$581/Cadastro!$E$33),"")</f>
        <v/>
      </c>
      <c r="I579" s="136" t="str">
        <f>IFERROR(IF($D579="","",VLOOKUP($D579,Cadastro!$C$4:$G$7,5,FALSE)),"")</f>
        <v/>
      </c>
      <c r="J579" s="137" t="str">
        <f t="shared" si="145"/>
        <v/>
      </c>
      <c r="K579" s="34" t="str">
        <f t="shared" si="146"/>
        <v/>
      </c>
      <c r="L579" s="33"/>
      <c r="M579" s="33"/>
      <c r="N579" s="33"/>
      <c r="O579" s="29"/>
      <c r="P579" s="29"/>
      <c r="Q579" s="35" t="str">
        <f t="shared" ca="1" si="147"/>
        <v/>
      </c>
      <c r="R579" s="27"/>
      <c r="S579" s="47"/>
    </row>
    <row r="580" spans="1:20" ht="15" customHeight="1" thickBot="1">
      <c r="A580" s="68">
        <v>46256</v>
      </c>
      <c r="B580" s="25">
        <f t="shared" si="148"/>
        <v>0.79166666666666619</v>
      </c>
      <c r="C580" s="33"/>
      <c r="D580" s="62"/>
      <c r="E580" s="110"/>
      <c r="F580" s="138" t="str">
        <f>IFERROR(IF($D580="","",VLOOKUP($D580,Cadastro!$C$4:$E$7,3,FALSE)),"")</f>
        <v/>
      </c>
      <c r="G580" s="106"/>
      <c r="H580" s="138" t="str">
        <f>IFERROR(IF($G580="","",$G580*$S$581/$G$581/Cadastro!$E$33),"")</f>
        <v/>
      </c>
      <c r="I580" s="139" t="str">
        <f>IFERROR(IF($D580="","",VLOOKUP($D580,Cadastro!$C$4:$G$7,5,FALSE)),"")</f>
        <v/>
      </c>
      <c r="J580" s="140" t="str">
        <f t="shared" si="145"/>
        <v/>
      </c>
      <c r="K580" s="34" t="str">
        <f t="shared" si="146"/>
        <v/>
      </c>
      <c r="L580" s="26"/>
      <c r="M580" s="26"/>
      <c r="N580" s="26"/>
      <c r="O580" s="29"/>
      <c r="P580" s="29"/>
      <c r="Q580" s="30" t="str">
        <f t="shared" ca="1" si="147"/>
        <v/>
      </c>
      <c r="R580" s="27"/>
      <c r="S580" s="47"/>
    </row>
    <row r="581" spans="1:20" ht="15.75" customHeight="1" thickBot="1">
      <c r="A581" s="152" t="s">
        <v>241</v>
      </c>
      <c r="B581" s="153"/>
      <c r="C581" s="153"/>
      <c r="D581" s="153"/>
      <c r="E581" s="153">
        <f>SUM(E569:E580)</f>
        <v>0</v>
      </c>
      <c r="F581" s="111"/>
      <c r="G581" s="81">
        <f>SUM(G569:G580)</f>
        <v>0</v>
      </c>
      <c r="H581" s="111">
        <f>IFERROR(SUM(H569:H580),"")</f>
        <v>0</v>
      </c>
      <c r="I581" s="115"/>
      <c r="J581" s="124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20">
        <f>IFERROR(J581,"")</f>
        <v>0</v>
      </c>
    </row>
    <row r="582" spans="1:20" ht="15" customHeight="1">
      <c r="A582" s="68">
        <v>46256</v>
      </c>
      <c r="B582" s="25">
        <v>0.83333333333333304</v>
      </c>
      <c r="C582" s="26"/>
      <c r="D582" s="59"/>
      <c r="E582" s="109"/>
      <c r="F582" s="141" t="str">
        <f>IFERROR(IF($D582="","",VLOOKUP($D582,Cadastro!$C$4:$E$7,3,FALSE)),"")</f>
        <v/>
      </c>
      <c r="G582" s="106"/>
      <c r="H582" s="141" t="str">
        <f>IFERROR(IF($G582="","",$G582*$S$594/$G$594/Cadastro!$E$33),"")</f>
        <v/>
      </c>
      <c r="I582" s="142" t="str">
        <f>IFERROR(IF($D582="","",VLOOKUP($D582,Cadastro!$C$4:$G$7,5,FALSE)),"")</f>
        <v/>
      </c>
      <c r="J582" s="143" t="str">
        <f t="shared" ref="J582:J593" si="149">IFERROR(IF($H582="","",$H582*$F582*$I582),"")</f>
        <v/>
      </c>
      <c r="K582" s="28" t="str">
        <f t="shared" ref="K582:K593" si="150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1">IFERROR(IF(O582="","",IF(P582="",MOD(NOW()-O582,1),IF(P582&gt;=O582,P582-O582,P582+1-O582))),"")</f>
        <v/>
      </c>
      <c r="R582" s="27"/>
      <c r="S582" s="47"/>
    </row>
    <row r="583" spans="1:20" ht="15" customHeight="1">
      <c r="A583" s="69">
        <v>46256</v>
      </c>
      <c r="B583" s="32">
        <f t="shared" ref="B583:B593" si="152">B582+TIME(0,60,0)</f>
        <v>0.87499999999999967</v>
      </c>
      <c r="C583" s="26"/>
      <c r="D583" s="59"/>
      <c r="E583" s="109"/>
      <c r="F583" s="135" t="str">
        <f>IFERROR(IF($D583="","",VLOOKUP($D583,Cadastro!$C$4:$E$7,3,FALSE)),"")</f>
        <v/>
      </c>
      <c r="G583" s="106"/>
      <c r="H583" s="135" t="str">
        <f>IFERROR(IF($G583="","",$G583*$S$594/$G$594/Cadastro!$E$33),"")</f>
        <v/>
      </c>
      <c r="I583" s="136" t="str">
        <f>IFERROR(IF($D583="","",VLOOKUP($D583,Cadastro!$C$4:$G$7,5,FALSE)),"")</f>
        <v/>
      </c>
      <c r="J583" s="137" t="str">
        <f t="shared" si="149"/>
        <v/>
      </c>
      <c r="K583" s="34" t="str">
        <f t="shared" si="150"/>
        <v/>
      </c>
      <c r="L583" s="33"/>
      <c r="M583" s="33"/>
      <c r="N583" s="33"/>
      <c r="O583" s="29"/>
      <c r="P583" s="29"/>
      <c r="Q583" s="35" t="str">
        <f t="shared" ca="1" si="151"/>
        <v/>
      </c>
      <c r="R583" s="27"/>
      <c r="S583" s="47"/>
    </row>
    <row r="584" spans="1:20" ht="15" customHeight="1">
      <c r="A584" s="68">
        <v>46256</v>
      </c>
      <c r="B584" s="25">
        <f t="shared" si="152"/>
        <v>0.9166666666666663</v>
      </c>
      <c r="C584" s="26"/>
      <c r="D584" s="59"/>
      <c r="E584" s="109"/>
      <c r="F584" s="135" t="str">
        <f>IFERROR(IF($D584="","",VLOOKUP($D584,Cadastro!$C$4:$E$7,3,FALSE)),"")</f>
        <v/>
      </c>
      <c r="G584" s="106"/>
      <c r="H584" s="135" t="str">
        <f>IFERROR(IF($G584="","",$G584*$S$594/$G$594/Cadastro!$E$33),"")</f>
        <v/>
      </c>
      <c r="I584" s="136" t="str">
        <f>IFERROR(IF($D584="","",VLOOKUP($D584,Cadastro!$C$4:$G$7,5,FALSE)),"")</f>
        <v/>
      </c>
      <c r="J584" s="137" t="str">
        <f t="shared" si="149"/>
        <v/>
      </c>
      <c r="K584" s="28" t="str">
        <f t="shared" si="150"/>
        <v/>
      </c>
      <c r="L584" s="26"/>
      <c r="M584" s="26"/>
      <c r="N584" s="26"/>
      <c r="O584" s="29"/>
      <c r="P584" s="29"/>
      <c r="Q584" s="30" t="str">
        <f t="shared" ca="1" si="151"/>
        <v/>
      </c>
      <c r="R584" s="27"/>
      <c r="S584" s="47"/>
    </row>
    <row r="585" spans="1:20" ht="15" customHeight="1">
      <c r="A585" s="69">
        <v>46256</v>
      </c>
      <c r="B585" s="32">
        <f t="shared" si="152"/>
        <v>0.95833333333333293</v>
      </c>
      <c r="C585" s="26"/>
      <c r="D585" s="59"/>
      <c r="E585" s="109"/>
      <c r="F585" s="135" t="str">
        <f>IFERROR(IF($D585="","",VLOOKUP($D585,Cadastro!$C$4:$E$7,3,FALSE)),"")</f>
        <v/>
      </c>
      <c r="G585" s="106"/>
      <c r="H585" s="135" t="str">
        <f>IFERROR(IF($G585="","",$G585*$S$594/$G$594/Cadastro!$E$33),"")</f>
        <v/>
      </c>
      <c r="I585" s="136" t="str">
        <f>IFERROR(IF($D585="","",VLOOKUP($D585,Cadastro!$C$4:$G$7,5,FALSE)),"")</f>
        <v/>
      </c>
      <c r="J585" s="137" t="str">
        <f t="shared" si="149"/>
        <v/>
      </c>
      <c r="K585" s="34" t="str">
        <f t="shared" si="150"/>
        <v/>
      </c>
      <c r="L585" s="33"/>
      <c r="M585" s="33"/>
      <c r="N585" s="33"/>
      <c r="O585" s="29"/>
      <c r="P585" s="29"/>
      <c r="Q585" s="35" t="str">
        <f t="shared" ca="1" si="151"/>
        <v/>
      </c>
      <c r="R585" s="27"/>
      <c r="S585" s="47"/>
    </row>
    <row r="586" spans="1:20" ht="15" customHeight="1">
      <c r="A586" s="68">
        <v>46256</v>
      </c>
      <c r="B586" s="25">
        <f t="shared" si="152"/>
        <v>0.99999999999999956</v>
      </c>
      <c r="C586" s="26"/>
      <c r="D586" s="59"/>
      <c r="E586" s="109"/>
      <c r="F586" s="135" t="str">
        <f>IFERROR(IF($D586="","",VLOOKUP($D586,Cadastro!$C$4:$E$7,3,FALSE)),"")</f>
        <v/>
      </c>
      <c r="G586" s="106"/>
      <c r="H586" s="135" t="str">
        <f>IFERROR(IF($G586="","",$G586*$S$594/$G$594/Cadastro!$E$33),"")</f>
        <v/>
      </c>
      <c r="I586" s="136" t="str">
        <f>IFERROR(IF($D586="","",VLOOKUP($D586,Cadastro!$C$4:$G$7,5,FALSE)),"")</f>
        <v/>
      </c>
      <c r="J586" s="137" t="str">
        <f t="shared" si="149"/>
        <v/>
      </c>
      <c r="K586" s="28" t="str">
        <f t="shared" si="150"/>
        <v/>
      </c>
      <c r="L586" s="26"/>
      <c r="M586" s="26"/>
      <c r="N586" s="26"/>
      <c r="O586" s="29"/>
      <c r="P586" s="29"/>
      <c r="Q586" s="30" t="str">
        <f t="shared" ca="1" si="151"/>
        <v/>
      </c>
      <c r="R586" s="27"/>
      <c r="S586" s="47"/>
    </row>
    <row r="587" spans="1:20" ht="15" customHeight="1">
      <c r="A587" s="69">
        <v>46256</v>
      </c>
      <c r="B587" s="32">
        <f t="shared" si="152"/>
        <v>1.0416666666666663</v>
      </c>
      <c r="C587" s="26"/>
      <c r="D587" s="59"/>
      <c r="E587" s="109"/>
      <c r="F587" s="135" t="str">
        <f>IFERROR(IF($D587="","",VLOOKUP($D587,Cadastro!$C$4:$E$7,3,FALSE)),"")</f>
        <v/>
      </c>
      <c r="G587" s="106"/>
      <c r="H587" s="135" t="str">
        <f>IFERROR(IF($G587="","",$G587*$S$594/$G$594/Cadastro!$E$33),"")</f>
        <v/>
      </c>
      <c r="I587" s="136" t="str">
        <f>IFERROR(IF($D587="","",VLOOKUP($D587,Cadastro!$C$4:$G$7,5,FALSE)),"")</f>
        <v/>
      </c>
      <c r="J587" s="137" t="str">
        <f t="shared" si="149"/>
        <v/>
      </c>
      <c r="K587" s="34" t="str">
        <f t="shared" si="150"/>
        <v/>
      </c>
      <c r="L587" s="33"/>
      <c r="M587" s="33"/>
      <c r="N587" s="33"/>
      <c r="O587" s="29"/>
      <c r="P587" s="29"/>
      <c r="Q587" s="35" t="str">
        <f t="shared" ca="1" si="151"/>
        <v/>
      </c>
      <c r="R587" s="27"/>
      <c r="S587" s="47"/>
    </row>
    <row r="588" spans="1:20" ht="15" customHeight="1">
      <c r="A588" s="68">
        <v>46256</v>
      </c>
      <c r="B588" s="25">
        <f t="shared" si="152"/>
        <v>1.083333333333333</v>
      </c>
      <c r="C588" s="26"/>
      <c r="D588" s="59"/>
      <c r="E588" s="109"/>
      <c r="F588" s="135" t="str">
        <f>IFERROR(IF($D588="","",VLOOKUP($D588,Cadastro!$C$4:$E$7,3,FALSE)),"")</f>
        <v/>
      </c>
      <c r="G588" s="106"/>
      <c r="H588" s="135" t="str">
        <f>IFERROR(IF($G588="","",$G588*$S$594/$G$594/Cadastro!$E$33),"")</f>
        <v/>
      </c>
      <c r="I588" s="136" t="str">
        <f>IFERROR(IF($D588="","",VLOOKUP($D588,Cadastro!$C$4:$G$7,5,FALSE)),"")</f>
        <v/>
      </c>
      <c r="J588" s="137" t="str">
        <f t="shared" si="149"/>
        <v/>
      </c>
      <c r="K588" s="28" t="str">
        <f t="shared" si="150"/>
        <v/>
      </c>
      <c r="L588" s="26"/>
      <c r="M588" s="26"/>
      <c r="N588" s="26"/>
      <c r="O588" s="29"/>
      <c r="P588" s="29"/>
      <c r="Q588" s="30" t="str">
        <f t="shared" ca="1" si="151"/>
        <v/>
      </c>
      <c r="R588" s="27"/>
      <c r="S588" s="47"/>
    </row>
    <row r="589" spans="1:20" ht="15" customHeight="1">
      <c r="A589" s="69">
        <v>46256</v>
      </c>
      <c r="B589" s="32">
        <f t="shared" si="152"/>
        <v>1.1249999999999998</v>
      </c>
      <c r="C589" s="26"/>
      <c r="D589" s="59"/>
      <c r="E589" s="109"/>
      <c r="F589" s="135" t="str">
        <f>IFERROR(IF($D589="","",VLOOKUP($D589,Cadastro!$C$4:$E$7,3,FALSE)),"")</f>
        <v/>
      </c>
      <c r="G589" s="106"/>
      <c r="H589" s="135" t="str">
        <f>IFERROR(IF($G589="","",$G589*$S$594/$G$594/Cadastro!$E$33),"")</f>
        <v/>
      </c>
      <c r="I589" s="136" t="str">
        <f>IFERROR(IF($D589="","",VLOOKUP($D589,Cadastro!$C$4:$G$7,5,FALSE)),"")</f>
        <v/>
      </c>
      <c r="J589" s="137" t="str">
        <f t="shared" si="149"/>
        <v/>
      </c>
      <c r="K589" s="34" t="str">
        <f t="shared" si="150"/>
        <v/>
      </c>
      <c r="L589" s="33"/>
      <c r="M589" s="33"/>
      <c r="N589" s="33"/>
      <c r="O589" s="29"/>
      <c r="P589" s="29"/>
      <c r="Q589" s="35" t="str">
        <f t="shared" ca="1" si="151"/>
        <v/>
      </c>
      <c r="R589" s="27"/>
      <c r="S589" s="47"/>
    </row>
    <row r="590" spans="1:20" ht="15" customHeight="1">
      <c r="B590" s="25">
        <f t="shared" si="152"/>
        <v>1.1666666666666665</v>
      </c>
      <c r="C590" s="26"/>
      <c r="D590" s="59"/>
      <c r="E590" s="109"/>
      <c r="F590" s="135" t="str">
        <f>IFERROR(IF($D590="","",VLOOKUP($D590,Cadastro!$C$4:$E$7,3,FALSE)),"")</f>
        <v/>
      </c>
      <c r="G590" s="106"/>
      <c r="H590" s="135" t="str">
        <f>IFERROR(IF($G590="","",$G590*$S$594/$G$594/Cadastro!$E$33),"")</f>
        <v/>
      </c>
      <c r="I590" s="136" t="str">
        <f>IFERROR(IF($D590="","",VLOOKUP($D590,Cadastro!$C$4:$G$7,5,FALSE)),"")</f>
        <v/>
      </c>
      <c r="J590" s="137" t="str">
        <f t="shared" si="149"/>
        <v/>
      </c>
      <c r="K590" s="28" t="str">
        <f t="shared" si="150"/>
        <v/>
      </c>
      <c r="L590" s="26"/>
      <c r="M590" s="26"/>
      <c r="N590" s="26"/>
      <c r="O590" s="29"/>
      <c r="P590" s="29"/>
      <c r="Q590" s="30" t="str">
        <f t="shared" ca="1" si="151"/>
        <v/>
      </c>
      <c r="R590" s="27"/>
      <c r="S590" s="47"/>
    </row>
    <row r="591" spans="1:20" ht="15" customHeight="1">
      <c r="A591" s="69">
        <v>46256</v>
      </c>
      <c r="B591" s="32">
        <f t="shared" si="152"/>
        <v>1.2083333333333333</v>
      </c>
      <c r="C591" s="26"/>
      <c r="D591" s="59"/>
      <c r="E591" s="109"/>
      <c r="F591" s="135" t="str">
        <f>IFERROR(IF($D591="","",VLOOKUP($D591,Cadastro!$C$4:$E$7,3,FALSE)),"")</f>
        <v/>
      </c>
      <c r="G591" s="106"/>
      <c r="H591" s="135" t="str">
        <f>IFERROR(IF($G591="","",$G591*$S$594/$G$594/Cadastro!$E$33),"")</f>
        <v/>
      </c>
      <c r="I591" s="136" t="str">
        <f>IFERROR(IF($D591="","",VLOOKUP($D591,Cadastro!$C$4:$G$7,5,FALSE)),"")</f>
        <v/>
      </c>
      <c r="J591" s="137" t="str">
        <f t="shared" si="149"/>
        <v/>
      </c>
      <c r="K591" s="34" t="str">
        <f t="shared" si="150"/>
        <v/>
      </c>
      <c r="L591" s="33"/>
      <c r="M591" s="33"/>
      <c r="N591" s="33"/>
      <c r="O591" s="29"/>
      <c r="P591" s="29"/>
      <c r="Q591" s="35" t="str">
        <f t="shared" ca="1" si="151"/>
        <v/>
      </c>
      <c r="R591" s="27"/>
      <c r="S591" s="47"/>
    </row>
    <row r="592" spans="1:20" ht="15" customHeight="1">
      <c r="A592" s="68">
        <v>46256</v>
      </c>
      <c r="B592" s="25">
        <f t="shared" si="152"/>
        <v>1.25</v>
      </c>
      <c r="C592" s="26"/>
      <c r="D592" s="59"/>
      <c r="E592" s="109"/>
      <c r="F592" s="135" t="str">
        <f>IFERROR(IF($D592="","",VLOOKUP($D592,Cadastro!$C$4:$E$7,3,FALSE)),"")</f>
        <v/>
      </c>
      <c r="G592" s="106"/>
      <c r="H592" s="135" t="str">
        <f>IFERROR(IF($G592="","",$G592*$S$594/$G$594/Cadastro!$E$33),"")</f>
        <v/>
      </c>
      <c r="I592" s="136" t="str">
        <f>IFERROR(IF($D592="","",VLOOKUP($D592,Cadastro!$C$4:$G$7,5,FALSE)),"")</f>
        <v/>
      </c>
      <c r="J592" s="137" t="str">
        <f t="shared" si="149"/>
        <v/>
      </c>
      <c r="K592" s="28" t="str">
        <f t="shared" si="150"/>
        <v/>
      </c>
      <c r="L592" s="26"/>
      <c r="M592" s="26"/>
      <c r="N592" s="26"/>
      <c r="O592" s="29"/>
      <c r="P592" s="29"/>
      <c r="Q592" s="30" t="str">
        <f t="shared" ca="1" si="151"/>
        <v/>
      </c>
      <c r="R592" s="27"/>
      <c r="S592" s="47"/>
    </row>
    <row r="593" spans="1:20" ht="15" customHeight="1" thickBot="1">
      <c r="A593" s="69">
        <v>46256</v>
      </c>
      <c r="B593" s="32">
        <f t="shared" si="152"/>
        <v>1.2916666666666667</v>
      </c>
      <c r="C593" s="26"/>
      <c r="D593" s="59"/>
      <c r="E593" s="109"/>
      <c r="F593" s="138" t="str">
        <f>IFERROR(IF($D593="","",VLOOKUP($D593,Cadastro!$C$4:$E$7,3,FALSE)),"")</f>
        <v/>
      </c>
      <c r="G593" s="106"/>
      <c r="H593" s="138" t="str">
        <f>IFERROR(IF($G593="","",$G593*$S$594/$G$594/Cadastro!$E$33),"")</f>
        <v/>
      </c>
      <c r="I593" s="139" t="str">
        <f>IFERROR(IF($D593="","",VLOOKUP($D593,Cadastro!$C$4:$G$7,5,FALSE)),"")</f>
        <v/>
      </c>
      <c r="J593" s="140" t="str">
        <f t="shared" si="149"/>
        <v/>
      </c>
      <c r="K593" s="34" t="str">
        <f t="shared" si="150"/>
        <v/>
      </c>
      <c r="L593" s="33"/>
      <c r="M593" s="33"/>
      <c r="N593" s="33"/>
      <c r="O593" s="29"/>
      <c r="P593" s="29"/>
      <c r="Q593" s="35" t="str">
        <f t="shared" ca="1" si="151"/>
        <v/>
      </c>
      <c r="R593" s="27"/>
      <c r="S593" s="47"/>
    </row>
    <row r="594" spans="1:20" ht="15.75" customHeight="1" thickBot="1">
      <c r="A594" s="152" t="s">
        <v>244</v>
      </c>
      <c r="B594" s="153"/>
      <c r="C594" s="153"/>
      <c r="D594" s="153"/>
      <c r="E594" s="153">
        <f>SUM(E582:E593)</f>
        <v>0</v>
      </c>
      <c r="F594" s="112"/>
      <c r="G594" s="81">
        <f>SUM(G582:G593)</f>
        <v>0</v>
      </c>
      <c r="H594" s="112">
        <f>IFERROR(SUM(H582:H593),"")</f>
        <v>0</v>
      </c>
      <c r="I594" s="116"/>
      <c r="J594" s="125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20">
        <f>IFERROR(J594,"")</f>
        <v>0</v>
      </c>
    </row>
    <row r="595" spans="1:20" ht="18" customHeight="1">
      <c r="A595" s="150" t="s">
        <v>245</v>
      </c>
      <c r="B595" s="151"/>
      <c r="C595" s="151"/>
      <c r="D595" s="151"/>
      <c r="E595" s="151">
        <f>E581+E594</f>
        <v>0</v>
      </c>
      <c r="F595" s="113"/>
      <c r="G595" s="92">
        <f>G581+G594</f>
        <v>0</v>
      </c>
      <c r="H595" s="113">
        <f>IFERROR(H581+H594,"")</f>
        <v>0</v>
      </c>
      <c r="I595" s="117"/>
      <c r="J595" s="126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2">
        <f>IFERROR(J595,"")</f>
        <v>0</v>
      </c>
    </row>
    <row r="596" spans="1:20" ht="15" customHeight="1">
      <c r="A596" s="68">
        <v>46257</v>
      </c>
      <c r="B596" s="25">
        <v>0.33333333333333298</v>
      </c>
      <c r="C596" s="26"/>
      <c r="D596" s="59"/>
      <c r="E596" s="109"/>
      <c r="F596" s="141" t="str">
        <f>IFERROR(IF($D596="","",VLOOKUP($D596,Cadastro!$C$4:$E$7,3,FALSE)),"")</f>
        <v/>
      </c>
      <c r="G596" s="106"/>
      <c r="H596" s="141" t="str">
        <f>IFERROR(IF($G596="","",$G596*$S$608/$G$608/Cadastro!$E$33),"")</f>
        <v/>
      </c>
      <c r="I596" s="142" t="str">
        <f>IFERROR(IF($D596="","",VLOOKUP($D596,Cadastro!$C$4:$G$7,5,FALSE)),"")</f>
        <v/>
      </c>
      <c r="J596" s="143" t="str">
        <f t="shared" ref="J596:J607" si="153">IFERROR(IF($H596="","",$H596*$F596*$I596),"")</f>
        <v/>
      </c>
      <c r="K596" s="28" t="str">
        <f t="shared" ref="K596:K607" si="154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5">IFERROR(IF(O596="","",IF(P596="",MOD(NOW()-O596,1),IF(P596&gt;=O596,P596-O596,P596+1-O596))),"")</f>
        <v/>
      </c>
      <c r="R596" s="27"/>
      <c r="S596" s="47"/>
    </row>
    <row r="597" spans="1:20" ht="15" customHeight="1">
      <c r="A597" s="69">
        <v>46257</v>
      </c>
      <c r="B597" s="32">
        <f t="shared" ref="B597:B607" si="156">B596+TIME(0,60,0)</f>
        <v>0.37499999999999967</v>
      </c>
      <c r="C597" s="26"/>
      <c r="D597" s="59"/>
      <c r="E597" s="109"/>
      <c r="F597" s="135" t="str">
        <f>IFERROR(IF($D597="","",VLOOKUP($D597,Cadastro!$C$4:$E$7,3,FALSE)),"")</f>
        <v/>
      </c>
      <c r="G597" s="106"/>
      <c r="H597" s="135" t="str">
        <f>IFERROR(IF($G597="","",$G597*$S$608/$G$608/Cadastro!$E$33),"")</f>
        <v/>
      </c>
      <c r="I597" s="136" t="str">
        <f>IFERROR(IF($D597="","",VLOOKUP($D597,Cadastro!$C$4:$G$7,5,FALSE)),"")</f>
        <v/>
      </c>
      <c r="J597" s="137" t="str">
        <f t="shared" si="153"/>
        <v/>
      </c>
      <c r="K597" s="34" t="str">
        <f t="shared" si="154"/>
        <v/>
      </c>
      <c r="L597" s="33"/>
      <c r="M597" s="33"/>
      <c r="N597" s="33"/>
      <c r="O597" s="29"/>
      <c r="P597" s="29"/>
      <c r="Q597" s="35" t="str">
        <f t="shared" ca="1" si="155"/>
        <v/>
      </c>
      <c r="R597" s="27"/>
      <c r="S597" s="47"/>
    </row>
    <row r="598" spans="1:20" ht="15" customHeight="1">
      <c r="A598" s="68">
        <v>46256</v>
      </c>
      <c r="B598" s="25">
        <f t="shared" si="156"/>
        <v>0.41666666666666635</v>
      </c>
      <c r="C598" s="26"/>
      <c r="D598" s="59"/>
      <c r="E598" s="109"/>
      <c r="F598" s="135" t="str">
        <f>IFERROR(IF($D598="","",VLOOKUP($D598,Cadastro!$C$4:$E$7,3,FALSE)),"")</f>
        <v/>
      </c>
      <c r="G598" s="106"/>
      <c r="H598" s="135" t="str">
        <f>IFERROR(IF($G598="","",$G598*$S$608/$G$608/Cadastro!$E$33),"")</f>
        <v/>
      </c>
      <c r="I598" s="136" t="str">
        <f>IFERROR(IF($D598="","",VLOOKUP($D598,Cadastro!$C$4:$G$7,5,FALSE)),"")</f>
        <v/>
      </c>
      <c r="J598" s="137" t="str">
        <f t="shared" si="153"/>
        <v/>
      </c>
      <c r="K598" s="28" t="str">
        <f t="shared" si="154"/>
        <v/>
      </c>
      <c r="L598" s="26"/>
      <c r="M598" s="26"/>
      <c r="N598" s="26"/>
      <c r="O598" s="29"/>
      <c r="P598" s="29"/>
      <c r="Q598" s="30" t="str">
        <f t="shared" ca="1" si="155"/>
        <v/>
      </c>
      <c r="R598" s="27"/>
      <c r="S598" s="47"/>
    </row>
    <row r="599" spans="1:20" ht="15" customHeight="1">
      <c r="A599" s="69">
        <v>46257</v>
      </c>
      <c r="B599" s="32">
        <f t="shared" si="156"/>
        <v>0.45833333333333304</v>
      </c>
      <c r="C599" s="26"/>
      <c r="D599" s="59"/>
      <c r="E599" s="109"/>
      <c r="F599" s="135" t="str">
        <f>IFERROR(IF($D599="","",VLOOKUP($D599,Cadastro!$C$4:$E$7,3,FALSE)),"")</f>
        <v/>
      </c>
      <c r="G599" s="106"/>
      <c r="H599" s="135" t="str">
        <f>IFERROR(IF($G599="","",$G599*$S$608/$G$608/Cadastro!$E$33),"")</f>
        <v/>
      </c>
      <c r="I599" s="136" t="str">
        <f>IFERROR(IF($D599="","",VLOOKUP($D599,Cadastro!$C$4:$G$7,5,FALSE)),"")</f>
        <v/>
      </c>
      <c r="J599" s="137" t="str">
        <f t="shared" si="153"/>
        <v/>
      </c>
      <c r="K599" s="34" t="str">
        <f t="shared" si="154"/>
        <v/>
      </c>
      <c r="L599" s="33"/>
      <c r="M599" s="33"/>
      <c r="N599" s="33"/>
      <c r="O599" s="29"/>
      <c r="P599" s="29"/>
      <c r="Q599" s="35" t="str">
        <f t="shared" ca="1" si="155"/>
        <v/>
      </c>
      <c r="R599" s="27"/>
      <c r="S599" s="47"/>
    </row>
    <row r="600" spans="1:20" ht="15" customHeight="1">
      <c r="A600" s="68">
        <v>46257</v>
      </c>
      <c r="B600" s="25">
        <f t="shared" si="156"/>
        <v>0.49999999999999972</v>
      </c>
      <c r="C600" s="26"/>
      <c r="D600" s="59"/>
      <c r="E600" s="109"/>
      <c r="F600" s="135" t="str">
        <f>IFERROR(IF($D600="","",VLOOKUP($D600,Cadastro!$C$4:$E$7,3,FALSE)),"")</f>
        <v/>
      </c>
      <c r="G600" s="106"/>
      <c r="H600" s="135" t="str">
        <f>IFERROR(IF($G600="","",$G600*$S$608/$G$608/Cadastro!$E$33),"")</f>
        <v/>
      </c>
      <c r="I600" s="136" t="str">
        <f>IFERROR(IF($D600="","",VLOOKUP($D600,Cadastro!$C$4:$G$7,5,FALSE)),"")</f>
        <v/>
      </c>
      <c r="J600" s="137" t="str">
        <f t="shared" si="153"/>
        <v/>
      </c>
      <c r="K600" s="28" t="str">
        <f t="shared" si="154"/>
        <v/>
      </c>
      <c r="L600" s="26"/>
      <c r="M600" s="26"/>
      <c r="N600" s="26"/>
      <c r="O600" s="29"/>
      <c r="P600" s="29"/>
      <c r="Q600" s="30" t="str">
        <f t="shared" ca="1" si="155"/>
        <v/>
      </c>
      <c r="R600" s="27"/>
      <c r="S600" s="47"/>
    </row>
    <row r="601" spans="1:20" ht="15" customHeight="1">
      <c r="A601" s="69">
        <v>46257</v>
      </c>
      <c r="B601" s="32">
        <f t="shared" si="156"/>
        <v>0.54166666666666641</v>
      </c>
      <c r="C601" s="26"/>
      <c r="D601" s="59"/>
      <c r="E601" s="109"/>
      <c r="F601" s="135" t="str">
        <f>IFERROR(IF($D601="","",VLOOKUP($D601,Cadastro!$C$4:$E$7,3,FALSE)),"")</f>
        <v/>
      </c>
      <c r="G601" s="106"/>
      <c r="H601" s="135" t="str">
        <f>IFERROR(IF($G601="","",$G601*$S$608/$G$608/Cadastro!$E$33),"")</f>
        <v/>
      </c>
      <c r="I601" s="136" t="str">
        <f>IFERROR(IF($D601="","",VLOOKUP($D601,Cadastro!$C$4:$G$7,5,FALSE)),"")</f>
        <v/>
      </c>
      <c r="J601" s="137" t="str">
        <f t="shared" si="153"/>
        <v/>
      </c>
      <c r="K601" s="34" t="str">
        <f t="shared" si="154"/>
        <v/>
      </c>
      <c r="L601" s="33"/>
      <c r="M601" s="33"/>
      <c r="N601" s="33"/>
      <c r="O601" s="29"/>
      <c r="P601" s="29"/>
      <c r="Q601" s="35" t="str">
        <f t="shared" ca="1" si="155"/>
        <v/>
      </c>
      <c r="R601" s="27"/>
      <c r="S601" s="47"/>
    </row>
    <row r="602" spans="1:20" ht="15" customHeight="1">
      <c r="A602" s="68">
        <v>46257</v>
      </c>
      <c r="B602" s="25">
        <f t="shared" si="156"/>
        <v>0.58333333333333304</v>
      </c>
      <c r="C602" s="26"/>
      <c r="D602" s="59"/>
      <c r="E602" s="109"/>
      <c r="F602" s="135" t="str">
        <f>IFERROR(IF($D602="","",VLOOKUP($D602,Cadastro!$C$4:$E$7,3,FALSE)),"")</f>
        <v/>
      </c>
      <c r="G602" s="106"/>
      <c r="H602" s="135" t="str">
        <f>IFERROR(IF($G602="","",$G602*$S$608/$G$608/Cadastro!$E$33),"")</f>
        <v/>
      </c>
      <c r="I602" s="136" t="str">
        <f>IFERROR(IF($D602="","",VLOOKUP($D602,Cadastro!$C$4:$G$7,5,FALSE)),"")</f>
        <v/>
      </c>
      <c r="J602" s="137" t="str">
        <f t="shared" si="153"/>
        <v/>
      </c>
      <c r="K602" s="28" t="str">
        <f t="shared" si="154"/>
        <v/>
      </c>
      <c r="L602" s="26"/>
      <c r="M602" s="26"/>
      <c r="N602" s="26"/>
      <c r="O602" s="29"/>
      <c r="P602" s="29"/>
      <c r="Q602" s="30" t="str">
        <f t="shared" ca="1" si="155"/>
        <v/>
      </c>
      <c r="R602" s="27"/>
      <c r="S602" s="47"/>
    </row>
    <row r="603" spans="1:20" ht="15" customHeight="1">
      <c r="A603" s="69">
        <v>46257</v>
      </c>
      <c r="B603" s="32">
        <f t="shared" si="156"/>
        <v>0.62499999999999967</v>
      </c>
      <c r="C603" s="26"/>
      <c r="D603" s="59"/>
      <c r="E603" s="109"/>
      <c r="F603" s="135" t="str">
        <f>IFERROR(IF($D603="","",VLOOKUP($D603,Cadastro!$C$4:$E$7,3,FALSE)),"")</f>
        <v/>
      </c>
      <c r="G603" s="106"/>
      <c r="H603" s="135" t="str">
        <f>IFERROR(IF($G603="","",$G603*$S$608/$G$608/Cadastro!$E$33),"")</f>
        <v/>
      </c>
      <c r="I603" s="136" t="str">
        <f>IFERROR(IF($D603="","",VLOOKUP($D603,Cadastro!$C$4:$G$7,5,FALSE)),"")</f>
        <v/>
      </c>
      <c r="J603" s="137" t="str">
        <f t="shared" si="153"/>
        <v/>
      </c>
      <c r="K603" s="34" t="str">
        <f t="shared" si="154"/>
        <v/>
      </c>
      <c r="L603" s="33"/>
      <c r="M603" s="33"/>
      <c r="N603" s="33"/>
      <c r="O603" s="29"/>
      <c r="P603" s="29"/>
      <c r="Q603" s="35" t="str">
        <f t="shared" ca="1" si="155"/>
        <v/>
      </c>
      <c r="R603" s="27"/>
      <c r="S603" s="47"/>
    </row>
    <row r="604" spans="1:20" ht="15" customHeight="1">
      <c r="A604" s="68">
        <v>46257</v>
      </c>
      <c r="B604" s="25">
        <f t="shared" si="156"/>
        <v>0.6666666666666663</v>
      </c>
      <c r="C604" s="26"/>
      <c r="D604" s="59"/>
      <c r="E604" s="109"/>
      <c r="F604" s="135" t="str">
        <f>IFERROR(IF($D604="","",VLOOKUP($D604,Cadastro!$C$4:$E$7,3,FALSE)),"")</f>
        <v/>
      </c>
      <c r="G604" s="106"/>
      <c r="H604" s="135" t="str">
        <f>IFERROR(IF($G604="","",$G604*$S$608/$G$608/Cadastro!$E$33),"")</f>
        <v/>
      </c>
      <c r="I604" s="136" t="str">
        <f>IFERROR(IF($D604="","",VLOOKUP($D604,Cadastro!$C$4:$G$7,5,FALSE)),"")</f>
        <v/>
      </c>
      <c r="J604" s="137" t="str">
        <f t="shared" si="153"/>
        <v/>
      </c>
      <c r="K604" s="28" t="str">
        <f t="shared" si="154"/>
        <v/>
      </c>
      <c r="L604" s="26"/>
      <c r="M604" s="26"/>
      <c r="N604" s="26"/>
      <c r="O604" s="29"/>
      <c r="P604" s="29"/>
      <c r="Q604" s="30" t="str">
        <f t="shared" ca="1" si="155"/>
        <v/>
      </c>
      <c r="R604" s="27"/>
      <c r="S604" s="47"/>
    </row>
    <row r="605" spans="1:20" ht="15" customHeight="1">
      <c r="A605" s="69">
        <v>46257</v>
      </c>
      <c r="B605" s="32">
        <f t="shared" si="156"/>
        <v>0.70833333333333293</v>
      </c>
      <c r="C605" s="26"/>
      <c r="D605" s="59"/>
      <c r="E605" s="109"/>
      <c r="F605" s="135" t="str">
        <f>IFERROR(IF($D605="","",VLOOKUP($D605,Cadastro!$C$4:$E$7,3,FALSE)),"")</f>
        <v/>
      </c>
      <c r="G605" s="106"/>
      <c r="H605" s="135" t="str">
        <f>IFERROR(IF($G605="","",$G605*$S$608/$G$608/Cadastro!$E$33),"")</f>
        <v/>
      </c>
      <c r="I605" s="136" t="str">
        <f>IFERROR(IF($D605="","",VLOOKUP($D605,Cadastro!$C$4:$G$7,5,FALSE)),"")</f>
        <v/>
      </c>
      <c r="J605" s="137" t="str">
        <f t="shared" si="153"/>
        <v/>
      </c>
      <c r="K605" s="34" t="str">
        <f t="shared" si="154"/>
        <v/>
      </c>
      <c r="L605" s="33"/>
      <c r="M605" s="33"/>
      <c r="N605" s="33"/>
      <c r="O605" s="29"/>
      <c r="P605" s="29"/>
      <c r="Q605" s="35" t="str">
        <f t="shared" ca="1" si="155"/>
        <v/>
      </c>
      <c r="R605" s="27"/>
      <c r="S605" s="47"/>
    </row>
    <row r="606" spans="1:20" ht="15" customHeight="1">
      <c r="A606" s="68">
        <v>46257</v>
      </c>
      <c r="B606" s="25">
        <f t="shared" si="156"/>
        <v>0.74999999999999956</v>
      </c>
      <c r="C606" s="26"/>
      <c r="D606" s="59"/>
      <c r="E606" s="109"/>
      <c r="F606" s="135" t="str">
        <f>IFERROR(IF($D606="","",VLOOKUP($D606,Cadastro!$C$4:$E$7,3,FALSE)),"")</f>
        <v/>
      </c>
      <c r="G606" s="106"/>
      <c r="H606" s="135" t="str">
        <f>IFERROR(IF($G606="","",$G606*$S$608/$G$608/Cadastro!$E$33),"")</f>
        <v/>
      </c>
      <c r="I606" s="136" t="str">
        <f>IFERROR(IF($D606="","",VLOOKUP($D606,Cadastro!$C$4:$G$7,5,FALSE)),"")</f>
        <v/>
      </c>
      <c r="J606" s="137" t="str">
        <f t="shared" si="153"/>
        <v/>
      </c>
      <c r="K606" s="28" t="str">
        <f t="shared" si="154"/>
        <v/>
      </c>
      <c r="L606" s="26"/>
      <c r="M606" s="26"/>
      <c r="N606" s="26"/>
      <c r="O606" s="29"/>
      <c r="P606" s="29"/>
      <c r="Q606" s="30" t="str">
        <f t="shared" ca="1" si="155"/>
        <v/>
      </c>
      <c r="R606" s="27"/>
      <c r="S606" s="47"/>
    </row>
    <row r="607" spans="1:20" ht="15" customHeight="1" thickBot="1">
      <c r="A607" s="69">
        <v>46257</v>
      </c>
      <c r="B607" s="32">
        <f t="shared" si="156"/>
        <v>0.79166666666666619</v>
      </c>
      <c r="C607" s="26"/>
      <c r="D607" s="59"/>
      <c r="E607" s="109"/>
      <c r="F607" s="138" t="str">
        <f>IFERROR(IF($D607="","",VLOOKUP($D607,Cadastro!$C$4:$E$7,3,FALSE)),"")</f>
        <v/>
      </c>
      <c r="G607" s="106"/>
      <c r="H607" s="138" t="str">
        <f>IFERROR(IF($G607="","",$G607*$S$608/$G$608/Cadastro!$E$33),"")</f>
        <v/>
      </c>
      <c r="I607" s="139" t="str">
        <f>IFERROR(IF($D607="","",VLOOKUP($D607,Cadastro!$C$4:$G$7,5,FALSE)),"")</f>
        <v/>
      </c>
      <c r="J607" s="140" t="str">
        <f t="shared" si="153"/>
        <v/>
      </c>
      <c r="K607" s="34" t="str">
        <f t="shared" si="154"/>
        <v/>
      </c>
      <c r="L607" s="33"/>
      <c r="M607" s="33"/>
      <c r="N607" s="33"/>
      <c r="O607" s="29"/>
      <c r="P607" s="29"/>
      <c r="Q607" s="35" t="str">
        <f t="shared" ca="1" si="155"/>
        <v/>
      </c>
      <c r="R607" s="27"/>
      <c r="S607" s="47"/>
    </row>
    <row r="608" spans="1:20" ht="15.75" customHeight="1" thickBot="1">
      <c r="A608" s="152" t="s">
        <v>241</v>
      </c>
      <c r="B608" s="153"/>
      <c r="C608" s="153"/>
      <c r="D608" s="153"/>
      <c r="E608" s="153">
        <f>SUM(E596:E607)</f>
        <v>0</v>
      </c>
      <c r="F608" s="111"/>
      <c r="G608" s="81">
        <f>SUM(G596:G607)</f>
        <v>0</v>
      </c>
      <c r="H608" s="111">
        <f>IFERROR(SUM(H596:H607),"")</f>
        <v>0</v>
      </c>
      <c r="I608" s="115"/>
      <c r="J608" s="124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20">
        <f>IFERROR(J608,"")</f>
        <v>0</v>
      </c>
    </row>
    <row r="609" spans="1:20" ht="15" customHeight="1">
      <c r="A609" s="69">
        <v>46257</v>
      </c>
      <c r="B609" s="32">
        <v>0.83333333333333304</v>
      </c>
      <c r="C609" s="33"/>
      <c r="D609" s="62"/>
      <c r="E609" s="110"/>
      <c r="F609" s="141" t="str">
        <f>IFERROR(IF($D609="","",VLOOKUP($D609,Cadastro!$C$4:$E$7,3,FALSE)),"")</f>
        <v/>
      </c>
      <c r="G609" s="106"/>
      <c r="H609" s="141" t="str">
        <f>IFERROR(IF($G609="","",$G609*$S$621/$G$621/Cadastro!$E$33),"")</f>
        <v/>
      </c>
      <c r="I609" s="142" t="str">
        <f>IFERROR(IF($D609="","",VLOOKUP($D609,Cadastro!$C$4:$G$7,5,FALSE)),"")</f>
        <v/>
      </c>
      <c r="J609" s="143" t="str">
        <f t="shared" ref="J609:J620" si="157">IFERROR(IF($H609="","",$H609*$F609*$I609),"")</f>
        <v/>
      </c>
      <c r="K609" s="34" t="str">
        <f t="shared" ref="K609:K614" si="158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9">IFERROR(IF(O609="","",IF(P609="",MOD(NOW()-O609,1),IF(P609&gt;=O609,P609-O609,P609+1-O609))),"")</f>
        <v/>
      </c>
      <c r="R609" s="27"/>
      <c r="S609" s="47"/>
    </row>
    <row r="610" spans="1:20" ht="15" customHeight="1">
      <c r="A610" s="68">
        <v>46257</v>
      </c>
      <c r="B610" s="25">
        <f t="shared" ref="B610:B620" si="160">B609+TIME(0,60,0)</f>
        <v>0.87499999999999967</v>
      </c>
      <c r="C610" s="33"/>
      <c r="D610" s="62"/>
      <c r="E610" s="110"/>
      <c r="F610" s="135" t="str">
        <f>IFERROR(IF($D610="","",VLOOKUP($D610,Cadastro!$C$4:$E$7,3,FALSE)),"")</f>
        <v/>
      </c>
      <c r="G610" s="106"/>
      <c r="H610" s="135" t="str">
        <f>IFERROR(IF($G610="","",$G610*$S$621/$G$621/Cadastro!$E$33),"")</f>
        <v/>
      </c>
      <c r="I610" s="136" t="str">
        <f>IFERROR(IF($D610="","",VLOOKUP($D610,Cadastro!$C$4:$G$7,5,FALSE)),"")</f>
        <v/>
      </c>
      <c r="J610" s="137" t="str">
        <f t="shared" si="157"/>
        <v/>
      </c>
      <c r="K610" s="28" t="str">
        <f t="shared" si="158"/>
        <v/>
      </c>
      <c r="L610" s="26"/>
      <c r="M610" s="26"/>
      <c r="N610" s="26"/>
      <c r="O610" s="29"/>
      <c r="P610" s="29"/>
      <c r="Q610" s="30" t="str">
        <f t="shared" ca="1" si="159"/>
        <v/>
      </c>
      <c r="R610" s="27"/>
      <c r="S610" s="47"/>
    </row>
    <row r="611" spans="1:20" ht="15" customHeight="1">
      <c r="A611" s="69">
        <v>46257</v>
      </c>
      <c r="B611" s="32">
        <f t="shared" si="160"/>
        <v>0.9166666666666663</v>
      </c>
      <c r="C611" s="33"/>
      <c r="D611" s="62"/>
      <c r="E611" s="110"/>
      <c r="F611" s="135" t="str">
        <f>IFERROR(IF($D611="","",VLOOKUP($D611,Cadastro!$C$4:$E$7,3,FALSE)),"")</f>
        <v/>
      </c>
      <c r="G611" s="106"/>
      <c r="H611" s="135" t="str">
        <f>IFERROR(IF($G611="","",$G611*$S$621/$G$621/Cadastro!$E$33),"")</f>
        <v/>
      </c>
      <c r="I611" s="136" t="str">
        <f>IFERROR(IF($D611="","",VLOOKUP($D611,Cadastro!$C$4:$G$7,5,FALSE)),"")</f>
        <v/>
      </c>
      <c r="J611" s="137" t="str">
        <f t="shared" si="157"/>
        <v/>
      </c>
      <c r="K611" s="34" t="str">
        <f t="shared" si="158"/>
        <v/>
      </c>
      <c r="L611" s="33"/>
      <c r="M611" s="33"/>
      <c r="N611" s="33"/>
      <c r="O611" s="29"/>
      <c r="P611" s="29"/>
      <c r="Q611" s="35" t="str">
        <f t="shared" ca="1" si="159"/>
        <v/>
      </c>
      <c r="R611" s="27"/>
      <c r="S611" s="47"/>
    </row>
    <row r="612" spans="1:20" ht="15" customHeight="1">
      <c r="A612" s="68">
        <v>46257</v>
      </c>
      <c r="B612" s="25">
        <f t="shared" si="160"/>
        <v>0.95833333333333293</v>
      </c>
      <c r="C612" s="33"/>
      <c r="D612" s="62"/>
      <c r="E612" s="110"/>
      <c r="F612" s="135" t="str">
        <f>IFERROR(IF($D612="","",VLOOKUP($D612,Cadastro!$C$4:$E$7,3,FALSE)),"")</f>
        <v/>
      </c>
      <c r="G612" s="106"/>
      <c r="H612" s="135" t="str">
        <f>IFERROR(IF($G612="","",$G612*$S$621/$G$621/Cadastro!$E$33),"")</f>
        <v/>
      </c>
      <c r="I612" s="136" t="str">
        <f>IFERROR(IF($D612="","",VLOOKUP($D612,Cadastro!$C$4:$G$7,5,FALSE)),"")</f>
        <v/>
      </c>
      <c r="J612" s="137" t="str">
        <f t="shared" si="157"/>
        <v/>
      </c>
      <c r="K612" s="28" t="str">
        <f t="shared" si="158"/>
        <v/>
      </c>
      <c r="L612" s="26"/>
      <c r="M612" s="26"/>
      <c r="N612" s="26"/>
      <c r="O612" s="29"/>
      <c r="P612" s="29"/>
      <c r="Q612" s="30" t="str">
        <f t="shared" ca="1" si="159"/>
        <v/>
      </c>
      <c r="R612" s="27"/>
      <c r="S612" s="47"/>
    </row>
    <row r="613" spans="1:20" ht="15" customHeight="1">
      <c r="A613" s="69">
        <v>46257</v>
      </c>
      <c r="B613" s="32">
        <f t="shared" si="160"/>
        <v>0.99999999999999956</v>
      </c>
      <c r="C613" s="33"/>
      <c r="D613" s="62"/>
      <c r="E613" s="110"/>
      <c r="F613" s="135" t="str">
        <f>IFERROR(IF($D613="","",VLOOKUP($D613,Cadastro!$C$4:$E$7,3,FALSE)),"")</f>
        <v/>
      </c>
      <c r="G613" s="106"/>
      <c r="H613" s="135" t="str">
        <f>IFERROR(IF($G613="","",$G613*$S$621/$G$621/Cadastro!$E$33),"")</f>
        <v/>
      </c>
      <c r="I613" s="136" t="str">
        <f>IFERROR(IF($D613="","",VLOOKUP($D613,Cadastro!$C$4:$G$7,5,FALSE)),"")</f>
        <v/>
      </c>
      <c r="J613" s="137" t="str">
        <f t="shared" si="157"/>
        <v/>
      </c>
      <c r="K613" s="34" t="str">
        <f t="shared" si="158"/>
        <v/>
      </c>
      <c r="L613" s="33"/>
      <c r="M613" s="33"/>
      <c r="N613" s="33"/>
      <c r="O613" s="29"/>
      <c r="P613" s="29"/>
      <c r="Q613" s="35" t="str">
        <f t="shared" ca="1" si="159"/>
        <v/>
      </c>
      <c r="R613" s="27"/>
      <c r="S613" s="47"/>
    </row>
    <row r="614" spans="1:20" ht="15" customHeight="1">
      <c r="A614" s="68">
        <v>46257</v>
      </c>
      <c r="B614" s="25">
        <f t="shared" si="160"/>
        <v>1.0416666666666663</v>
      </c>
      <c r="C614" s="33"/>
      <c r="D614" s="62"/>
      <c r="E614" s="110"/>
      <c r="F614" s="135" t="str">
        <f>IFERROR(IF($D614="","",VLOOKUP($D614,Cadastro!$C$4:$E$7,3,FALSE)),"")</f>
        <v/>
      </c>
      <c r="G614" s="106"/>
      <c r="H614" s="135" t="str">
        <f>IFERROR(IF($G614="","",$G614*$S$621/$G$621/Cadastro!$E$33),"")</f>
        <v/>
      </c>
      <c r="I614" s="136" t="str">
        <f>IFERROR(IF($D614="","",VLOOKUP($D614,Cadastro!$C$4:$G$7,5,FALSE)),"")</f>
        <v/>
      </c>
      <c r="J614" s="137" t="str">
        <f t="shared" si="157"/>
        <v/>
      </c>
      <c r="K614" s="28" t="str">
        <f t="shared" si="158"/>
        <v/>
      </c>
      <c r="L614" s="26"/>
      <c r="M614" s="26"/>
      <c r="N614" s="26"/>
      <c r="O614" s="29"/>
      <c r="P614" s="29"/>
      <c r="Q614" s="30" t="str">
        <f t="shared" ca="1" si="159"/>
        <v/>
      </c>
      <c r="R614" s="27"/>
      <c r="S614" s="47"/>
    </row>
    <row r="615" spans="1:20" ht="15" customHeight="1">
      <c r="A615" s="69">
        <v>46257</v>
      </c>
      <c r="B615" s="32">
        <f t="shared" si="160"/>
        <v>1.083333333333333</v>
      </c>
      <c r="C615" s="33"/>
      <c r="D615" s="62"/>
      <c r="E615" s="110"/>
      <c r="F615" s="135" t="str">
        <f>IFERROR(IF($D615="","",VLOOKUP($D615,Cadastro!$C$4:$E$7,3,FALSE)),"")</f>
        <v/>
      </c>
      <c r="G615" s="106"/>
      <c r="H615" s="135" t="str">
        <f>IFERROR(IF($G615="","",$G615*$S$621/$G$621/Cadastro!$E$33),"")</f>
        <v/>
      </c>
      <c r="I615" s="136" t="str">
        <f>IFERROR(IF($D615="","",VLOOKUP($D615,Cadastro!$C$4:$G$7,5,FALSE)),"")</f>
        <v/>
      </c>
      <c r="J615" s="137" t="str">
        <f t="shared" si="157"/>
        <v/>
      </c>
      <c r="K615" s="34"/>
      <c r="L615" s="33"/>
      <c r="M615" s="33"/>
      <c r="N615" s="33"/>
      <c r="O615" s="29"/>
      <c r="P615" s="29"/>
      <c r="Q615" s="35" t="str">
        <f t="shared" ca="1" si="159"/>
        <v/>
      </c>
      <c r="R615" s="27"/>
      <c r="S615" s="47"/>
    </row>
    <row r="616" spans="1:20" ht="15" customHeight="1">
      <c r="A616" s="68">
        <v>46257</v>
      </c>
      <c r="B616" s="25">
        <f t="shared" si="160"/>
        <v>1.1249999999999998</v>
      </c>
      <c r="C616" s="33"/>
      <c r="D616" s="62"/>
      <c r="E616" s="110"/>
      <c r="F616" s="135" t="str">
        <f>IFERROR(IF($D616="","",VLOOKUP($D616,Cadastro!$C$4:$E$7,3,FALSE)),"")</f>
        <v/>
      </c>
      <c r="G616" s="106"/>
      <c r="H616" s="135" t="str">
        <f>IFERROR(IF($G616="","",$G616*$S$621/$G$621/Cadastro!$E$33),"")</f>
        <v/>
      </c>
      <c r="I616" s="136" t="str">
        <f>IFERROR(IF($D616="","",VLOOKUP($D616,Cadastro!$C$4:$G$7,5,FALSE)),"")</f>
        <v/>
      </c>
      <c r="J616" s="137" t="str">
        <f t="shared" si="157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9"/>
        <v/>
      </c>
      <c r="R616" s="27"/>
      <c r="S616" s="47"/>
    </row>
    <row r="617" spans="1:20" ht="15" customHeight="1">
      <c r="A617" s="69">
        <v>46257</v>
      </c>
      <c r="B617" s="32">
        <f t="shared" si="160"/>
        <v>1.1666666666666665</v>
      </c>
      <c r="C617" s="33"/>
      <c r="D617" s="62"/>
      <c r="E617" s="110"/>
      <c r="F617" s="135" t="str">
        <f>IFERROR(IF($D617="","",VLOOKUP($D617,Cadastro!$C$4:$E$7,3,FALSE)),"")</f>
        <v/>
      </c>
      <c r="G617" s="106"/>
      <c r="H617" s="135" t="str">
        <f>IFERROR(IF($G617="","",$G617*$S$621/$G$621/Cadastro!$E$33),"")</f>
        <v/>
      </c>
      <c r="I617" s="136" t="str">
        <f>IFERROR(IF($D617="","",VLOOKUP($D617,Cadastro!$C$4:$G$7,5,FALSE)),"")</f>
        <v/>
      </c>
      <c r="J617" s="137" t="str">
        <f t="shared" si="157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9"/>
        <v/>
      </c>
      <c r="R617" s="27"/>
      <c r="S617" s="47"/>
    </row>
    <row r="618" spans="1:20" ht="15" customHeight="1">
      <c r="A618" s="68">
        <v>46257</v>
      </c>
      <c r="B618" s="25">
        <f t="shared" si="160"/>
        <v>1.2083333333333333</v>
      </c>
      <c r="C618" s="33"/>
      <c r="D618" s="62"/>
      <c r="E618" s="110"/>
      <c r="F618" s="135" t="str">
        <f>IFERROR(IF($D618="","",VLOOKUP($D618,Cadastro!$C$4:$E$7,3,FALSE)),"")</f>
        <v/>
      </c>
      <c r="G618" s="106"/>
      <c r="H618" s="135" t="str">
        <f>IFERROR(IF($G618="","",$G618*$S$621/$G$621/Cadastro!$E$33),"")</f>
        <v/>
      </c>
      <c r="I618" s="136" t="str">
        <f>IFERROR(IF($D618="","",VLOOKUP($D618,Cadastro!$C$4:$G$7,5,FALSE)),"")</f>
        <v/>
      </c>
      <c r="J618" s="137" t="str">
        <f t="shared" si="157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9"/>
        <v/>
      </c>
      <c r="R618" s="27"/>
      <c r="S618" s="47"/>
    </row>
    <row r="619" spans="1:20" ht="15" customHeight="1">
      <c r="A619" s="69">
        <v>46257</v>
      </c>
      <c r="B619" s="32">
        <f t="shared" si="160"/>
        <v>1.25</v>
      </c>
      <c r="C619" s="33"/>
      <c r="D619" s="62"/>
      <c r="E619" s="110"/>
      <c r="F619" s="135" t="str">
        <f>IFERROR(IF($D619="","",VLOOKUP($D619,Cadastro!$C$4:$E$7,3,FALSE)),"")</f>
        <v/>
      </c>
      <c r="G619" s="106"/>
      <c r="H619" s="135" t="str">
        <f>IFERROR(IF($G619="","",$G619*$S$621/$G$621/Cadastro!$E$33),"")</f>
        <v/>
      </c>
      <c r="I619" s="136" t="str">
        <f>IFERROR(IF($D619="","",VLOOKUP($D619,Cadastro!$C$4:$G$7,5,FALSE)),"")</f>
        <v/>
      </c>
      <c r="J619" s="137" t="str">
        <f t="shared" si="157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9"/>
        <v/>
      </c>
      <c r="R619" s="27"/>
      <c r="S619" s="47"/>
    </row>
    <row r="620" spans="1:20" ht="15" customHeight="1" thickBot="1">
      <c r="A620" s="68">
        <v>46257</v>
      </c>
      <c r="B620" s="25">
        <f t="shared" si="160"/>
        <v>1.2916666666666667</v>
      </c>
      <c r="C620" s="33"/>
      <c r="D620" s="62"/>
      <c r="E620" s="110"/>
      <c r="F620" s="138" t="str">
        <f>IFERROR(IF($D620="","",VLOOKUP($D620,Cadastro!$C$4:$E$7,3,FALSE)),"")</f>
        <v/>
      </c>
      <c r="G620" s="106"/>
      <c r="H620" s="138" t="str">
        <f>IFERROR(IF($G620="","",$G620*$S$621/$G$621/Cadastro!$E$33),"")</f>
        <v/>
      </c>
      <c r="I620" s="139" t="str">
        <f>IFERROR(IF($D620="","",VLOOKUP($D620,Cadastro!$C$4:$G$7,5,FALSE)),"")</f>
        <v/>
      </c>
      <c r="J620" s="140" t="str">
        <f t="shared" si="157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9"/>
        <v/>
      </c>
      <c r="R620" s="27"/>
      <c r="S620" s="47"/>
    </row>
    <row r="621" spans="1:20" ht="15.75" customHeight="1" thickBot="1">
      <c r="A621" s="152" t="s">
        <v>244</v>
      </c>
      <c r="B621" s="153"/>
      <c r="C621" s="153"/>
      <c r="D621" s="153"/>
      <c r="E621" s="153">
        <f>SUM(E609:E620)</f>
        <v>0</v>
      </c>
      <c r="F621" s="112"/>
      <c r="G621" s="81">
        <f>SUM(G609:G620)</f>
        <v>0</v>
      </c>
      <c r="H621" s="112">
        <f>IFERROR(SUM(H609:H620),"")</f>
        <v>0</v>
      </c>
      <c r="I621" s="116"/>
      <c r="J621" s="125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20">
        <f>IFERROR(J621,"")</f>
        <v>0</v>
      </c>
    </row>
    <row r="622" spans="1:20" ht="18" customHeight="1">
      <c r="A622" s="150" t="s">
        <v>245</v>
      </c>
      <c r="B622" s="151"/>
      <c r="C622" s="151"/>
      <c r="D622" s="151"/>
      <c r="E622" s="151">
        <f>E608+E621</f>
        <v>0</v>
      </c>
      <c r="F622" s="113"/>
      <c r="G622" s="92">
        <f>G608+G621</f>
        <v>0</v>
      </c>
      <c r="H622" s="113">
        <f>IFERROR(H608+H621,"")</f>
        <v>0</v>
      </c>
      <c r="I622" s="117"/>
      <c r="J622" s="126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2">
        <f>IFERROR(J622,"")</f>
        <v>0</v>
      </c>
    </row>
    <row r="623" spans="1:20" ht="15" customHeight="1">
      <c r="A623" s="69">
        <v>46258</v>
      </c>
      <c r="B623" s="32">
        <v>0.33333333333333298</v>
      </c>
      <c r="C623" s="33"/>
      <c r="D623" s="62"/>
      <c r="E623" s="110"/>
      <c r="F623" s="141" t="str">
        <f>IFERROR(IF($D623="","",VLOOKUP($D623,Cadastro!$C$4:$E$7,3,FALSE)),"")</f>
        <v/>
      </c>
      <c r="G623" s="106"/>
      <c r="H623" s="141" t="str">
        <f>IFERROR(IF($G623="","",$G623*$S$635/$G$635/Cadastro!$E$33),"")</f>
        <v/>
      </c>
      <c r="I623" s="142" t="str">
        <f>IFERROR(IF($D623="","",VLOOKUP($D623,Cadastro!$C$4:$G$7,5,FALSE)),"")</f>
        <v/>
      </c>
      <c r="J623" s="143" t="str">
        <f t="shared" ref="J623:J634" si="161">IFERROR(IF($H623="","",$H623*$F623*$I623),"")</f>
        <v/>
      </c>
      <c r="K623" s="34" t="str">
        <f t="shared" ref="K623:K634" si="162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3">IFERROR(IF(O623="","",IF(P623="",MOD(NOW()-O623,1),IF(P623&gt;=O623,P623-O623,P623+1-O623))),"")</f>
        <v/>
      </c>
      <c r="R623" s="27"/>
      <c r="S623" s="47"/>
    </row>
    <row r="624" spans="1:20" ht="15" customHeight="1">
      <c r="A624" s="68">
        <v>46258</v>
      </c>
      <c r="B624" s="25">
        <f t="shared" ref="B624:B634" si="164">B623+TIME(0,60,0)</f>
        <v>0.37499999999999967</v>
      </c>
      <c r="C624" s="33"/>
      <c r="D624" s="62"/>
      <c r="E624" s="110"/>
      <c r="F624" s="135" t="str">
        <f>IFERROR(IF($D624="","",VLOOKUP($D624,Cadastro!$C$4:$E$7,3,FALSE)),"")</f>
        <v/>
      </c>
      <c r="G624" s="106"/>
      <c r="H624" s="135" t="str">
        <f>IFERROR(IF($G624="","",$G624*$S$635/$G$635/Cadastro!$E$33),"")</f>
        <v/>
      </c>
      <c r="I624" s="136" t="str">
        <f>IFERROR(IF($D624="","",VLOOKUP($D624,Cadastro!$C$4:$G$7,5,FALSE)),"")</f>
        <v/>
      </c>
      <c r="J624" s="137" t="str">
        <f t="shared" si="161"/>
        <v/>
      </c>
      <c r="K624" s="28" t="str">
        <f t="shared" si="162"/>
        <v/>
      </c>
      <c r="L624" s="26"/>
      <c r="M624" s="26"/>
      <c r="N624" s="26"/>
      <c r="O624" s="29"/>
      <c r="P624" s="29"/>
      <c r="Q624" s="30" t="str">
        <f t="shared" ca="1" si="163"/>
        <v/>
      </c>
      <c r="R624" s="27"/>
      <c r="S624" s="47"/>
    </row>
    <row r="625" spans="1:20" ht="15" customHeight="1">
      <c r="A625" s="69">
        <v>46258</v>
      </c>
      <c r="B625" s="32">
        <f t="shared" si="164"/>
        <v>0.41666666666666635</v>
      </c>
      <c r="C625" s="33"/>
      <c r="D625" s="62"/>
      <c r="E625" s="110"/>
      <c r="F625" s="135" t="str">
        <f>IFERROR(IF($D625="","",VLOOKUP($D625,Cadastro!$C$4:$E$7,3,FALSE)),"")</f>
        <v/>
      </c>
      <c r="G625" s="106"/>
      <c r="H625" s="135" t="str">
        <f>IFERROR(IF($G625="","",$G625*$S$635/$G$635/Cadastro!$E$33),"")</f>
        <v/>
      </c>
      <c r="I625" s="136" t="str">
        <f>IFERROR(IF($D625="","",VLOOKUP($D625,Cadastro!$C$4:$G$7,5,FALSE)),"")</f>
        <v/>
      </c>
      <c r="J625" s="137" t="str">
        <f t="shared" si="161"/>
        <v/>
      </c>
      <c r="K625" s="34" t="str">
        <f t="shared" si="162"/>
        <v/>
      </c>
      <c r="L625" s="33"/>
      <c r="M625" s="33"/>
      <c r="N625" s="33"/>
      <c r="O625" s="29"/>
      <c r="P625" s="29"/>
      <c r="Q625" s="35" t="str">
        <f t="shared" ca="1" si="163"/>
        <v/>
      </c>
      <c r="R625" s="27"/>
      <c r="S625" s="47"/>
    </row>
    <row r="626" spans="1:20" ht="15" customHeight="1">
      <c r="A626" s="68">
        <v>46258</v>
      </c>
      <c r="B626" s="25">
        <f t="shared" si="164"/>
        <v>0.45833333333333304</v>
      </c>
      <c r="C626" s="33"/>
      <c r="D626" s="62"/>
      <c r="E626" s="110"/>
      <c r="F626" s="135" t="str">
        <f>IFERROR(IF($D626="","",VLOOKUP($D626,Cadastro!$C$4:$E$7,3,FALSE)),"")</f>
        <v/>
      </c>
      <c r="G626" s="106"/>
      <c r="H626" s="135" t="str">
        <f>IFERROR(IF($G626="","",$G626*$S$635/$G$635/Cadastro!$E$33),"")</f>
        <v/>
      </c>
      <c r="I626" s="136" t="str">
        <f>IFERROR(IF($D626="","",VLOOKUP($D626,Cadastro!$C$4:$G$7,5,FALSE)),"")</f>
        <v/>
      </c>
      <c r="J626" s="137" t="str">
        <f t="shared" si="161"/>
        <v/>
      </c>
      <c r="K626" s="28" t="str">
        <f t="shared" si="162"/>
        <v/>
      </c>
      <c r="L626" s="26"/>
      <c r="M626" s="26"/>
      <c r="N626" s="26"/>
      <c r="O626" s="29"/>
      <c r="P626" s="29"/>
      <c r="Q626" s="30" t="str">
        <f t="shared" ca="1" si="163"/>
        <v/>
      </c>
      <c r="R626" s="27"/>
      <c r="S626" s="47"/>
    </row>
    <row r="627" spans="1:20" ht="15" customHeight="1">
      <c r="A627" s="69">
        <v>46258</v>
      </c>
      <c r="B627" s="32">
        <f t="shared" si="164"/>
        <v>0.49999999999999972</v>
      </c>
      <c r="C627" s="33"/>
      <c r="D627" s="62"/>
      <c r="E627" s="110"/>
      <c r="F627" s="135" t="str">
        <f>IFERROR(IF($D627="","",VLOOKUP($D627,Cadastro!$C$4:$E$7,3,FALSE)),"")</f>
        <v/>
      </c>
      <c r="G627" s="106"/>
      <c r="H627" s="135" t="str">
        <f>IFERROR(IF($G627="","",$G627*$S$635/$G$635/Cadastro!$E$33),"")</f>
        <v/>
      </c>
      <c r="I627" s="136" t="str">
        <f>IFERROR(IF($D627="","",VLOOKUP($D627,Cadastro!$C$4:$G$7,5,FALSE)),"")</f>
        <v/>
      </c>
      <c r="J627" s="137" t="str">
        <f t="shared" si="161"/>
        <v/>
      </c>
      <c r="K627" s="34" t="str">
        <f t="shared" si="162"/>
        <v/>
      </c>
      <c r="L627" s="33"/>
      <c r="M627" s="33"/>
      <c r="N627" s="33"/>
      <c r="O627" s="29"/>
      <c r="P627" s="29"/>
      <c r="Q627" s="35" t="str">
        <f t="shared" ca="1" si="163"/>
        <v/>
      </c>
      <c r="R627" s="27"/>
      <c r="S627" s="47"/>
    </row>
    <row r="628" spans="1:20" ht="15" customHeight="1">
      <c r="A628" s="68">
        <v>46258</v>
      </c>
      <c r="B628" s="25">
        <f t="shared" si="164"/>
        <v>0.54166666666666641</v>
      </c>
      <c r="C628" s="33"/>
      <c r="D628" s="62"/>
      <c r="E628" s="110"/>
      <c r="F628" s="135" t="str">
        <f>IFERROR(IF($D628="","",VLOOKUP($D628,Cadastro!$C$4:$E$7,3,FALSE)),"")</f>
        <v/>
      </c>
      <c r="G628" s="106"/>
      <c r="H628" s="135" t="str">
        <f>IFERROR(IF($G628="","",$G628*$S$635/$G$635/Cadastro!$E$33),"")</f>
        <v/>
      </c>
      <c r="I628" s="136" t="str">
        <f>IFERROR(IF($D628="","",VLOOKUP($D628,Cadastro!$C$4:$G$7,5,FALSE)),"")</f>
        <v/>
      </c>
      <c r="J628" s="137" t="str">
        <f t="shared" si="161"/>
        <v/>
      </c>
      <c r="K628" s="28" t="str">
        <f t="shared" si="162"/>
        <v/>
      </c>
      <c r="L628" s="26"/>
      <c r="M628" s="26"/>
      <c r="N628" s="26"/>
      <c r="O628" s="29"/>
      <c r="P628" s="29"/>
      <c r="Q628" s="30" t="str">
        <f t="shared" ca="1" si="163"/>
        <v/>
      </c>
      <c r="R628" s="27"/>
      <c r="S628" s="47"/>
    </row>
    <row r="629" spans="1:20" ht="15" customHeight="1">
      <c r="A629" s="69">
        <v>46258</v>
      </c>
      <c r="B629" s="32">
        <f t="shared" si="164"/>
        <v>0.58333333333333304</v>
      </c>
      <c r="C629" s="33"/>
      <c r="D629" s="62"/>
      <c r="E629" s="110"/>
      <c r="F629" s="135" t="str">
        <f>IFERROR(IF($D629="","",VLOOKUP($D629,Cadastro!$C$4:$E$7,3,FALSE)),"")</f>
        <v/>
      </c>
      <c r="G629" s="106"/>
      <c r="H629" s="135" t="str">
        <f>IFERROR(IF($G629="","",$G629*$S$635/$G$635/Cadastro!$E$33),"")</f>
        <v/>
      </c>
      <c r="I629" s="136" t="str">
        <f>IFERROR(IF($D629="","",VLOOKUP($D629,Cadastro!$C$4:$G$7,5,FALSE)),"")</f>
        <v/>
      </c>
      <c r="J629" s="137" t="str">
        <f t="shared" si="161"/>
        <v/>
      </c>
      <c r="K629" s="34" t="str">
        <f t="shared" si="162"/>
        <v/>
      </c>
      <c r="L629" s="33"/>
      <c r="M629" s="33"/>
      <c r="N629" s="33"/>
      <c r="O629" s="29"/>
      <c r="P629" s="29"/>
      <c r="Q629" s="35" t="str">
        <f t="shared" ca="1" si="163"/>
        <v/>
      </c>
      <c r="R629" s="27"/>
      <c r="S629" s="47"/>
    </row>
    <row r="630" spans="1:20" ht="15" customHeight="1">
      <c r="A630" s="68">
        <v>46258</v>
      </c>
      <c r="B630" s="25">
        <f t="shared" si="164"/>
        <v>0.62499999999999967</v>
      </c>
      <c r="C630" s="33"/>
      <c r="D630" s="62"/>
      <c r="E630" s="110"/>
      <c r="F630" s="135" t="str">
        <f>IFERROR(IF($D630="","",VLOOKUP($D630,Cadastro!$C$4:$E$7,3,FALSE)),"")</f>
        <v/>
      </c>
      <c r="G630" s="106"/>
      <c r="H630" s="135" t="str">
        <f>IFERROR(IF($G630="","",$G630*$S$635/$G$635/Cadastro!$E$33),"")</f>
        <v/>
      </c>
      <c r="I630" s="136" t="str">
        <f>IFERROR(IF($D630="","",VLOOKUP($D630,Cadastro!$C$4:$G$7,5,FALSE)),"")</f>
        <v/>
      </c>
      <c r="J630" s="137" t="str">
        <f t="shared" si="161"/>
        <v/>
      </c>
      <c r="K630" s="28" t="str">
        <f t="shared" si="162"/>
        <v/>
      </c>
      <c r="L630" s="26"/>
      <c r="M630" s="26"/>
      <c r="N630" s="26"/>
      <c r="O630" s="29"/>
      <c r="P630" s="29"/>
      <c r="Q630" s="30" t="str">
        <f t="shared" ca="1" si="163"/>
        <v/>
      </c>
      <c r="R630" s="27"/>
      <c r="S630" s="47"/>
    </row>
    <row r="631" spans="1:20" ht="15" customHeight="1">
      <c r="A631" s="69">
        <v>46258</v>
      </c>
      <c r="B631" s="32">
        <f t="shared" si="164"/>
        <v>0.6666666666666663</v>
      </c>
      <c r="C631" s="33"/>
      <c r="D631" s="62"/>
      <c r="E631" s="110"/>
      <c r="F631" s="135" t="str">
        <f>IFERROR(IF($D631="","",VLOOKUP($D631,Cadastro!$C$4:$E$7,3,FALSE)),"")</f>
        <v/>
      </c>
      <c r="G631" s="106"/>
      <c r="H631" s="135" t="str">
        <f>IFERROR(IF($G631="","",$G631*$S$635/$G$635/Cadastro!$E$33),"")</f>
        <v/>
      </c>
      <c r="I631" s="136" t="str">
        <f>IFERROR(IF($D631="","",VLOOKUP($D631,Cadastro!$C$4:$G$7,5,FALSE)),"")</f>
        <v/>
      </c>
      <c r="J631" s="137" t="str">
        <f t="shared" si="161"/>
        <v/>
      </c>
      <c r="K631" s="34" t="str">
        <f t="shared" si="162"/>
        <v/>
      </c>
      <c r="L631" s="33"/>
      <c r="M631" s="33"/>
      <c r="N631" s="33"/>
      <c r="O631" s="29"/>
      <c r="P631" s="29"/>
      <c r="Q631" s="35" t="str">
        <f t="shared" ca="1" si="163"/>
        <v/>
      </c>
      <c r="R631" s="27"/>
      <c r="S631" s="47"/>
    </row>
    <row r="632" spans="1:20" ht="15" customHeight="1">
      <c r="A632" s="68">
        <v>46258</v>
      </c>
      <c r="B632" s="25">
        <f t="shared" si="164"/>
        <v>0.70833333333333293</v>
      </c>
      <c r="C632" s="33"/>
      <c r="D632" s="62"/>
      <c r="E632" s="110"/>
      <c r="F632" s="135" t="str">
        <f>IFERROR(IF($D632="","",VLOOKUP($D632,Cadastro!$C$4:$E$7,3,FALSE)),"")</f>
        <v/>
      </c>
      <c r="G632" s="106"/>
      <c r="H632" s="135" t="str">
        <f>IFERROR(IF($G632="","",$G632*$S$635/$G$635/Cadastro!$E$33),"")</f>
        <v/>
      </c>
      <c r="I632" s="136" t="str">
        <f>IFERROR(IF($D632="","",VLOOKUP($D632,Cadastro!$C$4:$G$7,5,FALSE)),"")</f>
        <v/>
      </c>
      <c r="J632" s="137" t="str">
        <f t="shared" si="161"/>
        <v/>
      </c>
      <c r="K632" s="28" t="str">
        <f t="shared" si="162"/>
        <v/>
      </c>
      <c r="L632" s="26"/>
      <c r="M632" s="26"/>
      <c r="N632" s="26"/>
      <c r="O632" s="29"/>
      <c r="P632" s="29"/>
      <c r="Q632" s="30" t="str">
        <f t="shared" ca="1" si="163"/>
        <v/>
      </c>
      <c r="R632" s="27"/>
      <c r="S632" s="47"/>
    </row>
    <row r="633" spans="1:20" ht="15" customHeight="1">
      <c r="A633" s="69">
        <v>46258</v>
      </c>
      <c r="B633" s="32">
        <f t="shared" si="164"/>
        <v>0.74999999999999956</v>
      </c>
      <c r="C633" s="33"/>
      <c r="D633" s="62"/>
      <c r="E633" s="110"/>
      <c r="F633" s="135" t="str">
        <f>IFERROR(IF($D633="","",VLOOKUP($D633,Cadastro!$C$4:$E$7,3,FALSE)),"")</f>
        <v/>
      </c>
      <c r="G633" s="106"/>
      <c r="H633" s="135" t="str">
        <f>IFERROR(IF($G633="","",$G633*$S$635/$G$635/Cadastro!$E$33),"")</f>
        <v/>
      </c>
      <c r="I633" s="136" t="str">
        <f>IFERROR(IF($D633="","",VLOOKUP($D633,Cadastro!$C$4:$G$7,5,FALSE)),"")</f>
        <v/>
      </c>
      <c r="J633" s="137" t="str">
        <f t="shared" si="161"/>
        <v/>
      </c>
      <c r="K633" s="34" t="str">
        <f t="shared" si="162"/>
        <v/>
      </c>
      <c r="L633" s="33"/>
      <c r="M633" s="33"/>
      <c r="N633" s="33"/>
      <c r="O633" s="29"/>
      <c r="P633" s="29"/>
      <c r="Q633" s="35" t="str">
        <f t="shared" ca="1" si="163"/>
        <v/>
      </c>
      <c r="R633" s="27"/>
      <c r="S633" s="47"/>
    </row>
    <row r="634" spans="1:20" ht="15" customHeight="1" thickBot="1">
      <c r="A634" s="68">
        <v>46258</v>
      </c>
      <c r="B634" s="25">
        <f t="shared" si="164"/>
        <v>0.79166666666666619</v>
      </c>
      <c r="C634" s="33"/>
      <c r="D634" s="62"/>
      <c r="E634" s="110"/>
      <c r="F634" s="138" t="str">
        <f>IFERROR(IF($D634="","",VLOOKUP($D634,Cadastro!$C$4:$E$7,3,FALSE)),"")</f>
        <v/>
      </c>
      <c r="G634" s="106"/>
      <c r="H634" s="138" t="str">
        <f>IFERROR(IF($G634="","",$G634*$S$635/$G$635/Cadastro!$E$33),"")</f>
        <v/>
      </c>
      <c r="I634" s="139" t="str">
        <f>IFERROR(IF($D634="","",VLOOKUP($D634,Cadastro!$C$4:$G$7,5,FALSE)),"")</f>
        <v/>
      </c>
      <c r="J634" s="140" t="str">
        <f t="shared" si="161"/>
        <v/>
      </c>
      <c r="K634" s="28" t="str">
        <f t="shared" si="162"/>
        <v/>
      </c>
      <c r="L634" s="26"/>
      <c r="M634" s="26"/>
      <c r="N634" s="26"/>
      <c r="O634" s="29"/>
      <c r="P634" s="29"/>
      <c r="Q634" s="30" t="str">
        <f t="shared" ca="1" si="163"/>
        <v/>
      </c>
      <c r="R634" s="27"/>
      <c r="S634" s="47"/>
    </row>
    <row r="635" spans="1:20" ht="15.75" customHeight="1" thickBot="1">
      <c r="A635" s="152" t="s">
        <v>241</v>
      </c>
      <c r="B635" s="153"/>
      <c r="C635" s="153"/>
      <c r="D635" s="153"/>
      <c r="E635" s="153">
        <f>SUM(E623:E634)</f>
        <v>0</v>
      </c>
      <c r="F635" s="111"/>
      <c r="G635" s="81">
        <f>SUM(G623:G634)</f>
        <v>0</v>
      </c>
      <c r="H635" s="111">
        <f>IFERROR(SUM(H623:H634),"")</f>
        <v>0</v>
      </c>
      <c r="I635" s="115"/>
      <c r="J635" s="124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20">
        <f>IFERROR(J635,"")</f>
        <v>0</v>
      </c>
    </row>
    <row r="636" spans="1:20" ht="15" customHeight="1">
      <c r="A636" s="68">
        <v>46258</v>
      </c>
      <c r="B636" s="25">
        <v>0.83333333333333304</v>
      </c>
      <c r="C636" s="26"/>
      <c r="D636" s="59"/>
      <c r="E636" s="109"/>
      <c r="F636" s="141" t="str">
        <f>IFERROR(IF($D636="","",VLOOKUP($D636,Cadastro!$C$4:$E$7,3,FALSE)),"")</f>
        <v/>
      </c>
      <c r="G636" s="106"/>
      <c r="H636" s="141" t="str">
        <f>IFERROR(IF($G636="","",$G636*$S$648/$G$648/Cadastro!$E$33),"")</f>
        <v/>
      </c>
      <c r="I636" s="142" t="str">
        <f>IFERROR(IF($D636="","",VLOOKUP($D636,Cadastro!$C$4:$G$7,5,FALSE)),"")</f>
        <v/>
      </c>
      <c r="J636" s="143" t="str">
        <f t="shared" ref="J636:J647" si="165">IFERROR(IF($H636="","",$H636*$F636*$I636),"")</f>
        <v/>
      </c>
      <c r="K636" s="28" t="str">
        <f t="shared" ref="K636:K647" si="166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7">IFERROR(IF(O636="","",IF(P636="",MOD(NOW()-O636,1),IF(P636&gt;=O636,P636-O636,P636+1-O636))),"")</f>
        <v/>
      </c>
      <c r="R636" s="27"/>
      <c r="S636" s="47"/>
    </row>
    <row r="637" spans="1:20" ht="15" customHeight="1">
      <c r="A637" s="69">
        <v>46258</v>
      </c>
      <c r="B637" s="32">
        <f t="shared" ref="B637:B647" si="168">B636+TIME(0,60,0)</f>
        <v>0.87499999999999967</v>
      </c>
      <c r="C637" s="26"/>
      <c r="D637" s="59"/>
      <c r="E637" s="109"/>
      <c r="F637" s="135" t="str">
        <f>IFERROR(IF($D637="","",VLOOKUP($D637,Cadastro!$C$4:$E$7,3,FALSE)),"")</f>
        <v/>
      </c>
      <c r="G637" s="106"/>
      <c r="H637" s="135" t="str">
        <f>IFERROR(IF($G637="","",$G637*$S$648/$G$648/Cadastro!$E$33),"")</f>
        <v/>
      </c>
      <c r="I637" s="136" t="str">
        <f>IFERROR(IF($D637="","",VLOOKUP($D637,Cadastro!$C$4:$G$7,5,FALSE)),"")</f>
        <v/>
      </c>
      <c r="J637" s="137" t="str">
        <f t="shared" si="165"/>
        <v/>
      </c>
      <c r="K637" s="34" t="str">
        <f t="shared" si="166"/>
        <v/>
      </c>
      <c r="L637" s="33"/>
      <c r="M637" s="33"/>
      <c r="N637" s="33"/>
      <c r="O637" s="29"/>
      <c r="P637" s="29"/>
      <c r="Q637" s="35" t="str">
        <f t="shared" ca="1" si="167"/>
        <v/>
      </c>
      <c r="R637" s="27"/>
      <c r="S637" s="47"/>
    </row>
    <row r="638" spans="1:20" ht="15" customHeight="1">
      <c r="A638" s="68">
        <v>46258</v>
      </c>
      <c r="B638" s="25">
        <f t="shared" si="168"/>
        <v>0.9166666666666663</v>
      </c>
      <c r="C638" s="26"/>
      <c r="D638" s="59"/>
      <c r="E638" s="109"/>
      <c r="F638" s="135" t="str">
        <f>IFERROR(IF($D638="","",VLOOKUP($D638,Cadastro!$C$4:$E$7,3,FALSE)),"")</f>
        <v/>
      </c>
      <c r="G638" s="106"/>
      <c r="H638" s="135" t="str">
        <f>IFERROR(IF($G638="","",$G638*$S$648/$G$648/Cadastro!$E$33),"")</f>
        <v/>
      </c>
      <c r="I638" s="136" t="str">
        <f>IFERROR(IF($D638="","",VLOOKUP($D638,Cadastro!$C$4:$G$7,5,FALSE)),"")</f>
        <v/>
      </c>
      <c r="J638" s="137" t="str">
        <f t="shared" si="165"/>
        <v/>
      </c>
      <c r="K638" s="28" t="str">
        <f t="shared" si="166"/>
        <v/>
      </c>
      <c r="L638" s="26"/>
      <c r="M638" s="26"/>
      <c r="N638" s="26"/>
      <c r="O638" s="29"/>
      <c r="P638" s="29"/>
      <c r="Q638" s="30" t="str">
        <f t="shared" ca="1" si="167"/>
        <v/>
      </c>
      <c r="R638" s="27"/>
      <c r="S638" s="47"/>
    </row>
    <row r="639" spans="1:20" ht="15" customHeight="1">
      <c r="A639" s="69">
        <v>46258</v>
      </c>
      <c r="B639" s="32">
        <f t="shared" si="168"/>
        <v>0.95833333333333293</v>
      </c>
      <c r="C639" s="26"/>
      <c r="D639" s="59"/>
      <c r="E639" s="109"/>
      <c r="F639" s="135" t="str">
        <f>IFERROR(IF($D639="","",VLOOKUP($D639,Cadastro!$C$4:$E$7,3,FALSE)),"")</f>
        <v/>
      </c>
      <c r="G639" s="106"/>
      <c r="H639" s="135" t="str">
        <f>IFERROR(IF($G639="","",$G639*$S$648/$G$648/Cadastro!$E$33),"")</f>
        <v/>
      </c>
      <c r="I639" s="136" t="str">
        <f>IFERROR(IF($D639="","",VLOOKUP($D639,Cadastro!$C$4:$G$7,5,FALSE)),"")</f>
        <v/>
      </c>
      <c r="J639" s="137" t="str">
        <f t="shared" si="165"/>
        <v/>
      </c>
      <c r="K639" s="34" t="str">
        <f t="shared" si="166"/>
        <v/>
      </c>
      <c r="L639" s="33"/>
      <c r="M639" s="33"/>
      <c r="N639" s="33"/>
      <c r="O639" s="29"/>
      <c r="P639" s="29"/>
      <c r="Q639" s="35" t="str">
        <f t="shared" ca="1" si="167"/>
        <v/>
      </c>
      <c r="R639" s="27"/>
      <c r="S639" s="47"/>
    </row>
    <row r="640" spans="1:20" ht="15" customHeight="1">
      <c r="A640" s="68">
        <v>46258</v>
      </c>
      <c r="B640" s="25">
        <f t="shared" si="168"/>
        <v>0.99999999999999956</v>
      </c>
      <c r="C640" s="26"/>
      <c r="D640" s="59"/>
      <c r="E640" s="109"/>
      <c r="F640" s="135" t="str">
        <f>IFERROR(IF($D640="","",VLOOKUP($D640,Cadastro!$C$4:$E$7,3,FALSE)),"")</f>
        <v/>
      </c>
      <c r="G640" s="106"/>
      <c r="H640" s="135" t="str">
        <f>IFERROR(IF($G640="","",$G640*$S$648/$G$648/Cadastro!$E$33),"")</f>
        <v/>
      </c>
      <c r="I640" s="136" t="str">
        <f>IFERROR(IF($D640="","",VLOOKUP($D640,Cadastro!$C$4:$G$7,5,FALSE)),"")</f>
        <v/>
      </c>
      <c r="J640" s="137" t="str">
        <f t="shared" si="165"/>
        <v/>
      </c>
      <c r="K640" s="28" t="str">
        <f t="shared" si="166"/>
        <v/>
      </c>
      <c r="L640" s="26"/>
      <c r="M640" s="26"/>
      <c r="N640" s="26"/>
      <c r="O640" s="29"/>
      <c r="P640" s="29"/>
      <c r="Q640" s="30" t="str">
        <f t="shared" ca="1" si="167"/>
        <v/>
      </c>
      <c r="R640" s="27"/>
      <c r="S640" s="47"/>
    </row>
    <row r="641" spans="1:20" ht="15" customHeight="1">
      <c r="A641" s="69">
        <v>46258</v>
      </c>
      <c r="B641" s="32">
        <f t="shared" si="168"/>
        <v>1.0416666666666663</v>
      </c>
      <c r="C641" s="26"/>
      <c r="D641" s="59"/>
      <c r="E641" s="109"/>
      <c r="F641" s="135" t="str">
        <f>IFERROR(IF($D641="","",VLOOKUP($D641,Cadastro!$C$4:$E$7,3,FALSE)),"")</f>
        <v/>
      </c>
      <c r="G641" s="106"/>
      <c r="H641" s="135" t="str">
        <f>IFERROR(IF($G641="","",$G641*$S$648/$G$648/Cadastro!$E$33),"")</f>
        <v/>
      </c>
      <c r="I641" s="136" t="str">
        <f>IFERROR(IF($D641="","",VLOOKUP($D641,Cadastro!$C$4:$G$7,5,FALSE)),"")</f>
        <v/>
      </c>
      <c r="J641" s="137" t="str">
        <f t="shared" si="165"/>
        <v/>
      </c>
      <c r="K641" s="34" t="str">
        <f t="shared" si="166"/>
        <v/>
      </c>
      <c r="L641" s="33"/>
      <c r="M641" s="33"/>
      <c r="N641" s="33"/>
      <c r="O641" s="29"/>
      <c r="P641" s="29"/>
      <c r="Q641" s="35" t="str">
        <f t="shared" ca="1" si="167"/>
        <v/>
      </c>
      <c r="R641" s="27"/>
      <c r="S641" s="47"/>
    </row>
    <row r="642" spans="1:20" ht="15" customHeight="1">
      <c r="A642" s="68">
        <v>46258</v>
      </c>
      <c r="B642" s="25">
        <f t="shared" si="168"/>
        <v>1.083333333333333</v>
      </c>
      <c r="C642" s="26"/>
      <c r="D642" s="59"/>
      <c r="E642" s="109"/>
      <c r="F642" s="135" t="str">
        <f>IFERROR(IF($D642="","",VLOOKUP($D642,Cadastro!$C$4:$E$7,3,FALSE)),"")</f>
        <v/>
      </c>
      <c r="G642" s="106"/>
      <c r="H642" s="135" t="str">
        <f>IFERROR(IF($G642="","",$G642*$S$648/$G$648/Cadastro!$E$33),"")</f>
        <v/>
      </c>
      <c r="I642" s="136" t="str">
        <f>IFERROR(IF($D642="","",VLOOKUP($D642,Cadastro!$C$4:$G$7,5,FALSE)),"")</f>
        <v/>
      </c>
      <c r="J642" s="137" t="str">
        <f t="shared" si="165"/>
        <v/>
      </c>
      <c r="K642" s="28" t="str">
        <f t="shared" si="166"/>
        <v/>
      </c>
      <c r="L642" s="26"/>
      <c r="M642" s="26"/>
      <c r="N642" s="26"/>
      <c r="O642" s="29"/>
      <c r="P642" s="29"/>
      <c r="Q642" s="30" t="str">
        <f t="shared" ca="1" si="167"/>
        <v/>
      </c>
      <c r="R642" s="27"/>
      <c r="S642" s="47"/>
    </row>
    <row r="643" spans="1:20" ht="15" customHeight="1">
      <c r="A643" s="69">
        <v>46258</v>
      </c>
      <c r="B643" s="32">
        <f t="shared" si="168"/>
        <v>1.1249999999999998</v>
      </c>
      <c r="C643" s="26"/>
      <c r="D643" s="59"/>
      <c r="E643" s="109"/>
      <c r="F643" s="135" t="str">
        <f>IFERROR(IF($D643="","",VLOOKUP($D643,Cadastro!$C$4:$E$7,3,FALSE)),"")</f>
        <v/>
      </c>
      <c r="G643" s="106"/>
      <c r="H643" s="135" t="str">
        <f>IFERROR(IF($G643="","",$G643*$S$648/$G$648/Cadastro!$E$33),"")</f>
        <v/>
      </c>
      <c r="I643" s="136" t="str">
        <f>IFERROR(IF($D643="","",VLOOKUP($D643,Cadastro!$C$4:$G$7,5,FALSE)),"")</f>
        <v/>
      </c>
      <c r="J643" s="137" t="str">
        <f t="shared" si="165"/>
        <v/>
      </c>
      <c r="K643" s="34" t="str">
        <f t="shared" si="166"/>
        <v/>
      </c>
      <c r="L643" s="33"/>
      <c r="M643" s="33"/>
      <c r="N643" s="33"/>
      <c r="O643" s="29"/>
      <c r="P643" s="29"/>
      <c r="Q643" s="35" t="str">
        <f t="shared" ca="1" si="167"/>
        <v/>
      </c>
      <c r="R643" s="27"/>
      <c r="S643" s="47"/>
    </row>
    <row r="644" spans="1:20" ht="15" customHeight="1">
      <c r="A644" s="68">
        <v>46258</v>
      </c>
      <c r="B644" s="25">
        <f t="shared" si="168"/>
        <v>1.1666666666666665</v>
      </c>
      <c r="C644" s="26"/>
      <c r="D644" s="59"/>
      <c r="E644" s="109"/>
      <c r="F644" s="135" t="str">
        <f>IFERROR(IF($D644="","",VLOOKUP($D644,Cadastro!$C$4:$E$7,3,FALSE)),"")</f>
        <v/>
      </c>
      <c r="G644" s="106"/>
      <c r="H644" s="135" t="str">
        <f>IFERROR(IF($G644="","",$G644*$S$648/$G$648/Cadastro!$E$33),"")</f>
        <v/>
      </c>
      <c r="I644" s="136" t="str">
        <f>IFERROR(IF($D644="","",VLOOKUP($D644,Cadastro!$C$4:$G$7,5,FALSE)),"")</f>
        <v/>
      </c>
      <c r="J644" s="137" t="str">
        <f t="shared" si="165"/>
        <v/>
      </c>
      <c r="K644" s="28" t="str">
        <f t="shared" si="166"/>
        <v/>
      </c>
      <c r="L644" s="26"/>
      <c r="M644" s="26"/>
      <c r="N644" s="26"/>
      <c r="O644" s="29"/>
      <c r="P644" s="29"/>
      <c r="Q644" s="30" t="str">
        <f t="shared" ca="1" si="167"/>
        <v/>
      </c>
      <c r="R644" s="27"/>
      <c r="S644" s="47"/>
    </row>
    <row r="645" spans="1:20" ht="15" customHeight="1">
      <c r="A645" s="69">
        <v>46258</v>
      </c>
      <c r="B645" s="32">
        <f t="shared" si="168"/>
        <v>1.2083333333333333</v>
      </c>
      <c r="C645" s="26"/>
      <c r="D645" s="59"/>
      <c r="E645" s="109"/>
      <c r="F645" s="135" t="str">
        <f>IFERROR(IF($D645="","",VLOOKUP($D645,Cadastro!$C$4:$E$7,3,FALSE)),"")</f>
        <v/>
      </c>
      <c r="G645" s="106"/>
      <c r="H645" s="135" t="str">
        <f>IFERROR(IF($G645="","",$G645*$S$648/$G$648/Cadastro!$E$33),"")</f>
        <v/>
      </c>
      <c r="I645" s="136" t="str">
        <f>IFERROR(IF($D645="","",VLOOKUP($D645,Cadastro!$C$4:$G$7,5,FALSE)),"")</f>
        <v/>
      </c>
      <c r="J645" s="137" t="str">
        <f t="shared" si="165"/>
        <v/>
      </c>
      <c r="K645" s="34" t="str">
        <f t="shared" si="166"/>
        <v/>
      </c>
      <c r="L645" s="33"/>
      <c r="M645" s="33"/>
      <c r="N645" s="33"/>
      <c r="O645" s="29"/>
      <c r="P645" s="29"/>
      <c r="Q645" s="35" t="str">
        <f t="shared" ca="1" si="167"/>
        <v/>
      </c>
      <c r="R645" s="27"/>
      <c r="S645" s="47"/>
    </row>
    <row r="646" spans="1:20" ht="15" customHeight="1">
      <c r="A646" s="68">
        <v>46258</v>
      </c>
      <c r="B646" s="25">
        <f t="shared" si="168"/>
        <v>1.25</v>
      </c>
      <c r="C646" s="26"/>
      <c r="D646" s="59"/>
      <c r="E646" s="109"/>
      <c r="F646" s="135" t="str">
        <f>IFERROR(IF($D646="","",VLOOKUP($D646,Cadastro!$C$4:$E$7,3,FALSE)),"")</f>
        <v/>
      </c>
      <c r="G646" s="106"/>
      <c r="H646" s="135" t="str">
        <f>IFERROR(IF($G646="","",$G646*$S$648/$G$648/Cadastro!$E$33),"")</f>
        <v/>
      </c>
      <c r="I646" s="136" t="str">
        <f>IFERROR(IF($D646="","",VLOOKUP($D646,Cadastro!$C$4:$G$7,5,FALSE)),"")</f>
        <v/>
      </c>
      <c r="J646" s="137" t="str">
        <f t="shared" si="165"/>
        <v/>
      </c>
      <c r="K646" s="28" t="str">
        <f t="shared" si="166"/>
        <v/>
      </c>
      <c r="L646" s="26"/>
      <c r="M646" s="26"/>
      <c r="N646" s="26"/>
      <c r="O646" s="29"/>
      <c r="P646" s="29"/>
      <c r="Q646" s="30" t="str">
        <f t="shared" ca="1" si="167"/>
        <v/>
      </c>
      <c r="R646" s="27"/>
      <c r="S646" s="47"/>
    </row>
    <row r="647" spans="1:20" ht="15" customHeight="1" thickBot="1">
      <c r="A647" s="69">
        <v>46258</v>
      </c>
      <c r="B647" s="32">
        <f t="shared" si="168"/>
        <v>1.2916666666666667</v>
      </c>
      <c r="C647" s="26"/>
      <c r="D647" s="59"/>
      <c r="E647" s="109"/>
      <c r="F647" s="138" t="str">
        <f>IFERROR(IF($D647="","",VLOOKUP($D647,Cadastro!$C$4:$E$7,3,FALSE)),"")</f>
        <v/>
      </c>
      <c r="G647" s="106"/>
      <c r="H647" s="138" t="str">
        <f>IFERROR(IF($G647="","",$G647*$S$648/$G$648/Cadastro!$E$33),"")</f>
        <v/>
      </c>
      <c r="I647" s="139" t="str">
        <f>IFERROR(IF($D647="","",VLOOKUP($D647,Cadastro!$C$4:$G$7,5,FALSE)),"")</f>
        <v/>
      </c>
      <c r="J647" s="140" t="str">
        <f t="shared" si="165"/>
        <v/>
      </c>
      <c r="K647" s="34" t="str">
        <f t="shared" si="166"/>
        <v/>
      </c>
      <c r="L647" s="33"/>
      <c r="M647" s="33"/>
      <c r="N647" s="33"/>
      <c r="O647" s="29"/>
      <c r="P647" s="29"/>
      <c r="Q647" s="35" t="str">
        <f t="shared" ca="1" si="167"/>
        <v/>
      </c>
      <c r="R647" s="27"/>
      <c r="S647" s="47"/>
    </row>
    <row r="648" spans="1:20" ht="15.75" customHeight="1" thickBot="1">
      <c r="A648" s="152" t="s">
        <v>244</v>
      </c>
      <c r="B648" s="153"/>
      <c r="C648" s="153"/>
      <c r="D648" s="153"/>
      <c r="E648" s="153">
        <f>SUM(E636:E647)</f>
        <v>0</v>
      </c>
      <c r="F648" s="112"/>
      <c r="G648" s="81">
        <f>SUM(G636:G647)</f>
        <v>0</v>
      </c>
      <c r="H648" s="112">
        <f>IFERROR(SUM(H636:H647),"")</f>
        <v>0</v>
      </c>
      <c r="I648" s="116"/>
      <c r="J648" s="125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20">
        <f>IFERROR(J648,"")</f>
        <v>0</v>
      </c>
    </row>
    <row r="649" spans="1:20" ht="18" customHeight="1">
      <c r="A649" s="150" t="s">
        <v>245</v>
      </c>
      <c r="B649" s="151"/>
      <c r="C649" s="151"/>
      <c r="D649" s="151"/>
      <c r="E649" s="151">
        <f>E635+E648</f>
        <v>0</v>
      </c>
      <c r="F649" s="113"/>
      <c r="G649" s="92">
        <f>G635+G648</f>
        <v>0</v>
      </c>
      <c r="H649" s="113">
        <f>IFERROR(H635+H648,"")</f>
        <v>0</v>
      </c>
      <c r="I649" s="117"/>
      <c r="J649" s="126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2">
        <f>IFERROR(J649,"")</f>
        <v>0</v>
      </c>
    </row>
    <row r="650" spans="1:20" ht="15" customHeight="1">
      <c r="A650" s="68">
        <v>46259</v>
      </c>
      <c r="B650" s="25">
        <v>0.33333333333333298</v>
      </c>
      <c r="C650" s="26"/>
      <c r="D650" s="59"/>
      <c r="E650" s="109"/>
      <c r="F650" s="141" t="str">
        <f>IFERROR(IF($D650="","",VLOOKUP($D650,Cadastro!$C$4:$E$7,3,FALSE)),"")</f>
        <v/>
      </c>
      <c r="G650" s="106"/>
      <c r="H650" s="141" t="str">
        <f>IFERROR(IF($G650="","",$G650*$S$662/$G$662/Cadastro!$E$33),"")</f>
        <v/>
      </c>
      <c r="I650" s="142" t="str">
        <f>IFERROR(IF($D650="","",VLOOKUP($D650,Cadastro!$C$4:$G$7,5,FALSE)),"")</f>
        <v/>
      </c>
      <c r="J650" s="143" t="str">
        <f t="shared" ref="J650:J661" si="169">IFERROR(IF($H650="","",$H650*$F650*$I650),"")</f>
        <v/>
      </c>
      <c r="K650" s="28" t="str">
        <f t="shared" ref="K650:K661" si="170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1">IFERROR(IF(O650="","",IF(P650="",MOD(NOW()-O650,1),IF(P650&gt;=O650,P650-O650,P650+1-O650))),"")</f>
        <v/>
      </c>
      <c r="R650" s="27"/>
      <c r="S650" s="47"/>
    </row>
    <row r="651" spans="1:20" ht="15" customHeight="1">
      <c r="A651" s="69">
        <v>46259</v>
      </c>
      <c r="B651" s="32">
        <f t="shared" ref="B651:B661" si="172">B650+TIME(0,60,0)</f>
        <v>0.37499999999999967</v>
      </c>
      <c r="C651" s="26"/>
      <c r="D651" s="59"/>
      <c r="E651" s="109"/>
      <c r="F651" s="135" t="str">
        <f>IFERROR(IF($D651="","",VLOOKUP($D651,Cadastro!$C$4:$E$7,3,FALSE)),"")</f>
        <v/>
      </c>
      <c r="G651" s="106"/>
      <c r="H651" s="135" t="str">
        <f>IFERROR(IF($G651="","",$G651*$S$662/$G$662/Cadastro!$E$33),"")</f>
        <v/>
      </c>
      <c r="I651" s="136" t="str">
        <f>IFERROR(IF($D651="","",VLOOKUP($D651,Cadastro!$C$4:$G$7,5,FALSE)),"")</f>
        <v/>
      </c>
      <c r="J651" s="137" t="str">
        <f t="shared" si="169"/>
        <v/>
      </c>
      <c r="K651" s="34" t="str">
        <f t="shared" si="170"/>
        <v/>
      </c>
      <c r="L651" s="33"/>
      <c r="M651" s="33"/>
      <c r="N651" s="33"/>
      <c r="O651" s="29"/>
      <c r="P651" s="29"/>
      <c r="Q651" s="35" t="str">
        <f t="shared" ca="1" si="171"/>
        <v/>
      </c>
      <c r="R651" s="27"/>
      <c r="S651" s="47"/>
    </row>
    <row r="652" spans="1:20" ht="15" customHeight="1">
      <c r="A652" s="68">
        <v>46259</v>
      </c>
      <c r="B652" s="25">
        <f t="shared" si="172"/>
        <v>0.41666666666666635</v>
      </c>
      <c r="C652" s="26"/>
      <c r="D652" s="59"/>
      <c r="E652" s="109"/>
      <c r="F652" s="135" t="str">
        <f>IFERROR(IF($D652="","",VLOOKUP($D652,Cadastro!$C$4:$E$7,3,FALSE)),"")</f>
        <v/>
      </c>
      <c r="G652" s="106"/>
      <c r="H652" s="135" t="str">
        <f>IFERROR(IF($G652="","",$G652*$S$662/$G$662/Cadastro!$E$33),"")</f>
        <v/>
      </c>
      <c r="I652" s="136" t="str">
        <f>IFERROR(IF($D652="","",VLOOKUP($D652,Cadastro!$C$4:$G$7,5,FALSE)),"")</f>
        <v/>
      </c>
      <c r="J652" s="137" t="str">
        <f t="shared" si="169"/>
        <v/>
      </c>
      <c r="K652" s="34" t="str">
        <f t="shared" si="170"/>
        <v/>
      </c>
      <c r="L652" s="26"/>
      <c r="M652" s="26"/>
      <c r="N652" s="26"/>
      <c r="O652" s="29"/>
      <c r="P652" s="29"/>
      <c r="Q652" s="30" t="str">
        <f t="shared" ca="1" si="171"/>
        <v/>
      </c>
      <c r="R652" s="27"/>
      <c r="S652" s="47"/>
    </row>
    <row r="653" spans="1:20" ht="15" customHeight="1">
      <c r="A653" s="69">
        <v>46259</v>
      </c>
      <c r="B653" s="32">
        <f t="shared" si="172"/>
        <v>0.45833333333333304</v>
      </c>
      <c r="C653" s="26"/>
      <c r="D653" s="59"/>
      <c r="E653" s="109"/>
      <c r="F653" s="135" t="str">
        <f>IFERROR(IF($D653="","",VLOOKUP($D653,Cadastro!$C$4:$E$7,3,FALSE)),"")</f>
        <v/>
      </c>
      <c r="G653" s="106"/>
      <c r="H653" s="135" t="str">
        <f>IFERROR(IF($G653="","",$G653*$S$662/$G$662/Cadastro!$E$33),"")</f>
        <v/>
      </c>
      <c r="I653" s="136" t="str">
        <f>IFERROR(IF($D653="","",VLOOKUP($D653,Cadastro!$C$4:$G$7,5,FALSE)),"")</f>
        <v/>
      </c>
      <c r="J653" s="137" t="str">
        <f t="shared" si="169"/>
        <v/>
      </c>
      <c r="K653" s="34" t="str">
        <f t="shared" si="170"/>
        <v/>
      </c>
      <c r="L653" s="33"/>
      <c r="M653" s="33"/>
      <c r="N653" s="33"/>
      <c r="O653" s="29"/>
      <c r="P653" s="29"/>
      <c r="Q653" s="35" t="str">
        <f t="shared" ca="1" si="171"/>
        <v/>
      </c>
      <c r="R653" s="27"/>
      <c r="S653" s="47"/>
    </row>
    <row r="654" spans="1:20" ht="15" customHeight="1">
      <c r="A654" s="68">
        <v>46259</v>
      </c>
      <c r="B654" s="25">
        <f t="shared" si="172"/>
        <v>0.49999999999999972</v>
      </c>
      <c r="C654" s="26"/>
      <c r="D654" s="59"/>
      <c r="E654" s="109"/>
      <c r="F654" s="135" t="str">
        <f>IFERROR(IF($D654="","",VLOOKUP($D654,Cadastro!$C$4:$E$7,3,FALSE)),"")</f>
        <v/>
      </c>
      <c r="G654" s="106"/>
      <c r="H654" s="135" t="str">
        <f>IFERROR(IF($G654="","",$G654*$S$662/$G$662/Cadastro!$E$33),"")</f>
        <v/>
      </c>
      <c r="I654" s="136" t="str">
        <f>IFERROR(IF($D654="","",VLOOKUP($D654,Cadastro!$C$4:$G$7,5,FALSE)),"")</f>
        <v/>
      </c>
      <c r="J654" s="137" t="str">
        <f t="shared" si="169"/>
        <v/>
      </c>
      <c r="K654" s="28" t="str">
        <f t="shared" si="170"/>
        <v/>
      </c>
      <c r="L654" s="26"/>
      <c r="M654" s="26"/>
      <c r="N654" s="26"/>
      <c r="O654" s="29"/>
      <c r="P654" s="29"/>
      <c r="Q654" s="30" t="str">
        <f t="shared" ca="1" si="171"/>
        <v/>
      </c>
      <c r="R654" s="27"/>
      <c r="S654" s="47"/>
    </row>
    <row r="655" spans="1:20" ht="15" customHeight="1">
      <c r="A655" s="69">
        <v>46259</v>
      </c>
      <c r="B655" s="32">
        <f t="shared" si="172"/>
        <v>0.54166666666666641</v>
      </c>
      <c r="C655" s="26"/>
      <c r="D655" s="59"/>
      <c r="E655" s="109"/>
      <c r="F655" s="135" t="str">
        <f>IFERROR(IF($D655="","",VLOOKUP($D655,Cadastro!$C$4:$E$7,3,FALSE)),"")</f>
        <v/>
      </c>
      <c r="G655" s="106"/>
      <c r="H655" s="135" t="str">
        <f>IFERROR(IF($G655="","",$G655*$S$662/$G$662/Cadastro!$E$33),"")</f>
        <v/>
      </c>
      <c r="I655" s="136" t="str">
        <f>IFERROR(IF($D655="","",VLOOKUP($D655,Cadastro!$C$4:$G$7,5,FALSE)),"")</f>
        <v/>
      </c>
      <c r="J655" s="137" t="str">
        <f t="shared" si="169"/>
        <v/>
      </c>
      <c r="K655" s="34" t="str">
        <f t="shared" si="170"/>
        <v/>
      </c>
      <c r="L655" s="33"/>
      <c r="M655" s="33"/>
      <c r="N655" s="33"/>
      <c r="O655" s="29"/>
      <c r="P655" s="29"/>
      <c r="Q655" s="35" t="str">
        <f t="shared" ca="1" si="171"/>
        <v/>
      </c>
      <c r="R655" s="27"/>
      <c r="S655" s="47"/>
    </row>
    <row r="656" spans="1:20" ht="15" customHeight="1">
      <c r="A656" s="68">
        <v>46259</v>
      </c>
      <c r="B656" s="25">
        <f t="shared" si="172"/>
        <v>0.58333333333333304</v>
      </c>
      <c r="C656" s="26"/>
      <c r="D656" s="59"/>
      <c r="E656" s="109"/>
      <c r="F656" s="135" t="str">
        <f>IFERROR(IF($D656="","",VLOOKUP($D656,Cadastro!$C$4:$E$7,3,FALSE)),"")</f>
        <v/>
      </c>
      <c r="G656" s="106"/>
      <c r="H656" s="135" t="str">
        <f>IFERROR(IF($G656="","",$G656*$S$662/$G$662/Cadastro!$E$33),"")</f>
        <v/>
      </c>
      <c r="I656" s="136" t="str">
        <f>IFERROR(IF($D656="","",VLOOKUP($D656,Cadastro!$C$4:$G$7,5,FALSE)),"")</f>
        <v/>
      </c>
      <c r="J656" s="137" t="str">
        <f t="shared" si="169"/>
        <v/>
      </c>
      <c r="K656" s="28" t="str">
        <f t="shared" si="170"/>
        <v/>
      </c>
      <c r="L656" s="26"/>
      <c r="M656" s="26"/>
      <c r="N656" s="26"/>
      <c r="O656" s="29"/>
      <c r="P656" s="29"/>
      <c r="Q656" s="30" t="str">
        <f t="shared" ca="1" si="171"/>
        <v/>
      </c>
      <c r="R656" s="27"/>
      <c r="S656" s="47"/>
    </row>
    <row r="657" spans="1:20" ht="15" customHeight="1">
      <c r="A657" s="69">
        <v>46259</v>
      </c>
      <c r="B657" s="32">
        <f t="shared" si="172"/>
        <v>0.62499999999999967</v>
      </c>
      <c r="C657" s="26"/>
      <c r="D657" s="59"/>
      <c r="E657" s="109"/>
      <c r="F657" s="135" t="str">
        <f>IFERROR(IF($D657="","",VLOOKUP($D657,Cadastro!$C$4:$E$7,3,FALSE)),"")</f>
        <v/>
      </c>
      <c r="G657" s="106"/>
      <c r="H657" s="135" t="str">
        <f>IFERROR(IF($G657="","",$G657*$S$662/$G$662/Cadastro!$E$33),"")</f>
        <v/>
      </c>
      <c r="I657" s="136" t="str">
        <f>IFERROR(IF($D657="","",VLOOKUP($D657,Cadastro!$C$4:$G$7,5,FALSE)),"")</f>
        <v/>
      </c>
      <c r="J657" s="137" t="str">
        <f t="shared" si="169"/>
        <v/>
      </c>
      <c r="K657" s="34" t="str">
        <f t="shared" si="170"/>
        <v/>
      </c>
      <c r="L657" s="33"/>
      <c r="M657" s="33"/>
      <c r="N657" s="33"/>
      <c r="O657" s="29"/>
      <c r="P657" s="29"/>
      <c r="Q657" s="35" t="str">
        <f t="shared" ca="1" si="171"/>
        <v/>
      </c>
      <c r="R657" s="27"/>
      <c r="S657" s="47"/>
    </row>
    <row r="658" spans="1:20" ht="15" customHeight="1">
      <c r="A658" s="68">
        <v>46259</v>
      </c>
      <c r="B658" s="25">
        <f t="shared" si="172"/>
        <v>0.6666666666666663</v>
      </c>
      <c r="C658" s="26"/>
      <c r="D658" s="59"/>
      <c r="E658" s="109"/>
      <c r="F658" s="135" t="str">
        <f>IFERROR(IF($D658="","",VLOOKUP($D658,Cadastro!$C$4:$E$7,3,FALSE)),"")</f>
        <v/>
      </c>
      <c r="G658" s="106"/>
      <c r="H658" s="135" t="str">
        <f>IFERROR(IF($G658="","",$G658*$S$662/$G$662/Cadastro!$E$33),"")</f>
        <v/>
      </c>
      <c r="I658" s="136" t="str">
        <f>IFERROR(IF($D658="","",VLOOKUP($D658,Cadastro!$C$4:$G$7,5,FALSE)),"")</f>
        <v/>
      </c>
      <c r="J658" s="137" t="str">
        <f t="shared" si="169"/>
        <v/>
      </c>
      <c r="K658" s="28" t="str">
        <f t="shared" si="170"/>
        <v/>
      </c>
      <c r="L658" s="26"/>
      <c r="M658" s="26"/>
      <c r="N658" s="26"/>
      <c r="O658" s="29"/>
      <c r="P658" s="29"/>
      <c r="Q658" s="30" t="str">
        <f t="shared" ca="1" si="171"/>
        <v/>
      </c>
      <c r="R658" s="27"/>
      <c r="S658" s="47"/>
    </row>
    <row r="659" spans="1:20" ht="15" customHeight="1">
      <c r="A659" s="69">
        <v>46259</v>
      </c>
      <c r="B659" s="32">
        <f t="shared" si="172"/>
        <v>0.70833333333333293</v>
      </c>
      <c r="C659" s="26"/>
      <c r="D659" s="59"/>
      <c r="E659" s="109"/>
      <c r="F659" s="135" t="str">
        <f>IFERROR(IF($D659="","",VLOOKUP($D659,Cadastro!$C$4:$E$7,3,FALSE)),"")</f>
        <v/>
      </c>
      <c r="G659" s="106"/>
      <c r="H659" s="135" t="str">
        <f>IFERROR(IF($G659="","",$G659*$S$662/$G$662/Cadastro!$E$33),"")</f>
        <v/>
      </c>
      <c r="I659" s="136" t="str">
        <f>IFERROR(IF($D659="","",VLOOKUP($D659,Cadastro!$C$4:$G$7,5,FALSE)),"")</f>
        <v/>
      </c>
      <c r="J659" s="137" t="str">
        <f t="shared" si="169"/>
        <v/>
      </c>
      <c r="K659" s="34" t="str">
        <f t="shared" si="170"/>
        <v/>
      </c>
      <c r="L659" s="33"/>
      <c r="M659" s="33"/>
      <c r="N659" s="33"/>
      <c r="O659" s="29"/>
      <c r="P659" s="29"/>
      <c r="Q659" s="35" t="str">
        <f t="shared" ca="1" si="171"/>
        <v/>
      </c>
      <c r="R659" s="27"/>
      <c r="S659" s="47"/>
    </row>
    <row r="660" spans="1:20" ht="15" customHeight="1">
      <c r="A660" s="68">
        <v>46259</v>
      </c>
      <c r="B660" s="25">
        <f t="shared" si="172"/>
        <v>0.74999999999999956</v>
      </c>
      <c r="C660" s="26"/>
      <c r="D660" s="59"/>
      <c r="E660" s="109"/>
      <c r="F660" s="135" t="str">
        <f>IFERROR(IF($D660="","",VLOOKUP($D660,Cadastro!$C$4:$E$7,3,FALSE)),"")</f>
        <v/>
      </c>
      <c r="G660" s="106"/>
      <c r="H660" s="135" t="str">
        <f>IFERROR(IF($G660="","",$G660*$S$662/$G$662/Cadastro!$E$33),"")</f>
        <v/>
      </c>
      <c r="I660" s="136" t="str">
        <f>IFERROR(IF($D660="","",VLOOKUP($D660,Cadastro!$C$4:$G$7,5,FALSE)),"")</f>
        <v/>
      </c>
      <c r="J660" s="137" t="str">
        <f t="shared" si="169"/>
        <v/>
      </c>
      <c r="K660" s="28" t="str">
        <f t="shared" si="170"/>
        <v/>
      </c>
      <c r="L660" s="26"/>
      <c r="M660" s="26"/>
      <c r="N660" s="26"/>
      <c r="O660" s="29"/>
      <c r="P660" s="29"/>
      <c r="Q660" s="30" t="str">
        <f t="shared" ca="1" si="171"/>
        <v/>
      </c>
      <c r="R660" s="27"/>
      <c r="S660" s="47"/>
    </row>
    <row r="661" spans="1:20" ht="15" customHeight="1" thickBot="1">
      <c r="A661" s="69">
        <v>46259</v>
      </c>
      <c r="B661" s="32">
        <f t="shared" si="172"/>
        <v>0.79166666666666619</v>
      </c>
      <c r="C661" s="26"/>
      <c r="D661" s="59"/>
      <c r="E661" s="109"/>
      <c r="F661" s="138" t="str">
        <f>IFERROR(IF($D661="","",VLOOKUP($D661,Cadastro!$C$4:$E$7,3,FALSE)),"")</f>
        <v/>
      </c>
      <c r="G661" s="106"/>
      <c r="H661" s="138" t="str">
        <f>IFERROR(IF($G661="","",$G661*$S$662/$G$662/Cadastro!$E$33),"")</f>
        <v/>
      </c>
      <c r="I661" s="139" t="str">
        <f>IFERROR(IF($D661="","",VLOOKUP($D661,Cadastro!$C$4:$G$7,5,FALSE)),"")</f>
        <v/>
      </c>
      <c r="J661" s="140" t="str">
        <f t="shared" si="169"/>
        <v/>
      </c>
      <c r="K661" s="34" t="str">
        <f t="shared" si="170"/>
        <v/>
      </c>
      <c r="L661" s="33"/>
      <c r="M661" s="33"/>
      <c r="N661" s="33"/>
      <c r="O661" s="29"/>
      <c r="P661" s="29"/>
      <c r="Q661" s="35" t="str">
        <f t="shared" ca="1" si="171"/>
        <v/>
      </c>
      <c r="R661" s="27"/>
      <c r="S661" s="47"/>
    </row>
    <row r="662" spans="1:20" ht="15.75" customHeight="1" thickBot="1">
      <c r="A662" s="152" t="s">
        <v>241</v>
      </c>
      <c r="B662" s="153"/>
      <c r="C662" s="153"/>
      <c r="D662" s="153"/>
      <c r="E662" s="153">
        <f>SUM(E650:E661)</f>
        <v>0</v>
      </c>
      <c r="F662" s="111"/>
      <c r="G662" s="81">
        <f>SUM(G650:G661)</f>
        <v>0</v>
      </c>
      <c r="H662" s="111">
        <f>IFERROR(SUM(H650:H661),"")</f>
        <v>0</v>
      </c>
      <c r="I662" s="115"/>
      <c r="J662" s="124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20">
        <f>IFERROR(J662,"")</f>
        <v>0</v>
      </c>
    </row>
    <row r="663" spans="1:20" ht="15" customHeight="1">
      <c r="A663" s="69">
        <v>46259</v>
      </c>
      <c r="B663" s="32">
        <v>0.83333333333333304</v>
      </c>
      <c r="C663" s="33"/>
      <c r="D663" s="62"/>
      <c r="E663" s="110"/>
      <c r="F663" s="141" t="str">
        <f>IFERROR(IF($D663="","",VLOOKUP($D663,Cadastro!$C$4:$E$7,3,FALSE)),"")</f>
        <v/>
      </c>
      <c r="G663" s="106"/>
      <c r="H663" s="141" t="str">
        <f>IFERROR(IF($G663="","",$G663*$S$675/$G$675/Cadastro!$E$33),"")</f>
        <v/>
      </c>
      <c r="I663" s="142" t="str">
        <f>IFERROR(IF($D663="","",VLOOKUP($D663,Cadastro!$C$4:$G$7,5,FALSE)),"")</f>
        <v/>
      </c>
      <c r="J663" s="143" t="str">
        <f t="shared" ref="J663:J674" si="173">IFERROR(IF($H663="","",$H663*$F663*$I663),"")</f>
        <v/>
      </c>
      <c r="K663" s="34" t="str">
        <f t="shared" ref="K663:K674" si="174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5">IFERROR(IF(O663="","",IF(P663="",MOD(NOW()-O663,1),IF(P663&gt;=O663,P663-O663,P663+1-O663))),"")</f>
        <v/>
      </c>
      <c r="R663" s="27"/>
      <c r="S663" s="47"/>
    </row>
    <row r="664" spans="1:20" ht="15" customHeight="1">
      <c r="A664" s="68">
        <v>46259</v>
      </c>
      <c r="B664" s="25">
        <f t="shared" ref="B664:B674" si="176">B663+TIME(0,60,0)</f>
        <v>0.87499999999999967</v>
      </c>
      <c r="C664" s="33"/>
      <c r="D664" s="62"/>
      <c r="E664" s="110"/>
      <c r="F664" s="135" t="str">
        <f>IFERROR(IF($D664="","",VLOOKUP($D664,Cadastro!$C$4:$E$7,3,FALSE)),"")</f>
        <v/>
      </c>
      <c r="G664" s="106"/>
      <c r="H664" s="135" t="str">
        <f>IFERROR(IF($G664="","",$G664*$S$675/$G$675/Cadastro!$E$33),"")</f>
        <v/>
      </c>
      <c r="I664" s="136" t="str">
        <f>IFERROR(IF($D664="","",VLOOKUP($D664,Cadastro!$C$4:$G$7,5,FALSE)),"")</f>
        <v/>
      </c>
      <c r="J664" s="137" t="str">
        <f t="shared" si="173"/>
        <v/>
      </c>
      <c r="K664" s="28" t="str">
        <f t="shared" si="174"/>
        <v/>
      </c>
      <c r="L664" s="26"/>
      <c r="M664" s="26"/>
      <c r="N664" s="26"/>
      <c r="O664" s="29"/>
      <c r="P664" s="29"/>
      <c r="Q664" s="30" t="str">
        <f t="shared" ca="1" si="175"/>
        <v/>
      </c>
      <c r="R664" s="27"/>
      <c r="S664" s="47"/>
    </row>
    <row r="665" spans="1:20" ht="15" customHeight="1">
      <c r="A665" s="69">
        <v>46259</v>
      </c>
      <c r="B665" s="32">
        <f t="shared" si="176"/>
        <v>0.9166666666666663</v>
      </c>
      <c r="C665" s="33"/>
      <c r="D665" s="62"/>
      <c r="E665" s="110"/>
      <c r="F665" s="135" t="str">
        <f>IFERROR(IF($D665="","",VLOOKUP($D665,Cadastro!$C$4:$E$7,3,FALSE)),"")</f>
        <v/>
      </c>
      <c r="G665" s="106"/>
      <c r="H665" s="135" t="str">
        <f>IFERROR(IF($G665="","",$G665*$S$675/$G$675/Cadastro!$E$33),"")</f>
        <v/>
      </c>
      <c r="I665" s="136" t="str">
        <f>IFERROR(IF($D665="","",VLOOKUP($D665,Cadastro!$C$4:$G$7,5,FALSE)),"")</f>
        <v/>
      </c>
      <c r="J665" s="137" t="str">
        <f t="shared" si="173"/>
        <v/>
      </c>
      <c r="K665" s="34" t="str">
        <f t="shared" si="174"/>
        <v/>
      </c>
      <c r="L665" s="33"/>
      <c r="M665" s="33"/>
      <c r="N665" s="33"/>
      <c r="O665" s="29"/>
      <c r="P665" s="29"/>
      <c r="Q665" s="35" t="str">
        <f t="shared" ca="1" si="175"/>
        <v/>
      </c>
      <c r="R665" s="27"/>
      <c r="S665" s="47"/>
    </row>
    <row r="666" spans="1:20" ht="15" customHeight="1">
      <c r="A666" s="68">
        <v>46259</v>
      </c>
      <c r="B666" s="25">
        <f t="shared" si="176"/>
        <v>0.95833333333333293</v>
      </c>
      <c r="C666" s="33"/>
      <c r="D666" s="62"/>
      <c r="E666" s="110"/>
      <c r="F666" s="135" t="str">
        <f>IFERROR(IF($D666="","",VLOOKUP($D666,Cadastro!$C$4:$E$7,3,FALSE)),"")</f>
        <v/>
      </c>
      <c r="G666" s="106"/>
      <c r="H666" s="135" t="str">
        <f>IFERROR(IF($G666="","",$G666*$S$675/$G$675/Cadastro!$E$33),"")</f>
        <v/>
      </c>
      <c r="I666" s="136" t="str">
        <f>IFERROR(IF($D666="","",VLOOKUP($D666,Cadastro!$C$4:$G$7,5,FALSE)),"")</f>
        <v/>
      </c>
      <c r="J666" s="137" t="str">
        <f t="shared" si="173"/>
        <v/>
      </c>
      <c r="K666" s="28" t="str">
        <f t="shared" si="174"/>
        <v/>
      </c>
      <c r="L666" s="26"/>
      <c r="M666" s="26"/>
      <c r="N666" s="26"/>
      <c r="O666" s="29"/>
      <c r="P666" s="29"/>
      <c r="Q666" s="30" t="str">
        <f t="shared" ca="1" si="175"/>
        <v/>
      </c>
      <c r="R666" s="27"/>
      <c r="S666" s="47"/>
    </row>
    <row r="667" spans="1:20" ht="15" customHeight="1">
      <c r="A667" s="69">
        <v>46259</v>
      </c>
      <c r="B667" s="32">
        <f t="shared" si="176"/>
        <v>0.99999999999999956</v>
      </c>
      <c r="C667" s="33"/>
      <c r="D667" s="62"/>
      <c r="E667" s="110"/>
      <c r="F667" s="135" t="str">
        <f>IFERROR(IF($D667="","",VLOOKUP($D667,Cadastro!$C$4:$E$7,3,FALSE)),"")</f>
        <v/>
      </c>
      <c r="G667" s="106"/>
      <c r="H667" s="135" t="str">
        <f>IFERROR(IF($G667="","",$G667*$S$675/$G$675/Cadastro!$E$33),"")</f>
        <v/>
      </c>
      <c r="I667" s="136" t="str">
        <f>IFERROR(IF($D667="","",VLOOKUP($D667,Cadastro!$C$4:$G$7,5,FALSE)),"")</f>
        <v/>
      </c>
      <c r="J667" s="137" t="str">
        <f t="shared" si="173"/>
        <v/>
      </c>
      <c r="K667" s="34" t="str">
        <f t="shared" si="174"/>
        <v/>
      </c>
      <c r="L667" s="33"/>
      <c r="M667" s="33"/>
      <c r="N667" s="33"/>
      <c r="O667" s="29"/>
      <c r="P667" s="29"/>
      <c r="Q667" s="35" t="str">
        <f t="shared" ca="1" si="175"/>
        <v/>
      </c>
      <c r="R667" s="27"/>
      <c r="S667" s="47"/>
    </row>
    <row r="668" spans="1:20" ht="15" customHeight="1">
      <c r="A668" s="68">
        <v>46259</v>
      </c>
      <c r="B668" s="25">
        <f t="shared" si="176"/>
        <v>1.0416666666666663</v>
      </c>
      <c r="C668" s="33"/>
      <c r="D668" s="62"/>
      <c r="E668" s="110"/>
      <c r="F668" s="135" t="str">
        <f>IFERROR(IF($D668="","",VLOOKUP($D668,Cadastro!$C$4:$E$7,3,FALSE)),"")</f>
        <v/>
      </c>
      <c r="G668" s="106"/>
      <c r="H668" s="135" t="str">
        <f>IFERROR(IF($G668="","",$G668*$S$675/$G$675/Cadastro!$E$33),"")</f>
        <v/>
      </c>
      <c r="I668" s="136" t="str">
        <f>IFERROR(IF($D668="","",VLOOKUP($D668,Cadastro!$C$4:$G$7,5,FALSE)),"")</f>
        <v/>
      </c>
      <c r="J668" s="137" t="str">
        <f t="shared" si="173"/>
        <v/>
      </c>
      <c r="K668" s="28" t="str">
        <f t="shared" si="174"/>
        <v/>
      </c>
      <c r="L668" s="26"/>
      <c r="M668" s="26"/>
      <c r="N668" s="26"/>
      <c r="O668" s="29"/>
      <c r="P668" s="29"/>
      <c r="Q668" s="30" t="str">
        <f t="shared" ca="1" si="175"/>
        <v/>
      </c>
      <c r="R668" s="27"/>
      <c r="S668" s="47"/>
    </row>
    <row r="669" spans="1:20" ht="15" customHeight="1">
      <c r="A669" s="69">
        <v>46259</v>
      </c>
      <c r="B669" s="32">
        <f t="shared" si="176"/>
        <v>1.083333333333333</v>
      </c>
      <c r="C669" s="33"/>
      <c r="D669" s="62"/>
      <c r="E669" s="110"/>
      <c r="F669" s="135" t="str">
        <f>IFERROR(IF($D669="","",VLOOKUP($D669,Cadastro!$C$4:$E$7,3,FALSE)),"")</f>
        <v/>
      </c>
      <c r="G669" s="106"/>
      <c r="H669" s="135" t="str">
        <f>IFERROR(IF($G669="","",$G669*$S$675/$G$675/Cadastro!$E$33),"")</f>
        <v/>
      </c>
      <c r="I669" s="136" t="str">
        <f>IFERROR(IF($D669="","",VLOOKUP($D669,Cadastro!$C$4:$G$7,5,FALSE)),"")</f>
        <v/>
      </c>
      <c r="J669" s="137" t="str">
        <f t="shared" si="173"/>
        <v/>
      </c>
      <c r="K669" s="34" t="str">
        <f t="shared" si="174"/>
        <v/>
      </c>
      <c r="L669" s="33"/>
      <c r="M669" s="33"/>
      <c r="N669" s="33"/>
      <c r="O669" s="29"/>
      <c r="P669" s="29"/>
      <c r="Q669" s="35" t="str">
        <f t="shared" ca="1" si="175"/>
        <v/>
      </c>
      <c r="R669" s="27"/>
      <c r="S669" s="47"/>
    </row>
    <row r="670" spans="1:20" ht="15" customHeight="1">
      <c r="A670" s="68">
        <v>46259</v>
      </c>
      <c r="B670" s="25">
        <f t="shared" si="176"/>
        <v>1.1249999999999998</v>
      </c>
      <c r="C670" s="33"/>
      <c r="D670" s="62"/>
      <c r="E670" s="110"/>
      <c r="F670" s="135" t="str">
        <f>IFERROR(IF($D670="","",VLOOKUP($D670,Cadastro!$C$4:$E$7,3,FALSE)),"")</f>
        <v/>
      </c>
      <c r="G670" s="106"/>
      <c r="H670" s="135" t="str">
        <f>IFERROR(IF($G670="","",$G670*$S$675/$G$675/Cadastro!$E$33),"")</f>
        <v/>
      </c>
      <c r="I670" s="136" t="str">
        <f>IFERROR(IF($D670="","",VLOOKUP($D670,Cadastro!$C$4:$G$7,5,FALSE)),"")</f>
        <v/>
      </c>
      <c r="J670" s="137" t="str">
        <f t="shared" si="173"/>
        <v/>
      </c>
      <c r="K670" s="28" t="str">
        <f t="shared" si="174"/>
        <v/>
      </c>
      <c r="L670" s="26"/>
      <c r="M670" s="26"/>
      <c r="N670" s="26"/>
      <c r="O670" s="29"/>
      <c r="P670" s="29"/>
      <c r="Q670" s="30" t="str">
        <f t="shared" ca="1" si="175"/>
        <v/>
      </c>
      <c r="R670" s="27"/>
      <c r="S670" s="47"/>
    </row>
    <row r="671" spans="1:20" ht="15" customHeight="1">
      <c r="A671" s="69">
        <v>46259</v>
      </c>
      <c r="B671" s="32">
        <f t="shared" si="176"/>
        <v>1.1666666666666665</v>
      </c>
      <c r="C671" s="33"/>
      <c r="D671" s="62"/>
      <c r="E671" s="110"/>
      <c r="F671" s="135" t="str">
        <f>IFERROR(IF($D671="","",VLOOKUP($D671,Cadastro!$C$4:$E$7,3,FALSE)),"")</f>
        <v/>
      </c>
      <c r="G671" s="106"/>
      <c r="H671" s="135" t="str">
        <f>IFERROR(IF($G671="","",$G671*$S$675/$G$675/Cadastro!$E$33),"")</f>
        <v/>
      </c>
      <c r="I671" s="136" t="str">
        <f>IFERROR(IF($D671="","",VLOOKUP($D671,Cadastro!$C$4:$G$7,5,FALSE)),"")</f>
        <v/>
      </c>
      <c r="J671" s="137" t="str">
        <f t="shared" si="173"/>
        <v/>
      </c>
      <c r="K671" s="34" t="str">
        <f t="shared" si="174"/>
        <v/>
      </c>
      <c r="L671" s="33"/>
      <c r="M671" s="33"/>
      <c r="N671" s="33"/>
      <c r="O671" s="29"/>
      <c r="P671" s="29"/>
      <c r="Q671" s="35" t="str">
        <f t="shared" ca="1" si="175"/>
        <v/>
      </c>
      <c r="R671" s="27"/>
      <c r="S671" s="47"/>
    </row>
    <row r="672" spans="1:20" ht="15" customHeight="1">
      <c r="A672" s="68">
        <v>46259</v>
      </c>
      <c r="B672" s="25">
        <f t="shared" si="176"/>
        <v>1.2083333333333333</v>
      </c>
      <c r="C672" s="33"/>
      <c r="D672" s="62"/>
      <c r="E672" s="110"/>
      <c r="F672" s="135" t="str">
        <f>IFERROR(IF($D672="","",VLOOKUP($D672,Cadastro!$C$4:$E$7,3,FALSE)),"")</f>
        <v/>
      </c>
      <c r="G672" s="106"/>
      <c r="H672" s="135" t="str">
        <f>IFERROR(IF($G672="","",$G672*$S$675/$G$675/Cadastro!$E$33),"")</f>
        <v/>
      </c>
      <c r="I672" s="136" t="str">
        <f>IFERROR(IF($D672="","",VLOOKUP($D672,Cadastro!$C$4:$G$7,5,FALSE)),"")</f>
        <v/>
      </c>
      <c r="J672" s="137" t="str">
        <f t="shared" si="173"/>
        <v/>
      </c>
      <c r="K672" s="28" t="str">
        <f t="shared" si="174"/>
        <v/>
      </c>
      <c r="L672" s="26"/>
      <c r="M672" s="26"/>
      <c r="N672" s="26"/>
      <c r="O672" s="29"/>
      <c r="P672" s="29"/>
      <c r="Q672" s="30" t="str">
        <f t="shared" ca="1" si="175"/>
        <v/>
      </c>
      <c r="R672" s="27"/>
      <c r="S672" s="47"/>
    </row>
    <row r="673" spans="1:20" ht="15" customHeight="1">
      <c r="A673" s="69">
        <v>46259</v>
      </c>
      <c r="B673" s="32">
        <f t="shared" si="176"/>
        <v>1.25</v>
      </c>
      <c r="C673" s="33"/>
      <c r="D673" s="62"/>
      <c r="E673" s="110"/>
      <c r="F673" s="135" t="str">
        <f>IFERROR(IF($D673="","",VLOOKUP($D673,Cadastro!$C$4:$E$7,3,FALSE)),"")</f>
        <v/>
      </c>
      <c r="G673" s="106"/>
      <c r="H673" s="135" t="str">
        <f>IFERROR(IF($G673="","",$G673*$S$675/$G$675/Cadastro!$E$33),"")</f>
        <v/>
      </c>
      <c r="I673" s="136" t="str">
        <f>IFERROR(IF($D673="","",VLOOKUP($D673,Cadastro!$C$4:$G$7,5,FALSE)),"")</f>
        <v/>
      </c>
      <c r="J673" s="137" t="str">
        <f t="shared" si="173"/>
        <v/>
      </c>
      <c r="K673" s="34" t="str">
        <f t="shared" si="174"/>
        <v/>
      </c>
      <c r="L673" s="33"/>
      <c r="M673" s="33"/>
      <c r="N673" s="33"/>
      <c r="O673" s="29"/>
      <c r="P673" s="29"/>
      <c r="Q673" s="35" t="str">
        <f t="shared" ca="1" si="175"/>
        <v/>
      </c>
      <c r="R673" s="27"/>
      <c r="S673" s="47"/>
    </row>
    <row r="674" spans="1:20" ht="15" customHeight="1" thickBot="1">
      <c r="A674" s="68">
        <v>46259</v>
      </c>
      <c r="B674" s="25">
        <f t="shared" si="176"/>
        <v>1.2916666666666667</v>
      </c>
      <c r="C674" s="26"/>
      <c r="D674" s="59"/>
      <c r="E674" s="109"/>
      <c r="F674" s="138" t="str">
        <f>IFERROR(IF($D674="","",VLOOKUP($D674,Cadastro!$C$4:$E$7,3,FALSE)),"")</f>
        <v/>
      </c>
      <c r="G674" s="106"/>
      <c r="H674" s="138" t="str">
        <f>IFERROR(IF($G674="","",$G674*$S$675/$G$675/Cadastro!$E$33),"")</f>
        <v/>
      </c>
      <c r="I674" s="139" t="str">
        <f>IFERROR(IF($D674="","",VLOOKUP($D674,Cadastro!$C$4:$G$7,5,FALSE)),"")</f>
        <v/>
      </c>
      <c r="J674" s="140" t="str">
        <f t="shared" si="173"/>
        <v/>
      </c>
      <c r="K674" s="28" t="str">
        <f t="shared" si="174"/>
        <v/>
      </c>
      <c r="L674" s="26"/>
      <c r="M674" s="26"/>
      <c r="N674" s="26"/>
      <c r="O674" s="29"/>
      <c r="P674" s="29"/>
      <c r="Q674" s="30" t="str">
        <f t="shared" ca="1" si="175"/>
        <v/>
      </c>
      <c r="R674" s="27"/>
      <c r="S674" s="47"/>
    </row>
    <row r="675" spans="1:20" ht="15.75" customHeight="1" thickBot="1">
      <c r="A675" s="152" t="s">
        <v>244</v>
      </c>
      <c r="B675" s="153"/>
      <c r="C675" s="153"/>
      <c r="D675" s="153"/>
      <c r="E675" s="153">
        <f>SUM(E663:E674)</f>
        <v>0</v>
      </c>
      <c r="F675" s="112"/>
      <c r="G675" s="81">
        <f>SUM(G663:G674)</f>
        <v>0</v>
      </c>
      <c r="H675" s="112">
        <f>IFERROR(SUM(H663:H674),"")</f>
        <v>0</v>
      </c>
      <c r="I675" s="116"/>
      <c r="J675" s="125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20">
        <f>IFERROR(J675,"")</f>
        <v>0</v>
      </c>
    </row>
    <row r="676" spans="1:20" ht="18" customHeight="1">
      <c r="A676" s="150" t="s">
        <v>245</v>
      </c>
      <c r="B676" s="151"/>
      <c r="C676" s="151"/>
      <c r="D676" s="151"/>
      <c r="E676" s="151">
        <f>E662+E675</f>
        <v>0</v>
      </c>
      <c r="F676" s="113"/>
      <c r="G676" s="92">
        <f>G662+G675</f>
        <v>0</v>
      </c>
      <c r="H676" s="113">
        <f>IFERROR(H662+H675,"")</f>
        <v>0</v>
      </c>
      <c r="I676" s="117"/>
      <c r="J676" s="126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2">
        <f>IFERROR(J676,"")</f>
        <v>0</v>
      </c>
    </row>
    <row r="677" spans="1:20" ht="15" customHeight="1">
      <c r="A677" s="69">
        <v>46260</v>
      </c>
      <c r="B677" s="32">
        <v>0.33333333333333298</v>
      </c>
      <c r="C677" s="33"/>
      <c r="D677" s="62"/>
      <c r="E677" s="110"/>
      <c r="F677" s="141" t="str">
        <f>IFERROR(IF($D677="","",VLOOKUP($D677,Cadastro!$C$4:$E$7,3,FALSE)),"")</f>
        <v/>
      </c>
      <c r="G677" s="106"/>
      <c r="H677" s="141" t="str">
        <f>IFERROR(IF($G677="","",$G677*$S$689/$G$689/Cadastro!$E$33),"")</f>
        <v/>
      </c>
      <c r="I677" s="142" t="str">
        <f>IFERROR(IF($D677="","",VLOOKUP($D677,Cadastro!$C$4:$G$7,5,FALSE)),"")</f>
        <v/>
      </c>
      <c r="J677" s="143" t="str">
        <f t="shared" ref="J677:J688" si="177">IFERROR(IF($H677="","",$H677*$F677*$I677),"")</f>
        <v/>
      </c>
      <c r="K677" s="34" t="str">
        <f t="shared" ref="K677:K688" si="178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9">IFERROR(IF(O677="","",IF(P677="",MOD(NOW()-O677,1),IF(P677&gt;=O677,P677-O677,P677+1-O677))),"")</f>
        <v/>
      </c>
      <c r="R677" s="27"/>
      <c r="S677" s="47"/>
    </row>
    <row r="678" spans="1:20" ht="15" customHeight="1">
      <c r="A678" s="68">
        <v>46260</v>
      </c>
      <c r="B678" s="25">
        <f t="shared" ref="B678:B688" si="180">B677+TIME(0,60,0)</f>
        <v>0.37499999999999967</v>
      </c>
      <c r="C678" s="33"/>
      <c r="D678" s="62"/>
      <c r="E678" s="110"/>
      <c r="F678" s="135" t="str">
        <f>IFERROR(IF($D678="","",VLOOKUP($D678,Cadastro!$C$4:$E$7,3,FALSE)),"")</f>
        <v/>
      </c>
      <c r="G678" s="106"/>
      <c r="H678" s="135" t="str">
        <f>IFERROR(IF($G678="","",$G678*$S$689/$G$689/Cadastro!$E$33),"")</f>
        <v/>
      </c>
      <c r="I678" s="136" t="str">
        <f>IFERROR(IF($D678="","",VLOOKUP($D678,Cadastro!$C$4:$G$7,5,FALSE)),"")</f>
        <v/>
      </c>
      <c r="J678" s="137" t="str">
        <f t="shared" si="177"/>
        <v/>
      </c>
      <c r="K678" s="28" t="str">
        <f t="shared" si="178"/>
        <v/>
      </c>
      <c r="L678" s="26"/>
      <c r="M678" s="26"/>
      <c r="N678" s="26"/>
      <c r="O678" s="29"/>
      <c r="P678" s="29"/>
      <c r="Q678" s="30" t="str">
        <f t="shared" ca="1" si="179"/>
        <v/>
      </c>
      <c r="R678" s="27"/>
      <c r="S678" s="47"/>
    </row>
    <row r="679" spans="1:20" ht="15" customHeight="1">
      <c r="A679" s="69">
        <v>46260</v>
      </c>
      <c r="B679" s="32">
        <f t="shared" si="180"/>
        <v>0.41666666666666635</v>
      </c>
      <c r="C679" s="33"/>
      <c r="D679" s="62"/>
      <c r="E679" s="110"/>
      <c r="F679" s="135" t="str">
        <f>IFERROR(IF($D679="","",VLOOKUP($D679,Cadastro!$C$4:$E$7,3,FALSE)),"")</f>
        <v/>
      </c>
      <c r="G679" s="106"/>
      <c r="H679" s="135" t="str">
        <f>IFERROR(IF($G679="","",$G679*$S$689/$G$689/Cadastro!$E$33),"")</f>
        <v/>
      </c>
      <c r="I679" s="136" t="str">
        <f>IFERROR(IF($D679="","",VLOOKUP($D679,Cadastro!$C$4:$G$7,5,FALSE)),"")</f>
        <v/>
      </c>
      <c r="J679" s="137" t="str">
        <f t="shared" si="177"/>
        <v/>
      </c>
      <c r="K679" s="34" t="str">
        <f t="shared" si="178"/>
        <v/>
      </c>
      <c r="L679" s="33"/>
      <c r="M679" s="33"/>
      <c r="N679" s="33"/>
      <c r="O679" s="29"/>
      <c r="P679" s="29"/>
      <c r="Q679" s="35" t="str">
        <f t="shared" ca="1" si="179"/>
        <v/>
      </c>
      <c r="R679" s="27"/>
      <c r="S679" s="47"/>
    </row>
    <row r="680" spans="1:20" ht="15" customHeight="1">
      <c r="A680" s="68">
        <v>46260</v>
      </c>
      <c r="B680" s="25">
        <f t="shared" si="180"/>
        <v>0.45833333333333304</v>
      </c>
      <c r="C680" s="33"/>
      <c r="D680" s="62"/>
      <c r="E680" s="110"/>
      <c r="F680" s="135" t="str">
        <f>IFERROR(IF($D680="","",VLOOKUP($D680,Cadastro!$C$4:$E$7,3,FALSE)),"")</f>
        <v/>
      </c>
      <c r="G680" s="106"/>
      <c r="H680" s="135" t="str">
        <f>IFERROR(IF($G680="","",$G680*$S$689/$G$689/Cadastro!$E$33),"")</f>
        <v/>
      </c>
      <c r="I680" s="136" t="str">
        <f>IFERROR(IF($D680="","",VLOOKUP($D680,Cadastro!$C$4:$G$7,5,FALSE)),"")</f>
        <v/>
      </c>
      <c r="J680" s="137" t="str">
        <f t="shared" si="177"/>
        <v/>
      </c>
      <c r="K680" s="28" t="str">
        <f t="shared" si="178"/>
        <v/>
      </c>
      <c r="L680" s="26"/>
      <c r="M680" s="26"/>
      <c r="N680" s="26"/>
      <c r="O680" s="29"/>
      <c r="P680" s="29"/>
      <c r="Q680" s="30" t="str">
        <f t="shared" ca="1" si="179"/>
        <v/>
      </c>
      <c r="R680" s="27"/>
      <c r="S680" s="47"/>
    </row>
    <row r="681" spans="1:20" ht="15" customHeight="1">
      <c r="A681" s="69">
        <v>46260</v>
      </c>
      <c r="B681" s="32">
        <f t="shared" si="180"/>
        <v>0.49999999999999972</v>
      </c>
      <c r="C681" s="33"/>
      <c r="D681" s="62"/>
      <c r="E681" s="110"/>
      <c r="F681" s="135" t="str">
        <f>IFERROR(IF($D681="","",VLOOKUP($D681,Cadastro!$C$4:$E$7,3,FALSE)),"")</f>
        <v/>
      </c>
      <c r="G681" s="106"/>
      <c r="H681" s="135" t="str">
        <f>IFERROR(IF($G681="","",$G681*$S$689/$G$689/Cadastro!$E$33),"")</f>
        <v/>
      </c>
      <c r="I681" s="136" t="str">
        <f>IFERROR(IF($D681="","",VLOOKUP($D681,Cadastro!$C$4:$G$7,5,FALSE)),"")</f>
        <v/>
      </c>
      <c r="J681" s="137" t="str">
        <f t="shared" si="177"/>
        <v/>
      </c>
      <c r="K681" s="34" t="str">
        <f t="shared" si="178"/>
        <v/>
      </c>
      <c r="L681" s="33"/>
      <c r="M681" s="33"/>
      <c r="N681" s="33"/>
      <c r="O681" s="29"/>
      <c r="P681" s="29"/>
      <c r="Q681" s="35" t="str">
        <f t="shared" ca="1" si="179"/>
        <v/>
      </c>
      <c r="R681" s="27"/>
      <c r="S681" s="47"/>
    </row>
    <row r="682" spans="1:20" ht="15" customHeight="1">
      <c r="A682" s="68">
        <v>46260</v>
      </c>
      <c r="B682" s="25">
        <f t="shared" si="180"/>
        <v>0.54166666666666641</v>
      </c>
      <c r="C682" s="33"/>
      <c r="D682" s="62"/>
      <c r="E682" s="110"/>
      <c r="F682" s="135" t="str">
        <f>IFERROR(IF($D682="","",VLOOKUP($D682,Cadastro!$C$4:$E$7,3,FALSE)),"")</f>
        <v/>
      </c>
      <c r="G682" s="106"/>
      <c r="H682" s="135" t="str">
        <f>IFERROR(IF($G682="","",$G682*$S$689/$G$689/Cadastro!$E$33),"")</f>
        <v/>
      </c>
      <c r="I682" s="136" t="str">
        <f>IFERROR(IF($D682="","",VLOOKUP($D682,Cadastro!$C$4:$G$7,5,FALSE)),"")</f>
        <v/>
      </c>
      <c r="J682" s="137" t="str">
        <f t="shared" si="177"/>
        <v/>
      </c>
      <c r="K682" s="28" t="str">
        <f t="shared" si="178"/>
        <v/>
      </c>
      <c r="L682" s="26"/>
      <c r="M682" s="26"/>
      <c r="N682" s="26"/>
      <c r="O682" s="29"/>
      <c r="P682" s="29"/>
      <c r="Q682" s="30" t="str">
        <f t="shared" ca="1" si="179"/>
        <v/>
      </c>
      <c r="R682" s="27"/>
      <c r="S682" s="47"/>
    </row>
    <row r="683" spans="1:20" ht="15" customHeight="1">
      <c r="A683" s="69">
        <v>46260</v>
      </c>
      <c r="B683" s="32">
        <f t="shared" si="180"/>
        <v>0.58333333333333304</v>
      </c>
      <c r="C683" s="33"/>
      <c r="D683" s="62"/>
      <c r="E683" s="110"/>
      <c r="F683" s="135" t="str">
        <f>IFERROR(IF($D683="","",VLOOKUP($D683,Cadastro!$C$4:$E$7,3,FALSE)),"")</f>
        <v/>
      </c>
      <c r="G683" s="106"/>
      <c r="H683" s="135" t="str">
        <f>IFERROR(IF($G683="","",$G683*$S$689/$G$689/Cadastro!$E$33),"")</f>
        <v/>
      </c>
      <c r="I683" s="136" t="str">
        <f>IFERROR(IF($D683="","",VLOOKUP($D683,Cadastro!$C$4:$G$7,5,FALSE)),"")</f>
        <v/>
      </c>
      <c r="J683" s="137" t="str">
        <f t="shared" si="177"/>
        <v/>
      </c>
      <c r="K683" s="34" t="str">
        <f t="shared" si="178"/>
        <v/>
      </c>
      <c r="L683" s="33"/>
      <c r="M683" s="33"/>
      <c r="N683" s="33"/>
      <c r="O683" s="29"/>
      <c r="P683" s="29"/>
      <c r="Q683" s="35" t="str">
        <f t="shared" ca="1" si="179"/>
        <v/>
      </c>
      <c r="R683" s="27"/>
      <c r="S683" s="47"/>
    </row>
    <row r="684" spans="1:20" ht="15" customHeight="1">
      <c r="A684" s="68">
        <v>46260</v>
      </c>
      <c r="B684" s="25">
        <f t="shared" si="180"/>
        <v>0.62499999999999967</v>
      </c>
      <c r="C684" s="33"/>
      <c r="D684" s="62"/>
      <c r="E684" s="110"/>
      <c r="F684" s="135" t="str">
        <f>IFERROR(IF($D684="","",VLOOKUP($D684,Cadastro!$C$4:$E$7,3,FALSE)),"")</f>
        <v/>
      </c>
      <c r="G684" s="106"/>
      <c r="H684" s="135" t="str">
        <f>IFERROR(IF($G684="","",$G684*$S$689/$G$689/Cadastro!$E$33),"")</f>
        <v/>
      </c>
      <c r="I684" s="136" t="str">
        <f>IFERROR(IF($D684="","",VLOOKUP($D684,Cadastro!$C$4:$G$7,5,FALSE)),"")</f>
        <v/>
      </c>
      <c r="J684" s="137" t="str">
        <f t="shared" si="177"/>
        <v/>
      </c>
      <c r="K684" s="28" t="str">
        <f t="shared" si="178"/>
        <v/>
      </c>
      <c r="L684" s="26"/>
      <c r="M684" s="26"/>
      <c r="N684" s="26"/>
      <c r="O684" s="29"/>
      <c r="P684" s="29"/>
      <c r="Q684" s="30" t="str">
        <f t="shared" ca="1" si="179"/>
        <v/>
      </c>
      <c r="R684" s="27"/>
      <c r="S684" s="47"/>
    </row>
    <row r="685" spans="1:20" ht="15" customHeight="1">
      <c r="A685" s="69">
        <v>46260</v>
      </c>
      <c r="B685" s="32">
        <f t="shared" si="180"/>
        <v>0.6666666666666663</v>
      </c>
      <c r="C685" s="33"/>
      <c r="D685" s="62"/>
      <c r="E685" s="110"/>
      <c r="F685" s="135" t="str">
        <f>IFERROR(IF($D685="","",VLOOKUP($D685,Cadastro!$C$4:$E$7,3,FALSE)),"")</f>
        <v/>
      </c>
      <c r="G685" s="106"/>
      <c r="H685" s="135" t="str">
        <f>IFERROR(IF($G685="","",$G685*$S$689/$G$689/Cadastro!$E$33),"")</f>
        <v/>
      </c>
      <c r="I685" s="136" t="str">
        <f>IFERROR(IF($D685="","",VLOOKUP($D685,Cadastro!$C$4:$G$7,5,FALSE)),"")</f>
        <v/>
      </c>
      <c r="J685" s="137" t="str">
        <f t="shared" si="177"/>
        <v/>
      </c>
      <c r="K685" s="34" t="str">
        <f t="shared" si="178"/>
        <v/>
      </c>
      <c r="L685" s="33"/>
      <c r="M685" s="33"/>
      <c r="N685" s="33"/>
      <c r="O685" s="29"/>
      <c r="P685" s="29"/>
      <c r="Q685" s="35" t="str">
        <f t="shared" ca="1" si="179"/>
        <v/>
      </c>
      <c r="R685" s="27"/>
      <c r="S685" s="47"/>
    </row>
    <row r="686" spans="1:20" ht="15" customHeight="1">
      <c r="A686" s="68">
        <v>46260</v>
      </c>
      <c r="B686" s="25">
        <f t="shared" si="180"/>
        <v>0.70833333333333293</v>
      </c>
      <c r="C686" s="33"/>
      <c r="D686" s="62"/>
      <c r="E686" s="110"/>
      <c r="F686" s="135" t="str">
        <f>IFERROR(IF($D686="","",VLOOKUP($D686,Cadastro!$C$4:$E$7,3,FALSE)),"")</f>
        <v/>
      </c>
      <c r="G686" s="106"/>
      <c r="H686" s="135" t="str">
        <f>IFERROR(IF($G686="","",$G686*$S$689/$G$689/Cadastro!$E$33),"")</f>
        <v/>
      </c>
      <c r="I686" s="136" t="str">
        <f>IFERROR(IF($D686="","",VLOOKUP($D686,Cadastro!$C$4:$G$7,5,FALSE)),"")</f>
        <v/>
      </c>
      <c r="J686" s="137" t="str">
        <f t="shared" si="177"/>
        <v/>
      </c>
      <c r="K686" s="28" t="str">
        <f t="shared" si="178"/>
        <v/>
      </c>
      <c r="L686" s="26"/>
      <c r="M686" s="26"/>
      <c r="N686" s="26"/>
      <c r="O686" s="29"/>
      <c r="P686" s="29"/>
      <c r="Q686" s="30" t="str">
        <f t="shared" ca="1" si="179"/>
        <v/>
      </c>
      <c r="R686" s="27"/>
      <c r="S686" s="47"/>
    </row>
    <row r="687" spans="1:20" ht="15" customHeight="1">
      <c r="A687" s="69">
        <v>46260</v>
      </c>
      <c r="B687" s="32">
        <f t="shared" si="180"/>
        <v>0.74999999999999956</v>
      </c>
      <c r="C687" s="33"/>
      <c r="D687" s="62"/>
      <c r="E687" s="110"/>
      <c r="F687" s="135" t="str">
        <f>IFERROR(IF($D687="","",VLOOKUP($D687,Cadastro!$C$4:$E$7,3,FALSE)),"")</f>
        <v/>
      </c>
      <c r="G687" s="106"/>
      <c r="H687" s="135" t="str">
        <f>IFERROR(IF($G687="","",$G687*$S$689/$G$689/Cadastro!$E$33),"")</f>
        <v/>
      </c>
      <c r="I687" s="136" t="str">
        <f>IFERROR(IF($D687="","",VLOOKUP($D687,Cadastro!$C$4:$G$7,5,FALSE)),"")</f>
        <v/>
      </c>
      <c r="J687" s="137" t="str">
        <f t="shared" si="177"/>
        <v/>
      </c>
      <c r="K687" s="34" t="str">
        <f t="shared" si="178"/>
        <v/>
      </c>
      <c r="L687" s="33"/>
      <c r="M687" s="33"/>
      <c r="N687" s="33"/>
      <c r="O687" s="29"/>
      <c r="P687" s="29"/>
      <c r="Q687" s="35" t="str">
        <f t="shared" ca="1" si="179"/>
        <v/>
      </c>
      <c r="R687" s="27"/>
      <c r="S687" s="47"/>
    </row>
    <row r="688" spans="1:20" ht="15" customHeight="1" thickBot="1">
      <c r="A688" s="68">
        <v>46260</v>
      </c>
      <c r="B688" s="25">
        <f t="shared" si="180"/>
        <v>0.79166666666666619</v>
      </c>
      <c r="C688" s="33"/>
      <c r="D688" s="62"/>
      <c r="E688" s="110"/>
      <c r="F688" s="138" t="str">
        <f>IFERROR(IF($D688="","",VLOOKUP($D688,Cadastro!$C$4:$E$7,3,FALSE)),"")</f>
        <v/>
      </c>
      <c r="G688" s="106"/>
      <c r="H688" s="138" t="str">
        <f>IFERROR(IF($G688="","",$G688*$S$689/$G$689/Cadastro!$E$33),"")</f>
        <v/>
      </c>
      <c r="I688" s="139" t="str">
        <f>IFERROR(IF($D688="","",VLOOKUP($D688,Cadastro!$C$4:$G$7,5,FALSE)),"")</f>
        <v/>
      </c>
      <c r="J688" s="140" t="str">
        <f t="shared" si="177"/>
        <v/>
      </c>
      <c r="K688" s="28" t="str">
        <f t="shared" si="178"/>
        <v/>
      </c>
      <c r="L688" s="26"/>
      <c r="M688" s="26"/>
      <c r="N688" s="26"/>
      <c r="O688" s="29"/>
      <c r="P688" s="29"/>
      <c r="Q688" s="30" t="str">
        <f t="shared" ca="1" si="179"/>
        <v/>
      </c>
      <c r="R688" s="27"/>
      <c r="S688" s="47"/>
    </row>
    <row r="689" spans="1:20" ht="15.75" customHeight="1" thickBot="1">
      <c r="A689" s="152" t="s">
        <v>241</v>
      </c>
      <c r="B689" s="153"/>
      <c r="C689" s="153"/>
      <c r="D689" s="153"/>
      <c r="E689" s="153">
        <f>SUM(E677:E688)</f>
        <v>0</v>
      </c>
      <c r="F689" s="111"/>
      <c r="G689" s="81">
        <f>SUM(G677:G688)</f>
        <v>0</v>
      </c>
      <c r="H689" s="111">
        <f>IFERROR(SUM(H677:H688),"")</f>
        <v>0</v>
      </c>
      <c r="I689" s="115"/>
      <c r="J689" s="124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20">
        <f>IFERROR(J689,"")</f>
        <v>0</v>
      </c>
    </row>
    <row r="690" spans="1:20" ht="15" customHeight="1">
      <c r="A690" s="68">
        <v>46260</v>
      </c>
      <c r="B690" s="25">
        <v>0.83333333333333304</v>
      </c>
      <c r="C690" s="26"/>
      <c r="D690" s="59"/>
      <c r="E690" s="109"/>
      <c r="F690" s="141" t="str">
        <f>IFERROR(IF($D690="","",VLOOKUP($D690,Cadastro!$C$4:$E$7,3,FALSE)),"")</f>
        <v/>
      </c>
      <c r="G690" s="106"/>
      <c r="H690" s="141" t="str">
        <f>IFERROR(IF($G690="","",$G690*$S$702/$G$702/Cadastro!$E$33),"")</f>
        <v/>
      </c>
      <c r="I690" s="142" t="str">
        <f>IFERROR(IF($D690="","",VLOOKUP($D690,Cadastro!$C$4:$G$7,5,FALSE)),"")</f>
        <v/>
      </c>
      <c r="J690" s="143" t="str">
        <f t="shared" ref="J690:J701" si="181">IFERROR(IF($H690="","",$H690*$F690*$I690),"")</f>
        <v/>
      </c>
      <c r="K690" s="28" t="str">
        <f t="shared" ref="K690:K701" si="182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3">IFERROR(IF(O690="","",IF(P690="",MOD(NOW()-O690,1),IF(P690&gt;=O690,P690-O690,P690+1-O690))),"")</f>
        <v/>
      </c>
      <c r="R690" s="27"/>
      <c r="S690" s="47"/>
    </row>
    <row r="691" spans="1:20" ht="15" customHeight="1">
      <c r="A691" s="69">
        <v>46260</v>
      </c>
      <c r="B691" s="32">
        <f t="shared" ref="B691:B701" si="184">B690+TIME(0,60,0)</f>
        <v>0.87499999999999967</v>
      </c>
      <c r="C691" s="26"/>
      <c r="D691" s="59"/>
      <c r="E691" s="109"/>
      <c r="F691" s="135" t="str">
        <f>IFERROR(IF($D691="","",VLOOKUP($D691,Cadastro!$C$4:$E$7,3,FALSE)),"")</f>
        <v/>
      </c>
      <c r="G691" s="106"/>
      <c r="H691" s="135" t="str">
        <f>IFERROR(IF($G691="","",$G691*$S$702/$G$702/Cadastro!$E$33),"")</f>
        <v/>
      </c>
      <c r="I691" s="136" t="str">
        <f>IFERROR(IF($D691="","",VLOOKUP($D691,Cadastro!$C$4:$G$7,5,FALSE)),"")</f>
        <v/>
      </c>
      <c r="J691" s="137" t="str">
        <f t="shared" si="181"/>
        <v/>
      </c>
      <c r="K691" s="34" t="str">
        <f t="shared" si="182"/>
        <v/>
      </c>
      <c r="L691" s="33"/>
      <c r="M691" s="33"/>
      <c r="N691" s="33"/>
      <c r="O691" s="29"/>
      <c r="P691" s="29"/>
      <c r="Q691" s="35" t="str">
        <f t="shared" ca="1" si="183"/>
        <v/>
      </c>
      <c r="R691" s="27"/>
      <c r="S691" s="47"/>
    </row>
    <row r="692" spans="1:20" ht="15" customHeight="1">
      <c r="A692" s="68">
        <v>46260</v>
      </c>
      <c r="B692" s="25">
        <f t="shared" si="184"/>
        <v>0.9166666666666663</v>
      </c>
      <c r="C692" s="26"/>
      <c r="D692" s="59"/>
      <c r="E692" s="109"/>
      <c r="F692" s="135" t="str">
        <f>IFERROR(IF($D692="","",VLOOKUP($D692,Cadastro!$C$4:$E$7,3,FALSE)),"")</f>
        <v/>
      </c>
      <c r="G692" s="106"/>
      <c r="H692" s="135" t="str">
        <f>IFERROR(IF($G692="","",$G692*$S$702/$G$702/Cadastro!$E$33),"")</f>
        <v/>
      </c>
      <c r="I692" s="136" t="str">
        <f>IFERROR(IF($D692="","",VLOOKUP($D692,Cadastro!$C$4:$G$7,5,FALSE)),"")</f>
        <v/>
      </c>
      <c r="J692" s="137" t="str">
        <f t="shared" si="181"/>
        <v/>
      </c>
      <c r="K692" s="28" t="str">
        <f t="shared" si="182"/>
        <v/>
      </c>
      <c r="L692" s="26"/>
      <c r="M692" s="26"/>
      <c r="N692" s="26"/>
      <c r="O692" s="29"/>
      <c r="P692" s="29"/>
      <c r="Q692" s="30" t="str">
        <f t="shared" ca="1" si="183"/>
        <v/>
      </c>
      <c r="R692" s="27"/>
      <c r="S692" s="47"/>
    </row>
    <row r="693" spans="1:20" ht="15" customHeight="1">
      <c r="A693" s="69">
        <v>46260</v>
      </c>
      <c r="B693" s="32">
        <f t="shared" si="184"/>
        <v>0.95833333333333293</v>
      </c>
      <c r="C693" s="26"/>
      <c r="D693" s="59"/>
      <c r="E693" s="109"/>
      <c r="F693" s="135" t="str">
        <f>IFERROR(IF($D693="","",VLOOKUP($D693,Cadastro!$C$4:$E$7,3,FALSE)),"")</f>
        <v/>
      </c>
      <c r="G693" s="106"/>
      <c r="H693" s="135" t="str">
        <f>IFERROR(IF($G693="","",$G693*$S$702/$G$702/Cadastro!$E$33),"")</f>
        <v/>
      </c>
      <c r="I693" s="136" t="str">
        <f>IFERROR(IF($D693="","",VLOOKUP($D693,Cadastro!$C$4:$G$7,5,FALSE)),"")</f>
        <v/>
      </c>
      <c r="J693" s="137" t="str">
        <f t="shared" si="181"/>
        <v/>
      </c>
      <c r="K693" s="34" t="str">
        <f t="shared" si="182"/>
        <v/>
      </c>
      <c r="L693" s="33"/>
      <c r="M693" s="33"/>
      <c r="N693" s="33"/>
      <c r="O693" s="29"/>
      <c r="P693" s="29"/>
      <c r="Q693" s="35" t="str">
        <f t="shared" ca="1" si="183"/>
        <v/>
      </c>
      <c r="R693" s="27"/>
      <c r="S693" s="47"/>
    </row>
    <row r="694" spans="1:20" ht="15" customHeight="1">
      <c r="A694" s="68">
        <v>46260</v>
      </c>
      <c r="B694" s="25">
        <f t="shared" si="184"/>
        <v>0.99999999999999956</v>
      </c>
      <c r="C694" s="26"/>
      <c r="D694" s="59"/>
      <c r="E694" s="109"/>
      <c r="F694" s="135" t="str">
        <f>IFERROR(IF($D694="","",VLOOKUP($D694,Cadastro!$C$4:$E$7,3,FALSE)),"")</f>
        <v/>
      </c>
      <c r="G694" s="106"/>
      <c r="H694" s="135" t="str">
        <f>IFERROR(IF($G694="","",$G694*$S$702/$G$702/Cadastro!$E$33),"")</f>
        <v/>
      </c>
      <c r="I694" s="136" t="str">
        <f>IFERROR(IF($D694="","",VLOOKUP($D694,Cadastro!$C$4:$G$7,5,FALSE)),"")</f>
        <v/>
      </c>
      <c r="J694" s="137" t="str">
        <f t="shared" si="181"/>
        <v/>
      </c>
      <c r="K694" s="28" t="str">
        <f t="shared" si="182"/>
        <v/>
      </c>
      <c r="L694" s="26"/>
      <c r="M694" s="26"/>
      <c r="N694" s="26"/>
      <c r="O694" s="29"/>
      <c r="P694" s="29"/>
      <c r="Q694" s="30" t="str">
        <f t="shared" ca="1" si="183"/>
        <v/>
      </c>
      <c r="R694" s="27"/>
      <c r="S694" s="47"/>
    </row>
    <row r="695" spans="1:20" ht="15" customHeight="1">
      <c r="A695" s="69">
        <v>46260</v>
      </c>
      <c r="B695" s="32">
        <f t="shared" si="184"/>
        <v>1.0416666666666663</v>
      </c>
      <c r="C695" s="26"/>
      <c r="D695" s="59"/>
      <c r="E695" s="109"/>
      <c r="F695" s="135" t="str">
        <f>IFERROR(IF($D695="","",VLOOKUP($D695,Cadastro!$C$4:$E$7,3,FALSE)),"")</f>
        <v/>
      </c>
      <c r="G695" s="106"/>
      <c r="H695" s="135" t="str">
        <f>IFERROR(IF($G695="","",$G695*$S$702/$G$702/Cadastro!$E$33),"")</f>
        <v/>
      </c>
      <c r="I695" s="136" t="str">
        <f>IFERROR(IF($D695="","",VLOOKUP($D695,Cadastro!$C$4:$G$7,5,FALSE)),"")</f>
        <v/>
      </c>
      <c r="J695" s="137" t="str">
        <f t="shared" si="181"/>
        <v/>
      </c>
      <c r="K695" s="34" t="str">
        <f t="shared" si="182"/>
        <v/>
      </c>
      <c r="L695" s="33"/>
      <c r="M695" s="33"/>
      <c r="N695" s="33"/>
      <c r="O695" s="29"/>
      <c r="P695" s="29"/>
      <c r="Q695" s="35" t="str">
        <f t="shared" ca="1" si="183"/>
        <v/>
      </c>
      <c r="R695" s="27"/>
      <c r="S695" s="47"/>
    </row>
    <row r="696" spans="1:20" ht="15" customHeight="1">
      <c r="A696" s="68">
        <v>46260</v>
      </c>
      <c r="B696" s="25">
        <f t="shared" si="184"/>
        <v>1.083333333333333</v>
      </c>
      <c r="C696" s="26"/>
      <c r="D696" s="59"/>
      <c r="E696" s="109"/>
      <c r="F696" s="135" t="str">
        <f>IFERROR(IF($D696="","",VLOOKUP($D696,Cadastro!$C$4:$E$7,3,FALSE)),"")</f>
        <v/>
      </c>
      <c r="G696" s="106"/>
      <c r="H696" s="135" t="str">
        <f>IFERROR(IF($G696="","",$G696*$S$702/$G$702/Cadastro!$E$33),"")</f>
        <v/>
      </c>
      <c r="I696" s="136" t="str">
        <f>IFERROR(IF($D696="","",VLOOKUP($D696,Cadastro!$C$4:$G$7,5,FALSE)),"")</f>
        <v/>
      </c>
      <c r="J696" s="137" t="str">
        <f t="shared" si="181"/>
        <v/>
      </c>
      <c r="K696" s="28" t="str">
        <f t="shared" si="182"/>
        <v/>
      </c>
      <c r="L696" s="26"/>
      <c r="M696" s="26"/>
      <c r="N696" s="26"/>
      <c r="O696" s="29"/>
      <c r="P696" s="29"/>
      <c r="Q696" s="30" t="str">
        <f t="shared" ca="1" si="183"/>
        <v/>
      </c>
      <c r="R696" s="27"/>
      <c r="S696" s="47"/>
    </row>
    <row r="697" spans="1:20" ht="15" customHeight="1">
      <c r="A697" s="69">
        <v>46260</v>
      </c>
      <c r="B697" s="32">
        <f t="shared" si="184"/>
        <v>1.1249999999999998</v>
      </c>
      <c r="C697" s="26"/>
      <c r="D697" s="59"/>
      <c r="E697" s="109"/>
      <c r="F697" s="135" t="str">
        <f>IFERROR(IF($D697="","",VLOOKUP($D697,Cadastro!$C$4:$E$7,3,FALSE)),"")</f>
        <v/>
      </c>
      <c r="G697" s="106"/>
      <c r="H697" s="135" t="str">
        <f>IFERROR(IF($G697="","",$G697*$S$702/$G$702/Cadastro!$E$33),"")</f>
        <v/>
      </c>
      <c r="I697" s="136" t="str">
        <f>IFERROR(IF($D697="","",VLOOKUP($D697,Cadastro!$C$4:$G$7,5,FALSE)),"")</f>
        <v/>
      </c>
      <c r="J697" s="137" t="str">
        <f t="shared" si="181"/>
        <v/>
      </c>
      <c r="K697" s="34" t="str">
        <f t="shared" si="182"/>
        <v/>
      </c>
      <c r="L697" s="33"/>
      <c r="M697" s="33"/>
      <c r="N697" s="33"/>
      <c r="O697" s="29"/>
      <c r="P697" s="29"/>
      <c r="Q697" s="35" t="str">
        <f t="shared" ca="1" si="183"/>
        <v/>
      </c>
      <c r="R697" s="27"/>
      <c r="S697" s="47"/>
    </row>
    <row r="698" spans="1:20" ht="15" customHeight="1">
      <c r="A698" s="68">
        <v>46260</v>
      </c>
      <c r="B698" s="25">
        <f t="shared" si="184"/>
        <v>1.1666666666666665</v>
      </c>
      <c r="C698" s="26"/>
      <c r="D698" s="59"/>
      <c r="E698" s="109"/>
      <c r="F698" s="135" t="str">
        <f>IFERROR(IF($D698="","",VLOOKUP($D698,Cadastro!$C$4:$E$7,3,FALSE)),"")</f>
        <v/>
      </c>
      <c r="G698" s="106"/>
      <c r="H698" s="135" t="str">
        <f>IFERROR(IF($G698="","",$G698*$S$702/$G$702/Cadastro!$E$33),"")</f>
        <v/>
      </c>
      <c r="I698" s="136" t="str">
        <f>IFERROR(IF($D698="","",VLOOKUP($D698,Cadastro!$C$4:$G$7,5,FALSE)),"")</f>
        <v/>
      </c>
      <c r="J698" s="137" t="str">
        <f t="shared" si="181"/>
        <v/>
      </c>
      <c r="K698" s="28" t="str">
        <f t="shared" si="182"/>
        <v/>
      </c>
      <c r="L698" s="26"/>
      <c r="M698" s="26"/>
      <c r="N698" s="26"/>
      <c r="O698" s="29"/>
      <c r="P698" s="29"/>
      <c r="Q698" s="30" t="str">
        <f t="shared" ca="1" si="183"/>
        <v/>
      </c>
      <c r="R698" s="27"/>
      <c r="S698" s="47"/>
    </row>
    <row r="699" spans="1:20" ht="15" customHeight="1">
      <c r="A699" s="69">
        <v>46260</v>
      </c>
      <c r="B699" s="32">
        <f t="shared" si="184"/>
        <v>1.2083333333333333</v>
      </c>
      <c r="C699" s="26"/>
      <c r="D699" s="59"/>
      <c r="E699" s="109"/>
      <c r="F699" s="135" t="str">
        <f>IFERROR(IF($D699="","",VLOOKUP($D699,Cadastro!$C$4:$E$7,3,FALSE)),"")</f>
        <v/>
      </c>
      <c r="G699" s="106"/>
      <c r="H699" s="135" t="str">
        <f>IFERROR(IF($G699="","",$G699*$S$702/$G$702/Cadastro!$E$33),"")</f>
        <v/>
      </c>
      <c r="I699" s="136" t="str">
        <f>IFERROR(IF($D699="","",VLOOKUP($D699,Cadastro!$C$4:$G$7,5,FALSE)),"")</f>
        <v/>
      </c>
      <c r="J699" s="137" t="str">
        <f t="shared" si="181"/>
        <v/>
      </c>
      <c r="K699" s="34" t="str">
        <f t="shared" si="182"/>
        <v/>
      </c>
      <c r="L699" s="33"/>
      <c r="M699" s="33"/>
      <c r="N699" s="33"/>
      <c r="O699" s="29"/>
      <c r="P699" s="29"/>
      <c r="Q699" s="35" t="str">
        <f t="shared" ca="1" si="183"/>
        <v/>
      </c>
      <c r="R699" s="27"/>
      <c r="S699" s="47"/>
    </row>
    <row r="700" spans="1:20" ht="15" customHeight="1">
      <c r="A700" s="68">
        <v>46260</v>
      </c>
      <c r="B700" s="25">
        <f t="shared" si="184"/>
        <v>1.25</v>
      </c>
      <c r="C700" s="26"/>
      <c r="D700" s="59"/>
      <c r="E700" s="109"/>
      <c r="F700" s="135" t="str">
        <f>IFERROR(IF($D700="","",VLOOKUP($D700,Cadastro!$C$4:$E$7,3,FALSE)),"")</f>
        <v/>
      </c>
      <c r="G700" s="106"/>
      <c r="H700" s="135" t="str">
        <f>IFERROR(IF($G700="","",$G700*$S$702/$G$702/Cadastro!$E$33),"")</f>
        <v/>
      </c>
      <c r="I700" s="136" t="str">
        <f>IFERROR(IF($D700="","",VLOOKUP($D700,Cadastro!$C$4:$G$7,5,FALSE)),"")</f>
        <v/>
      </c>
      <c r="J700" s="137" t="str">
        <f t="shared" si="181"/>
        <v/>
      </c>
      <c r="K700" s="28" t="str">
        <f t="shared" si="182"/>
        <v/>
      </c>
      <c r="L700" s="26"/>
      <c r="M700" s="26"/>
      <c r="N700" s="26"/>
      <c r="O700" s="29"/>
      <c r="P700" s="29"/>
      <c r="Q700" s="30" t="str">
        <f t="shared" ca="1" si="183"/>
        <v/>
      </c>
      <c r="R700" s="27"/>
      <c r="S700" s="47"/>
    </row>
    <row r="701" spans="1:20" ht="15" customHeight="1" thickBot="1">
      <c r="A701" s="69">
        <v>46260</v>
      </c>
      <c r="B701" s="32">
        <f t="shared" si="184"/>
        <v>1.2916666666666667</v>
      </c>
      <c r="C701" s="26"/>
      <c r="D701" s="59"/>
      <c r="E701" s="109"/>
      <c r="F701" s="138" t="str">
        <f>IFERROR(IF($D701="","",VLOOKUP($D701,Cadastro!$C$4:$E$7,3,FALSE)),"")</f>
        <v/>
      </c>
      <c r="G701" s="106"/>
      <c r="H701" s="138" t="str">
        <f>IFERROR(IF($G701="","",$G701*$S$702/$G$702/Cadastro!$E$33),"")</f>
        <v/>
      </c>
      <c r="I701" s="139" t="str">
        <f>IFERROR(IF($D701="","",VLOOKUP($D701,Cadastro!$C$4:$G$7,5,FALSE)),"")</f>
        <v/>
      </c>
      <c r="J701" s="140" t="str">
        <f t="shared" si="181"/>
        <v/>
      </c>
      <c r="K701" s="34" t="str">
        <f t="shared" si="182"/>
        <v/>
      </c>
      <c r="L701" s="33"/>
      <c r="M701" s="33"/>
      <c r="N701" s="33"/>
      <c r="O701" s="29"/>
      <c r="P701" s="29"/>
      <c r="Q701" s="35" t="str">
        <f t="shared" ca="1" si="183"/>
        <v/>
      </c>
      <c r="R701" s="27"/>
      <c r="S701" s="47"/>
    </row>
    <row r="702" spans="1:20" ht="15.75" customHeight="1" thickBot="1">
      <c r="A702" s="152" t="s">
        <v>244</v>
      </c>
      <c r="B702" s="153"/>
      <c r="C702" s="153"/>
      <c r="D702" s="153"/>
      <c r="E702" s="153">
        <f>SUM(E690:E701)</f>
        <v>0</v>
      </c>
      <c r="F702" s="112"/>
      <c r="G702" s="81">
        <f>SUM(G690:G701)</f>
        <v>0</v>
      </c>
      <c r="H702" s="112">
        <f>IFERROR(SUM(H690:H701),"")</f>
        <v>0</v>
      </c>
      <c r="I702" s="116"/>
      <c r="J702" s="125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20">
        <f>IFERROR(J702,"")</f>
        <v>0</v>
      </c>
    </row>
    <row r="703" spans="1:20" ht="18" customHeight="1">
      <c r="A703" s="150" t="s">
        <v>245</v>
      </c>
      <c r="B703" s="151"/>
      <c r="C703" s="151"/>
      <c r="D703" s="151"/>
      <c r="E703" s="151">
        <f>E689+E702</f>
        <v>0</v>
      </c>
      <c r="F703" s="113"/>
      <c r="G703" s="92">
        <f>G689+G702</f>
        <v>0</v>
      </c>
      <c r="H703" s="113">
        <f>IFERROR(H689+H702,"")</f>
        <v>0</v>
      </c>
      <c r="I703" s="117"/>
      <c r="J703" s="126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2">
        <f>IFERROR(J703,"")</f>
        <v>0</v>
      </c>
    </row>
    <row r="704" spans="1:20" ht="15" customHeight="1">
      <c r="A704" s="68">
        <v>46261</v>
      </c>
      <c r="B704" s="25">
        <v>0.33333333333333298</v>
      </c>
      <c r="C704" s="26"/>
      <c r="D704" s="59"/>
      <c r="E704" s="109"/>
      <c r="F704" s="141" t="str">
        <f>IFERROR(IF($D704="","",VLOOKUP($D704,Cadastro!$C$4:$E$7,3,FALSE)),"")</f>
        <v/>
      </c>
      <c r="G704" s="106"/>
      <c r="H704" s="141" t="str">
        <f>IFERROR(IF($G704="","",$G704*$S$716/$G$716/Cadastro!$E$33),"")</f>
        <v/>
      </c>
      <c r="I704" s="142" t="str">
        <f>IFERROR(IF($D704="","",VLOOKUP($D704,Cadastro!$C$4:$G$7,5,FALSE)),"")</f>
        <v/>
      </c>
      <c r="J704" s="143" t="str">
        <f t="shared" ref="J704:J715" si="185">IFERROR(IF($H704="","",$H704*$F704*$I704),"")</f>
        <v/>
      </c>
      <c r="K704" s="28" t="str">
        <f t="shared" ref="K704:K715" si="186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7">IFERROR(IF(O704="","",IF(P704="",MOD(NOW()-O704,1),IF(P704&gt;=O704,P704-O704,P704+1-O704))),"")</f>
        <v/>
      </c>
      <c r="R704" s="27"/>
      <c r="S704" s="47"/>
    </row>
    <row r="705" spans="1:20" ht="15" customHeight="1">
      <c r="A705" s="69">
        <v>46261</v>
      </c>
      <c r="B705" s="32">
        <f t="shared" ref="B705:B715" si="188">B704+TIME(0,60,0)</f>
        <v>0.37499999999999967</v>
      </c>
      <c r="C705" s="26"/>
      <c r="D705" s="59"/>
      <c r="E705" s="109"/>
      <c r="F705" s="135" t="str">
        <f>IFERROR(IF($D705="","",VLOOKUP($D705,Cadastro!$C$4:$E$7,3,FALSE)),"")</f>
        <v/>
      </c>
      <c r="G705" s="106"/>
      <c r="H705" s="135" t="str">
        <f>IFERROR(IF($G705="","",$G705*$S$716/$G$716/Cadastro!$E$33),"")</f>
        <v/>
      </c>
      <c r="I705" s="136" t="str">
        <f>IFERROR(IF($D705="","",VLOOKUP($D705,Cadastro!$C$4:$G$7,5,FALSE)),"")</f>
        <v/>
      </c>
      <c r="J705" s="137" t="str">
        <f t="shared" si="185"/>
        <v/>
      </c>
      <c r="K705" s="34" t="str">
        <f t="shared" si="186"/>
        <v/>
      </c>
      <c r="L705" s="33"/>
      <c r="M705" s="33"/>
      <c r="N705" s="33"/>
      <c r="O705" s="29"/>
      <c r="P705" s="29"/>
      <c r="Q705" s="35" t="str">
        <f t="shared" ca="1" si="187"/>
        <v/>
      </c>
      <c r="R705" s="27"/>
      <c r="S705" s="47"/>
    </row>
    <row r="706" spans="1:20" ht="15" customHeight="1">
      <c r="A706" s="68">
        <v>46261</v>
      </c>
      <c r="B706" s="25">
        <f t="shared" si="188"/>
        <v>0.41666666666666635</v>
      </c>
      <c r="C706" s="26"/>
      <c r="D706" s="59"/>
      <c r="E706" s="109"/>
      <c r="F706" s="135" t="str">
        <f>IFERROR(IF($D706="","",VLOOKUP($D706,Cadastro!$C$4:$E$7,3,FALSE)),"")</f>
        <v/>
      </c>
      <c r="G706" s="106"/>
      <c r="H706" s="135" t="str">
        <f>IFERROR(IF($G706="","",$G706*$S$716/$G$716/Cadastro!$E$33),"")</f>
        <v/>
      </c>
      <c r="I706" s="136" t="str">
        <f>IFERROR(IF($D706="","",VLOOKUP($D706,Cadastro!$C$4:$G$7,5,FALSE)),"")</f>
        <v/>
      </c>
      <c r="J706" s="137" t="str">
        <f t="shared" si="185"/>
        <v/>
      </c>
      <c r="K706" s="28" t="str">
        <f t="shared" si="186"/>
        <v/>
      </c>
      <c r="L706" s="26"/>
      <c r="M706" s="26"/>
      <c r="N706" s="26"/>
      <c r="O706" s="29"/>
      <c r="P706" s="29"/>
      <c r="Q706" s="30" t="str">
        <f t="shared" ca="1" si="187"/>
        <v/>
      </c>
      <c r="R706" s="27"/>
      <c r="S706" s="47"/>
    </row>
    <row r="707" spans="1:20" ht="15" customHeight="1">
      <c r="A707" s="69">
        <v>46261</v>
      </c>
      <c r="B707" s="32">
        <f t="shared" si="188"/>
        <v>0.45833333333333304</v>
      </c>
      <c r="C707" s="26"/>
      <c r="D707" s="59"/>
      <c r="E707" s="109"/>
      <c r="F707" s="135" t="str">
        <f>IFERROR(IF($D707="","",VLOOKUP($D707,Cadastro!$C$4:$E$7,3,FALSE)),"")</f>
        <v/>
      </c>
      <c r="G707" s="106"/>
      <c r="H707" s="135" t="str">
        <f>IFERROR(IF($G707="","",$G707*$S$716/$G$716/Cadastro!$E$33),"")</f>
        <v/>
      </c>
      <c r="I707" s="136" t="str">
        <f>IFERROR(IF($D707="","",VLOOKUP($D707,Cadastro!$C$4:$G$7,5,FALSE)),"")</f>
        <v/>
      </c>
      <c r="J707" s="137" t="str">
        <f t="shared" si="185"/>
        <v/>
      </c>
      <c r="K707" s="34" t="str">
        <f t="shared" si="186"/>
        <v/>
      </c>
      <c r="L707" s="33"/>
      <c r="M707" s="33"/>
      <c r="N707" s="33"/>
      <c r="O707" s="29"/>
      <c r="P707" s="29"/>
      <c r="Q707" s="35" t="str">
        <f t="shared" ca="1" si="187"/>
        <v/>
      </c>
      <c r="R707" s="27"/>
      <c r="S707" s="47"/>
    </row>
    <row r="708" spans="1:20" ht="15" customHeight="1">
      <c r="A708" s="68">
        <v>46261</v>
      </c>
      <c r="B708" s="25">
        <f t="shared" si="188"/>
        <v>0.49999999999999972</v>
      </c>
      <c r="C708" s="26"/>
      <c r="D708" s="59"/>
      <c r="E708" s="109"/>
      <c r="F708" s="135" t="str">
        <f>IFERROR(IF($D708="","",VLOOKUP($D708,Cadastro!$C$4:$E$7,3,FALSE)),"")</f>
        <v/>
      </c>
      <c r="G708" s="106"/>
      <c r="H708" s="135" t="str">
        <f>IFERROR(IF($G708="","",$G708*$S$716/$G$716/Cadastro!$E$33),"")</f>
        <v/>
      </c>
      <c r="I708" s="136" t="str">
        <f>IFERROR(IF($D708="","",VLOOKUP($D708,Cadastro!$C$4:$G$7,5,FALSE)),"")</f>
        <v/>
      </c>
      <c r="J708" s="137" t="str">
        <f t="shared" si="185"/>
        <v/>
      </c>
      <c r="K708" s="28" t="str">
        <f t="shared" si="186"/>
        <v/>
      </c>
      <c r="L708" s="26"/>
      <c r="M708" s="26"/>
      <c r="N708" s="26"/>
      <c r="O708" s="29"/>
      <c r="P708" s="29"/>
      <c r="Q708" s="30" t="str">
        <f t="shared" ca="1" si="187"/>
        <v/>
      </c>
      <c r="R708" s="27"/>
      <c r="S708" s="47"/>
    </row>
    <row r="709" spans="1:20" ht="15" customHeight="1">
      <c r="A709" s="69">
        <v>46261</v>
      </c>
      <c r="B709" s="32">
        <f t="shared" si="188"/>
        <v>0.54166666666666641</v>
      </c>
      <c r="C709" s="26"/>
      <c r="D709" s="59"/>
      <c r="E709" s="109"/>
      <c r="F709" s="135" t="str">
        <f>IFERROR(IF($D709="","",VLOOKUP($D709,Cadastro!$C$4:$E$7,3,FALSE)),"")</f>
        <v/>
      </c>
      <c r="G709" s="106"/>
      <c r="H709" s="135" t="str">
        <f>IFERROR(IF($G709="","",$G709*$S$716/$G$716/Cadastro!$E$33),"")</f>
        <v/>
      </c>
      <c r="I709" s="136" t="str">
        <f>IFERROR(IF($D709="","",VLOOKUP($D709,Cadastro!$C$4:$G$7,5,FALSE)),"")</f>
        <v/>
      </c>
      <c r="J709" s="137" t="str">
        <f t="shared" si="185"/>
        <v/>
      </c>
      <c r="K709" s="34" t="str">
        <f t="shared" si="186"/>
        <v/>
      </c>
      <c r="L709" s="33"/>
      <c r="M709" s="33"/>
      <c r="N709" s="33"/>
      <c r="O709" s="29"/>
      <c r="P709" s="29"/>
      <c r="Q709" s="35" t="str">
        <f t="shared" ca="1" si="187"/>
        <v/>
      </c>
      <c r="R709" s="27"/>
      <c r="S709" s="47"/>
    </row>
    <row r="710" spans="1:20" ht="15" customHeight="1">
      <c r="A710" s="68">
        <v>46261</v>
      </c>
      <c r="B710" s="25">
        <f t="shared" si="188"/>
        <v>0.58333333333333304</v>
      </c>
      <c r="C710" s="26"/>
      <c r="D710" s="59"/>
      <c r="E710" s="109"/>
      <c r="F710" s="135" t="str">
        <f>IFERROR(IF($D710="","",VLOOKUP($D710,Cadastro!$C$4:$E$7,3,FALSE)),"")</f>
        <v/>
      </c>
      <c r="G710" s="106"/>
      <c r="H710" s="135" t="str">
        <f>IFERROR(IF($G710="","",$G710*$S$716/$G$716/Cadastro!$E$33),"")</f>
        <v/>
      </c>
      <c r="I710" s="136" t="str">
        <f>IFERROR(IF($D710="","",VLOOKUP($D710,Cadastro!$C$4:$G$7,5,FALSE)),"")</f>
        <v/>
      </c>
      <c r="J710" s="137" t="str">
        <f t="shared" si="185"/>
        <v/>
      </c>
      <c r="K710" s="28" t="str">
        <f t="shared" si="186"/>
        <v/>
      </c>
      <c r="L710" s="26"/>
      <c r="M710" s="26"/>
      <c r="N710" s="26"/>
      <c r="O710" s="29"/>
      <c r="P710" s="29"/>
      <c r="Q710" s="30" t="str">
        <f t="shared" ca="1" si="187"/>
        <v/>
      </c>
      <c r="R710" s="27"/>
      <c r="S710" s="47"/>
    </row>
    <row r="711" spans="1:20" ht="15" customHeight="1">
      <c r="A711" s="69">
        <v>46261</v>
      </c>
      <c r="B711" s="32">
        <f t="shared" si="188"/>
        <v>0.62499999999999967</v>
      </c>
      <c r="C711" s="26"/>
      <c r="D711" s="59"/>
      <c r="E711" s="109"/>
      <c r="F711" s="135" t="str">
        <f>IFERROR(IF($D711="","",VLOOKUP($D711,Cadastro!$C$4:$E$7,3,FALSE)),"")</f>
        <v/>
      </c>
      <c r="G711" s="106"/>
      <c r="H711" s="135" t="str">
        <f>IFERROR(IF($G711="","",$G711*$S$716/$G$716/Cadastro!$E$33),"")</f>
        <v/>
      </c>
      <c r="I711" s="136" t="str">
        <f>IFERROR(IF($D711="","",VLOOKUP($D711,Cadastro!$C$4:$G$7,5,FALSE)),"")</f>
        <v/>
      </c>
      <c r="J711" s="137" t="str">
        <f t="shared" si="185"/>
        <v/>
      </c>
      <c r="K711" s="34" t="str">
        <f t="shared" si="186"/>
        <v/>
      </c>
      <c r="L711" s="33"/>
      <c r="M711" s="33"/>
      <c r="N711" s="33"/>
      <c r="O711" s="29"/>
      <c r="P711" s="29"/>
      <c r="Q711" s="35" t="str">
        <f t="shared" ca="1" si="187"/>
        <v/>
      </c>
      <c r="R711" s="27"/>
      <c r="S711" s="47"/>
    </row>
    <row r="712" spans="1:20" ht="15" customHeight="1">
      <c r="A712" s="68">
        <v>46261</v>
      </c>
      <c r="B712" s="25">
        <f t="shared" si="188"/>
        <v>0.6666666666666663</v>
      </c>
      <c r="C712" s="26"/>
      <c r="D712" s="59"/>
      <c r="E712" s="109"/>
      <c r="F712" s="135" t="str">
        <f>IFERROR(IF($D712="","",VLOOKUP($D712,Cadastro!$C$4:$E$7,3,FALSE)),"")</f>
        <v/>
      </c>
      <c r="G712" s="106"/>
      <c r="H712" s="135" t="str">
        <f>IFERROR(IF($G712="","",$G712*$S$716/$G$716/Cadastro!$E$33),"")</f>
        <v/>
      </c>
      <c r="I712" s="136" t="str">
        <f>IFERROR(IF($D712="","",VLOOKUP($D712,Cadastro!$C$4:$G$7,5,FALSE)),"")</f>
        <v/>
      </c>
      <c r="J712" s="137" t="str">
        <f t="shared" si="185"/>
        <v/>
      </c>
      <c r="K712" s="28" t="str">
        <f t="shared" si="186"/>
        <v/>
      </c>
      <c r="L712" s="26"/>
      <c r="M712" s="26"/>
      <c r="N712" s="26"/>
      <c r="O712" s="29"/>
      <c r="P712" s="29"/>
      <c r="Q712" s="30" t="str">
        <f t="shared" ca="1" si="187"/>
        <v/>
      </c>
      <c r="R712" s="27"/>
      <c r="S712" s="47"/>
    </row>
    <row r="713" spans="1:20" ht="15" customHeight="1">
      <c r="A713" s="69">
        <v>46261</v>
      </c>
      <c r="B713" s="32">
        <f t="shared" si="188"/>
        <v>0.70833333333333293</v>
      </c>
      <c r="C713" s="26"/>
      <c r="D713" s="59"/>
      <c r="E713" s="109"/>
      <c r="F713" s="135" t="str">
        <f>IFERROR(IF($D713="","",VLOOKUP($D713,Cadastro!$C$4:$E$7,3,FALSE)),"")</f>
        <v/>
      </c>
      <c r="G713" s="106"/>
      <c r="H713" s="135" t="str">
        <f>IFERROR(IF($G713="","",$G713*$S$716/$G$716/Cadastro!$E$33),"")</f>
        <v/>
      </c>
      <c r="I713" s="136" t="str">
        <f>IFERROR(IF($D713="","",VLOOKUP($D713,Cadastro!$C$4:$G$7,5,FALSE)),"")</f>
        <v/>
      </c>
      <c r="J713" s="137" t="str">
        <f t="shared" si="185"/>
        <v/>
      </c>
      <c r="K713" s="34" t="str">
        <f t="shared" si="186"/>
        <v/>
      </c>
      <c r="L713" s="33"/>
      <c r="M713" s="33"/>
      <c r="N713" s="33"/>
      <c r="O713" s="29"/>
      <c r="P713" s="29"/>
      <c r="Q713" s="35" t="str">
        <f t="shared" ca="1" si="187"/>
        <v/>
      </c>
      <c r="R713" s="27"/>
      <c r="S713" s="47"/>
    </row>
    <row r="714" spans="1:20" ht="15" customHeight="1">
      <c r="A714" s="68">
        <v>46261</v>
      </c>
      <c r="B714" s="25">
        <f t="shared" si="188"/>
        <v>0.74999999999999956</v>
      </c>
      <c r="C714" s="26"/>
      <c r="D714" s="59"/>
      <c r="E714" s="109"/>
      <c r="F714" s="135" t="str">
        <f>IFERROR(IF($D714="","",VLOOKUP($D714,Cadastro!$C$4:$E$7,3,FALSE)),"")</f>
        <v/>
      </c>
      <c r="G714" s="106"/>
      <c r="H714" s="135" t="str">
        <f>IFERROR(IF($G714="","",$G714*$S$716/$G$716/Cadastro!$E$33),"")</f>
        <v/>
      </c>
      <c r="I714" s="136" t="str">
        <f>IFERROR(IF($D714="","",VLOOKUP($D714,Cadastro!$C$4:$G$7,5,FALSE)),"")</f>
        <v/>
      </c>
      <c r="J714" s="137" t="str">
        <f t="shared" si="185"/>
        <v/>
      </c>
      <c r="K714" s="28" t="str">
        <f t="shared" si="186"/>
        <v/>
      </c>
      <c r="L714" s="26"/>
      <c r="M714" s="26"/>
      <c r="N714" s="26"/>
      <c r="O714" s="29"/>
      <c r="P714" s="29"/>
      <c r="Q714" s="30" t="str">
        <f t="shared" ca="1" si="187"/>
        <v/>
      </c>
      <c r="R714" s="27"/>
      <c r="S714" s="47"/>
    </row>
    <row r="715" spans="1:20" ht="15" customHeight="1" thickBot="1">
      <c r="A715" s="69">
        <v>46261</v>
      </c>
      <c r="B715" s="32">
        <f t="shared" si="188"/>
        <v>0.79166666666666619</v>
      </c>
      <c r="C715" s="26"/>
      <c r="D715" s="59"/>
      <c r="E715" s="109"/>
      <c r="F715" s="138" t="str">
        <f>IFERROR(IF($D715="","",VLOOKUP($D715,Cadastro!$C$4:$E$7,3,FALSE)),"")</f>
        <v/>
      </c>
      <c r="G715" s="106"/>
      <c r="H715" s="138" t="str">
        <f>IFERROR(IF($G715="","",$G715*$S$716/$G$716/Cadastro!$E$33),"")</f>
        <v/>
      </c>
      <c r="I715" s="139" t="str">
        <f>IFERROR(IF($D715="","",VLOOKUP($D715,Cadastro!$C$4:$G$7,5,FALSE)),"")</f>
        <v/>
      </c>
      <c r="J715" s="140" t="str">
        <f t="shared" si="185"/>
        <v/>
      </c>
      <c r="K715" s="34" t="str">
        <f t="shared" si="186"/>
        <v/>
      </c>
      <c r="L715" s="33"/>
      <c r="M715" s="33"/>
      <c r="N715" s="33"/>
      <c r="O715" s="29"/>
      <c r="P715" s="29"/>
      <c r="Q715" s="35" t="str">
        <f t="shared" ca="1" si="187"/>
        <v/>
      </c>
      <c r="R715" s="27"/>
      <c r="S715" s="47"/>
    </row>
    <row r="716" spans="1:20" ht="15.75" customHeight="1" thickBot="1">
      <c r="A716" s="152" t="s">
        <v>241</v>
      </c>
      <c r="B716" s="153"/>
      <c r="C716" s="153"/>
      <c r="D716" s="153"/>
      <c r="E716" s="153">
        <f>SUM(E704:E715)</f>
        <v>0</v>
      </c>
      <c r="F716" s="111"/>
      <c r="G716" s="81">
        <f>SUM(G704:G715)</f>
        <v>0</v>
      </c>
      <c r="H716" s="111">
        <f>IFERROR(SUM(H704:H715),"")</f>
        <v>0</v>
      </c>
      <c r="I716" s="115"/>
      <c r="J716" s="124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20">
        <f>IFERROR(J716,"")</f>
        <v>0</v>
      </c>
    </row>
    <row r="717" spans="1:20" ht="15" customHeight="1">
      <c r="A717" s="69">
        <v>46261</v>
      </c>
      <c r="B717" s="32">
        <v>0.83333333333333304</v>
      </c>
      <c r="C717" s="33"/>
      <c r="D717" s="62"/>
      <c r="E717" s="110"/>
      <c r="F717" s="141" t="str">
        <f>IFERROR(IF($D717="","",VLOOKUP($D717,Cadastro!$C$4:$E$7,3,FALSE)),"")</f>
        <v/>
      </c>
      <c r="G717" s="106"/>
      <c r="H717" s="141" t="str">
        <f>IFERROR(IF($G717="","",$G717*$S$729/$G$729/Cadastro!$E$33),"")</f>
        <v/>
      </c>
      <c r="I717" s="142" t="str">
        <f>IFERROR(IF($D717="","",VLOOKUP($D717,Cadastro!$C$4:$G$7,5,FALSE)),"")</f>
        <v/>
      </c>
      <c r="J717" s="143" t="str">
        <f t="shared" ref="J717:J728" si="189">IFERROR(IF($H717="","",$H717*$F717*$I717),"")</f>
        <v/>
      </c>
      <c r="K717" s="34" t="str">
        <f t="shared" ref="K717:K728" si="190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1">IFERROR(IF(O717="","",IF(P717="",MOD(NOW()-O717,1),IF(P717&gt;=O717,P717-O717,P717+1-O717))),"")</f>
        <v/>
      </c>
      <c r="R717" s="27"/>
      <c r="S717" s="47"/>
    </row>
    <row r="718" spans="1:20" ht="15" customHeight="1">
      <c r="A718" s="68">
        <v>46261</v>
      </c>
      <c r="B718" s="25">
        <f t="shared" ref="B718:B728" si="192">B717+TIME(0,60,0)</f>
        <v>0.87499999999999967</v>
      </c>
      <c r="C718" s="26"/>
      <c r="D718" s="59"/>
      <c r="E718" s="109"/>
      <c r="F718" s="135" t="str">
        <f>IFERROR(IF($D718="","",VLOOKUP($D718,Cadastro!$C$4:$E$7,3,FALSE)),"")</f>
        <v/>
      </c>
      <c r="G718" s="106"/>
      <c r="H718" s="135" t="str">
        <f>IFERROR(IF($G718="","",$G718*$S$729/$G$729/Cadastro!$E$33),"")</f>
        <v/>
      </c>
      <c r="I718" s="136" t="str">
        <f>IFERROR(IF($D718="","",VLOOKUP($D718,Cadastro!$C$4:$G$7,5,FALSE)),"")</f>
        <v/>
      </c>
      <c r="J718" s="137" t="str">
        <f t="shared" si="189"/>
        <v/>
      </c>
      <c r="K718" s="28" t="str">
        <f t="shared" si="190"/>
        <v/>
      </c>
      <c r="L718" s="26"/>
      <c r="M718" s="26"/>
      <c r="N718" s="26"/>
      <c r="O718" s="29"/>
      <c r="P718" s="29"/>
      <c r="Q718" s="30" t="str">
        <f t="shared" ca="1" si="191"/>
        <v/>
      </c>
      <c r="R718" s="27"/>
      <c r="S718" s="47"/>
    </row>
    <row r="719" spans="1:20" ht="15" customHeight="1">
      <c r="A719" s="69">
        <v>46261</v>
      </c>
      <c r="B719" s="32">
        <f t="shared" si="192"/>
        <v>0.9166666666666663</v>
      </c>
      <c r="C719" s="33"/>
      <c r="D719" s="62"/>
      <c r="E719" s="110"/>
      <c r="F719" s="135" t="str">
        <f>IFERROR(IF($D719="","",VLOOKUP($D719,Cadastro!$C$4:$E$7,3,FALSE)),"")</f>
        <v/>
      </c>
      <c r="G719" s="106"/>
      <c r="H719" s="135" t="str">
        <f>IFERROR(IF($G719="","",$G719*$S$729/$G$729/Cadastro!$E$33),"")</f>
        <v/>
      </c>
      <c r="I719" s="136" t="str">
        <f>IFERROR(IF($D719="","",VLOOKUP($D719,Cadastro!$C$4:$G$7,5,FALSE)),"")</f>
        <v/>
      </c>
      <c r="J719" s="137" t="str">
        <f t="shared" si="189"/>
        <v/>
      </c>
      <c r="K719" s="34" t="str">
        <f t="shared" si="190"/>
        <v/>
      </c>
      <c r="L719" s="33"/>
      <c r="M719" s="33"/>
      <c r="N719" s="33"/>
      <c r="O719" s="29"/>
      <c r="P719" s="29"/>
      <c r="Q719" s="35" t="str">
        <f t="shared" ca="1" si="191"/>
        <v/>
      </c>
      <c r="R719" s="27"/>
      <c r="S719" s="47"/>
    </row>
    <row r="720" spans="1:20" ht="15" customHeight="1">
      <c r="A720" s="68">
        <v>46261</v>
      </c>
      <c r="B720" s="25">
        <f t="shared" si="192"/>
        <v>0.95833333333333293</v>
      </c>
      <c r="C720" s="26"/>
      <c r="D720" s="59"/>
      <c r="E720" s="109"/>
      <c r="F720" s="135" t="str">
        <f>IFERROR(IF($D720="","",VLOOKUP($D720,Cadastro!$C$4:$E$7,3,FALSE)),"")</f>
        <v/>
      </c>
      <c r="G720" s="106"/>
      <c r="H720" s="135" t="str">
        <f>IFERROR(IF($G720="","",$G720*$S$729/$G$729/Cadastro!$E$33),"")</f>
        <v/>
      </c>
      <c r="I720" s="136" t="str">
        <f>IFERROR(IF($D720="","",VLOOKUP($D720,Cadastro!$C$4:$G$7,5,FALSE)),"")</f>
        <v/>
      </c>
      <c r="J720" s="137" t="str">
        <f t="shared" si="189"/>
        <v/>
      </c>
      <c r="K720" s="28" t="str">
        <f t="shared" si="190"/>
        <v/>
      </c>
      <c r="L720" s="26"/>
      <c r="M720" s="26"/>
      <c r="N720" s="26"/>
      <c r="O720" s="29"/>
      <c r="P720" s="29"/>
      <c r="Q720" s="30" t="str">
        <f t="shared" ca="1" si="191"/>
        <v/>
      </c>
      <c r="R720" s="27"/>
      <c r="S720" s="47"/>
    </row>
    <row r="721" spans="1:20" ht="15" customHeight="1">
      <c r="A721" s="69">
        <v>46261</v>
      </c>
      <c r="B721" s="32">
        <f t="shared" si="192"/>
        <v>0.99999999999999956</v>
      </c>
      <c r="C721" s="33"/>
      <c r="D721" s="62"/>
      <c r="E721" s="110"/>
      <c r="F721" s="135" t="str">
        <f>IFERROR(IF($D721="","",VLOOKUP($D721,Cadastro!$C$4:$E$7,3,FALSE)),"")</f>
        <v/>
      </c>
      <c r="G721" s="106"/>
      <c r="H721" s="135" t="str">
        <f>IFERROR(IF($G721="","",$G721*$S$729/$G$729/Cadastro!$E$33),"")</f>
        <v/>
      </c>
      <c r="I721" s="136" t="str">
        <f>IFERROR(IF($D721="","",VLOOKUP($D721,Cadastro!$C$4:$G$7,5,FALSE)),"")</f>
        <v/>
      </c>
      <c r="J721" s="137" t="str">
        <f t="shared" si="189"/>
        <v/>
      </c>
      <c r="K721" s="34" t="str">
        <f t="shared" si="190"/>
        <v/>
      </c>
      <c r="L721" s="33"/>
      <c r="M721" s="33"/>
      <c r="N721" s="33"/>
      <c r="O721" s="29"/>
      <c r="P721" s="29"/>
      <c r="Q721" s="35" t="str">
        <f t="shared" ca="1" si="191"/>
        <v/>
      </c>
      <c r="R721" s="27"/>
      <c r="S721" s="47"/>
    </row>
    <row r="722" spans="1:20" ht="15" customHeight="1">
      <c r="A722" s="68">
        <v>46261</v>
      </c>
      <c r="B722" s="25">
        <f t="shared" si="192"/>
        <v>1.0416666666666663</v>
      </c>
      <c r="C722" s="26"/>
      <c r="D722" s="59"/>
      <c r="E722" s="109"/>
      <c r="F722" s="135" t="str">
        <f>IFERROR(IF($D722="","",VLOOKUP($D722,Cadastro!$C$4:$E$7,3,FALSE)),"")</f>
        <v/>
      </c>
      <c r="G722" s="106"/>
      <c r="H722" s="135" t="str">
        <f>IFERROR(IF($G722="","",$G722*$S$729/$G$729/Cadastro!$E$33),"")</f>
        <v/>
      </c>
      <c r="I722" s="136" t="str">
        <f>IFERROR(IF($D722="","",VLOOKUP($D722,Cadastro!$C$4:$G$7,5,FALSE)),"")</f>
        <v/>
      </c>
      <c r="J722" s="137" t="str">
        <f t="shared" si="189"/>
        <v/>
      </c>
      <c r="K722" s="28" t="str">
        <f t="shared" si="190"/>
        <v/>
      </c>
      <c r="L722" s="26"/>
      <c r="M722" s="26"/>
      <c r="N722" s="26"/>
      <c r="O722" s="29"/>
      <c r="P722" s="29"/>
      <c r="Q722" s="30" t="str">
        <f t="shared" ca="1" si="191"/>
        <v/>
      </c>
      <c r="R722" s="27"/>
      <c r="S722" s="47"/>
    </row>
    <row r="723" spans="1:20" ht="15" customHeight="1">
      <c r="A723" s="69">
        <v>46261</v>
      </c>
      <c r="B723" s="32">
        <f t="shared" si="192"/>
        <v>1.083333333333333</v>
      </c>
      <c r="C723" s="33"/>
      <c r="D723" s="62"/>
      <c r="E723" s="110"/>
      <c r="F723" s="135" t="str">
        <f>IFERROR(IF($D723="","",VLOOKUP($D723,Cadastro!$C$4:$E$7,3,FALSE)),"")</f>
        <v/>
      </c>
      <c r="G723" s="106"/>
      <c r="H723" s="135" t="str">
        <f>IFERROR(IF($G723="","",$G723*$S$729/$G$729/Cadastro!$E$33),"")</f>
        <v/>
      </c>
      <c r="I723" s="136" t="str">
        <f>IFERROR(IF($D723="","",VLOOKUP($D723,Cadastro!$C$4:$G$7,5,FALSE)),"")</f>
        <v/>
      </c>
      <c r="J723" s="137" t="str">
        <f t="shared" si="189"/>
        <v/>
      </c>
      <c r="K723" s="34" t="str">
        <f t="shared" si="190"/>
        <v/>
      </c>
      <c r="L723" s="33"/>
      <c r="M723" s="33"/>
      <c r="N723" s="33"/>
      <c r="O723" s="29"/>
      <c r="P723" s="29"/>
      <c r="Q723" s="35" t="str">
        <f t="shared" ca="1" si="191"/>
        <v/>
      </c>
      <c r="R723" s="27"/>
      <c r="S723" s="47"/>
    </row>
    <row r="724" spans="1:20" ht="15" customHeight="1">
      <c r="A724" s="68">
        <v>46261</v>
      </c>
      <c r="B724" s="25">
        <f t="shared" si="192"/>
        <v>1.1249999999999998</v>
      </c>
      <c r="C724" s="26"/>
      <c r="D724" s="59"/>
      <c r="E724" s="109"/>
      <c r="F724" s="135" t="str">
        <f>IFERROR(IF($D724="","",VLOOKUP($D724,Cadastro!$C$4:$E$7,3,FALSE)),"")</f>
        <v/>
      </c>
      <c r="G724" s="106"/>
      <c r="H724" s="135" t="str">
        <f>IFERROR(IF($G724="","",$G724*$S$729/$G$729/Cadastro!$E$33),"")</f>
        <v/>
      </c>
      <c r="I724" s="136" t="str">
        <f>IFERROR(IF($D724="","",VLOOKUP($D724,Cadastro!$C$4:$G$7,5,FALSE)),"")</f>
        <v/>
      </c>
      <c r="J724" s="137" t="str">
        <f t="shared" si="189"/>
        <v/>
      </c>
      <c r="K724" s="28" t="str">
        <f t="shared" si="190"/>
        <v/>
      </c>
      <c r="L724" s="26"/>
      <c r="M724" s="26"/>
      <c r="N724" s="26"/>
      <c r="O724" s="29"/>
      <c r="P724" s="29"/>
      <c r="Q724" s="30" t="str">
        <f t="shared" ca="1" si="191"/>
        <v/>
      </c>
      <c r="R724" s="27"/>
      <c r="S724" s="47"/>
    </row>
    <row r="725" spans="1:20" ht="15" customHeight="1">
      <c r="A725" s="69">
        <v>46261</v>
      </c>
      <c r="B725" s="32">
        <f t="shared" si="192"/>
        <v>1.1666666666666665</v>
      </c>
      <c r="C725" s="33"/>
      <c r="D725" s="62"/>
      <c r="E725" s="110"/>
      <c r="F725" s="135" t="str">
        <f>IFERROR(IF($D725="","",VLOOKUP($D725,Cadastro!$C$4:$E$7,3,FALSE)),"")</f>
        <v/>
      </c>
      <c r="G725" s="106"/>
      <c r="H725" s="135" t="str">
        <f>IFERROR(IF($G725="","",$G725*$S$729/$G$729/Cadastro!$E$33),"")</f>
        <v/>
      </c>
      <c r="I725" s="136" t="str">
        <f>IFERROR(IF($D725="","",VLOOKUP($D725,Cadastro!$C$4:$G$7,5,FALSE)),"")</f>
        <v/>
      </c>
      <c r="J725" s="137" t="str">
        <f t="shared" si="189"/>
        <v/>
      </c>
      <c r="K725" s="34" t="str">
        <f t="shared" si="190"/>
        <v/>
      </c>
      <c r="L725" s="33"/>
      <c r="M725" s="33"/>
      <c r="N725" s="33"/>
      <c r="O725" s="29"/>
      <c r="P725" s="29"/>
      <c r="Q725" s="35" t="str">
        <f t="shared" ca="1" si="191"/>
        <v/>
      </c>
      <c r="R725" s="27"/>
      <c r="S725" s="47"/>
    </row>
    <row r="726" spans="1:20" ht="15" customHeight="1">
      <c r="A726" s="68">
        <v>46261</v>
      </c>
      <c r="B726" s="25">
        <f t="shared" si="192"/>
        <v>1.2083333333333333</v>
      </c>
      <c r="C726" s="26"/>
      <c r="D726" s="59"/>
      <c r="E726" s="109"/>
      <c r="F726" s="135" t="str">
        <f>IFERROR(IF($D726="","",VLOOKUP($D726,Cadastro!$C$4:$E$7,3,FALSE)),"")</f>
        <v/>
      </c>
      <c r="G726" s="106"/>
      <c r="H726" s="135" t="str">
        <f>IFERROR(IF($G726="","",$G726*$S$729/$G$729/Cadastro!$E$33),"")</f>
        <v/>
      </c>
      <c r="I726" s="136" t="str">
        <f>IFERROR(IF($D726="","",VLOOKUP($D726,Cadastro!$C$4:$G$7,5,FALSE)),"")</f>
        <v/>
      </c>
      <c r="J726" s="137" t="str">
        <f t="shared" si="189"/>
        <v/>
      </c>
      <c r="K726" s="28" t="str">
        <f t="shared" si="190"/>
        <v/>
      </c>
      <c r="L726" s="26"/>
      <c r="M726" s="26"/>
      <c r="N726" s="26"/>
      <c r="O726" s="29"/>
      <c r="P726" s="29"/>
      <c r="Q726" s="30" t="str">
        <f t="shared" ca="1" si="191"/>
        <v/>
      </c>
      <c r="R726" s="27"/>
      <c r="S726" s="47"/>
    </row>
    <row r="727" spans="1:20" ht="15" customHeight="1">
      <c r="A727" s="69">
        <v>46261</v>
      </c>
      <c r="B727" s="32">
        <f t="shared" si="192"/>
        <v>1.25</v>
      </c>
      <c r="C727" s="33"/>
      <c r="D727" s="62"/>
      <c r="E727" s="110"/>
      <c r="F727" s="135" t="str">
        <f>IFERROR(IF($D727="","",VLOOKUP($D727,Cadastro!$C$4:$E$7,3,FALSE)),"")</f>
        <v/>
      </c>
      <c r="G727" s="106"/>
      <c r="H727" s="135" t="str">
        <f>IFERROR(IF($G727="","",$G727*$S$729/$G$729/Cadastro!$E$33),"")</f>
        <v/>
      </c>
      <c r="I727" s="136" t="str">
        <f>IFERROR(IF($D727="","",VLOOKUP($D727,Cadastro!$C$4:$G$7,5,FALSE)),"")</f>
        <v/>
      </c>
      <c r="J727" s="137" t="str">
        <f t="shared" si="189"/>
        <v/>
      </c>
      <c r="K727" s="34" t="str">
        <f t="shared" si="190"/>
        <v/>
      </c>
      <c r="L727" s="33"/>
      <c r="M727" s="33"/>
      <c r="N727" s="33"/>
      <c r="O727" s="29"/>
      <c r="P727" s="29"/>
      <c r="Q727" s="35" t="str">
        <f t="shared" ca="1" si="191"/>
        <v/>
      </c>
      <c r="R727" s="27"/>
      <c r="S727" s="47"/>
    </row>
    <row r="728" spans="1:20" ht="15" customHeight="1" thickBot="1">
      <c r="A728" s="68">
        <v>46261</v>
      </c>
      <c r="B728" s="25">
        <f t="shared" si="192"/>
        <v>1.2916666666666667</v>
      </c>
      <c r="C728" s="26"/>
      <c r="D728" s="59"/>
      <c r="E728" s="109"/>
      <c r="F728" s="138" t="str">
        <f>IFERROR(IF($D728="","",VLOOKUP($D728,Cadastro!$C$4:$E$7,3,FALSE)),"")</f>
        <v/>
      </c>
      <c r="G728" s="106"/>
      <c r="H728" s="138" t="str">
        <f>IFERROR(IF($G728="","",$G728*$S$729/$G$729/Cadastro!$E$33),"")</f>
        <v/>
      </c>
      <c r="I728" s="139" t="str">
        <f>IFERROR(IF($D728="","",VLOOKUP($D728,Cadastro!$C$4:$G$7,5,FALSE)),"")</f>
        <v/>
      </c>
      <c r="J728" s="140" t="str">
        <f t="shared" si="189"/>
        <v/>
      </c>
      <c r="K728" s="28" t="str">
        <f t="shared" si="190"/>
        <v/>
      </c>
      <c r="L728" s="26"/>
      <c r="M728" s="26"/>
      <c r="N728" s="26"/>
      <c r="O728" s="29"/>
      <c r="P728" s="29"/>
      <c r="Q728" s="30" t="str">
        <f t="shared" ca="1" si="191"/>
        <v/>
      </c>
      <c r="R728" s="27"/>
      <c r="S728" s="47"/>
    </row>
    <row r="729" spans="1:20" ht="15.75" customHeight="1" thickBot="1">
      <c r="A729" s="152" t="s">
        <v>244</v>
      </c>
      <c r="B729" s="153"/>
      <c r="C729" s="153"/>
      <c r="D729" s="153"/>
      <c r="E729" s="153">
        <f>SUM(E717:E728)</f>
        <v>0</v>
      </c>
      <c r="F729" s="112"/>
      <c r="G729" s="81">
        <f>SUM(G717:G728)</f>
        <v>0</v>
      </c>
      <c r="H729" s="112">
        <f>IFERROR(SUM(H717:H728),"")</f>
        <v>0</v>
      </c>
      <c r="I729" s="116"/>
      <c r="J729" s="125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20">
        <f>IFERROR(J729,"")</f>
        <v>0</v>
      </c>
    </row>
    <row r="730" spans="1:20" ht="18" customHeight="1">
      <c r="A730" s="150" t="s">
        <v>245</v>
      </c>
      <c r="B730" s="151"/>
      <c r="C730" s="151"/>
      <c r="D730" s="151"/>
      <c r="E730" s="151">
        <f>E716+E729</f>
        <v>0</v>
      </c>
      <c r="F730" s="113"/>
      <c r="G730" s="92">
        <f>G716+G729</f>
        <v>0</v>
      </c>
      <c r="H730" s="113">
        <f>IFERROR(H716+H729,"")</f>
        <v>0</v>
      </c>
      <c r="I730" s="117"/>
      <c r="J730" s="126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2">
        <f>IFERROR(J730,"")</f>
        <v>0</v>
      </c>
    </row>
    <row r="731" spans="1:20" ht="15" customHeight="1">
      <c r="A731" s="69">
        <v>46262</v>
      </c>
      <c r="B731" s="32">
        <v>0.33333333333333298</v>
      </c>
      <c r="C731" s="33"/>
      <c r="D731" s="62"/>
      <c r="E731" s="110"/>
      <c r="F731" s="141" t="str">
        <f>IFERROR(IF($D731="","",VLOOKUP($D731,Cadastro!$C$4:$E$7,3,FALSE)),"")</f>
        <v/>
      </c>
      <c r="G731" s="106"/>
      <c r="H731" s="141" t="str">
        <f>IFERROR(IF($G731="","",$G731*$S$743/$G$743/Cadastro!$E$33),"")</f>
        <v/>
      </c>
      <c r="I731" s="142" t="str">
        <f>IFERROR(IF($D731="","",VLOOKUP($D731,Cadastro!$C$4:$G$7,5,FALSE)),"")</f>
        <v/>
      </c>
      <c r="J731" s="143" t="str">
        <f t="shared" ref="J731:J742" si="193">IFERROR(IF($H731="","",$H731*$F731*$I731),"")</f>
        <v/>
      </c>
      <c r="K731" s="34" t="str">
        <f t="shared" ref="K731:K742" si="194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5">IFERROR(IF(O731="","",IF(P731="",MOD(NOW()-O731,1),IF(P731&gt;=O731,P731-O731,P731+1-O731))),"")</f>
        <v/>
      </c>
      <c r="R731" s="27"/>
      <c r="S731" s="47"/>
    </row>
    <row r="732" spans="1:20" ht="15" customHeight="1">
      <c r="A732" s="68">
        <v>46262</v>
      </c>
      <c r="B732" s="25">
        <f t="shared" ref="B732:B742" si="196">B731+TIME(0,60,0)</f>
        <v>0.37499999999999967</v>
      </c>
      <c r="C732" s="26"/>
      <c r="D732" s="59"/>
      <c r="E732" s="109"/>
      <c r="F732" s="135" t="str">
        <f>IFERROR(IF($D732="","",VLOOKUP($D732,Cadastro!$C$4:$E$7,3,FALSE)),"")</f>
        <v/>
      </c>
      <c r="G732" s="106"/>
      <c r="H732" s="135" t="str">
        <f>IFERROR(IF($G732="","",$G732*$S$743/$G$743/Cadastro!$E$33),"")</f>
        <v/>
      </c>
      <c r="I732" s="136" t="str">
        <f>IFERROR(IF($D732="","",VLOOKUP($D732,Cadastro!$C$4:$G$7,5,FALSE)),"")</f>
        <v/>
      </c>
      <c r="J732" s="137" t="str">
        <f t="shared" si="193"/>
        <v/>
      </c>
      <c r="K732" s="28" t="str">
        <f t="shared" si="194"/>
        <v/>
      </c>
      <c r="L732" s="26"/>
      <c r="M732" s="26"/>
      <c r="N732" s="26"/>
      <c r="O732" s="29"/>
      <c r="P732" s="29"/>
      <c r="Q732" s="30" t="str">
        <f t="shared" ca="1" si="195"/>
        <v/>
      </c>
      <c r="R732" s="27"/>
      <c r="S732" s="47"/>
    </row>
    <row r="733" spans="1:20" ht="15" customHeight="1">
      <c r="A733" s="69">
        <v>46262</v>
      </c>
      <c r="B733" s="32">
        <f t="shared" si="196"/>
        <v>0.41666666666666635</v>
      </c>
      <c r="C733" s="33"/>
      <c r="D733" s="62"/>
      <c r="E733" s="110"/>
      <c r="F733" s="135" t="str">
        <f>IFERROR(IF($D733="","",VLOOKUP($D733,Cadastro!$C$4:$E$7,3,FALSE)),"")</f>
        <v/>
      </c>
      <c r="G733" s="106"/>
      <c r="H733" s="135" t="str">
        <f>IFERROR(IF($G733="","",$G733*$S$743/$G$743/Cadastro!$E$33),"")</f>
        <v/>
      </c>
      <c r="I733" s="136" t="str">
        <f>IFERROR(IF($D733="","",VLOOKUP($D733,Cadastro!$C$4:$G$7,5,FALSE)),"")</f>
        <v/>
      </c>
      <c r="J733" s="137" t="str">
        <f t="shared" si="193"/>
        <v/>
      </c>
      <c r="K733" s="34" t="str">
        <f t="shared" si="194"/>
        <v/>
      </c>
      <c r="L733" s="33"/>
      <c r="M733" s="33"/>
      <c r="N733" s="33"/>
      <c r="O733" s="29"/>
      <c r="P733" s="29"/>
      <c r="Q733" s="35" t="str">
        <f t="shared" ca="1" si="195"/>
        <v/>
      </c>
      <c r="R733" s="27"/>
      <c r="S733" s="47"/>
    </row>
    <row r="734" spans="1:20" ht="15" customHeight="1">
      <c r="A734" s="68">
        <v>46262</v>
      </c>
      <c r="B734" s="25">
        <f t="shared" si="196"/>
        <v>0.45833333333333304</v>
      </c>
      <c r="C734" s="26"/>
      <c r="D734" s="59"/>
      <c r="E734" s="109"/>
      <c r="F734" s="135" t="str">
        <f>IFERROR(IF($D734="","",VLOOKUP($D734,Cadastro!$C$4:$E$7,3,FALSE)),"")</f>
        <v/>
      </c>
      <c r="G734" s="106"/>
      <c r="H734" s="135" t="str">
        <f>IFERROR(IF($G734="","",$G734*$S$743/$G$743/Cadastro!$E$33),"")</f>
        <v/>
      </c>
      <c r="I734" s="136" t="str">
        <f>IFERROR(IF($D734="","",VLOOKUP($D734,Cadastro!$C$4:$G$7,5,FALSE)),"")</f>
        <v/>
      </c>
      <c r="J734" s="137" t="str">
        <f t="shared" si="193"/>
        <v/>
      </c>
      <c r="K734" s="28" t="str">
        <f t="shared" si="194"/>
        <v/>
      </c>
      <c r="L734" s="26"/>
      <c r="M734" s="26"/>
      <c r="N734" s="26"/>
      <c r="O734" s="29"/>
      <c r="P734" s="29"/>
      <c r="Q734" s="30" t="str">
        <f t="shared" ca="1" si="195"/>
        <v/>
      </c>
      <c r="R734" s="27"/>
      <c r="S734" s="47"/>
    </row>
    <row r="735" spans="1:20" ht="15" customHeight="1">
      <c r="A735" s="69">
        <v>46262</v>
      </c>
      <c r="B735" s="32">
        <f t="shared" si="196"/>
        <v>0.49999999999999972</v>
      </c>
      <c r="C735" s="33"/>
      <c r="D735" s="62"/>
      <c r="E735" s="110"/>
      <c r="F735" s="135" t="str">
        <f>IFERROR(IF($D735="","",VLOOKUP($D735,Cadastro!$C$4:$E$7,3,FALSE)),"")</f>
        <v/>
      </c>
      <c r="G735" s="106"/>
      <c r="H735" s="135" t="str">
        <f>IFERROR(IF($G735="","",$G735*$S$743/$G$743/Cadastro!$E$33),"")</f>
        <v/>
      </c>
      <c r="I735" s="136" t="str">
        <f>IFERROR(IF($D735="","",VLOOKUP($D735,Cadastro!$C$4:$G$7,5,FALSE)),"")</f>
        <v/>
      </c>
      <c r="J735" s="137" t="str">
        <f t="shared" si="193"/>
        <v/>
      </c>
      <c r="K735" s="34" t="str">
        <f t="shared" si="194"/>
        <v/>
      </c>
      <c r="L735" s="33"/>
      <c r="M735" s="33"/>
      <c r="N735" s="33"/>
      <c r="O735" s="29"/>
      <c r="P735" s="29"/>
      <c r="Q735" s="35" t="str">
        <f t="shared" ca="1" si="195"/>
        <v/>
      </c>
      <c r="R735" s="27"/>
      <c r="S735" s="47"/>
    </row>
    <row r="736" spans="1:20" ht="15" customHeight="1">
      <c r="A736" s="68">
        <v>46262</v>
      </c>
      <c r="B736" s="25">
        <f t="shared" si="196"/>
        <v>0.54166666666666641</v>
      </c>
      <c r="C736" s="26"/>
      <c r="D736" s="59"/>
      <c r="E736" s="109"/>
      <c r="F736" s="135" t="str">
        <f>IFERROR(IF($D736="","",VLOOKUP($D736,Cadastro!$C$4:$E$7,3,FALSE)),"")</f>
        <v/>
      </c>
      <c r="G736" s="106"/>
      <c r="H736" s="135" t="str">
        <f>IFERROR(IF($G736="","",$G736*$S$743/$G$743/Cadastro!$E$33),"")</f>
        <v/>
      </c>
      <c r="I736" s="136" t="str">
        <f>IFERROR(IF($D736="","",VLOOKUP($D736,Cadastro!$C$4:$G$7,5,FALSE)),"")</f>
        <v/>
      </c>
      <c r="J736" s="137" t="str">
        <f t="shared" si="193"/>
        <v/>
      </c>
      <c r="K736" s="28" t="str">
        <f t="shared" si="194"/>
        <v/>
      </c>
      <c r="L736" s="26"/>
      <c r="M736" s="26"/>
      <c r="N736" s="26"/>
      <c r="O736" s="29"/>
      <c r="P736" s="29"/>
      <c r="Q736" s="30" t="str">
        <f t="shared" ca="1" si="195"/>
        <v/>
      </c>
      <c r="R736" s="27"/>
      <c r="S736" s="47"/>
    </row>
    <row r="737" spans="1:20" ht="15" customHeight="1">
      <c r="A737" s="69">
        <v>46262</v>
      </c>
      <c r="B737" s="32">
        <f t="shared" si="196"/>
        <v>0.58333333333333304</v>
      </c>
      <c r="C737" s="33"/>
      <c r="D737" s="62"/>
      <c r="E737" s="110"/>
      <c r="F737" s="135" t="str">
        <f>IFERROR(IF($D737="","",VLOOKUP($D737,Cadastro!$C$4:$E$7,3,FALSE)),"")</f>
        <v/>
      </c>
      <c r="G737" s="106"/>
      <c r="H737" s="135" t="str">
        <f>IFERROR(IF($G737="","",$G737*$S$743/$G$743/Cadastro!$E$33),"")</f>
        <v/>
      </c>
      <c r="I737" s="136" t="str">
        <f>IFERROR(IF($D737="","",VLOOKUP($D737,Cadastro!$C$4:$G$7,5,FALSE)),"")</f>
        <v/>
      </c>
      <c r="J737" s="137" t="str">
        <f t="shared" si="193"/>
        <v/>
      </c>
      <c r="K737" s="34" t="str">
        <f t="shared" si="194"/>
        <v/>
      </c>
      <c r="L737" s="33"/>
      <c r="M737" s="33"/>
      <c r="N737" s="33"/>
      <c r="O737" s="29"/>
      <c r="P737" s="29"/>
      <c r="Q737" s="35" t="str">
        <f t="shared" ca="1" si="195"/>
        <v/>
      </c>
      <c r="R737" s="27"/>
      <c r="S737" s="47"/>
    </row>
    <row r="738" spans="1:20" ht="15" customHeight="1">
      <c r="A738" s="68">
        <v>46262</v>
      </c>
      <c r="B738" s="25">
        <f t="shared" si="196"/>
        <v>0.62499999999999967</v>
      </c>
      <c r="C738" s="26"/>
      <c r="D738" s="59"/>
      <c r="E738" s="109"/>
      <c r="F738" s="135" t="str">
        <f>IFERROR(IF($D738="","",VLOOKUP($D738,Cadastro!$C$4:$E$7,3,FALSE)),"")</f>
        <v/>
      </c>
      <c r="G738" s="106"/>
      <c r="H738" s="135" t="str">
        <f>IFERROR(IF($G738="","",$G738*$S$743/$G$743/Cadastro!$E$33),"")</f>
        <v/>
      </c>
      <c r="I738" s="136" t="str">
        <f>IFERROR(IF($D738="","",VLOOKUP($D738,Cadastro!$C$4:$G$7,5,FALSE)),"")</f>
        <v/>
      </c>
      <c r="J738" s="137" t="str">
        <f t="shared" si="193"/>
        <v/>
      </c>
      <c r="K738" s="28" t="str">
        <f t="shared" si="194"/>
        <v/>
      </c>
      <c r="L738" s="26"/>
      <c r="M738" s="26"/>
      <c r="N738" s="26"/>
      <c r="O738" s="29"/>
      <c r="P738" s="29"/>
      <c r="Q738" s="30" t="str">
        <f t="shared" ca="1" si="195"/>
        <v/>
      </c>
      <c r="R738" s="27"/>
      <c r="S738" s="47"/>
    </row>
    <row r="739" spans="1:20" ht="15" customHeight="1">
      <c r="A739" s="69">
        <v>46262</v>
      </c>
      <c r="B739" s="32">
        <f t="shared" si="196"/>
        <v>0.6666666666666663</v>
      </c>
      <c r="C739" s="33"/>
      <c r="D739" s="62"/>
      <c r="E739" s="110"/>
      <c r="F739" s="135" t="str">
        <f>IFERROR(IF($D739="","",VLOOKUP($D739,Cadastro!$C$4:$E$7,3,FALSE)),"")</f>
        <v/>
      </c>
      <c r="G739" s="106"/>
      <c r="H739" s="135" t="str">
        <f>IFERROR(IF($G739="","",$G739*$S$743/$G$743/Cadastro!$E$33),"")</f>
        <v/>
      </c>
      <c r="I739" s="136" t="str">
        <f>IFERROR(IF($D739="","",VLOOKUP($D739,Cadastro!$C$4:$G$7,5,FALSE)),"")</f>
        <v/>
      </c>
      <c r="J739" s="137" t="str">
        <f t="shared" si="193"/>
        <v/>
      </c>
      <c r="K739" s="34" t="str">
        <f t="shared" si="194"/>
        <v/>
      </c>
      <c r="L739" s="33"/>
      <c r="M739" s="33"/>
      <c r="N739" s="33"/>
      <c r="O739" s="29"/>
      <c r="P739" s="29"/>
      <c r="Q739" s="35" t="str">
        <f t="shared" ca="1" si="195"/>
        <v/>
      </c>
      <c r="R739" s="27"/>
      <c r="S739" s="47"/>
    </row>
    <row r="740" spans="1:20" ht="15" customHeight="1">
      <c r="A740" s="68">
        <v>46262</v>
      </c>
      <c r="B740" s="25">
        <f t="shared" si="196"/>
        <v>0.70833333333333293</v>
      </c>
      <c r="C740" s="26"/>
      <c r="D740" s="59"/>
      <c r="E740" s="109"/>
      <c r="F740" s="135" t="str">
        <f>IFERROR(IF($D740="","",VLOOKUP($D740,Cadastro!$C$4:$E$7,3,FALSE)),"")</f>
        <v/>
      </c>
      <c r="G740" s="106"/>
      <c r="H740" s="135" t="str">
        <f>IFERROR(IF($G740="","",$G740*$S$743/$G$743/Cadastro!$E$33),"")</f>
        <v/>
      </c>
      <c r="I740" s="136" t="str">
        <f>IFERROR(IF($D740="","",VLOOKUP($D740,Cadastro!$C$4:$G$7,5,FALSE)),"")</f>
        <v/>
      </c>
      <c r="J740" s="137" t="str">
        <f t="shared" si="193"/>
        <v/>
      </c>
      <c r="K740" s="28" t="str">
        <f t="shared" si="194"/>
        <v/>
      </c>
      <c r="L740" s="26"/>
      <c r="M740" s="26"/>
      <c r="N740" s="26"/>
      <c r="O740" s="29"/>
      <c r="P740" s="29"/>
      <c r="Q740" s="30" t="str">
        <f t="shared" ca="1" si="195"/>
        <v/>
      </c>
      <c r="R740" s="27"/>
      <c r="S740" s="47"/>
    </row>
    <row r="741" spans="1:20" ht="15" customHeight="1">
      <c r="A741" s="69">
        <v>46262</v>
      </c>
      <c r="B741" s="32">
        <f t="shared" si="196"/>
        <v>0.74999999999999956</v>
      </c>
      <c r="C741" s="33"/>
      <c r="D741" s="62"/>
      <c r="E741" s="110"/>
      <c r="F741" s="135" t="str">
        <f>IFERROR(IF($D741="","",VLOOKUP($D741,Cadastro!$C$4:$E$7,3,FALSE)),"")</f>
        <v/>
      </c>
      <c r="G741" s="106"/>
      <c r="H741" s="135" t="str">
        <f>IFERROR(IF($G741="","",$G741*$S$743/$G$743/Cadastro!$E$33),"")</f>
        <v/>
      </c>
      <c r="I741" s="136" t="str">
        <f>IFERROR(IF($D741="","",VLOOKUP($D741,Cadastro!$C$4:$G$7,5,FALSE)),"")</f>
        <v/>
      </c>
      <c r="J741" s="137" t="str">
        <f t="shared" si="193"/>
        <v/>
      </c>
      <c r="K741" s="34" t="str">
        <f t="shared" si="194"/>
        <v/>
      </c>
      <c r="L741" s="33"/>
      <c r="M741" s="33"/>
      <c r="N741" s="33"/>
      <c r="O741" s="29"/>
      <c r="P741" s="29"/>
      <c r="Q741" s="35" t="str">
        <f t="shared" ca="1" si="195"/>
        <v/>
      </c>
      <c r="R741" s="27"/>
      <c r="S741" s="47"/>
    </row>
    <row r="742" spans="1:20" ht="15" customHeight="1" thickBot="1">
      <c r="A742" s="68">
        <v>46262</v>
      </c>
      <c r="B742" s="25">
        <f t="shared" si="196"/>
        <v>0.79166666666666619</v>
      </c>
      <c r="C742" s="26"/>
      <c r="D742" s="59"/>
      <c r="E742" s="109"/>
      <c r="F742" s="138" t="str">
        <f>IFERROR(IF($D742="","",VLOOKUP($D742,Cadastro!$C$4:$E$7,3,FALSE)),"")</f>
        <v/>
      </c>
      <c r="G742" s="106"/>
      <c r="H742" s="138" t="str">
        <f>IFERROR(IF($G742="","",$G742*$S$743/$G$743/Cadastro!$E$33),"")</f>
        <v/>
      </c>
      <c r="I742" s="139" t="str">
        <f>IFERROR(IF($D742="","",VLOOKUP($D742,Cadastro!$C$4:$G$7,5,FALSE)),"")</f>
        <v/>
      </c>
      <c r="J742" s="140" t="str">
        <f t="shared" si="193"/>
        <v/>
      </c>
      <c r="K742" s="28" t="str">
        <f t="shared" si="194"/>
        <v/>
      </c>
      <c r="L742" s="26"/>
      <c r="M742" s="26"/>
      <c r="N742" s="26"/>
      <c r="O742" s="29"/>
      <c r="P742" s="29"/>
      <c r="Q742" s="30" t="str">
        <f t="shared" ca="1" si="195"/>
        <v/>
      </c>
      <c r="R742" s="27"/>
      <c r="S742" s="47"/>
    </row>
    <row r="743" spans="1:20" ht="15.75" customHeight="1" thickBot="1">
      <c r="A743" s="152" t="s">
        <v>241</v>
      </c>
      <c r="B743" s="153"/>
      <c r="C743" s="153"/>
      <c r="D743" s="153"/>
      <c r="E743" s="153">
        <f>SUM(E731:E742)</f>
        <v>0</v>
      </c>
      <c r="F743" s="111"/>
      <c r="G743" s="81">
        <f>SUM(G731:G742)</f>
        <v>0</v>
      </c>
      <c r="H743" s="111">
        <f>IFERROR(SUM(H731:H742),"")</f>
        <v>0</v>
      </c>
      <c r="I743" s="115"/>
      <c r="J743" s="124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20">
        <f>IFERROR(J743,"")</f>
        <v>0</v>
      </c>
    </row>
    <row r="744" spans="1:20" ht="15" customHeight="1">
      <c r="A744" s="68">
        <v>46262</v>
      </c>
      <c r="B744" s="25">
        <v>0.83333333333333304</v>
      </c>
      <c r="C744" s="26"/>
      <c r="D744" s="59"/>
      <c r="E744" s="109"/>
      <c r="F744" s="141" t="str">
        <f>IFERROR(IF($D744="","",VLOOKUP($D744,Cadastro!$C$4:$E$7,3,FALSE)),"")</f>
        <v/>
      </c>
      <c r="G744" s="106"/>
      <c r="H744" s="141" t="str">
        <f>IFERROR(IF($G744="","",$G744*$S$756/$G$756/Cadastro!$E$33),"")</f>
        <v/>
      </c>
      <c r="I744" s="142" t="str">
        <f>IFERROR(IF($D744="","",VLOOKUP($D744,Cadastro!$C$4:$G$7,5,FALSE)),"")</f>
        <v/>
      </c>
      <c r="J744" s="143" t="str">
        <f t="shared" ref="J744:J755" si="197">IFERROR(IF($H744="","",$H744*$F744*$I744),"")</f>
        <v/>
      </c>
      <c r="K744" s="28" t="str">
        <f t="shared" ref="K744:K755" si="198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9">IFERROR(IF(O744="","",IF(P744="",MOD(NOW()-O744,1),IF(P744&gt;=O744,P744-O744,P744+1-O744))),"")</f>
        <v/>
      </c>
      <c r="R744" s="27"/>
      <c r="S744" s="47"/>
    </row>
    <row r="745" spans="1:20" ht="15" customHeight="1">
      <c r="A745" s="69">
        <v>46262</v>
      </c>
      <c r="B745" s="32">
        <f t="shared" ref="B745:B755" si="200">B744+TIME(0,60,0)</f>
        <v>0.87499999999999967</v>
      </c>
      <c r="C745" s="33"/>
      <c r="D745" s="62"/>
      <c r="E745" s="110"/>
      <c r="F745" s="135" t="str">
        <f>IFERROR(IF($D745="","",VLOOKUP($D745,Cadastro!$C$4:$E$7,3,FALSE)),"")</f>
        <v/>
      </c>
      <c r="G745" s="106"/>
      <c r="H745" s="135" t="str">
        <f>IFERROR(IF($G745="","",$G745*$S$756/$G$756/Cadastro!$E$33),"")</f>
        <v/>
      </c>
      <c r="I745" s="136" t="str">
        <f>IFERROR(IF($D745="","",VLOOKUP($D745,Cadastro!$C$4:$G$7,5,FALSE)),"")</f>
        <v/>
      </c>
      <c r="J745" s="137" t="str">
        <f t="shared" si="197"/>
        <v/>
      </c>
      <c r="K745" s="34" t="str">
        <f t="shared" si="198"/>
        <v/>
      </c>
      <c r="L745" s="33"/>
      <c r="M745" s="33"/>
      <c r="N745" s="33"/>
      <c r="O745" s="29"/>
      <c r="P745" s="29"/>
      <c r="Q745" s="35" t="str">
        <f t="shared" ca="1" si="199"/>
        <v/>
      </c>
      <c r="R745" s="27"/>
      <c r="S745" s="47"/>
    </row>
    <row r="746" spans="1:20" ht="15" customHeight="1">
      <c r="A746" s="68">
        <v>46262</v>
      </c>
      <c r="B746" s="25">
        <f t="shared" si="200"/>
        <v>0.9166666666666663</v>
      </c>
      <c r="C746" s="26"/>
      <c r="D746" s="59"/>
      <c r="E746" s="109"/>
      <c r="F746" s="135" t="str">
        <f>IFERROR(IF($D746="","",VLOOKUP($D746,Cadastro!$C$4:$E$7,3,FALSE)),"")</f>
        <v/>
      </c>
      <c r="G746" s="106"/>
      <c r="H746" s="135" t="str">
        <f>IFERROR(IF($G746="","",$G746*$S$756/$G$756/Cadastro!$E$33),"")</f>
        <v/>
      </c>
      <c r="I746" s="136" t="str">
        <f>IFERROR(IF($D746="","",VLOOKUP($D746,Cadastro!$C$4:$G$7,5,FALSE)),"")</f>
        <v/>
      </c>
      <c r="J746" s="137" t="str">
        <f t="shared" si="197"/>
        <v/>
      </c>
      <c r="K746" s="28" t="str">
        <f t="shared" si="198"/>
        <v/>
      </c>
      <c r="L746" s="26"/>
      <c r="M746" s="26"/>
      <c r="N746" s="26"/>
      <c r="O746" s="29"/>
      <c r="P746" s="29"/>
      <c r="Q746" s="30" t="str">
        <f t="shared" ca="1" si="199"/>
        <v/>
      </c>
      <c r="R746" s="27"/>
      <c r="S746" s="47"/>
    </row>
    <row r="747" spans="1:20" ht="15" customHeight="1">
      <c r="A747" s="69">
        <v>46262</v>
      </c>
      <c r="B747" s="32">
        <f t="shared" si="200"/>
        <v>0.95833333333333293</v>
      </c>
      <c r="C747" s="33"/>
      <c r="D747" s="62"/>
      <c r="E747" s="110"/>
      <c r="F747" s="135" t="str">
        <f>IFERROR(IF($D747="","",VLOOKUP($D747,Cadastro!$C$4:$E$7,3,FALSE)),"")</f>
        <v/>
      </c>
      <c r="G747" s="106"/>
      <c r="H747" s="135" t="str">
        <f>IFERROR(IF($G747="","",$G747*$S$756/$G$756/Cadastro!$E$33),"")</f>
        <v/>
      </c>
      <c r="I747" s="136" t="str">
        <f>IFERROR(IF($D747="","",VLOOKUP($D747,Cadastro!$C$4:$G$7,5,FALSE)),"")</f>
        <v/>
      </c>
      <c r="J747" s="137" t="str">
        <f t="shared" si="197"/>
        <v/>
      </c>
      <c r="K747" s="34" t="str">
        <f t="shared" si="198"/>
        <v/>
      </c>
      <c r="L747" s="33"/>
      <c r="M747" s="33"/>
      <c r="N747" s="33"/>
      <c r="O747" s="29"/>
      <c r="P747" s="29"/>
      <c r="Q747" s="35" t="str">
        <f t="shared" ca="1" si="199"/>
        <v/>
      </c>
      <c r="R747" s="27"/>
      <c r="S747" s="47"/>
    </row>
    <row r="748" spans="1:20" ht="15" customHeight="1">
      <c r="A748" s="68">
        <v>46262</v>
      </c>
      <c r="B748" s="25">
        <f t="shared" si="200"/>
        <v>0.99999999999999956</v>
      </c>
      <c r="C748" s="26"/>
      <c r="D748" s="59"/>
      <c r="E748" s="109"/>
      <c r="F748" s="135" t="str">
        <f>IFERROR(IF($D748="","",VLOOKUP($D748,Cadastro!$C$4:$E$7,3,FALSE)),"")</f>
        <v/>
      </c>
      <c r="G748" s="106"/>
      <c r="H748" s="135" t="str">
        <f>IFERROR(IF($G748="","",$G748*$S$756/$G$756/Cadastro!$E$33),"")</f>
        <v/>
      </c>
      <c r="I748" s="136" t="str">
        <f>IFERROR(IF($D748="","",VLOOKUP($D748,Cadastro!$C$4:$G$7,5,FALSE)),"")</f>
        <v/>
      </c>
      <c r="J748" s="137" t="str">
        <f t="shared" si="197"/>
        <v/>
      </c>
      <c r="K748" s="28" t="str">
        <f t="shared" si="198"/>
        <v/>
      </c>
      <c r="L748" s="26"/>
      <c r="M748" s="26"/>
      <c r="N748" s="26"/>
      <c r="O748" s="29"/>
      <c r="P748" s="29"/>
      <c r="Q748" s="30" t="str">
        <f t="shared" ca="1" si="199"/>
        <v/>
      </c>
      <c r="R748" s="27"/>
      <c r="S748" s="47"/>
    </row>
    <row r="749" spans="1:20" ht="15" customHeight="1">
      <c r="A749" s="69">
        <v>46262</v>
      </c>
      <c r="B749" s="32">
        <f t="shared" si="200"/>
        <v>1.0416666666666663</v>
      </c>
      <c r="C749" s="33"/>
      <c r="D749" s="62"/>
      <c r="E749" s="110"/>
      <c r="F749" s="135" t="str">
        <f>IFERROR(IF($D749="","",VLOOKUP($D749,Cadastro!$C$4:$E$7,3,FALSE)),"")</f>
        <v/>
      </c>
      <c r="G749" s="106"/>
      <c r="H749" s="135" t="str">
        <f>IFERROR(IF($G749="","",$G749*$S$756/$G$756/Cadastro!$E$33),"")</f>
        <v/>
      </c>
      <c r="I749" s="136" t="str">
        <f>IFERROR(IF($D749="","",VLOOKUP($D749,Cadastro!$C$4:$G$7,5,FALSE)),"")</f>
        <v/>
      </c>
      <c r="J749" s="137" t="str">
        <f t="shared" si="197"/>
        <v/>
      </c>
      <c r="K749" s="34" t="str">
        <f t="shared" si="198"/>
        <v/>
      </c>
      <c r="L749" s="33"/>
      <c r="M749" s="33"/>
      <c r="N749" s="33"/>
      <c r="O749" s="29"/>
      <c r="P749" s="29"/>
      <c r="Q749" s="35" t="str">
        <f t="shared" ca="1" si="199"/>
        <v/>
      </c>
      <c r="R749" s="27"/>
      <c r="S749" s="47"/>
    </row>
    <row r="750" spans="1:20" ht="15" customHeight="1">
      <c r="A750" s="68">
        <v>46262</v>
      </c>
      <c r="B750" s="25">
        <f t="shared" si="200"/>
        <v>1.083333333333333</v>
      </c>
      <c r="C750" s="26"/>
      <c r="D750" s="59"/>
      <c r="E750" s="109"/>
      <c r="F750" s="135" t="str">
        <f>IFERROR(IF($D750="","",VLOOKUP($D750,Cadastro!$C$4:$E$7,3,FALSE)),"")</f>
        <v/>
      </c>
      <c r="G750" s="106"/>
      <c r="H750" s="135" t="str">
        <f>IFERROR(IF($G750="","",$G750*$S$756/$G$756/Cadastro!$E$33),"")</f>
        <v/>
      </c>
      <c r="I750" s="136" t="str">
        <f>IFERROR(IF($D750="","",VLOOKUP($D750,Cadastro!$C$4:$G$7,5,FALSE)),"")</f>
        <v/>
      </c>
      <c r="J750" s="137" t="str">
        <f t="shared" si="197"/>
        <v/>
      </c>
      <c r="K750" s="28" t="str">
        <f t="shared" si="198"/>
        <v/>
      </c>
      <c r="L750" s="26"/>
      <c r="M750" s="26"/>
      <c r="N750" s="26"/>
      <c r="O750" s="29"/>
      <c r="P750" s="29"/>
      <c r="Q750" s="30" t="str">
        <f t="shared" ca="1" si="199"/>
        <v/>
      </c>
      <c r="R750" s="27"/>
      <c r="S750" s="47"/>
    </row>
    <row r="751" spans="1:20" ht="15" customHeight="1">
      <c r="A751" s="69">
        <v>46262</v>
      </c>
      <c r="B751" s="32">
        <f t="shared" si="200"/>
        <v>1.1249999999999998</v>
      </c>
      <c r="C751" s="33"/>
      <c r="D751" s="62"/>
      <c r="E751" s="110"/>
      <c r="F751" s="135" t="str">
        <f>IFERROR(IF($D751="","",VLOOKUP($D751,Cadastro!$C$4:$E$7,3,FALSE)),"")</f>
        <v/>
      </c>
      <c r="G751" s="106"/>
      <c r="H751" s="135" t="str">
        <f>IFERROR(IF($G751="","",$G751*$S$756/$G$756/Cadastro!$E$33),"")</f>
        <v/>
      </c>
      <c r="I751" s="136" t="str">
        <f>IFERROR(IF($D751="","",VLOOKUP($D751,Cadastro!$C$4:$G$7,5,FALSE)),"")</f>
        <v/>
      </c>
      <c r="J751" s="137" t="str">
        <f t="shared" si="197"/>
        <v/>
      </c>
      <c r="K751" s="34" t="str">
        <f t="shared" si="198"/>
        <v/>
      </c>
      <c r="L751" s="33"/>
      <c r="M751" s="33"/>
      <c r="N751" s="33"/>
      <c r="O751" s="29"/>
      <c r="P751" s="29"/>
      <c r="Q751" s="35" t="str">
        <f t="shared" ca="1" si="199"/>
        <v/>
      </c>
      <c r="R751" s="27"/>
      <c r="S751" s="47"/>
    </row>
    <row r="752" spans="1:20" ht="15" customHeight="1">
      <c r="A752" s="68">
        <v>46262</v>
      </c>
      <c r="B752" s="25">
        <f t="shared" si="200"/>
        <v>1.1666666666666665</v>
      </c>
      <c r="C752" s="26"/>
      <c r="D752" s="59"/>
      <c r="E752" s="109"/>
      <c r="F752" s="135" t="str">
        <f>IFERROR(IF($D752="","",VLOOKUP($D752,Cadastro!$C$4:$E$7,3,FALSE)),"")</f>
        <v/>
      </c>
      <c r="G752" s="106"/>
      <c r="H752" s="135" t="str">
        <f>IFERROR(IF($G752="","",$G752*$S$756/$G$756/Cadastro!$E$33),"")</f>
        <v/>
      </c>
      <c r="I752" s="136" t="str">
        <f>IFERROR(IF($D752="","",VLOOKUP($D752,Cadastro!$C$4:$G$7,5,FALSE)),"")</f>
        <v/>
      </c>
      <c r="J752" s="137" t="str">
        <f t="shared" si="197"/>
        <v/>
      </c>
      <c r="K752" s="28" t="str">
        <f t="shared" si="198"/>
        <v/>
      </c>
      <c r="L752" s="26"/>
      <c r="M752" s="26"/>
      <c r="N752" s="26"/>
      <c r="O752" s="29"/>
      <c r="P752" s="29"/>
      <c r="Q752" s="30" t="str">
        <f t="shared" ca="1" si="199"/>
        <v/>
      </c>
      <c r="R752" s="27"/>
      <c r="S752" s="47"/>
    </row>
    <row r="753" spans="1:20" ht="15" customHeight="1">
      <c r="A753" s="69">
        <v>46262</v>
      </c>
      <c r="B753" s="32">
        <f t="shared" si="200"/>
        <v>1.2083333333333333</v>
      </c>
      <c r="C753" s="33"/>
      <c r="D753" s="62"/>
      <c r="E753" s="110"/>
      <c r="F753" s="135" t="str">
        <f>IFERROR(IF($D753="","",VLOOKUP($D753,Cadastro!$C$4:$E$7,3,FALSE)),"")</f>
        <v/>
      </c>
      <c r="G753" s="106"/>
      <c r="H753" s="135" t="str">
        <f>IFERROR(IF($G753="","",$G753*$S$756/$G$756/Cadastro!$E$33),"")</f>
        <v/>
      </c>
      <c r="I753" s="136" t="str">
        <f>IFERROR(IF($D753="","",VLOOKUP($D753,Cadastro!$C$4:$G$7,5,FALSE)),"")</f>
        <v/>
      </c>
      <c r="J753" s="137" t="str">
        <f t="shared" si="197"/>
        <v/>
      </c>
      <c r="K753" s="34" t="str">
        <f t="shared" si="198"/>
        <v/>
      </c>
      <c r="L753" s="33"/>
      <c r="M753" s="33"/>
      <c r="N753" s="33"/>
      <c r="O753" s="29"/>
      <c r="P753" s="29"/>
      <c r="Q753" s="35" t="str">
        <f t="shared" ca="1" si="199"/>
        <v/>
      </c>
      <c r="R753" s="27"/>
      <c r="S753" s="47"/>
    </row>
    <row r="754" spans="1:20" ht="15" customHeight="1">
      <c r="A754" s="68">
        <v>46262</v>
      </c>
      <c r="B754" s="25">
        <f t="shared" si="200"/>
        <v>1.25</v>
      </c>
      <c r="C754" s="26"/>
      <c r="D754" s="59"/>
      <c r="E754" s="109"/>
      <c r="F754" s="135" t="str">
        <f>IFERROR(IF($D754="","",VLOOKUP($D754,Cadastro!$C$4:$E$7,3,FALSE)),"")</f>
        <v/>
      </c>
      <c r="G754" s="106"/>
      <c r="H754" s="135" t="str">
        <f>IFERROR(IF($G754="","",$G754*$S$756/$G$756/Cadastro!$E$33),"")</f>
        <v/>
      </c>
      <c r="I754" s="136" t="str">
        <f>IFERROR(IF($D754="","",VLOOKUP($D754,Cadastro!$C$4:$G$7,5,FALSE)),"")</f>
        <v/>
      </c>
      <c r="J754" s="137" t="str">
        <f t="shared" si="197"/>
        <v/>
      </c>
      <c r="K754" s="28" t="str">
        <f t="shared" si="198"/>
        <v/>
      </c>
      <c r="L754" s="26"/>
      <c r="M754" s="26"/>
      <c r="N754" s="26"/>
      <c r="O754" s="29"/>
      <c r="P754" s="29"/>
      <c r="Q754" s="30" t="str">
        <f t="shared" ca="1" si="199"/>
        <v/>
      </c>
      <c r="R754" s="27"/>
      <c r="S754" s="47"/>
    </row>
    <row r="755" spans="1:20" ht="15" customHeight="1" thickBot="1">
      <c r="A755" s="69">
        <v>46262</v>
      </c>
      <c r="B755" s="32">
        <f t="shared" si="200"/>
        <v>1.2916666666666667</v>
      </c>
      <c r="C755" s="33"/>
      <c r="D755" s="62"/>
      <c r="E755" s="110"/>
      <c r="F755" s="138" t="str">
        <f>IFERROR(IF($D755="","",VLOOKUP($D755,Cadastro!$C$4:$E$7,3,FALSE)),"")</f>
        <v/>
      </c>
      <c r="G755" s="106"/>
      <c r="H755" s="138" t="str">
        <f>IFERROR(IF($G755="","",$G755*$S$756/$G$756/Cadastro!$E$33),"")</f>
        <v/>
      </c>
      <c r="I755" s="139" t="str">
        <f>IFERROR(IF($D755="","",VLOOKUP($D755,Cadastro!$C$4:$G$7,5,FALSE)),"")</f>
        <v/>
      </c>
      <c r="J755" s="140" t="str">
        <f t="shared" si="197"/>
        <v/>
      </c>
      <c r="K755" s="34" t="str">
        <f t="shared" si="198"/>
        <v/>
      </c>
      <c r="L755" s="33"/>
      <c r="M755" s="33"/>
      <c r="N755" s="33"/>
      <c r="O755" s="29"/>
      <c r="P755" s="29"/>
      <c r="Q755" s="35" t="str">
        <f t="shared" ca="1" si="199"/>
        <v/>
      </c>
      <c r="R755" s="27"/>
      <c r="S755" s="47"/>
    </row>
    <row r="756" spans="1:20" ht="15.75" customHeight="1" thickBot="1">
      <c r="A756" s="152" t="s">
        <v>244</v>
      </c>
      <c r="B756" s="153"/>
      <c r="C756" s="153"/>
      <c r="D756" s="153"/>
      <c r="E756" s="153">
        <f>SUM(E744:E755)</f>
        <v>0</v>
      </c>
      <c r="F756" s="112"/>
      <c r="G756" s="81">
        <f>SUM(G744:G755)</f>
        <v>0</v>
      </c>
      <c r="H756" s="112">
        <f>IFERROR(SUM(H744:H755),"")</f>
        <v>0</v>
      </c>
      <c r="I756" s="116"/>
      <c r="J756" s="125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20">
        <f>IFERROR(J756,"")</f>
        <v>0</v>
      </c>
    </row>
    <row r="757" spans="1:20" ht="18" customHeight="1">
      <c r="A757" s="150" t="s">
        <v>245</v>
      </c>
      <c r="B757" s="151"/>
      <c r="C757" s="151"/>
      <c r="D757" s="151"/>
      <c r="E757" s="151">
        <f>E743+E756</f>
        <v>0</v>
      </c>
      <c r="F757" s="113"/>
      <c r="G757" s="92">
        <f>G743+G756</f>
        <v>0</v>
      </c>
      <c r="H757" s="113">
        <f>IFERROR(H743+H756,"")</f>
        <v>0</v>
      </c>
      <c r="I757" s="117"/>
      <c r="J757" s="126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2">
        <f>IFERROR(J757,"")</f>
        <v>0</v>
      </c>
    </row>
    <row r="758" spans="1:20" ht="15" customHeight="1">
      <c r="A758" s="68">
        <v>46263</v>
      </c>
      <c r="B758" s="25">
        <v>0.33333333333333298</v>
      </c>
      <c r="C758" s="26"/>
      <c r="D758" s="59"/>
      <c r="E758" s="109"/>
      <c r="F758" s="141" t="str">
        <f>IFERROR(IF($D758="","",VLOOKUP($D758,Cadastro!$C$4:$E$7,3,FALSE)),"")</f>
        <v/>
      </c>
      <c r="G758" s="106"/>
      <c r="H758" s="141" t="str">
        <f>IFERROR(IF($G758="","",$G758*$S$770/$G$770/Cadastro!$E$33),"")</f>
        <v/>
      </c>
      <c r="I758" s="142" t="str">
        <f>IFERROR(IF($D758="","",VLOOKUP($D758,Cadastro!$C$4:$G$7,5,FALSE)),"")</f>
        <v/>
      </c>
      <c r="J758" s="143" t="str">
        <f t="shared" ref="J758:J769" si="201">IFERROR(IF($H758="","",$H758*$F758*$I758),"")</f>
        <v/>
      </c>
      <c r="K758" s="28" t="str">
        <f t="shared" ref="K758:K769" si="202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3">IFERROR(IF(O758="","",IF(P758="",MOD(NOW()-O758,1),IF(P758&gt;=O758,P758-O758,P758+1-O758))),"")</f>
        <v/>
      </c>
      <c r="R758" s="27"/>
      <c r="S758" s="47"/>
    </row>
    <row r="759" spans="1:20" ht="15" customHeight="1">
      <c r="A759" s="69">
        <v>46263</v>
      </c>
      <c r="B759" s="32">
        <f t="shared" ref="B759:B769" si="204">B758+TIME(0,60,0)</f>
        <v>0.37499999999999967</v>
      </c>
      <c r="C759" s="33"/>
      <c r="D759" s="62"/>
      <c r="E759" s="110"/>
      <c r="F759" s="135" t="str">
        <f>IFERROR(IF($D759="","",VLOOKUP($D759,Cadastro!$C$4:$E$7,3,FALSE)),"")</f>
        <v/>
      </c>
      <c r="G759" s="106"/>
      <c r="H759" s="135" t="str">
        <f>IFERROR(IF($G759="","",$G759*$S$770/$G$770/Cadastro!$E$33),"")</f>
        <v/>
      </c>
      <c r="I759" s="136" t="str">
        <f>IFERROR(IF($D759="","",VLOOKUP($D759,Cadastro!$C$4:$G$7,5,FALSE)),"")</f>
        <v/>
      </c>
      <c r="J759" s="137" t="str">
        <f t="shared" si="201"/>
        <v/>
      </c>
      <c r="K759" s="34" t="str">
        <f t="shared" si="202"/>
        <v/>
      </c>
      <c r="L759" s="33"/>
      <c r="M759" s="33"/>
      <c r="N759" s="33"/>
      <c r="O759" s="29"/>
      <c r="P759" s="29"/>
      <c r="Q759" s="35" t="str">
        <f t="shared" ca="1" si="203"/>
        <v/>
      </c>
      <c r="R759" s="27"/>
      <c r="S759" s="47"/>
    </row>
    <row r="760" spans="1:20" ht="15" customHeight="1">
      <c r="A760" s="68">
        <v>46263</v>
      </c>
      <c r="B760" s="25">
        <f t="shared" si="204"/>
        <v>0.41666666666666635</v>
      </c>
      <c r="C760" s="26"/>
      <c r="D760" s="59"/>
      <c r="E760" s="109"/>
      <c r="F760" s="135" t="str">
        <f>IFERROR(IF($D760="","",VLOOKUP($D760,Cadastro!$C$4:$E$7,3,FALSE)),"")</f>
        <v/>
      </c>
      <c r="G760" s="106"/>
      <c r="H760" s="135" t="str">
        <f>IFERROR(IF($G760="","",$G760*$S$770/$G$770/Cadastro!$E$33),"")</f>
        <v/>
      </c>
      <c r="I760" s="136" t="str">
        <f>IFERROR(IF($D760="","",VLOOKUP($D760,Cadastro!$C$4:$G$7,5,FALSE)),"")</f>
        <v/>
      </c>
      <c r="J760" s="137" t="str">
        <f t="shared" si="201"/>
        <v/>
      </c>
      <c r="K760" s="28" t="str">
        <f t="shared" si="202"/>
        <v/>
      </c>
      <c r="L760" s="26"/>
      <c r="M760" s="26"/>
      <c r="N760" s="26"/>
      <c r="O760" s="29"/>
      <c r="P760" s="29"/>
      <c r="Q760" s="30" t="str">
        <f t="shared" ca="1" si="203"/>
        <v/>
      </c>
      <c r="R760" s="27"/>
      <c r="S760" s="47"/>
    </row>
    <row r="761" spans="1:20" ht="15" customHeight="1">
      <c r="A761" s="69">
        <v>46263</v>
      </c>
      <c r="B761" s="32">
        <f t="shared" si="204"/>
        <v>0.45833333333333304</v>
      </c>
      <c r="C761" s="33"/>
      <c r="D761" s="62"/>
      <c r="E761" s="110"/>
      <c r="F761" s="135" t="str">
        <f>IFERROR(IF($D761="","",VLOOKUP($D761,Cadastro!$C$4:$E$7,3,FALSE)),"")</f>
        <v/>
      </c>
      <c r="G761" s="106"/>
      <c r="H761" s="135" t="str">
        <f>IFERROR(IF($G761="","",$G761*$S$770/$G$770/Cadastro!$E$33),"")</f>
        <v/>
      </c>
      <c r="I761" s="136" t="str">
        <f>IFERROR(IF($D761="","",VLOOKUP($D761,Cadastro!$C$4:$G$7,5,FALSE)),"")</f>
        <v/>
      </c>
      <c r="J761" s="137" t="str">
        <f t="shared" si="201"/>
        <v/>
      </c>
      <c r="K761" s="34" t="str">
        <f t="shared" si="202"/>
        <v/>
      </c>
      <c r="L761" s="33"/>
      <c r="M761" s="33"/>
      <c r="N761" s="33"/>
      <c r="O761" s="29"/>
      <c r="P761" s="29"/>
      <c r="Q761" s="35" t="str">
        <f t="shared" ca="1" si="203"/>
        <v/>
      </c>
      <c r="R761" s="27"/>
      <c r="S761" s="47"/>
    </row>
    <row r="762" spans="1:20" ht="15" customHeight="1">
      <c r="A762" s="68">
        <v>46263</v>
      </c>
      <c r="B762" s="25">
        <f t="shared" si="204"/>
        <v>0.49999999999999972</v>
      </c>
      <c r="C762" s="26"/>
      <c r="D762" s="59"/>
      <c r="E762" s="109"/>
      <c r="F762" s="135" t="str">
        <f>IFERROR(IF($D762="","",VLOOKUP($D762,Cadastro!$C$4:$E$7,3,FALSE)),"")</f>
        <v/>
      </c>
      <c r="G762" s="106"/>
      <c r="H762" s="135" t="str">
        <f>IFERROR(IF($G762="","",$G762*$S$770/$G$770/Cadastro!$E$33),"")</f>
        <v/>
      </c>
      <c r="I762" s="136" t="str">
        <f>IFERROR(IF($D762="","",VLOOKUP($D762,Cadastro!$C$4:$G$7,5,FALSE)),"")</f>
        <v/>
      </c>
      <c r="J762" s="137" t="str">
        <f t="shared" si="201"/>
        <v/>
      </c>
      <c r="K762" s="28" t="str">
        <f t="shared" si="202"/>
        <v/>
      </c>
      <c r="L762" s="26"/>
      <c r="M762" s="26"/>
      <c r="N762" s="26"/>
      <c r="O762" s="29"/>
      <c r="P762" s="29"/>
      <c r="Q762" s="30" t="str">
        <f t="shared" ca="1" si="203"/>
        <v/>
      </c>
      <c r="R762" s="27"/>
      <c r="S762" s="47"/>
    </row>
    <row r="763" spans="1:20" ht="15" customHeight="1">
      <c r="A763" s="69">
        <v>46263</v>
      </c>
      <c r="B763" s="32">
        <f t="shared" si="204"/>
        <v>0.54166666666666641</v>
      </c>
      <c r="C763" s="33"/>
      <c r="D763" s="62"/>
      <c r="E763" s="110"/>
      <c r="F763" s="135" t="str">
        <f>IFERROR(IF($D763="","",VLOOKUP($D763,Cadastro!$C$4:$E$7,3,FALSE)),"")</f>
        <v/>
      </c>
      <c r="G763" s="106"/>
      <c r="H763" s="135" t="str">
        <f>IFERROR(IF($G763="","",$G763*$S$770/$G$770/Cadastro!$E$33),"")</f>
        <v/>
      </c>
      <c r="I763" s="136" t="str">
        <f>IFERROR(IF($D763="","",VLOOKUP($D763,Cadastro!$C$4:$G$7,5,FALSE)),"")</f>
        <v/>
      </c>
      <c r="J763" s="137" t="str">
        <f t="shared" si="201"/>
        <v/>
      </c>
      <c r="K763" s="34" t="str">
        <f t="shared" si="202"/>
        <v/>
      </c>
      <c r="L763" s="33"/>
      <c r="M763" s="33"/>
      <c r="N763" s="33"/>
      <c r="O763" s="29"/>
      <c r="P763" s="29"/>
      <c r="Q763" s="35" t="str">
        <f t="shared" ca="1" si="203"/>
        <v/>
      </c>
      <c r="R763" s="27"/>
      <c r="S763" s="47"/>
    </row>
    <row r="764" spans="1:20" ht="15" customHeight="1">
      <c r="A764" s="68">
        <v>46263</v>
      </c>
      <c r="B764" s="25">
        <f t="shared" si="204"/>
        <v>0.58333333333333304</v>
      </c>
      <c r="C764" s="26"/>
      <c r="D764" s="59"/>
      <c r="E764" s="109"/>
      <c r="F764" s="135" t="str">
        <f>IFERROR(IF($D764="","",VLOOKUP($D764,Cadastro!$C$4:$E$7,3,FALSE)),"")</f>
        <v/>
      </c>
      <c r="G764" s="106"/>
      <c r="H764" s="135" t="str">
        <f>IFERROR(IF($G764="","",$G764*$S$770/$G$770/Cadastro!$E$33),"")</f>
        <v/>
      </c>
      <c r="I764" s="136" t="str">
        <f>IFERROR(IF($D764="","",VLOOKUP($D764,Cadastro!$C$4:$G$7,5,FALSE)),"")</f>
        <v/>
      </c>
      <c r="J764" s="137" t="str">
        <f t="shared" si="201"/>
        <v/>
      </c>
      <c r="K764" s="28" t="str">
        <f t="shared" si="202"/>
        <v/>
      </c>
      <c r="L764" s="26"/>
      <c r="M764" s="26"/>
      <c r="N764" s="26"/>
      <c r="O764" s="29"/>
      <c r="P764" s="29"/>
      <c r="Q764" s="30" t="str">
        <f t="shared" ca="1" si="203"/>
        <v/>
      </c>
      <c r="R764" s="27"/>
      <c r="S764" s="47"/>
    </row>
    <row r="765" spans="1:20" ht="15" customHeight="1">
      <c r="A765" s="69">
        <v>46263</v>
      </c>
      <c r="B765" s="32">
        <f t="shared" si="204"/>
        <v>0.62499999999999967</v>
      </c>
      <c r="C765" s="33"/>
      <c r="D765" s="62"/>
      <c r="E765" s="110"/>
      <c r="F765" s="135" t="str">
        <f>IFERROR(IF($D765="","",VLOOKUP($D765,Cadastro!$C$4:$E$7,3,FALSE)),"")</f>
        <v/>
      </c>
      <c r="G765" s="106"/>
      <c r="H765" s="135" t="str">
        <f>IFERROR(IF($G765="","",$G765*$S$770/$G$770/Cadastro!$E$33),"")</f>
        <v/>
      </c>
      <c r="I765" s="136" t="str">
        <f>IFERROR(IF($D765="","",VLOOKUP($D765,Cadastro!$C$4:$G$7,5,FALSE)),"")</f>
        <v/>
      </c>
      <c r="J765" s="137" t="str">
        <f t="shared" si="201"/>
        <v/>
      </c>
      <c r="K765" s="34" t="str">
        <f t="shared" si="202"/>
        <v/>
      </c>
      <c r="L765" s="33"/>
      <c r="M765" s="33"/>
      <c r="N765" s="33"/>
      <c r="O765" s="29"/>
      <c r="P765" s="29"/>
      <c r="Q765" s="35" t="str">
        <f t="shared" ca="1" si="203"/>
        <v/>
      </c>
      <c r="R765" s="27"/>
      <c r="S765" s="47"/>
    </row>
    <row r="766" spans="1:20" ht="15" customHeight="1">
      <c r="A766" s="68">
        <v>46263</v>
      </c>
      <c r="B766" s="25">
        <f t="shared" si="204"/>
        <v>0.6666666666666663</v>
      </c>
      <c r="C766" s="26"/>
      <c r="D766" s="59"/>
      <c r="E766" s="109"/>
      <c r="F766" s="135" t="str">
        <f>IFERROR(IF($D766="","",VLOOKUP($D766,Cadastro!$C$4:$E$7,3,FALSE)),"")</f>
        <v/>
      </c>
      <c r="G766" s="106"/>
      <c r="H766" s="135" t="str">
        <f>IFERROR(IF($G766="","",$G766*$S$770/$G$770/Cadastro!$E$33),"")</f>
        <v/>
      </c>
      <c r="I766" s="136" t="str">
        <f>IFERROR(IF($D766="","",VLOOKUP($D766,Cadastro!$C$4:$G$7,5,FALSE)),"")</f>
        <v/>
      </c>
      <c r="J766" s="137" t="str">
        <f t="shared" si="201"/>
        <v/>
      </c>
      <c r="K766" s="28" t="str">
        <f t="shared" si="202"/>
        <v/>
      </c>
      <c r="L766" s="26"/>
      <c r="M766" s="26"/>
      <c r="N766" s="26"/>
      <c r="O766" s="29"/>
      <c r="P766" s="29"/>
      <c r="Q766" s="30" t="str">
        <f t="shared" ca="1" si="203"/>
        <v/>
      </c>
      <c r="R766" s="27"/>
      <c r="S766" s="47"/>
    </row>
    <row r="767" spans="1:20" ht="15" customHeight="1">
      <c r="A767" s="69">
        <v>46263</v>
      </c>
      <c r="B767" s="32">
        <f t="shared" si="204"/>
        <v>0.70833333333333293</v>
      </c>
      <c r="C767" s="33"/>
      <c r="D767" s="62"/>
      <c r="E767" s="110"/>
      <c r="F767" s="135" t="str">
        <f>IFERROR(IF($D767="","",VLOOKUP($D767,Cadastro!$C$4:$E$7,3,FALSE)),"")</f>
        <v/>
      </c>
      <c r="G767" s="106"/>
      <c r="H767" s="135" t="str">
        <f>IFERROR(IF($G767="","",$G767*$S$770/$G$770/Cadastro!$E$33),"")</f>
        <v/>
      </c>
      <c r="I767" s="136" t="str">
        <f>IFERROR(IF($D767="","",VLOOKUP($D767,Cadastro!$C$4:$G$7,5,FALSE)),"")</f>
        <v/>
      </c>
      <c r="J767" s="137" t="str">
        <f t="shared" si="201"/>
        <v/>
      </c>
      <c r="K767" s="34" t="str">
        <f t="shared" si="202"/>
        <v/>
      </c>
      <c r="L767" s="33"/>
      <c r="M767" s="33"/>
      <c r="N767" s="33"/>
      <c r="O767" s="29"/>
      <c r="P767" s="29"/>
      <c r="Q767" s="35" t="str">
        <f t="shared" ca="1" si="203"/>
        <v/>
      </c>
      <c r="R767" s="27"/>
      <c r="S767" s="47"/>
    </row>
    <row r="768" spans="1:20" ht="15" customHeight="1">
      <c r="A768" s="68">
        <v>46263</v>
      </c>
      <c r="B768" s="25">
        <f t="shared" si="204"/>
        <v>0.74999999999999956</v>
      </c>
      <c r="C768" s="26"/>
      <c r="D768" s="59"/>
      <c r="E768" s="109"/>
      <c r="F768" s="135" t="str">
        <f>IFERROR(IF($D768="","",VLOOKUP($D768,Cadastro!$C$4:$E$7,3,FALSE)),"")</f>
        <v/>
      </c>
      <c r="G768" s="106"/>
      <c r="H768" s="135" t="str">
        <f>IFERROR(IF($G768="","",$G768*$S$770/$G$770/Cadastro!$E$33),"")</f>
        <v/>
      </c>
      <c r="I768" s="136" t="str">
        <f>IFERROR(IF($D768="","",VLOOKUP($D768,Cadastro!$C$4:$G$7,5,FALSE)),"")</f>
        <v/>
      </c>
      <c r="J768" s="137" t="str">
        <f t="shared" si="201"/>
        <v/>
      </c>
      <c r="K768" s="28" t="str">
        <f t="shared" si="202"/>
        <v/>
      </c>
      <c r="L768" s="26"/>
      <c r="M768" s="26"/>
      <c r="N768" s="26"/>
      <c r="O768" s="29"/>
      <c r="P768" s="29"/>
      <c r="Q768" s="30" t="str">
        <f t="shared" ca="1" si="203"/>
        <v/>
      </c>
      <c r="R768" s="27"/>
      <c r="S768" s="47"/>
    </row>
    <row r="769" spans="1:20" ht="15" customHeight="1" thickBot="1">
      <c r="A769" s="69">
        <v>46263</v>
      </c>
      <c r="B769" s="32">
        <f t="shared" si="204"/>
        <v>0.79166666666666619</v>
      </c>
      <c r="C769" s="33"/>
      <c r="D769" s="62"/>
      <c r="E769" s="110"/>
      <c r="F769" s="138" t="str">
        <f>IFERROR(IF($D769="","",VLOOKUP($D769,Cadastro!$C$4:$E$7,3,FALSE)),"")</f>
        <v/>
      </c>
      <c r="G769" s="106"/>
      <c r="H769" s="138" t="str">
        <f>IFERROR(IF($G769="","",$G769*$S$770/$G$770/Cadastro!$E$33),"")</f>
        <v/>
      </c>
      <c r="I769" s="139" t="str">
        <f>IFERROR(IF($D769="","",VLOOKUP($D769,Cadastro!$C$4:$G$7,5,FALSE)),"")</f>
        <v/>
      </c>
      <c r="J769" s="140" t="str">
        <f t="shared" si="201"/>
        <v/>
      </c>
      <c r="K769" s="34" t="str">
        <f t="shared" si="202"/>
        <v/>
      </c>
      <c r="L769" s="33"/>
      <c r="M769" s="33"/>
      <c r="N769" s="33"/>
      <c r="O769" s="29"/>
      <c r="P769" s="29"/>
      <c r="Q769" s="35" t="str">
        <f t="shared" ca="1" si="203"/>
        <v/>
      </c>
      <c r="R769" s="27"/>
      <c r="S769" s="47"/>
    </row>
    <row r="770" spans="1:20" ht="15.75" customHeight="1" thickBot="1">
      <c r="A770" s="152" t="s">
        <v>241</v>
      </c>
      <c r="B770" s="153"/>
      <c r="C770" s="153"/>
      <c r="D770" s="153"/>
      <c r="E770" s="153">
        <f>SUM(E758:E769)</f>
        <v>0</v>
      </c>
      <c r="F770" s="111"/>
      <c r="G770" s="81">
        <f>SUM(G758:G769)</f>
        <v>0</v>
      </c>
      <c r="H770" s="111">
        <f>IFERROR(SUM(H758:H769),"")</f>
        <v>0</v>
      </c>
      <c r="I770" s="115"/>
      <c r="J770" s="124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20">
        <f>IFERROR(J770,"")</f>
        <v>0</v>
      </c>
    </row>
    <row r="771" spans="1:20" ht="15" customHeight="1">
      <c r="A771" s="69">
        <v>46263</v>
      </c>
      <c r="B771" s="32">
        <v>0.83333333333333304</v>
      </c>
      <c r="C771" s="33"/>
      <c r="D771" s="62"/>
      <c r="E771" s="110"/>
      <c r="F771" s="141" t="str">
        <f>IFERROR(IF($D771="","",VLOOKUP($D771,Cadastro!$C$4:$E$7,3,FALSE)),"")</f>
        <v/>
      </c>
      <c r="G771" s="106"/>
      <c r="H771" s="141" t="str">
        <f>IFERROR(IF($G771="","",$G771*$S$783/$G$783/Cadastro!$E$33),"")</f>
        <v/>
      </c>
      <c r="I771" s="142" t="str">
        <f>IFERROR(IF($D771="","",VLOOKUP($D771,Cadastro!$C$4:$G$7,5,FALSE)),"")</f>
        <v/>
      </c>
      <c r="J771" s="143" t="str">
        <f t="shared" ref="J771:J782" si="205">IFERROR(IF($H771="","",$H771*$F771*$I771),"")</f>
        <v/>
      </c>
      <c r="K771" s="34" t="str">
        <f t="shared" ref="K771:K782" si="206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7">IFERROR(IF(O771="","",IF(P771="",MOD(NOW()-O771,1),IF(P771&gt;=O771,P771-O771,P771+1-O771))),"")</f>
        <v/>
      </c>
      <c r="R771" s="27"/>
      <c r="S771" s="47"/>
    </row>
    <row r="772" spans="1:20" ht="15" customHeight="1">
      <c r="A772" s="68">
        <v>46263</v>
      </c>
      <c r="B772" s="25">
        <f t="shared" ref="B772:B782" si="208">B771+TIME(0,60,0)</f>
        <v>0.87499999999999967</v>
      </c>
      <c r="C772" s="26"/>
      <c r="D772" s="59"/>
      <c r="E772" s="109"/>
      <c r="F772" s="135" t="str">
        <f>IFERROR(IF($D772="","",VLOOKUP($D772,Cadastro!$C$4:$E$7,3,FALSE)),"")</f>
        <v/>
      </c>
      <c r="G772" s="106"/>
      <c r="H772" s="135" t="str">
        <f>IFERROR(IF($G772="","",$G772*$S$783/$G$783/Cadastro!$E$33),"")</f>
        <v/>
      </c>
      <c r="I772" s="136" t="str">
        <f>IFERROR(IF($D772="","",VLOOKUP($D772,Cadastro!$C$4:$G$7,5,FALSE)),"")</f>
        <v/>
      </c>
      <c r="J772" s="137" t="str">
        <f t="shared" si="205"/>
        <v/>
      </c>
      <c r="K772" s="28" t="str">
        <f t="shared" si="206"/>
        <v/>
      </c>
      <c r="L772" s="26"/>
      <c r="M772" s="26"/>
      <c r="N772" s="26"/>
      <c r="O772" s="29"/>
      <c r="P772" s="29"/>
      <c r="Q772" s="30" t="str">
        <f t="shared" ca="1" si="207"/>
        <v/>
      </c>
      <c r="R772" s="27"/>
      <c r="S772" s="47"/>
    </row>
    <row r="773" spans="1:20" ht="15" customHeight="1">
      <c r="A773" s="69">
        <v>46263</v>
      </c>
      <c r="B773" s="32">
        <f t="shared" si="208"/>
        <v>0.9166666666666663</v>
      </c>
      <c r="C773" s="33"/>
      <c r="D773" s="62"/>
      <c r="E773" s="110"/>
      <c r="F773" s="135" t="str">
        <f>IFERROR(IF($D773="","",VLOOKUP($D773,Cadastro!$C$4:$E$7,3,FALSE)),"")</f>
        <v/>
      </c>
      <c r="G773" s="106"/>
      <c r="H773" s="135" t="str">
        <f>IFERROR(IF($G773="","",$G773*$S$783/$G$783/Cadastro!$E$33),"")</f>
        <v/>
      </c>
      <c r="I773" s="136" t="str">
        <f>IFERROR(IF($D773="","",VLOOKUP($D773,Cadastro!$C$4:$G$7,5,FALSE)),"")</f>
        <v/>
      </c>
      <c r="J773" s="137" t="str">
        <f t="shared" si="205"/>
        <v/>
      </c>
      <c r="K773" s="34" t="str">
        <f t="shared" si="206"/>
        <v/>
      </c>
      <c r="L773" s="33"/>
      <c r="M773" s="33"/>
      <c r="N773" s="33"/>
      <c r="O773" s="29"/>
      <c r="P773" s="29"/>
      <c r="Q773" s="35" t="str">
        <f t="shared" ca="1" si="207"/>
        <v/>
      </c>
      <c r="R773" s="27"/>
      <c r="S773" s="47"/>
    </row>
    <row r="774" spans="1:20" ht="15" customHeight="1">
      <c r="A774" s="68">
        <v>46263</v>
      </c>
      <c r="B774" s="25">
        <f t="shared" si="208"/>
        <v>0.95833333333333293</v>
      </c>
      <c r="C774" s="26"/>
      <c r="D774" s="59"/>
      <c r="E774" s="109"/>
      <c r="F774" s="135" t="str">
        <f>IFERROR(IF($D774="","",VLOOKUP($D774,Cadastro!$C$4:$E$7,3,FALSE)),"")</f>
        <v/>
      </c>
      <c r="G774" s="106"/>
      <c r="H774" s="135" t="str">
        <f>IFERROR(IF($G774="","",$G774*$S$783/$G$783/Cadastro!$E$33),"")</f>
        <v/>
      </c>
      <c r="I774" s="136" t="str">
        <f>IFERROR(IF($D774="","",VLOOKUP($D774,Cadastro!$C$4:$G$7,5,FALSE)),"")</f>
        <v/>
      </c>
      <c r="J774" s="137" t="str">
        <f t="shared" si="205"/>
        <v/>
      </c>
      <c r="K774" s="28" t="str">
        <f t="shared" si="206"/>
        <v/>
      </c>
      <c r="L774" s="26"/>
      <c r="M774" s="26"/>
      <c r="N774" s="26"/>
      <c r="O774" s="29"/>
      <c r="P774" s="29"/>
      <c r="Q774" s="30" t="str">
        <f t="shared" ca="1" si="207"/>
        <v/>
      </c>
      <c r="R774" s="27"/>
      <c r="S774" s="47"/>
    </row>
    <row r="775" spans="1:20" ht="15" customHeight="1">
      <c r="A775" s="69">
        <v>46263</v>
      </c>
      <c r="B775" s="32">
        <f t="shared" si="208"/>
        <v>0.99999999999999956</v>
      </c>
      <c r="C775" s="33"/>
      <c r="D775" s="62"/>
      <c r="E775" s="110"/>
      <c r="F775" s="135" t="str">
        <f>IFERROR(IF($D775="","",VLOOKUP($D775,Cadastro!$C$4:$E$7,3,FALSE)),"")</f>
        <v/>
      </c>
      <c r="G775" s="106"/>
      <c r="H775" s="135" t="str">
        <f>IFERROR(IF($G775="","",$G775*$S$783/$G$783/Cadastro!$E$33),"")</f>
        <v/>
      </c>
      <c r="I775" s="136" t="str">
        <f>IFERROR(IF($D775="","",VLOOKUP($D775,Cadastro!$C$4:$G$7,5,FALSE)),"")</f>
        <v/>
      </c>
      <c r="J775" s="137" t="str">
        <f t="shared" si="205"/>
        <v/>
      </c>
      <c r="K775" s="34" t="str">
        <f t="shared" si="206"/>
        <v/>
      </c>
      <c r="L775" s="33"/>
      <c r="M775" s="33"/>
      <c r="N775" s="33"/>
      <c r="O775" s="29"/>
      <c r="P775" s="29"/>
      <c r="Q775" s="35" t="str">
        <f t="shared" ca="1" si="207"/>
        <v/>
      </c>
      <c r="R775" s="27"/>
      <c r="S775" s="47"/>
    </row>
    <row r="776" spans="1:20" ht="15" customHeight="1">
      <c r="A776" s="68">
        <v>46263</v>
      </c>
      <c r="B776" s="25">
        <f t="shared" si="208"/>
        <v>1.0416666666666663</v>
      </c>
      <c r="C776" s="26"/>
      <c r="D776" s="59"/>
      <c r="E776" s="109"/>
      <c r="F776" s="135" t="str">
        <f>IFERROR(IF($D776="","",VLOOKUP($D776,Cadastro!$C$4:$E$7,3,FALSE)),"")</f>
        <v/>
      </c>
      <c r="G776" s="106"/>
      <c r="H776" s="135" t="str">
        <f>IFERROR(IF($G776="","",$G776*$S$783/$G$783/Cadastro!$E$33),"")</f>
        <v/>
      </c>
      <c r="I776" s="136" t="str">
        <f>IFERROR(IF($D776="","",VLOOKUP($D776,Cadastro!$C$4:$G$7,5,FALSE)),"")</f>
        <v/>
      </c>
      <c r="J776" s="137" t="str">
        <f t="shared" si="205"/>
        <v/>
      </c>
      <c r="K776" s="28" t="str">
        <f t="shared" si="206"/>
        <v/>
      </c>
      <c r="L776" s="26"/>
      <c r="M776" s="26"/>
      <c r="N776" s="26"/>
      <c r="O776" s="29"/>
      <c r="P776" s="29"/>
      <c r="Q776" s="30" t="str">
        <f t="shared" ca="1" si="207"/>
        <v/>
      </c>
      <c r="R776" s="27"/>
      <c r="S776" s="47"/>
    </row>
    <row r="777" spans="1:20" ht="15" customHeight="1">
      <c r="A777" s="69">
        <v>46263</v>
      </c>
      <c r="B777" s="32">
        <f t="shared" si="208"/>
        <v>1.083333333333333</v>
      </c>
      <c r="C777" s="33"/>
      <c r="D777" s="62"/>
      <c r="E777" s="110"/>
      <c r="F777" s="135" t="str">
        <f>IFERROR(IF($D777="","",VLOOKUP($D777,Cadastro!$C$4:$E$7,3,FALSE)),"")</f>
        <v/>
      </c>
      <c r="G777" s="106"/>
      <c r="H777" s="135" t="str">
        <f>IFERROR(IF($G777="","",$G777*$S$783/$G$783/Cadastro!$E$33),"")</f>
        <v/>
      </c>
      <c r="I777" s="136" t="str">
        <f>IFERROR(IF($D777="","",VLOOKUP($D777,Cadastro!$C$4:$G$7,5,FALSE)),"")</f>
        <v/>
      </c>
      <c r="J777" s="137" t="str">
        <f t="shared" si="205"/>
        <v/>
      </c>
      <c r="K777" s="34" t="str">
        <f t="shared" si="206"/>
        <v/>
      </c>
      <c r="L777" s="33"/>
      <c r="M777" s="33"/>
      <c r="N777" s="33"/>
      <c r="O777" s="29"/>
      <c r="P777" s="29"/>
      <c r="Q777" s="35" t="str">
        <f t="shared" ca="1" si="207"/>
        <v/>
      </c>
      <c r="R777" s="27"/>
      <c r="S777" s="47"/>
    </row>
    <row r="778" spans="1:20" ht="15" customHeight="1">
      <c r="A778" s="68">
        <v>46263</v>
      </c>
      <c r="B778" s="25">
        <f t="shared" si="208"/>
        <v>1.1249999999999998</v>
      </c>
      <c r="C778" s="26"/>
      <c r="D778" s="59"/>
      <c r="E778" s="109"/>
      <c r="F778" s="135" t="str">
        <f>IFERROR(IF($D778="","",VLOOKUP($D778,Cadastro!$C$4:$E$7,3,FALSE)),"")</f>
        <v/>
      </c>
      <c r="G778" s="106"/>
      <c r="H778" s="135" t="str">
        <f>IFERROR(IF($G778="","",$G778*$S$783/$G$783/Cadastro!$E$33),"")</f>
        <v/>
      </c>
      <c r="I778" s="136" t="str">
        <f>IFERROR(IF($D778="","",VLOOKUP($D778,Cadastro!$C$4:$G$7,5,FALSE)),"")</f>
        <v/>
      </c>
      <c r="J778" s="137" t="str">
        <f t="shared" si="205"/>
        <v/>
      </c>
      <c r="K778" s="28" t="str">
        <f t="shared" si="206"/>
        <v/>
      </c>
      <c r="L778" s="26"/>
      <c r="M778" s="26"/>
      <c r="N778" s="26"/>
      <c r="O778" s="29"/>
      <c r="P778" s="29"/>
      <c r="Q778" s="30" t="str">
        <f t="shared" ca="1" si="207"/>
        <v/>
      </c>
      <c r="R778" s="27"/>
      <c r="S778" s="47"/>
    </row>
    <row r="779" spans="1:20" ht="15" customHeight="1">
      <c r="A779" s="69">
        <v>46263</v>
      </c>
      <c r="B779" s="32">
        <f t="shared" si="208"/>
        <v>1.1666666666666665</v>
      </c>
      <c r="C779" s="33"/>
      <c r="D779" s="62"/>
      <c r="E779" s="110"/>
      <c r="F779" s="135" t="str">
        <f>IFERROR(IF($D779="","",VLOOKUP($D779,Cadastro!$C$4:$E$7,3,FALSE)),"")</f>
        <v/>
      </c>
      <c r="G779" s="106"/>
      <c r="H779" s="135" t="str">
        <f>IFERROR(IF($G779="","",$G779*$S$783/$G$783/Cadastro!$E$33),"")</f>
        <v/>
      </c>
      <c r="I779" s="136" t="str">
        <f>IFERROR(IF($D779="","",VLOOKUP($D779,Cadastro!$C$4:$G$7,5,FALSE)),"")</f>
        <v/>
      </c>
      <c r="J779" s="137" t="str">
        <f t="shared" si="205"/>
        <v/>
      </c>
      <c r="K779" s="34" t="str">
        <f t="shared" si="206"/>
        <v/>
      </c>
      <c r="L779" s="33"/>
      <c r="M779" s="33"/>
      <c r="N779" s="33"/>
      <c r="O779" s="29"/>
      <c r="P779" s="29"/>
      <c r="Q779" s="35" t="str">
        <f t="shared" ca="1" si="207"/>
        <v/>
      </c>
      <c r="R779" s="27"/>
      <c r="S779" s="47"/>
    </row>
    <row r="780" spans="1:20" ht="15" customHeight="1">
      <c r="A780" s="68">
        <v>46263</v>
      </c>
      <c r="B780" s="25">
        <f t="shared" si="208"/>
        <v>1.2083333333333333</v>
      </c>
      <c r="C780" s="26"/>
      <c r="D780" s="59"/>
      <c r="E780" s="109"/>
      <c r="F780" s="135" t="str">
        <f>IFERROR(IF($D780="","",VLOOKUP($D780,Cadastro!$C$4:$E$7,3,FALSE)),"")</f>
        <v/>
      </c>
      <c r="G780" s="106"/>
      <c r="H780" s="135" t="str">
        <f>IFERROR(IF($G780="","",$G780*$S$783/$G$783/Cadastro!$E$33),"")</f>
        <v/>
      </c>
      <c r="I780" s="136" t="str">
        <f>IFERROR(IF($D780="","",VLOOKUP($D780,Cadastro!$C$4:$G$7,5,FALSE)),"")</f>
        <v/>
      </c>
      <c r="J780" s="137" t="str">
        <f t="shared" si="205"/>
        <v/>
      </c>
      <c r="K780" s="28" t="str">
        <f t="shared" si="206"/>
        <v/>
      </c>
      <c r="L780" s="26"/>
      <c r="M780" s="26"/>
      <c r="N780" s="26"/>
      <c r="O780" s="29"/>
      <c r="P780" s="29"/>
      <c r="Q780" s="30" t="str">
        <f t="shared" ca="1" si="207"/>
        <v/>
      </c>
      <c r="R780" s="27"/>
      <c r="S780" s="47"/>
    </row>
    <row r="781" spans="1:20" ht="15" customHeight="1">
      <c r="A781" s="69">
        <v>46263</v>
      </c>
      <c r="B781" s="32">
        <f t="shared" si="208"/>
        <v>1.25</v>
      </c>
      <c r="C781" s="33"/>
      <c r="D781" s="62"/>
      <c r="E781" s="110"/>
      <c r="F781" s="135" t="str">
        <f>IFERROR(IF($D781="","",VLOOKUP($D781,Cadastro!$C$4:$E$7,3,FALSE)),"")</f>
        <v/>
      </c>
      <c r="G781" s="106"/>
      <c r="H781" s="135" t="str">
        <f>IFERROR(IF($G781="","",$G781*$S$783/$G$783/Cadastro!$E$33),"")</f>
        <v/>
      </c>
      <c r="I781" s="136" t="str">
        <f>IFERROR(IF($D781="","",VLOOKUP($D781,Cadastro!$C$4:$G$7,5,FALSE)),"")</f>
        <v/>
      </c>
      <c r="J781" s="137" t="str">
        <f t="shared" si="205"/>
        <v/>
      </c>
      <c r="K781" s="34" t="str">
        <f t="shared" si="206"/>
        <v/>
      </c>
      <c r="L781" s="33"/>
      <c r="M781" s="33"/>
      <c r="N781" s="33"/>
      <c r="O781" s="29"/>
      <c r="P781" s="29"/>
      <c r="Q781" s="35" t="str">
        <f t="shared" ca="1" si="207"/>
        <v/>
      </c>
      <c r="R781" s="27"/>
      <c r="S781" s="47"/>
    </row>
    <row r="782" spans="1:20" ht="15" customHeight="1" thickBot="1">
      <c r="A782" s="68">
        <v>46263</v>
      </c>
      <c r="B782" s="25">
        <f t="shared" si="208"/>
        <v>1.2916666666666667</v>
      </c>
      <c r="C782" s="26"/>
      <c r="D782" s="59"/>
      <c r="E782" s="109"/>
      <c r="F782" s="138" t="str">
        <f>IFERROR(IF($D782="","",VLOOKUP($D782,Cadastro!$C$4:$E$7,3,FALSE)),"")</f>
        <v/>
      </c>
      <c r="G782" s="106"/>
      <c r="H782" s="138" t="str">
        <f>IFERROR(IF($G782="","",$G782*$S$783/$G$783/Cadastro!$E$33),"")</f>
        <v/>
      </c>
      <c r="I782" s="139" t="str">
        <f>IFERROR(IF($D782="","",VLOOKUP($D782,Cadastro!$C$4:$G$7,5,FALSE)),"")</f>
        <v/>
      </c>
      <c r="J782" s="140" t="str">
        <f t="shared" si="205"/>
        <v/>
      </c>
      <c r="K782" s="28" t="str">
        <f t="shared" si="206"/>
        <v/>
      </c>
      <c r="L782" s="26"/>
      <c r="M782" s="26"/>
      <c r="N782" s="26"/>
      <c r="O782" s="29"/>
      <c r="P782" s="29"/>
      <c r="Q782" s="30" t="str">
        <f t="shared" ca="1" si="207"/>
        <v/>
      </c>
      <c r="R782" s="27"/>
      <c r="S782" s="47"/>
    </row>
    <row r="783" spans="1:20" ht="15.75" customHeight="1" thickBot="1">
      <c r="A783" s="152" t="s">
        <v>244</v>
      </c>
      <c r="B783" s="153"/>
      <c r="C783" s="153"/>
      <c r="D783" s="153"/>
      <c r="E783" s="153">
        <f>SUM(E771:E782)</f>
        <v>0</v>
      </c>
      <c r="F783" s="112"/>
      <c r="G783" s="81">
        <f>SUM(G771:G782)</f>
        <v>0</v>
      </c>
      <c r="H783" s="112">
        <f>IFERROR(SUM(H771:H782),"")</f>
        <v>0</v>
      </c>
      <c r="I783" s="116"/>
      <c r="J783" s="125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20">
        <f>IFERROR(J783,"")</f>
        <v>0</v>
      </c>
    </row>
    <row r="784" spans="1:20" ht="18" customHeight="1">
      <c r="A784" s="150" t="s">
        <v>245</v>
      </c>
      <c r="B784" s="151"/>
      <c r="C784" s="151"/>
      <c r="D784" s="151"/>
      <c r="E784" s="151">
        <f>E770+E783</f>
        <v>0</v>
      </c>
      <c r="F784" s="113"/>
      <c r="G784" s="92">
        <f>G770+G783</f>
        <v>0</v>
      </c>
      <c r="H784" s="113">
        <f>IFERROR(H770+H783,"")</f>
        <v>0</v>
      </c>
      <c r="I784" s="117"/>
      <c r="J784" s="126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2">
        <f>IFERROR(J784,"")</f>
        <v>0</v>
      </c>
    </row>
    <row r="785" spans="1:20" ht="15" customHeight="1">
      <c r="A785" s="69">
        <v>46264</v>
      </c>
      <c r="B785" s="32">
        <v>0.33333333333333298</v>
      </c>
      <c r="C785" s="33"/>
      <c r="D785" s="62"/>
      <c r="E785" s="110"/>
      <c r="F785" s="141" t="str">
        <f>IFERROR(IF($D785="","",VLOOKUP($D785,Cadastro!$C$4:$E$7,3,FALSE)),"")</f>
        <v/>
      </c>
      <c r="G785" s="106"/>
      <c r="H785" s="141" t="str">
        <f>IFERROR(IF($G785="","",$G785*$S$797/$G$797/Cadastro!$E$33),"")</f>
        <v/>
      </c>
      <c r="I785" s="142" t="str">
        <f>IFERROR(IF($D785="","",VLOOKUP($D785,Cadastro!$C$4:$G$7,5,FALSE)),"")</f>
        <v/>
      </c>
      <c r="J785" s="143" t="str">
        <f t="shared" ref="J785:J796" si="209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0">IFERROR(IF(O785="","",IF(P785="",MOD(NOW()-O785,1),IF(P785&gt;=O785,P785-O785,P785+1-O785))),"")</f>
        <v/>
      </c>
      <c r="R785" s="27"/>
      <c r="S785" s="47"/>
    </row>
    <row r="786" spans="1:20" ht="15" customHeight="1">
      <c r="A786" s="68">
        <v>46264</v>
      </c>
      <c r="B786" s="25">
        <f t="shared" ref="B786:B796" si="211">B785+TIME(0,60,0)</f>
        <v>0.37499999999999967</v>
      </c>
      <c r="C786" s="26"/>
      <c r="D786" s="59"/>
      <c r="E786" s="109"/>
      <c r="F786" s="135" t="str">
        <f>IFERROR(IF($D786="","",VLOOKUP($D786,Cadastro!$C$4:$E$7,3,FALSE)),"")</f>
        <v/>
      </c>
      <c r="G786" s="106"/>
      <c r="H786" s="135" t="str">
        <f>IFERROR(IF($G786="","",$G786*$S$797/$G$797/Cadastro!$E$33),"")</f>
        <v/>
      </c>
      <c r="I786" s="136" t="str">
        <f>IFERROR(IF($D786="","",VLOOKUP($D786,Cadastro!$C$4:$G$7,5,FALSE)),"")</f>
        <v/>
      </c>
      <c r="J786" s="137" t="str">
        <f t="shared" si="209"/>
        <v/>
      </c>
      <c r="K786" s="28"/>
      <c r="L786" s="26"/>
      <c r="M786" s="26"/>
      <c r="N786" s="26"/>
      <c r="O786" s="29"/>
      <c r="P786" s="29"/>
      <c r="Q786" s="30" t="str">
        <f t="shared" ca="1" si="210"/>
        <v/>
      </c>
      <c r="R786" s="27"/>
      <c r="S786" s="47"/>
    </row>
    <row r="787" spans="1:20" ht="15" customHeight="1">
      <c r="A787" s="69">
        <v>46264</v>
      </c>
      <c r="B787" s="32">
        <f t="shared" si="211"/>
        <v>0.41666666666666635</v>
      </c>
      <c r="C787" s="33"/>
      <c r="D787" s="62"/>
      <c r="E787" s="110"/>
      <c r="F787" s="135" t="str">
        <f>IFERROR(IF($D787="","",VLOOKUP($D787,Cadastro!$C$4:$E$7,3,FALSE)),"")</f>
        <v/>
      </c>
      <c r="G787" s="106"/>
      <c r="H787" s="135" t="str">
        <f>IFERROR(IF($G787="","",$G787*$S$797/$G$797/Cadastro!$E$33),"")</f>
        <v/>
      </c>
      <c r="I787" s="136" t="str">
        <f>IFERROR(IF($D787="","",VLOOKUP($D787,Cadastro!$C$4:$G$7,5,FALSE)),"")</f>
        <v/>
      </c>
      <c r="J787" s="137" t="str">
        <f t="shared" si="209"/>
        <v/>
      </c>
      <c r="K787" s="34"/>
      <c r="L787" s="33"/>
      <c r="M787" s="33"/>
      <c r="N787" s="33"/>
      <c r="O787" s="29"/>
      <c r="P787" s="29"/>
      <c r="Q787" s="35" t="str">
        <f t="shared" ca="1" si="210"/>
        <v/>
      </c>
      <c r="R787" s="27"/>
      <c r="S787" s="47"/>
    </row>
    <row r="788" spans="1:20" ht="15" customHeight="1">
      <c r="A788" s="68">
        <v>46264</v>
      </c>
      <c r="B788" s="25">
        <f t="shared" si="211"/>
        <v>0.45833333333333304</v>
      </c>
      <c r="C788" s="26"/>
      <c r="D788" s="59"/>
      <c r="E788" s="109"/>
      <c r="F788" s="135" t="str">
        <f>IFERROR(IF($D788="","",VLOOKUP($D788,Cadastro!$C$4:$E$7,3,FALSE)),"")</f>
        <v/>
      </c>
      <c r="G788" s="106"/>
      <c r="H788" s="135" t="str">
        <f>IFERROR(IF($G788="","",$G788*$S$797/$G$797/Cadastro!$E$33),"")</f>
        <v/>
      </c>
      <c r="I788" s="136" t="str">
        <f>IFERROR(IF($D788="","",VLOOKUP($D788,Cadastro!$C$4:$G$7,5,FALSE)),"")</f>
        <v/>
      </c>
      <c r="J788" s="137" t="str">
        <f t="shared" si="209"/>
        <v/>
      </c>
      <c r="K788" s="28"/>
      <c r="L788" s="26"/>
      <c r="M788" s="26"/>
      <c r="N788" s="26"/>
      <c r="O788" s="29"/>
      <c r="P788" s="29"/>
      <c r="Q788" s="30" t="str">
        <f t="shared" ca="1" si="210"/>
        <v/>
      </c>
      <c r="R788" s="27"/>
      <c r="S788" s="47"/>
    </row>
    <row r="789" spans="1:20" ht="15" customHeight="1">
      <c r="A789" s="69">
        <v>46264</v>
      </c>
      <c r="B789" s="32">
        <f t="shared" si="211"/>
        <v>0.49999999999999972</v>
      </c>
      <c r="C789" s="33"/>
      <c r="D789" s="62"/>
      <c r="E789" s="110"/>
      <c r="F789" s="135" t="str">
        <f>IFERROR(IF($D789="","",VLOOKUP($D789,Cadastro!$C$4:$E$7,3,FALSE)),"")</f>
        <v/>
      </c>
      <c r="G789" s="106"/>
      <c r="H789" s="135" t="str">
        <f>IFERROR(IF($G789="","",$G789*$S$797/$G$797/Cadastro!$E$33),"")</f>
        <v/>
      </c>
      <c r="I789" s="136" t="str">
        <f>IFERROR(IF($D789="","",VLOOKUP($D789,Cadastro!$C$4:$G$7,5,FALSE)),"")</f>
        <v/>
      </c>
      <c r="J789" s="137" t="str">
        <f t="shared" si="209"/>
        <v/>
      </c>
      <c r="K789" s="34"/>
      <c r="L789" s="33"/>
      <c r="M789" s="33"/>
      <c r="N789" s="33"/>
      <c r="O789" s="29"/>
      <c r="P789" s="29"/>
      <c r="Q789" s="35" t="str">
        <f t="shared" ca="1" si="210"/>
        <v/>
      </c>
      <c r="R789" s="27"/>
      <c r="S789" s="47"/>
    </row>
    <row r="790" spans="1:20" ht="15" customHeight="1">
      <c r="A790" s="68">
        <v>46264</v>
      </c>
      <c r="B790" s="25">
        <f t="shared" si="211"/>
        <v>0.54166666666666641</v>
      </c>
      <c r="C790" s="26"/>
      <c r="D790" s="59"/>
      <c r="E790" s="109"/>
      <c r="F790" s="135" t="str">
        <f>IFERROR(IF($D790="","",VLOOKUP($D790,Cadastro!$C$4:$E$7,3,FALSE)),"")</f>
        <v/>
      </c>
      <c r="G790" s="106"/>
      <c r="H790" s="135" t="str">
        <f>IFERROR(IF($G790="","",$G790*$S$797/$G$797/Cadastro!$E$33),"")</f>
        <v/>
      </c>
      <c r="I790" s="136" t="str">
        <f>IFERROR(IF($D790="","",VLOOKUP($D790,Cadastro!$C$4:$G$7,5,FALSE)),"")</f>
        <v/>
      </c>
      <c r="J790" s="137" t="str">
        <f t="shared" si="209"/>
        <v/>
      </c>
      <c r="K790" s="28"/>
      <c r="L790" s="26"/>
      <c r="M790" s="26"/>
      <c r="N790" s="26"/>
      <c r="O790" s="29"/>
      <c r="P790" s="29"/>
      <c r="Q790" s="30" t="str">
        <f t="shared" ca="1" si="210"/>
        <v/>
      </c>
      <c r="R790" s="27"/>
      <c r="S790" s="47"/>
    </row>
    <row r="791" spans="1:20" ht="15" customHeight="1">
      <c r="A791" s="69">
        <v>46264</v>
      </c>
      <c r="B791" s="32">
        <f t="shared" si="211"/>
        <v>0.58333333333333304</v>
      </c>
      <c r="C791" s="33"/>
      <c r="D791" s="62"/>
      <c r="E791" s="110"/>
      <c r="F791" s="135" t="str">
        <f>IFERROR(IF($D791="","",VLOOKUP($D791,Cadastro!$C$4:$E$7,3,FALSE)),"")</f>
        <v/>
      </c>
      <c r="G791" s="106"/>
      <c r="H791" s="135" t="str">
        <f>IFERROR(IF($G791="","",$G791*$S$797/$G$797/Cadastro!$E$33),"")</f>
        <v/>
      </c>
      <c r="I791" s="136" t="str">
        <f>IFERROR(IF($D791="","",VLOOKUP($D791,Cadastro!$C$4:$G$7,5,FALSE)),"")</f>
        <v/>
      </c>
      <c r="J791" s="137" t="str">
        <f t="shared" si="209"/>
        <v/>
      </c>
      <c r="K791" s="34"/>
      <c r="L791" s="33"/>
      <c r="M791" s="33"/>
      <c r="N791" s="33"/>
      <c r="O791" s="29"/>
      <c r="P791" s="29"/>
      <c r="Q791" s="35" t="str">
        <f t="shared" ca="1" si="210"/>
        <v/>
      </c>
      <c r="R791" s="27"/>
      <c r="S791" s="47"/>
    </row>
    <row r="792" spans="1:20" ht="15" customHeight="1">
      <c r="A792" s="68">
        <v>46264</v>
      </c>
      <c r="B792" s="25">
        <f t="shared" si="211"/>
        <v>0.62499999999999967</v>
      </c>
      <c r="C792" s="26"/>
      <c r="D792" s="59"/>
      <c r="E792" s="109"/>
      <c r="F792" s="135" t="str">
        <f>IFERROR(IF($D792="","",VLOOKUP($D792,Cadastro!$C$4:$E$7,3,FALSE)),"")</f>
        <v/>
      </c>
      <c r="G792" s="106"/>
      <c r="H792" s="135" t="str">
        <f>IFERROR(IF($G792="","",$G792*$S$797/$G$797/Cadastro!$E$33),"")</f>
        <v/>
      </c>
      <c r="I792" s="136" t="str">
        <f>IFERROR(IF($D792="","",VLOOKUP($D792,Cadastro!$C$4:$G$7,5,FALSE)),"")</f>
        <v/>
      </c>
      <c r="J792" s="137" t="str">
        <f t="shared" si="209"/>
        <v/>
      </c>
      <c r="K792" s="28"/>
      <c r="L792" s="26"/>
      <c r="M792" s="26"/>
      <c r="N792" s="26"/>
      <c r="O792" s="29"/>
      <c r="P792" s="29"/>
      <c r="Q792" s="30" t="str">
        <f t="shared" ca="1" si="210"/>
        <v/>
      </c>
      <c r="R792" s="27"/>
      <c r="S792" s="47"/>
    </row>
    <row r="793" spans="1:20" ht="15" customHeight="1">
      <c r="A793" s="69">
        <v>46264</v>
      </c>
      <c r="B793" s="32">
        <f t="shared" si="211"/>
        <v>0.6666666666666663</v>
      </c>
      <c r="C793" s="33"/>
      <c r="D793" s="62"/>
      <c r="E793" s="110"/>
      <c r="F793" s="135" t="str">
        <f>IFERROR(IF($D793="","",VLOOKUP($D793,Cadastro!$C$4:$E$7,3,FALSE)),"")</f>
        <v/>
      </c>
      <c r="G793" s="106"/>
      <c r="H793" s="135" t="str">
        <f>IFERROR(IF($G793="","",$G793*$S$797/$G$797/Cadastro!$E$33),"")</f>
        <v/>
      </c>
      <c r="I793" s="136" t="str">
        <f>IFERROR(IF($D793="","",VLOOKUP($D793,Cadastro!$C$4:$G$7,5,FALSE)),"")</f>
        <v/>
      </c>
      <c r="J793" s="137" t="str">
        <f t="shared" si="209"/>
        <v/>
      </c>
      <c r="K793" s="34"/>
      <c r="L793" s="33"/>
      <c r="M793" s="33"/>
      <c r="N793" s="33"/>
      <c r="O793" s="29"/>
      <c r="P793" s="29"/>
      <c r="Q793" s="35" t="str">
        <f t="shared" ca="1" si="210"/>
        <v/>
      </c>
      <c r="R793" s="27"/>
      <c r="S793" s="47"/>
    </row>
    <row r="794" spans="1:20" ht="15" customHeight="1">
      <c r="A794" s="68">
        <v>46264</v>
      </c>
      <c r="B794" s="25">
        <f t="shared" si="211"/>
        <v>0.70833333333333293</v>
      </c>
      <c r="C794" s="26"/>
      <c r="D794" s="59"/>
      <c r="E794" s="109"/>
      <c r="F794" s="135" t="str">
        <f>IFERROR(IF($D794="","",VLOOKUP($D794,Cadastro!$C$4:$E$7,3,FALSE)),"")</f>
        <v/>
      </c>
      <c r="G794" s="106"/>
      <c r="H794" s="135" t="str">
        <f>IFERROR(IF($G794="","",$G794*$S$797/$G$797/Cadastro!$E$33),"")</f>
        <v/>
      </c>
      <c r="I794" s="136" t="str">
        <f>IFERROR(IF($D794="","",VLOOKUP($D794,Cadastro!$C$4:$G$7,5,FALSE)),"")</f>
        <v/>
      </c>
      <c r="J794" s="137" t="str">
        <f t="shared" si="209"/>
        <v/>
      </c>
      <c r="K794" s="28"/>
      <c r="L794" s="26"/>
      <c r="M794" s="26"/>
      <c r="N794" s="26"/>
      <c r="O794" s="29"/>
      <c r="P794" s="29"/>
      <c r="Q794" s="30" t="str">
        <f t="shared" ca="1" si="210"/>
        <v/>
      </c>
      <c r="R794" s="27"/>
      <c r="S794" s="47"/>
    </row>
    <row r="795" spans="1:20" ht="15" customHeight="1">
      <c r="A795" s="69">
        <v>46264</v>
      </c>
      <c r="B795" s="32">
        <f t="shared" si="211"/>
        <v>0.74999999999999956</v>
      </c>
      <c r="C795" s="33"/>
      <c r="D795" s="62"/>
      <c r="E795" s="110"/>
      <c r="F795" s="135" t="str">
        <f>IFERROR(IF($D795="","",VLOOKUP($D795,Cadastro!$C$4:$E$7,3,FALSE)),"")</f>
        <v/>
      </c>
      <c r="G795" s="106"/>
      <c r="H795" s="135" t="str">
        <f>IFERROR(IF($G795="","",$G795*$S$797/$G$797/Cadastro!$E$33),"")</f>
        <v/>
      </c>
      <c r="I795" s="136" t="str">
        <f>IFERROR(IF($D795="","",VLOOKUP($D795,Cadastro!$C$4:$G$7,5,FALSE)),"")</f>
        <v/>
      </c>
      <c r="J795" s="137" t="str">
        <f t="shared" si="209"/>
        <v/>
      </c>
      <c r="K795" s="34"/>
      <c r="L795" s="33"/>
      <c r="M795" s="33"/>
      <c r="N795" s="33"/>
      <c r="O795" s="29"/>
      <c r="P795" s="29"/>
      <c r="Q795" s="35" t="str">
        <f t="shared" ca="1" si="210"/>
        <v/>
      </c>
      <c r="R795" s="27"/>
      <c r="S795" s="47"/>
    </row>
    <row r="796" spans="1:20" ht="15" customHeight="1" thickBot="1">
      <c r="A796" s="68">
        <v>46264</v>
      </c>
      <c r="B796" s="25">
        <f t="shared" si="211"/>
        <v>0.79166666666666619</v>
      </c>
      <c r="C796" s="26"/>
      <c r="D796" s="59"/>
      <c r="E796" s="109"/>
      <c r="F796" s="138" t="str">
        <f>IFERROR(IF($D796="","",VLOOKUP($D796,Cadastro!$C$4:$E$7,3,FALSE)),"")</f>
        <v/>
      </c>
      <c r="G796" s="106"/>
      <c r="H796" s="138" t="str">
        <f>IFERROR(IF($G796="","",$G796*$S$797/$G$797/Cadastro!$E$33),"")</f>
        <v/>
      </c>
      <c r="I796" s="139" t="str">
        <f>IFERROR(IF($D796="","",VLOOKUP($D796,Cadastro!$C$4:$G$7,5,FALSE)),"")</f>
        <v/>
      </c>
      <c r="J796" s="140" t="str">
        <f t="shared" si="209"/>
        <v/>
      </c>
      <c r="K796" s="28"/>
      <c r="L796" s="26"/>
      <c r="M796" s="26"/>
      <c r="N796" s="26"/>
      <c r="O796" s="29"/>
      <c r="P796" s="29"/>
      <c r="Q796" s="30" t="str">
        <f t="shared" ca="1" si="210"/>
        <v/>
      </c>
      <c r="R796" s="27"/>
      <c r="S796" s="47"/>
    </row>
    <row r="797" spans="1:20" ht="15.75" customHeight="1" thickBot="1">
      <c r="A797" s="152" t="s">
        <v>241</v>
      </c>
      <c r="B797" s="153"/>
      <c r="C797" s="153"/>
      <c r="D797" s="153"/>
      <c r="E797" s="153">
        <f>SUM(E785:E796)</f>
        <v>0</v>
      </c>
      <c r="F797" s="111"/>
      <c r="G797" s="81">
        <f>SUM(G785:G796)</f>
        <v>0</v>
      </c>
      <c r="H797" s="111">
        <f>IFERROR(SUM(H785:H796),"")</f>
        <v>0</v>
      </c>
      <c r="I797" s="115"/>
      <c r="J797" s="124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20">
        <f>IFERROR(J797,"")</f>
        <v>0</v>
      </c>
    </row>
    <row r="798" spans="1:20" ht="15" customHeight="1">
      <c r="A798" s="68">
        <v>46264</v>
      </c>
      <c r="B798" s="25">
        <v>0.83333333333333304</v>
      </c>
      <c r="C798" s="26"/>
      <c r="D798" s="59"/>
      <c r="E798" s="109"/>
      <c r="F798" s="141" t="str">
        <f>IFERROR(IF($D798="","",VLOOKUP($D798,Cadastro!$C$4:$E$7,3,FALSE)),"")</f>
        <v/>
      </c>
      <c r="G798" s="106"/>
      <c r="H798" s="141" t="str">
        <f>IFERROR(IF($G798="","",$G798*$S$810/$G$810/Cadastro!$E$33),"")</f>
        <v/>
      </c>
      <c r="I798" s="142" t="str">
        <f>IFERROR(IF($D798="","",VLOOKUP($D798,Cadastro!$C$4:$G$7,5,FALSE)),"")</f>
        <v/>
      </c>
      <c r="J798" s="143" t="str">
        <f t="shared" ref="J798:J809" si="212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3">IFERROR(IF(O798="","",IF(P798="",MOD(NOW()-O798,1),IF(P798&gt;=O798,P798-O798,P798+1-O798))),"")</f>
        <v/>
      </c>
      <c r="R798" s="27"/>
      <c r="S798" s="47"/>
    </row>
    <row r="799" spans="1:20" ht="15" customHeight="1">
      <c r="A799" s="69">
        <v>46264</v>
      </c>
      <c r="B799" s="32">
        <f t="shared" ref="B799:B809" si="214">B798+TIME(0,60,0)</f>
        <v>0.87499999999999967</v>
      </c>
      <c r="C799" s="33"/>
      <c r="D799" s="62"/>
      <c r="E799" s="110"/>
      <c r="F799" s="135" t="str">
        <f>IFERROR(IF($D799="","",VLOOKUP($D799,Cadastro!$C$4:$E$7,3,FALSE)),"")</f>
        <v/>
      </c>
      <c r="G799" s="106"/>
      <c r="H799" s="135" t="str">
        <f>IFERROR(IF($G799="","",$G799*$S$810/$G$810/Cadastro!$E$33),"")</f>
        <v/>
      </c>
      <c r="I799" s="136" t="str">
        <f>IFERROR(IF($D799="","",VLOOKUP($D799,Cadastro!$C$4:$G$7,5,FALSE)),"")</f>
        <v/>
      </c>
      <c r="J799" s="137" t="str">
        <f t="shared" si="212"/>
        <v/>
      </c>
      <c r="K799" s="34"/>
      <c r="L799" s="33"/>
      <c r="M799" s="33"/>
      <c r="N799" s="33"/>
      <c r="O799" s="29"/>
      <c r="P799" s="29"/>
      <c r="Q799" s="35" t="str">
        <f t="shared" ca="1" si="213"/>
        <v/>
      </c>
      <c r="R799" s="27"/>
      <c r="S799" s="47"/>
    </row>
    <row r="800" spans="1:20" ht="15" customHeight="1">
      <c r="A800" s="68">
        <v>46264</v>
      </c>
      <c r="B800" s="25">
        <f t="shared" si="214"/>
        <v>0.9166666666666663</v>
      </c>
      <c r="C800" s="26"/>
      <c r="D800" s="59"/>
      <c r="E800" s="109"/>
      <c r="F800" s="135" t="str">
        <f>IFERROR(IF($D800="","",VLOOKUP($D800,Cadastro!$C$4:$E$7,3,FALSE)),"")</f>
        <v/>
      </c>
      <c r="G800" s="106"/>
      <c r="H800" s="135" t="str">
        <f>IFERROR(IF($G800="","",$G800*$S$810/$G$810/Cadastro!$E$33),"")</f>
        <v/>
      </c>
      <c r="I800" s="136" t="str">
        <f>IFERROR(IF($D800="","",VLOOKUP($D800,Cadastro!$C$4:$G$7,5,FALSE)),"")</f>
        <v/>
      </c>
      <c r="J800" s="137" t="str">
        <f t="shared" si="212"/>
        <v/>
      </c>
      <c r="K800" s="28"/>
      <c r="L800" s="26"/>
      <c r="M800" s="26"/>
      <c r="N800" s="26"/>
      <c r="O800" s="29"/>
      <c r="P800" s="29"/>
      <c r="Q800" s="30" t="str">
        <f t="shared" ca="1" si="213"/>
        <v/>
      </c>
      <c r="R800" s="27"/>
      <c r="S800" s="47"/>
    </row>
    <row r="801" spans="1:20" ht="15" customHeight="1">
      <c r="A801" s="69">
        <v>46264</v>
      </c>
      <c r="B801" s="32">
        <f t="shared" si="214"/>
        <v>0.95833333333333293</v>
      </c>
      <c r="C801" s="33"/>
      <c r="D801" s="62"/>
      <c r="E801" s="110"/>
      <c r="F801" s="135" t="str">
        <f>IFERROR(IF($D801="","",VLOOKUP($D801,Cadastro!$C$4:$E$7,3,FALSE)),"")</f>
        <v/>
      </c>
      <c r="G801" s="106"/>
      <c r="H801" s="135" t="str">
        <f>IFERROR(IF($G801="","",$G801*$S$810/$G$810/Cadastro!$E$33),"")</f>
        <v/>
      </c>
      <c r="I801" s="136" t="str">
        <f>IFERROR(IF($D801="","",VLOOKUP($D801,Cadastro!$C$4:$G$7,5,FALSE)),"")</f>
        <v/>
      </c>
      <c r="J801" s="137" t="str">
        <f t="shared" si="212"/>
        <v/>
      </c>
      <c r="K801" s="34" t="str">
        <f t="shared" ref="K801:K809" si="215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3"/>
        <v/>
      </c>
      <c r="R801" s="27"/>
      <c r="S801" s="47"/>
    </row>
    <row r="802" spans="1:20" ht="15" customHeight="1">
      <c r="A802" s="68">
        <v>46264</v>
      </c>
      <c r="B802" s="25">
        <f t="shared" si="214"/>
        <v>0.99999999999999956</v>
      </c>
      <c r="C802" s="26"/>
      <c r="D802" s="59"/>
      <c r="E802" s="109"/>
      <c r="F802" s="135" t="str">
        <f>IFERROR(IF($D802="","",VLOOKUP($D802,Cadastro!$C$4:$E$7,3,FALSE)),"")</f>
        <v/>
      </c>
      <c r="G802" s="106"/>
      <c r="H802" s="135" t="str">
        <f>IFERROR(IF($G802="","",$G802*$S$810/$G$810/Cadastro!$E$33),"")</f>
        <v/>
      </c>
      <c r="I802" s="136" t="str">
        <f>IFERROR(IF($D802="","",VLOOKUP($D802,Cadastro!$C$4:$G$7,5,FALSE)),"")</f>
        <v/>
      </c>
      <c r="J802" s="137" t="str">
        <f t="shared" si="212"/>
        <v/>
      </c>
      <c r="K802" s="28" t="str">
        <f t="shared" si="215"/>
        <v/>
      </c>
      <c r="L802" s="26"/>
      <c r="M802" s="26"/>
      <c r="N802" s="26"/>
      <c r="O802" s="29"/>
      <c r="P802" s="29"/>
      <c r="Q802" s="30" t="str">
        <f t="shared" ca="1" si="213"/>
        <v/>
      </c>
      <c r="R802" s="27"/>
      <c r="S802" s="47"/>
    </row>
    <row r="803" spans="1:20" ht="15" customHeight="1">
      <c r="A803" s="69">
        <v>46264</v>
      </c>
      <c r="B803" s="32">
        <f t="shared" si="214"/>
        <v>1.0416666666666663</v>
      </c>
      <c r="C803" s="33"/>
      <c r="D803" s="62"/>
      <c r="E803" s="110"/>
      <c r="F803" s="135" t="str">
        <f>IFERROR(IF($D803="","",VLOOKUP($D803,Cadastro!$C$4:$E$7,3,FALSE)),"")</f>
        <v/>
      </c>
      <c r="G803" s="106"/>
      <c r="H803" s="135" t="str">
        <f>IFERROR(IF($G803="","",$G803*$S$810/$G$810/Cadastro!$E$33),"")</f>
        <v/>
      </c>
      <c r="I803" s="136" t="str">
        <f>IFERROR(IF($D803="","",VLOOKUP($D803,Cadastro!$C$4:$G$7,5,FALSE)),"")</f>
        <v/>
      </c>
      <c r="J803" s="137" t="str">
        <f t="shared" si="212"/>
        <v/>
      </c>
      <c r="K803" s="34" t="str">
        <f t="shared" si="215"/>
        <v/>
      </c>
      <c r="L803" s="33"/>
      <c r="M803" s="33"/>
      <c r="N803" s="33"/>
      <c r="O803" s="29"/>
      <c r="P803" s="29"/>
      <c r="Q803" s="35" t="str">
        <f t="shared" ca="1" si="213"/>
        <v/>
      </c>
      <c r="R803" s="27"/>
      <c r="S803" s="47"/>
    </row>
    <row r="804" spans="1:20" ht="15" customHeight="1">
      <c r="A804" s="68">
        <v>46264</v>
      </c>
      <c r="B804" s="25">
        <f t="shared" si="214"/>
        <v>1.083333333333333</v>
      </c>
      <c r="C804" s="26"/>
      <c r="D804" s="59"/>
      <c r="E804" s="109"/>
      <c r="F804" s="135" t="str">
        <f>IFERROR(IF($D804="","",VLOOKUP($D804,Cadastro!$C$4:$E$7,3,FALSE)),"")</f>
        <v/>
      </c>
      <c r="G804" s="106"/>
      <c r="H804" s="135" t="str">
        <f>IFERROR(IF($G804="","",$G804*$S$810/$G$810/Cadastro!$E$33),"")</f>
        <v/>
      </c>
      <c r="I804" s="136" t="str">
        <f>IFERROR(IF($D804="","",VLOOKUP($D804,Cadastro!$C$4:$G$7,5,FALSE)),"")</f>
        <v/>
      </c>
      <c r="J804" s="137" t="str">
        <f t="shared" si="212"/>
        <v/>
      </c>
      <c r="K804" s="28" t="str">
        <f t="shared" si="215"/>
        <v/>
      </c>
      <c r="L804" s="26"/>
      <c r="M804" s="26"/>
      <c r="N804" s="26"/>
      <c r="O804" s="29"/>
      <c r="P804" s="29"/>
      <c r="Q804" s="30" t="str">
        <f t="shared" ca="1" si="213"/>
        <v/>
      </c>
      <c r="R804" s="27"/>
      <c r="S804" s="47"/>
    </row>
    <row r="805" spans="1:20" ht="15" customHeight="1">
      <c r="A805" s="69">
        <v>46264</v>
      </c>
      <c r="B805" s="32">
        <f t="shared" si="214"/>
        <v>1.1249999999999998</v>
      </c>
      <c r="C805" s="33"/>
      <c r="D805" s="62"/>
      <c r="E805" s="110"/>
      <c r="F805" s="135" t="str">
        <f>IFERROR(IF($D805="","",VLOOKUP($D805,Cadastro!$C$4:$E$7,3,FALSE)),"")</f>
        <v/>
      </c>
      <c r="G805" s="106"/>
      <c r="H805" s="135" t="str">
        <f>IFERROR(IF($G805="","",$G805*$S$810/$G$810/Cadastro!$E$33),"")</f>
        <v/>
      </c>
      <c r="I805" s="136" t="str">
        <f>IFERROR(IF($D805="","",VLOOKUP($D805,Cadastro!$C$4:$G$7,5,FALSE)),"")</f>
        <v/>
      </c>
      <c r="J805" s="137" t="str">
        <f t="shared" si="212"/>
        <v/>
      </c>
      <c r="K805" s="34" t="str">
        <f t="shared" si="215"/>
        <v/>
      </c>
      <c r="L805" s="33"/>
      <c r="M805" s="33"/>
      <c r="N805" s="33"/>
      <c r="O805" s="29"/>
      <c r="P805" s="29"/>
      <c r="Q805" s="35" t="str">
        <f t="shared" ca="1" si="213"/>
        <v/>
      </c>
      <c r="R805" s="27"/>
      <c r="S805" s="47"/>
    </row>
    <row r="806" spans="1:20" ht="15" customHeight="1">
      <c r="A806" s="68">
        <v>46264</v>
      </c>
      <c r="B806" s="25">
        <f t="shared" si="214"/>
        <v>1.1666666666666665</v>
      </c>
      <c r="C806" s="26"/>
      <c r="D806" s="59"/>
      <c r="E806" s="109"/>
      <c r="F806" s="135" t="str">
        <f>IFERROR(IF($D806="","",VLOOKUP($D806,Cadastro!$C$4:$E$7,3,FALSE)),"")</f>
        <v/>
      </c>
      <c r="G806" s="106"/>
      <c r="H806" s="135" t="str">
        <f>IFERROR(IF($G806="","",$G806*$S$810/$G$810/Cadastro!$E$33),"")</f>
        <v/>
      </c>
      <c r="I806" s="136" t="str">
        <f>IFERROR(IF($D806="","",VLOOKUP($D806,Cadastro!$C$4:$G$7,5,FALSE)),"")</f>
        <v/>
      </c>
      <c r="J806" s="137" t="str">
        <f t="shared" si="212"/>
        <v/>
      </c>
      <c r="K806" s="28" t="str">
        <f t="shared" si="215"/>
        <v/>
      </c>
      <c r="L806" s="26"/>
      <c r="M806" s="26"/>
      <c r="N806" s="26"/>
      <c r="O806" s="29"/>
      <c r="P806" s="29"/>
      <c r="Q806" s="30" t="str">
        <f t="shared" ca="1" si="213"/>
        <v/>
      </c>
      <c r="R806" s="27"/>
      <c r="S806" s="47"/>
    </row>
    <row r="807" spans="1:20" ht="15" customHeight="1">
      <c r="A807" s="69">
        <v>46264</v>
      </c>
      <c r="B807" s="32">
        <f t="shared" si="214"/>
        <v>1.2083333333333333</v>
      </c>
      <c r="C807" s="33"/>
      <c r="D807" s="62"/>
      <c r="E807" s="110"/>
      <c r="F807" s="135" t="str">
        <f>IFERROR(IF($D807="","",VLOOKUP($D807,Cadastro!$C$4:$E$7,3,FALSE)),"")</f>
        <v/>
      </c>
      <c r="G807" s="106"/>
      <c r="H807" s="135" t="str">
        <f>IFERROR(IF($G807="","",$G807*$S$810/$G$810/Cadastro!$E$33),"")</f>
        <v/>
      </c>
      <c r="I807" s="136" t="str">
        <f>IFERROR(IF($D807="","",VLOOKUP($D807,Cadastro!$C$4:$G$7,5,FALSE)),"")</f>
        <v/>
      </c>
      <c r="J807" s="137" t="str">
        <f t="shared" si="212"/>
        <v/>
      </c>
      <c r="K807" s="34" t="str">
        <f t="shared" si="215"/>
        <v/>
      </c>
      <c r="L807" s="33"/>
      <c r="M807" s="33"/>
      <c r="N807" s="33"/>
      <c r="O807" s="29"/>
      <c r="P807" s="29"/>
      <c r="Q807" s="35" t="str">
        <f t="shared" ca="1" si="213"/>
        <v/>
      </c>
      <c r="R807" s="27"/>
      <c r="S807" s="47"/>
    </row>
    <row r="808" spans="1:20" ht="15" customHeight="1">
      <c r="A808" s="68">
        <v>46264</v>
      </c>
      <c r="B808" s="25">
        <f t="shared" si="214"/>
        <v>1.25</v>
      </c>
      <c r="C808" s="26"/>
      <c r="D808" s="59"/>
      <c r="E808" s="109"/>
      <c r="F808" s="135" t="str">
        <f>IFERROR(IF($D808="","",VLOOKUP($D808,Cadastro!$C$4:$E$7,3,FALSE)),"")</f>
        <v/>
      </c>
      <c r="G808" s="106"/>
      <c r="H808" s="135" t="str">
        <f>IFERROR(IF($G808="","",$G808*$S$810/$G$810/Cadastro!$E$33),"")</f>
        <v/>
      </c>
      <c r="I808" s="136" t="str">
        <f>IFERROR(IF($D808="","",VLOOKUP($D808,Cadastro!$C$4:$G$7,5,FALSE)),"")</f>
        <v/>
      </c>
      <c r="J808" s="137" t="str">
        <f t="shared" si="212"/>
        <v/>
      </c>
      <c r="K808" s="28" t="str">
        <f t="shared" si="215"/>
        <v/>
      </c>
      <c r="L808" s="26"/>
      <c r="M808" s="26"/>
      <c r="N808" s="26"/>
      <c r="O808" s="29"/>
      <c r="P808" s="29"/>
      <c r="Q808" s="30" t="str">
        <f t="shared" ca="1" si="213"/>
        <v/>
      </c>
      <c r="R808" s="27"/>
      <c r="S808" s="47"/>
    </row>
    <row r="809" spans="1:20" ht="15" customHeight="1" thickBot="1">
      <c r="A809" s="69">
        <v>46264</v>
      </c>
      <c r="B809" s="32">
        <f t="shared" si="214"/>
        <v>1.2916666666666667</v>
      </c>
      <c r="C809" s="33"/>
      <c r="D809" s="62"/>
      <c r="E809" s="110"/>
      <c r="F809" s="138" t="str">
        <f>IFERROR(IF($D809="","",VLOOKUP($D809,Cadastro!$C$4:$E$7,3,FALSE)),"")</f>
        <v/>
      </c>
      <c r="G809" s="106"/>
      <c r="H809" s="138" t="str">
        <f>IFERROR(IF($G809="","",$G809*$S$810/$G$810/Cadastro!$E$33),"")</f>
        <v/>
      </c>
      <c r="I809" s="139" t="str">
        <f>IFERROR(IF($D809="","",VLOOKUP($D809,Cadastro!$C$4:$G$7,5,FALSE)),"")</f>
        <v/>
      </c>
      <c r="J809" s="140" t="str">
        <f t="shared" si="212"/>
        <v/>
      </c>
      <c r="K809" s="34" t="str">
        <f t="shared" si="215"/>
        <v/>
      </c>
      <c r="L809" s="33"/>
      <c r="M809" s="33"/>
      <c r="N809" s="33"/>
      <c r="O809" s="29"/>
      <c r="P809" s="29"/>
      <c r="Q809" s="35" t="str">
        <f t="shared" ca="1" si="213"/>
        <v/>
      </c>
      <c r="R809" s="27"/>
      <c r="S809" s="47"/>
    </row>
    <row r="810" spans="1:20" ht="15.75" customHeight="1" thickBot="1">
      <c r="A810" s="152" t="s">
        <v>244</v>
      </c>
      <c r="B810" s="153"/>
      <c r="C810" s="153"/>
      <c r="D810" s="153"/>
      <c r="E810" s="153">
        <f>SUM(E798:E809)</f>
        <v>0</v>
      </c>
      <c r="F810" s="112"/>
      <c r="G810" s="81">
        <f>SUM(G798:G809)</f>
        <v>0</v>
      </c>
      <c r="H810" s="112">
        <f>IFERROR(SUM(H798:H809),"")</f>
        <v>0</v>
      </c>
      <c r="I810" s="116"/>
      <c r="J810" s="125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20">
        <f>IFERROR(J810,"")</f>
        <v>0</v>
      </c>
    </row>
    <row r="811" spans="1:20" ht="18" customHeight="1">
      <c r="A811" s="150" t="s">
        <v>245</v>
      </c>
      <c r="B811" s="151"/>
      <c r="C811" s="151"/>
      <c r="D811" s="151"/>
      <c r="E811" s="151">
        <f>E797+E810</f>
        <v>0</v>
      </c>
      <c r="F811" s="113"/>
      <c r="G811" s="92">
        <f>G797+G810</f>
        <v>0</v>
      </c>
      <c r="H811" s="113">
        <f>IFERROR(H797+H810,"")</f>
        <v>0</v>
      </c>
      <c r="I811" s="117"/>
      <c r="J811" s="126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1">
        <f>IFERROR(J811,"")</f>
        <v>0</v>
      </c>
    </row>
    <row r="812" spans="1:20" ht="15" customHeight="1">
      <c r="A812" s="68">
        <v>46265</v>
      </c>
      <c r="B812" s="25">
        <v>0.33333333333333298</v>
      </c>
      <c r="C812" s="26"/>
      <c r="D812" s="59"/>
      <c r="E812" s="109"/>
      <c r="F812" s="141" t="str">
        <f>IFERROR(IF($D812="","",VLOOKUP($D812,Cadastro!$C$4:$E$7,3,FALSE)),"")</f>
        <v/>
      </c>
      <c r="G812" s="106"/>
      <c r="H812" s="141" t="str">
        <f>IFERROR(IF($G812="","",$G812*$S$824/$G$824/Cadastro!$E$33),"")</f>
        <v/>
      </c>
      <c r="I812" s="142" t="str">
        <f>IFERROR(IF($D812="","",VLOOKUP($D812,Cadastro!$C$4:$G$7,5,FALSE)),"")</f>
        <v/>
      </c>
      <c r="J812" s="143" t="str">
        <f t="shared" ref="J812:J823" si="216">IFERROR(IF($H812="","",$H812*$F812*$I812),"")</f>
        <v/>
      </c>
      <c r="K812" s="28" t="str">
        <f t="shared" ref="K812:K823" si="217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8">IFERROR(IF(O812="","",IF(P812="",MOD(NOW()-O812,1),IF(P812&gt;=O812,P812-O812,P812+1-O812))),"")</f>
        <v/>
      </c>
      <c r="R812" s="27"/>
      <c r="S812" s="31"/>
    </row>
    <row r="813" spans="1:20" ht="15" customHeight="1">
      <c r="A813" s="69">
        <v>46265</v>
      </c>
      <c r="B813" s="32">
        <f t="shared" ref="B813:B823" si="219">B812+TIME(0,60,0)</f>
        <v>0.37499999999999967</v>
      </c>
      <c r="C813" s="26"/>
      <c r="D813" s="59"/>
      <c r="E813" s="109"/>
      <c r="F813" s="135" t="str">
        <f>IFERROR(IF($D813="","",VLOOKUP($D813,Cadastro!$C$4:$E$7,3,FALSE)),"")</f>
        <v/>
      </c>
      <c r="G813" s="106"/>
      <c r="H813" s="135" t="str">
        <f>IFERROR(IF($G813="","",$G813*$S$824/$G$824/Cadastro!$E$33),"")</f>
        <v/>
      </c>
      <c r="I813" s="136" t="str">
        <f>IFERROR(IF($D813="","",VLOOKUP($D813,Cadastro!$C$4:$G$7,5,FALSE)),"")</f>
        <v/>
      </c>
      <c r="J813" s="137" t="str">
        <f t="shared" si="216"/>
        <v/>
      </c>
      <c r="K813" s="34" t="str">
        <f t="shared" si="217"/>
        <v/>
      </c>
      <c r="L813" s="33"/>
      <c r="M813" s="26"/>
      <c r="N813" s="26"/>
      <c r="O813" s="29"/>
      <c r="P813" s="29"/>
      <c r="Q813" s="30" t="str">
        <f t="shared" ca="1" si="218"/>
        <v/>
      </c>
      <c r="R813" s="27"/>
      <c r="S813" s="31"/>
    </row>
    <row r="814" spans="1:20" ht="15" customHeight="1">
      <c r="A814" s="68">
        <v>46265</v>
      </c>
      <c r="B814" s="25">
        <f t="shared" si="219"/>
        <v>0.41666666666666635</v>
      </c>
      <c r="C814" s="26"/>
      <c r="D814" s="59"/>
      <c r="E814" s="109"/>
      <c r="F814" s="135" t="str">
        <f>IFERROR(IF($D814="","",VLOOKUP($D814,Cadastro!$C$4:$E$7,3,FALSE)),"")</f>
        <v/>
      </c>
      <c r="G814" s="106"/>
      <c r="H814" s="135" t="str">
        <f>IFERROR(IF($G814="","",$G814*$S$824/$G$824/Cadastro!$E$33),"")</f>
        <v/>
      </c>
      <c r="I814" s="136" t="str">
        <f>IFERROR(IF($D814="","",VLOOKUP($D814,Cadastro!$C$4:$G$7,5,FALSE)),"")</f>
        <v/>
      </c>
      <c r="J814" s="137" t="str">
        <f t="shared" si="216"/>
        <v/>
      </c>
      <c r="K814" s="28" t="str">
        <f t="shared" si="217"/>
        <v/>
      </c>
      <c r="M814" s="33"/>
      <c r="N814" s="33"/>
      <c r="O814" s="29"/>
      <c r="P814" s="29"/>
      <c r="Q814" s="35" t="str">
        <f t="shared" ca="1" si="218"/>
        <v/>
      </c>
      <c r="R814" s="27"/>
      <c r="S814" s="31"/>
    </row>
    <row r="815" spans="1:20" ht="15" customHeight="1">
      <c r="A815" s="69">
        <v>46265</v>
      </c>
      <c r="B815" s="32">
        <f t="shared" si="219"/>
        <v>0.45833333333333304</v>
      </c>
      <c r="C815" s="26"/>
      <c r="D815" s="59"/>
      <c r="E815" s="109"/>
      <c r="F815" s="135" t="str">
        <f>IFERROR(IF($D815="","",VLOOKUP($D815,Cadastro!$C$4:$E$7,3,FALSE)),"")</f>
        <v/>
      </c>
      <c r="G815" s="106"/>
      <c r="H815" s="135" t="str">
        <f>IFERROR(IF($G815="","",$G815*$S$824/$G$824/Cadastro!$E$33),"")</f>
        <v/>
      </c>
      <c r="I815" s="136" t="str">
        <f>IFERROR(IF($D815="","",VLOOKUP($D815,Cadastro!$C$4:$G$7,5,FALSE)),"")</f>
        <v/>
      </c>
      <c r="J815" s="137" t="str">
        <f t="shared" si="216"/>
        <v/>
      </c>
      <c r="K815" s="34" t="str">
        <f t="shared" si="217"/>
        <v/>
      </c>
      <c r="L815" s="26"/>
      <c r="M815" s="26"/>
      <c r="N815" s="26"/>
      <c r="O815" s="29"/>
      <c r="P815" s="29"/>
      <c r="Q815" s="30" t="str">
        <f t="shared" ca="1" si="218"/>
        <v/>
      </c>
      <c r="R815" s="27"/>
      <c r="S815" s="31"/>
    </row>
    <row r="816" spans="1:20" ht="15" customHeight="1">
      <c r="A816" s="68">
        <v>46265</v>
      </c>
      <c r="B816" s="25">
        <f t="shared" si="219"/>
        <v>0.49999999999999972</v>
      </c>
      <c r="C816" s="26"/>
      <c r="D816" s="59"/>
      <c r="E816" s="109"/>
      <c r="F816" s="135" t="str">
        <f>IFERROR(IF($D816="","",VLOOKUP($D816,Cadastro!$C$4:$E$7,3,FALSE)),"")</f>
        <v/>
      </c>
      <c r="G816" s="106"/>
      <c r="H816" s="135" t="str">
        <f>IFERROR(IF($G816="","",$G816*$S$824/$G$824/Cadastro!$E$33),"")</f>
        <v/>
      </c>
      <c r="I816" s="136" t="str">
        <f>IFERROR(IF($D816="","",VLOOKUP($D816,Cadastro!$C$4:$G$7,5,FALSE)),"")</f>
        <v/>
      </c>
      <c r="J816" s="137" t="str">
        <f t="shared" si="216"/>
        <v/>
      </c>
      <c r="K816" s="28" t="str">
        <f t="shared" si="217"/>
        <v/>
      </c>
      <c r="L816" s="33"/>
      <c r="M816" s="33"/>
      <c r="N816" s="33"/>
      <c r="O816" s="29"/>
      <c r="P816" s="29"/>
      <c r="Q816" s="35" t="str">
        <f t="shared" ca="1" si="218"/>
        <v/>
      </c>
      <c r="R816" s="27"/>
      <c r="S816" s="31"/>
    </row>
    <row r="817" spans="1:20" ht="15" customHeight="1">
      <c r="A817" s="69">
        <v>46265</v>
      </c>
      <c r="B817" s="32">
        <f t="shared" si="219"/>
        <v>0.54166666666666641</v>
      </c>
      <c r="C817" s="26"/>
      <c r="D817" s="59"/>
      <c r="E817" s="109"/>
      <c r="F817" s="135" t="str">
        <f>IFERROR(IF($D817="","",VLOOKUP($D817,Cadastro!$C$4:$E$7,3,FALSE)),"")</f>
        <v/>
      </c>
      <c r="G817" s="106"/>
      <c r="H817" s="135" t="str">
        <f>IFERROR(IF($G817="","",$G817*$S$824/$G$824/Cadastro!$E$33),"")</f>
        <v/>
      </c>
      <c r="I817" s="136" t="str">
        <f>IFERROR(IF($D817="","",VLOOKUP($D817,Cadastro!$C$4:$G$7,5,FALSE)),"")</f>
        <v/>
      </c>
      <c r="J817" s="137" t="str">
        <f t="shared" si="216"/>
        <v/>
      </c>
      <c r="K817" s="34" t="str">
        <f t="shared" si="217"/>
        <v/>
      </c>
      <c r="L817" s="26"/>
      <c r="M817" s="26"/>
      <c r="N817" s="26"/>
      <c r="O817" s="29"/>
      <c r="P817" s="29"/>
      <c r="Q817" s="30" t="str">
        <f t="shared" ca="1" si="218"/>
        <v/>
      </c>
      <c r="R817" s="27"/>
      <c r="S817" s="31"/>
    </row>
    <row r="818" spans="1:20" ht="15" customHeight="1">
      <c r="A818" s="68">
        <v>46265</v>
      </c>
      <c r="B818" s="25">
        <f t="shared" si="219"/>
        <v>0.58333333333333304</v>
      </c>
      <c r="C818" s="26"/>
      <c r="D818" s="59"/>
      <c r="E818" s="109"/>
      <c r="F818" s="135" t="str">
        <f>IFERROR(IF($D818="","",VLOOKUP($D818,Cadastro!$C$4:$E$7,3,FALSE)),"")</f>
        <v/>
      </c>
      <c r="G818" s="106"/>
      <c r="H818" s="135" t="str">
        <f>IFERROR(IF($G818="","",$G818*$S$824/$G$824/Cadastro!$E$33),"")</f>
        <v/>
      </c>
      <c r="I818" s="136" t="str">
        <f>IFERROR(IF($D818="","",VLOOKUP($D818,Cadastro!$C$4:$G$7,5,FALSE)),"")</f>
        <v/>
      </c>
      <c r="J818" s="137" t="str">
        <f t="shared" si="216"/>
        <v/>
      </c>
      <c r="K818" s="28" t="str">
        <f t="shared" si="217"/>
        <v/>
      </c>
      <c r="L818" s="33"/>
      <c r="M818" s="33"/>
      <c r="N818" s="33"/>
      <c r="O818" s="29"/>
      <c r="P818" s="29"/>
      <c r="Q818" s="35" t="str">
        <f t="shared" ca="1" si="218"/>
        <v/>
      </c>
      <c r="R818" s="27"/>
      <c r="S818" s="31"/>
    </row>
    <row r="819" spans="1:20" ht="15" customHeight="1">
      <c r="A819" s="69">
        <v>46265</v>
      </c>
      <c r="B819" s="32">
        <f t="shared" si="219"/>
        <v>0.62499999999999967</v>
      </c>
      <c r="C819" s="26"/>
      <c r="D819" s="59"/>
      <c r="E819" s="109"/>
      <c r="F819" s="135" t="str">
        <f>IFERROR(IF($D819="","",VLOOKUP($D819,Cadastro!$C$4:$E$7,3,FALSE)),"")</f>
        <v/>
      </c>
      <c r="G819" s="106"/>
      <c r="H819" s="135" t="str">
        <f>IFERROR(IF($G819="","",$G819*$S$824/$G$824/Cadastro!$E$33),"")</f>
        <v/>
      </c>
      <c r="I819" s="136" t="str">
        <f>IFERROR(IF($D819="","",VLOOKUP($D819,Cadastro!$C$4:$G$7,5,FALSE)),"")</f>
        <v/>
      </c>
      <c r="J819" s="137" t="str">
        <f t="shared" si="216"/>
        <v/>
      </c>
      <c r="K819" s="34" t="str">
        <f t="shared" si="217"/>
        <v/>
      </c>
      <c r="L819" s="26"/>
      <c r="M819" s="26"/>
      <c r="N819" s="26"/>
      <c r="O819" s="29"/>
      <c r="P819" s="29"/>
      <c r="Q819" s="30" t="str">
        <f t="shared" ca="1" si="218"/>
        <v/>
      </c>
      <c r="R819" s="27"/>
      <c r="S819" s="31"/>
    </row>
    <row r="820" spans="1:20" ht="15" customHeight="1">
      <c r="A820" s="68">
        <v>46265</v>
      </c>
      <c r="B820" s="25">
        <f t="shared" si="219"/>
        <v>0.6666666666666663</v>
      </c>
      <c r="C820" s="26"/>
      <c r="D820" s="59"/>
      <c r="E820" s="109"/>
      <c r="F820" s="135" t="str">
        <f>IFERROR(IF($D820="","",VLOOKUP($D820,Cadastro!$C$4:$E$7,3,FALSE)),"")</f>
        <v/>
      </c>
      <c r="G820" s="106"/>
      <c r="H820" s="135" t="str">
        <f>IFERROR(IF($G820="","",$G820*$S$824/$G$824/Cadastro!$E$33),"")</f>
        <v/>
      </c>
      <c r="I820" s="136" t="str">
        <f>IFERROR(IF($D820="","",VLOOKUP($D820,Cadastro!$C$4:$G$7,5,FALSE)),"")</f>
        <v/>
      </c>
      <c r="J820" s="137" t="str">
        <f t="shared" si="216"/>
        <v/>
      </c>
      <c r="K820" s="28" t="str">
        <f t="shared" si="217"/>
        <v/>
      </c>
      <c r="L820" s="33"/>
      <c r="M820" s="33"/>
      <c r="N820" s="33"/>
      <c r="O820" s="29"/>
      <c r="P820" s="29"/>
      <c r="Q820" s="35" t="str">
        <f t="shared" ca="1" si="218"/>
        <v/>
      </c>
      <c r="R820" s="27"/>
      <c r="S820" s="31"/>
    </row>
    <row r="821" spans="1:20" ht="15" customHeight="1">
      <c r="A821" s="69">
        <v>46265</v>
      </c>
      <c r="B821" s="32">
        <f t="shared" si="219"/>
        <v>0.70833333333333293</v>
      </c>
      <c r="C821" s="26"/>
      <c r="D821" s="59"/>
      <c r="E821" s="109"/>
      <c r="F821" s="135" t="str">
        <f>IFERROR(IF($D821="","",VLOOKUP($D821,Cadastro!$C$4:$E$7,3,FALSE)),"")</f>
        <v/>
      </c>
      <c r="G821" s="106"/>
      <c r="H821" s="135" t="str">
        <f>IFERROR(IF($G821="","",$G821*$S$824/$G$824/Cadastro!$E$33),"")</f>
        <v/>
      </c>
      <c r="I821" s="136" t="str">
        <f>IFERROR(IF($D821="","",VLOOKUP($D821,Cadastro!$C$4:$G$7,5,FALSE)),"")</f>
        <v/>
      </c>
      <c r="J821" s="137" t="str">
        <f t="shared" si="216"/>
        <v/>
      </c>
      <c r="K821" s="34" t="str">
        <f t="shared" si="217"/>
        <v/>
      </c>
      <c r="L821" s="26"/>
      <c r="M821" s="26"/>
      <c r="N821" s="26"/>
      <c r="O821" s="29"/>
      <c r="P821" s="29"/>
      <c r="Q821" s="30" t="str">
        <f t="shared" ca="1" si="218"/>
        <v/>
      </c>
      <c r="R821" s="27"/>
      <c r="S821" s="31"/>
    </row>
    <row r="822" spans="1:20" ht="15" customHeight="1">
      <c r="A822" s="68">
        <v>46265</v>
      </c>
      <c r="B822" s="25">
        <f t="shared" si="219"/>
        <v>0.74999999999999956</v>
      </c>
      <c r="C822" s="26"/>
      <c r="D822" s="59"/>
      <c r="E822" s="109"/>
      <c r="F822" s="135" t="str">
        <f>IFERROR(IF($D822="","",VLOOKUP($D822,Cadastro!$C$4:$E$7,3,FALSE)),"")</f>
        <v/>
      </c>
      <c r="G822" s="106"/>
      <c r="H822" s="135" t="str">
        <f>IFERROR(IF($G822="","",$G822*$S$824/$G$824/Cadastro!$E$33),"")</f>
        <v/>
      </c>
      <c r="I822" s="136" t="str">
        <f>IFERROR(IF($D822="","",VLOOKUP($D822,Cadastro!$C$4:$G$7,5,FALSE)),"")</f>
        <v/>
      </c>
      <c r="J822" s="137" t="str">
        <f t="shared" si="216"/>
        <v/>
      </c>
      <c r="K822" s="28" t="str">
        <f t="shared" si="217"/>
        <v/>
      </c>
      <c r="L822" s="33"/>
      <c r="M822" s="33"/>
      <c r="N822" s="33"/>
      <c r="O822" s="29"/>
      <c r="P822" s="29"/>
      <c r="Q822" s="35" t="str">
        <f t="shared" ca="1" si="218"/>
        <v/>
      </c>
      <c r="R822" s="27"/>
      <c r="S822" s="31"/>
    </row>
    <row r="823" spans="1:20" ht="15" customHeight="1" thickBot="1">
      <c r="A823" s="69">
        <v>46265</v>
      </c>
      <c r="B823" s="32">
        <f t="shared" si="219"/>
        <v>0.79166666666666619</v>
      </c>
      <c r="C823" s="26"/>
      <c r="D823" s="59"/>
      <c r="E823" s="109"/>
      <c r="F823" s="138" t="str">
        <f>IFERROR(IF($D823="","",VLOOKUP($D823,Cadastro!$C$4:$E$7,3,FALSE)),"")</f>
        <v/>
      </c>
      <c r="G823" s="106"/>
      <c r="H823" s="138" t="str">
        <f>IFERROR(IF($G823="","",$G823*$S$824/$G$824/Cadastro!$E$33),"")</f>
        <v/>
      </c>
      <c r="I823" s="139" t="str">
        <f>IFERROR(IF($D823="","",VLOOKUP($D823,Cadastro!$C$4:$G$7,5,FALSE)),"")</f>
        <v/>
      </c>
      <c r="J823" s="140" t="str">
        <f t="shared" si="216"/>
        <v/>
      </c>
      <c r="K823" s="34" t="str">
        <f t="shared" si="217"/>
        <v/>
      </c>
      <c r="L823" s="26"/>
      <c r="M823" s="26"/>
      <c r="N823" s="26"/>
      <c r="O823" s="29"/>
      <c r="P823" s="29"/>
      <c r="Q823" s="30" t="str">
        <f t="shared" ca="1" si="218"/>
        <v/>
      </c>
      <c r="R823" s="27"/>
      <c r="S823" s="31"/>
    </row>
    <row r="824" spans="1:20" ht="15.75" customHeight="1" thickBot="1">
      <c r="A824" s="152" t="s">
        <v>241</v>
      </c>
      <c r="B824" s="153"/>
      <c r="C824" s="153"/>
      <c r="D824" s="153"/>
      <c r="E824" s="153">
        <f>SUM(E812:E823)</f>
        <v>0</v>
      </c>
      <c r="F824" s="111"/>
      <c r="G824" s="81">
        <f>SUM(G812:G823)</f>
        <v>0</v>
      </c>
      <c r="H824" s="111">
        <f>IFERROR(SUM(H812:H823),"")</f>
        <v>0</v>
      </c>
      <c r="I824" s="115"/>
      <c r="J824" s="124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20">
        <f>IFERROR(J824,"")</f>
        <v>0</v>
      </c>
    </row>
    <row r="825" spans="1:20" ht="15" customHeight="1">
      <c r="A825" s="69">
        <v>46265</v>
      </c>
      <c r="B825" s="32">
        <v>0.83333333333333304</v>
      </c>
      <c r="C825" s="33"/>
      <c r="D825" s="62"/>
      <c r="E825" s="110"/>
      <c r="F825" s="141" t="str">
        <f>IFERROR(IF($D825="","",VLOOKUP($D825,Cadastro!$C$4:$E$7,3,FALSE)),"")</f>
        <v/>
      </c>
      <c r="G825" s="106"/>
      <c r="H825" s="141" t="str">
        <f>IFERROR(IF($G825="","",$G825*$S$837/$G$837/Cadastro!$E$33),"")</f>
        <v/>
      </c>
      <c r="I825" s="142" t="str">
        <f>IFERROR(IF($D825="","",VLOOKUP($D825,Cadastro!$C$4:$G$7,5,FALSE)),"")</f>
        <v/>
      </c>
      <c r="J825" s="143" t="str">
        <f t="shared" ref="J825:J836" si="220">IFERROR(IF($H825="","",$H825*$F825*$I825),"")</f>
        <v/>
      </c>
      <c r="K825" s="34" t="str">
        <f t="shared" ref="K825:K836" si="221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2">IFERROR(IF(O825="","",IF(P825="",MOD(NOW()-O825,1),IF(P825&gt;=O825,P825-O825,P825+1-O825))),"")</f>
        <v/>
      </c>
      <c r="R825" s="27"/>
      <c r="S825" s="31"/>
    </row>
    <row r="826" spans="1:20" ht="15" customHeight="1">
      <c r="A826" s="68">
        <v>46265</v>
      </c>
      <c r="B826" s="25">
        <f t="shared" ref="B826:B836" si="223">B825+TIME(0,60,0)</f>
        <v>0.87499999999999967</v>
      </c>
      <c r="C826" s="33"/>
      <c r="D826" s="62"/>
      <c r="E826" s="110"/>
      <c r="F826" s="135" t="str">
        <f>IFERROR(IF($D826="","",VLOOKUP($D826,Cadastro!$C$4:$E$7,3,FALSE)),"")</f>
        <v/>
      </c>
      <c r="G826" s="106"/>
      <c r="H826" s="135" t="str">
        <f>IFERROR(IF($G826="","",$G826*$S$837/$G$837/Cadastro!$E$33),"")</f>
        <v/>
      </c>
      <c r="I826" s="136" t="str">
        <f>IFERROR(IF($D826="","",VLOOKUP($D826,Cadastro!$C$4:$G$7,5,FALSE)),"")</f>
        <v/>
      </c>
      <c r="J826" s="137" t="str">
        <f t="shared" si="220"/>
        <v/>
      </c>
      <c r="K826" s="28" t="str">
        <f t="shared" si="221"/>
        <v/>
      </c>
      <c r="L826" s="33"/>
      <c r="M826" s="33"/>
      <c r="N826" s="33"/>
      <c r="O826" s="29"/>
      <c r="P826" s="29"/>
      <c r="Q826" s="35" t="str">
        <f t="shared" ca="1" si="222"/>
        <v/>
      </c>
      <c r="R826" s="27"/>
      <c r="S826" s="31"/>
    </row>
    <row r="827" spans="1:20" ht="15" customHeight="1">
      <c r="A827" s="69">
        <v>46265</v>
      </c>
      <c r="B827" s="32">
        <f t="shared" si="223"/>
        <v>0.9166666666666663</v>
      </c>
      <c r="C827" s="33"/>
      <c r="D827" s="62"/>
      <c r="E827" s="110"/>
      <c r="F827" s="135" t="str">
        <f>IFERROR(IF($D827="","",VLOOKUP($D827,Cadastro!$C$4:$E$7,3,FALSE)),"")</f>
        <v/>
      </c>
      <c r="G827" s="106"/>
      <c r="H827" s="135" t="str">
        <f>IFERROR(IF($G827="","",$G827*$S$837/$G$837/Cadastro!$E$33),"")</f>
        <v/>
      </c>
      <c r="I827" s="136" t="str">
        <f>IFERROR(IF($D827="","",VLOOKUP($D827,Cadastro!$C$4:$G$7,5,FALSE)),"")</f>
        <v/>
      </c>
      <c r="J827" s="137" t="str">
        <f t="shared" si="220"/>
        <v/>
      </c>
      <c r="K827" s="34" t="str">
        <f t="shared" si="221"/>
        <v/>
      </c>
      <c r="L827" s="26"/>
      <c r="M827" s="26"/>
      <c r="N827" s="26"/>
      <c r="O827" s="29"/>
      <c r="P827" s="29"/>
      <c r="Q827" s="30" t="str">
        <f t="shared" ca="1" si="222"/>
        <v/>
      </c>
      <c r="R827" s="27"/>
      <c r="S827" s="31"/>
    </row>
    <row r="828" spans="1:20" ht="15" customHeight="1">
      <c r="A828" s="68">
        <v>46265</v>
      </c>
      <c r="B828" s="25">
        <f t="shared" si="223"/>
        <v>0.95833333333333293</v>
      </c>
      <c r="C828" s="33"/>
      <c r="D828" s="62"/>
      <c r="E828" s="110"/>
      <c r="F828" s="135" t="str">
        <f>IFERROR(IF($D828="","",VLOOKUP($D828,Cadastro!$C$4:$E$7,3,FALSE)),"")</f>
        <v/>
      </c>
      <c r="G828" s="106"/>
      <c r="H828" s="135" t="str">
        <f>IFERROR(IF($G828="","",$G828*$S$837/$G$837/Cadastro!$E$33),"")</f>
        <v/>
      </c>
      <c r="I828" s="136" t="str">
        <f>IFERROR(IF($D828="","",VLOOKUP($D828,Cadastro!$C$4:$G$7,5,FALSE)),"")</f>
        <v/>
      </c>
      <c r="J828" s="137" t="str">
        <f t="shared" si="220"/>
        <v/>
      </c>
      <c r="K828" s="28" t="str">
        <f t="shared" si="221"/>
        <v/>
      </c>
      <c r="L828" s="33"/>
      <c r="M828" s="33"/>
      <c r="N828" s="33"/>
      <c r="O828" s="29"/>
      <c r="P828" s="29"/>
      <c r="Q828" s="35" t="str">
        <f t="shared" ca="1" si="222"/>
        <v/>
      </c>
      <c r="R828" s="27"/>
      <c r="S828" s="31"/>
    </row>
    <row r="829" spans="1:20" ht="15" customHeight="1">
      <c r="A829" s="69">
        <v>46265</v>
      </c>
      <c r="B829" s="32">
        <f t="shared" si="223"/>
        <v>0.99999999999999956</v>
      </c>
      <c r="C829" s="33"/>
      <c r="D829" s="62"/>
      <c r="E829" s="110"/>
      <c r="F829" s="135" t="str">
        <f>IFERROR(IF($D829="","",VLOOKUP($D829,Cadastro!$C$4:$E$7,3,FALSE)),"")</f>
        <v/>
      </c>
      <c r="G829" s="106"/>
      <c r="H829" s="135" t="str">
        <f>IFERROR(IF($G829="","",$G829*$S$837/$G$837/Cadastro!$E$33),"")</f>
        <v/>
      </c>
      <c r="I829" s="136" t="str">
        <f>IFERROR(IF($D829="","",VLOOKUP($D829,Cadastro!$C$4:$G$7,5,FALSE)),"")</f>
        <v/>
      </c>
      <c r="J829" s="137" t="str">
        <f t="shared" si="220"/>
        <v/>
      </c>
      <c r="K829" s="34" t="str">
        <f t="shared" si="221"/>
        <v/>
      </c>
      <c r="L829" s="26"/>
      <c r="M829" s="26"/>
      <c r="N829" s="26"/>
      <c r="O829" s="29"/>
      <c r="P829" s="29"/>
      <c r="Q829" s="30" t="str">
        <f t="shared" ca="1" si="222"/>
        <v/>
      </c>
      <c r="R829" s="27"/>
      <c r="S829" s="31"/>
    </row>
    <row r="830" spans="1:20" ht="15" customHeight="1">
      <c r="A830" s="68">
        <v>46265</v>
      </c>
      <c r="B830" s="25">
        <f t="shared" si="223"/>
        <v>1.0416666666666663</v>
      </c>
      <c r="C830" s="33"/>
      <c r="D830" s="62"/>
      <c r="E830" s="110"/>
      <c r="F830" s="135" t="str">
        <f>IFERROR(IF($D830="","",VLOOKUP($D830,Cadastro!$C$4:$E$7,3,FALSE)),"")</f>
        <v/>
      </c>
      <c r="G830" s="106"/>
      <c r="H830" s="135" t="str">
        <f>IFERROR(IF($G830="","",$G830*$S$837/$G$837/Cadastro!$E$33),"")</f>
        <v/>
      </c>
      <c r="I830" s="136" t="str">
        <f>IFERROR(IF($D830="","",VLOOKUP($D830,Cadastro!$C$4:$G$7,5,FALSE)),"")</f>
        <v/>
      </c>
      <c r="J830" s="137" t="str">
        <f t="shared" si="220"/>
        <v/>
      </c>
      <c r="K830" s="28" t="str">
        <f t="shared" si="221"/>
        <v/>
      </c>
      <c r="L830" s="33"/>
      <c r="M830" s="33"/>
      <c r="N830" s="33"/>
      <c r="O830" s="29"/>
      <c r="P830" s="29"/>
      <c r="Q830" s="35" t="str">
        <f t="shared" ca="1" si="222"/>
        <v/>
      </c>
      <c r="R830" s="27"/>
      <c r="S830" s="31"/>
    </row>
    <row r="831" spans="1:20" ht="15" customHeight="1">
      <c r="A831" s="69">
        <v>46265</v>
      </c>
      <c r="B831" s="32">
        <f t="shared" si="223"/>
        <v>1.083333333333333</v>
      </c>
      <c r="C831" s="33"/>
      <c r="D831" s="62"/>
      <c r="E831" s="110"/>
      <c r="F831" s="135" t="str">
        <f>IFERROR(IF($D831="","",VLOOKUP($D831,Cadastro!$C$4:$E$7,3,FALSE)),"")</f>
        <v/>
      </c>
      <c r="G831" s="106"/>
      <c r="H831" s="135" t="str">
        <f>IFERROR(IF($G831="","",$G831*$S$837/$G$837/Cadastro!$E$33),"")</f>
        <v/>
      </c>
      <c r="I831" s="136" t="str">
        <f>IFERROR(IF($D831="","",VLOOKUP($D831,Cadastro!$C$4:$G$7,5,FALSE)),"")</f>
        <v/>
      </c>
      <c r="J831" s="137" t="str">
        <f t="shared" si="220"/>
        <v/>
      </c>
      <c r="K831" s="34" t="str">
        <f t="shared" si="221"/>
        <v/>
      </c>
      <c r="L831" s="26"/>
      <c r="M831" s="26"/>
      <c r="N831" s="26"/>
      <c r="O831" s="29"/>
      <c r="P831" s="29"/>
      <c r="Q831" s="30" t="str">
        <f t="shared" ca="1" si="222"/>
        <v/>
      </c>
      <c r="R831" s="27"/>
      <c r="S831" s="31"/>
    </row>
    <row r="832" spans="1:20" ht="15" customHeight="1">
      <c r="A832" s="68">
        <v>46265</v>
      </c>
      <c r="B832" s="25">
        <f t="shared" si="223"/>
        <v>1.1249999999999998</v>
      </c>
      <c r="C832" s="33"/>
      <c r="D832" s="62"/>
      <c r="E832" s="110"/>
      <c r="F832" s="135" t="str">
        <f>IFERROR(IF($D832="","",VLOOKUP($D832,Cadastro!$C$4:$E$7,3,FALSE)),"")</f>
        <v/>
      </c>
      <c r="G832" s="106"/>
      <c r="H832" s="135" t="str">
        <f>IFERROR(IF($G832="","",$G832*$S$837/$G$837/Cadastro!$E$33),"")</f>
        <v/>
      </c>
      <c r="I832" s="136" t="str">
        <f>IFERROR(IF($D832="","",VLOOKUP($D832,Cadastro!$C$4:$G$7,5,FALSE)),"")</f>
        <v/>
      </c>
      <c r="J832" s="137" t="str">
        <f t="shared" si="220"/>
        <v/>
      </c>
      <c r="K832" s="28" t="str">
        <f t="shared" si="221"/>
        <v/>
      </c>
      <c r="L832" s="33"/>
      <c r="M832" s="33"/>
      <c r="N832" s="33"/>
      <c r="O832" s="29"/>
      <c r="P832" s="29"/>
      <c r="Q832" s="35" t="str">
        <f t="shared" ca="1" si="222"/>
        <v/>
      </c>
      <c r="R832" s="27"/>
      <c r="S832" s="31"/>
    </row>
    <row r="833" spans="1:20" ht="15" customHeight="1">
      <c r="A833" s="69">
        <v>46265</v>
      </c>
      <c r="B833" s="32">
        <f t="shared" si="223"/>
        <v>1.1666666666666665</v>
      </c>
      <c r="C833" s="33"/>
      <c r="D833" s="62"/>
      <c r="E833" s="110"/>
      <c r="F833" s="135" t="str">
        <f>IFERROR(IF($D833="","",VLOOKUP($D833,Cadastro!$C$4:$E$7,3,FALSE)),"")</f>
        <v/>
      </c>
      <c r="G833" s="106"/>
      <c r="H833" s="135" t="str">
        <f>IFERROR(IF($G833="","",$G833*$S$837/$G$837/Cadastro!$E$33),"")</f>
        <v/>
      </c>
      <c r="I833" s="136" t="str">
        <f>IFERROR(IF($D833="","",VLOOKUP($D833,Cadastro!$C$4:$G$7,5,FALSE)),"")</f>
        <v/>
      </c>
      <c r="J833" s="137" t="str">
        <f t="shared" si="220"/>
        <v/>
      </c>
      <c r="K833" s="34" t="str">
        <f t="shared" si="221"/>
        <v/>
      </c>
      <c r="L833" s="26"/>
      <c r="M833" s="26"/>
      <c r="N833" s="26"/>
      <c r="O833" s="29"/>
      <c r="P833" s="29"/>
      <c r="Q833" s="30" t="str">
        <f t="shared" ca="1" si="222"/>
        <v/>
      </c>
      <c r="R833" s="27"/>
      <c r="S833" s="31"/>
    </row>
    <row r="834" spans="1:20" ht="15" customHeight="1">
      <c r="A834" s="68">
        <v>46265</v>
      </c>
      <c r="B834" s="25">
        <f t="shared" si="223"/>
        <v>1.2083333333333333</v>
      </c>
      <c r="C834" s="33"/>
      <c r="D834" s="62"/>
      <c r="E834" s="110"/>
      <c r="F834" s="135" t="str">
        <f>IFERROR(IF($D834="","",VLOOKUP($D834,Cadastro!$C$4:$E$7,3,FALSE)),"")</f>
        <v/>
      </c>
      <c r="G834" s="106"/>
      <c r="H834" s="135" t="str">
        <f>IFERROR(IF($G834="","",$G834*$S$837/$G$837/Cadastro!$E$33),"")</f>
        <v/>
      </c>
      <c r="I834" s="136" t="str">
        <f>IFERROR(IF($D834="","",VLOOKUP($D834,Cadastro!$C$4:$G$7,5,FALSE)),"")</f>
        <v/>
      </c>
      <c r="J834" s="137" t="str">
        <f t="shared" si="220"/>
        <v/>
      </c>
      <c r="K834" s="28" t="str">
        <f t="shared" si="221"/>
        <v/>
      </c>
      <c r="L834" s="33"/>
      <c r="M834" s="33"/>
      <c r="N834" s="33"/>
      <c r="O834" s="29"/>
      <c r="P834" s="29"/>
      <c r="Q834" s="35" t="str">
        <f t="shared" ca="1" si="222"/>
        <v/>
      </c>
      <c r="R834" s="27"/>
      <c r="S834" s="31"/>
    </row>
    <row r="835" spans="1:20" ht="15" customHeight="1">
      <c r="A835" s="69">
        <v>46265</v>
      </c>
      <c r="B835" s="32">
        <f t="shared" si="223"/>
        <v>1.25</v>
      </c>
      <c r="C835" s="33"/>
      <c r="D835" s="62"/>
      <c r="E835" s="110"/>
      <c r="F835" s="135" t="str">
        <f>IFERROR(IF($D835="","",VLOOKUP($D835,Cadastro!$C$4:$E$7,3,FALSE)),"")</f>
        <v/>
      </c>
      <c r="G835" s="106"/>
      <c r="H835" s="135" t="str">
        <f>IFERROR(IF($G835="","",$G835*$S$837/$G$837/Cadastro!$E$33),"")</f>
        <v/>
      </c>
      <c r="I835" s="136" t="str">
        <f>IFERROR(IF($D835="","",VLOOKUP($D835,Cadastro!$C$4:$G$7,5,FALSE)),"")</f>
        <v/>
      </c>
      <c r="J835" s="137" t="str">
        <f t="shared" si="220"/>
        <v/>
      </c>
      <c r="K835" s="34" t="str">
        <f t="shared" si="221"/>
        <v/>
      </c>
      <c r="L835" s="26"/>
      <c r="M835" s="26"/>
      <c r="N835" s="26"/>
      <c r="O835" s="29"/>
      <c r="P835" s="29"/>
      <c r="Q835" s="30" t="str">
        <f t="shared" ca="1" si="222"/>
        <v/>
      </c>
      <c r="R835" s="27"/>
      <c r="S835" s="31"/>
    </row>
    <row r="836" spans="1:20" ht="15" customHeight="1" thickBot="1">
      <c r="A836" s="68">
        <v>46265</v>
      </c>
      <c r="B836" s="25">
        <f t="shared" si="223"/>
        <v>1.2916666666666667</v>
      </c>
      <c r="C836" s="33"/>
      <c r="D836" s="62"/>
      <c r="E836" s="110"/>
      <c r="F836" s="138" t="str">
        <f>IFERROR(IF($D836="","",VLOOKUP($D836,Cadastro!$C$4:$E$7,3,FALSE)),"")</f>
        <v/>
      </c>
      <c r="G836" s="106"/>
      <c r="H836" s="138" t="str">
        <f>IFERROR(IF($G836="","",$G836*$S$837/$G$837/Cadastro!$E$33),"")</f>
        <v/>
      </c>
      <c r="I836" s="139" t="str">
        <f>IFERROR(IF($D836="","",VLOOKUP($D836,Cadastro!$C$4:$G$7,5,FALSE)),"")</f>
        <v/>
      </c>
      <c r="J836" s="140" t="str">
        <f t="shared" si="220"/>
        <v/>
      </c>
      <c r="K836" s="28" t="str">
        <f t="shared" si="221"/>
        <v/>
      </c>
      <c r="L836" s="33"/>
      <c r="M836" s="33"/>
      <c r="N836" s="33"/>
      <c r="O836" s="29"/>
      <c r="P836" s="29"/>
      <c r="Q836" s="35" t="str">
        <f t="shared" ca="1" si="222"/>
        <v/>
      </c>
      <c r="R836" s="27"/>
      <c r="S836" s="31"/>
    </row>
    <row r="837" spans="1:20" ht="15.75" customHeight="1" thickBot="1">
      <c r="A837" s="152" t="s">
        <v>244</v>
      </c>
      <c r="B837" s="153"/>
      <c r="C837" s="153"/>
      <c r="D837" s="153"/>
      <c r="E837" s="153">
        <f>SUM(E825:E836)</f>
        <v>0</v>
      </c>
      <c r="F837" s="112"/>
      <c r="G837" s="81">
        <f>SUM(G825:G836)</f>
        <v>0</v>
      </c>
      <c r="H837" s="112">
        <f>IFERROR(SUM(H825:H836),"")</f>
        <v>0</v>
      </c>
      <c r="I837" s="116"/>
      <c r="J837" s="125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20">
        <f>IFERROR(J837,"")</f>
        <v>0</v>
      </c>
    </row>
    <row r="838" spans="1:20" ht="18" customHeight="1">
      <c r="A838" s="150" t="s">
        <v>245</v>
      </c>
      <c r="B838" s="151"/>
      <c r="C838" s="151"/>
      <c r="D838" s="151"/>
      <c r="E838" s="151">
        <f>E824+E837</f>
        <v>0</v>
      </c>
      <c r="F838" s="113"/>
      <c r="G838" s="92">
        <f>G824+G837</f>
        <v>0</v>
      </c>
      <c r="H838" s="113">
        <f>IFERROR(H824+H837,"")</f>
        <v>0</v>
      </c>
      <c r="I838" s="117"/>
      <c r="J838" s="126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1">
        <f>IFERROR(J838,"")</f>
        <v>0</v>
      </c>
    </row>
  </sheetData>
  <sheetProtection algorithmName="SHA-512" hashValue="1u8HWfGVIV3TtRbIh8M6/3lZUncRV8VaVNCo3E5QmKqt95goL3/yfiKkWBVEBkrGka52JimYjWhFlsQLrKK3gQ==" saltValue="wQuCcLsnb5iDAj2b9k5Kj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23" activePane="bottomLeft" state="frozen"/>
      <selection pane="bottomLeft" activeCell="E332" sqref="E33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7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4" t="s">
        <v>17</v>
      </c>
      <c r="G1" s="23" t="s">
        <v>232</v>
      </c>
      <c r="H1" s="134" t="s">
        <v>264</v>
      </c>
      <c r="I1" s="134" t="s">
        <v>18</v>
      </c>
      <c r="J1" s="134" t="s">
        <v>265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265</v>
      </c>
    </row>
    <row r="2" spans="1:20" ht="15" customHeight="1">
      <c r="A2" s="68">
        <v>46235</v>
      </c>
      <c r="B2" s="25">
        <v>0.33333333333333298</v>
      </c>
      <c r="C2" s="26" t="s">
        <v>50</v>
      </c>
      <c r="D2" s="59" t="s">
        <v>43</v>
      </c>
      <c r="E2" s="109" t="s">
        <v>256</v>
      </c>
      <c r="F2" s="135"/>
      <c r="G2" s="106">
        <v>0</v>
      </c>
      <c r="H2" s="135"/>
      <c r="I2" s="136"/>
      <c r="J2" s="137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9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9" t="s">
        <v>256</v>
      </c>
      <c r="F3" s="135"/>
      <c r="G3" s="106">
        <v>4</v>
      </c>
      <c r="H3" s="135"/>
      <c r="I3" s="136"/>
      <c r="J3" s="137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8">
        <v>46235</v>
      </c>
      <c r="B4" s="25">
        <f t="shared" si="2"/>
        <v>0.41666666666666635</v>
      </c>
      <c r="C4" s="26" t="s">
        <v>50</v>
      </c>
      <c r="D4" s="59" t="s">
        <v>43</v>
      </c>
      <c r="E4" s="109" t="s">
        <v>256</v>
      </c>
      <c r="F4" s="135"/>
      <c r="G4" s="106">
        <v>18</v>
      </c>
      <c r="H4" s="135"/>
      <c r="I4" s="136"/>
      <c r="J4" s="137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9">
        <v>46235</v>
      </c>
      <c r="B5" s="32">
        <f t="shared" si="2"/>
        <v>0.45833333333333304</v>
      </c>
      <c r="C5" s="26" t="s">
        <v>50</v>
      </c>
      <c r="D5" s="59" t="s">
        <v>43</v>
      </c>
      <c r="E5" s="109" t="s">
        <v>256</v>
      </c>
      <c r="F5" s="135"/>
      <c r="G5" s="106">
        <v>16</v>
      </c>
      <c r="H5" s="135"/>
      <c r="I5" s="136"/>
      <c r="J5" s="137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8">
        <v>46235</v>
      </c>
      <c r="B6" s="25">
        <f t="shared" si="2"/>
        <v>0.49999999999999972</v>
      </c>
      <c r="C6" s="26" t="s">
        <v>50</v>
      </c>
      <c r="D6" s="59" t="s">
        <v>43</v>
      </c>
      <c r="E6" s="109" t="s">
        <v>256</v>
      </c>
      <c r="F6" s="135"/>
      <c r="G6" s="106">
        <v>16</v>
      </c>
      <c r="H6" s="135"/>
      <c r="I6" s="136"/>
      <c r="J6" s="137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9">
        <v>46235</v>
      </c>
      <c r="B7" s="32">
        <f t="shared" si="2"/>
        <v>0.54166666666666641</v>
      </c>
      <c r="C7" s="26" t="s">
        <v>50</v>
      </c>
      <c r="D7" s="59" t="s">
        <v>43</v>
      </c>
      <c r="E7" s="109" t="s">
        <v>256</v>
      </c>
      <c r="F7" s="135"/>
      <c r="G7" s="106">
        <v>7</v>
      </c>
      <c r="H7" s="135"/>
      <c r="I7" s="136"/>
      <c r="J7" s="137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8">
        <v>46235</v>
      </c>
      <c r="B8" s="25">
        <f t="shared" si="2"/>
        <v>0.58333333333333304</v>
      </c>
      <c r="C8" s="26" t="s">
        <v>50</v>
      </c>
      <c r="D8" s="59" t="s">
        <v>43</v>
      </c>
      <c r="E8" s="109" t="s">
        <v>256</v>
      </c>
      <c r="F8" s="135"/>
      <c r="G8" s="106">
        <v>10</v>
      </c>
      <c r="H8" s="135"/>
      <c r="I8" s="136"/>
      <c r="J8" s="137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9">
        <v>46235</v>
      </c>
      <c r="B9" s="32">
        <f t="shared" si="2"/>
        <v>0.62499999999999967</v>
      </c>
      <c r="C9" s="26" t="s">
        <v>50</v>
      </c>
      <c r="D9" s="59" t="s">
        <v>43</v>
      </c>
      <c r="E9" s="109" t="s">
        <v>256</v>
      </c>
      <c r="F9" s="135"/>
      <c r="G9" s="106">
        <v>15</v>
      </c>
      <c r="H9" s="135"/>
      <c r="I9" s="136"/>
      <c r="J9" s="137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8">
        <v>46235</v>
      </c>
      <c r="B10" s="25">
        <f t="shared" si="2"/>
        <v>0.6666666666666663</v>
      </c>
      <c r="C10" s="26" t="s">
        <v>50</v>
      </c>
      <c r="D10" s="59" t="s">
        <v>43</v>
      </c>
      <c r="E10" s="109" t="s">
        <v>256</v>
      </c>
      <c r="F10" s="135"/>
      <c r="G10" s="106">
        <v>12</v>
      </c>
      <c r="H10" s="135"/>
      <c r="I10" s="136"/>
      <c r="J10" s="137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9">
        <v>46235</v>
      </c>
      <c r="B11" s="32">
        <f t="shared" si="2"/>
        <v>0.70833333333333293</v>
      </c>
      <c r="C11" s="26" t="s">
        <v>50</v>
      </c>
      <c r="D11" s="59" t="s">
        <v>43</v>
      </c>
      <c r="E11" s="109" t="s">
        <v>256</v>
      </c>
      <c r="F11" s="135"/>
      <c r="G11" s="106">
        <v>10</v>
      </c>
      <c r="H11" s="135"/>
      <c r="I11" s="136"/>
      <c r="J11" s="137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8">
        <v>46235</v>
      </c>
      <c r="B12" s="25">
        <f t="shared" si="2"/>
        <v>0.74999999999999956</v>
      </c>
      <c r="C12" s="26" t="s">
        <v>50</v>
      </c>
      <c r="D12" s="59" t="s">
        <v>43</v>
      </c>
      <c r="E12" s="109" t="s">
        <v>256</v>
      </c>
      <c r="F12" s="135"/>
      <c r="G12" s="106">
        <v>16</v>
      </c>
      <c r="H12" s="135"/>
      <c r="I12" s="136"/>
      <c r="J12" s="137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9">
        <v>46235</v>
      </c>
      <c r="B13" s="32">
        <f t="shared" si="2"/>
        <v>0.79166666666666619</v>
      </c>
      <c r="C13" s="26" t="s">
        <v>50</v>
      </c>
      <c r="D13" s="59" t="s">
        <v>43</v>
      </c>
      <c r="E13" s="109" t="s">
        <v>256</v>
      </c>
      <c r="F13" s="138"/>
      <c r="G13" s="106">
        <v>6</v>
      </c>
      <c r="H13" s="138"/>
      <c r="I13" s="139"/>
      <c r="J13" s="140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2" t="s">
        <v>241</v>
      </c>
      <c r="B14" s="153"/>
      <c r="C14" s="153"/>
      <c r="D14" s="153"/>
      <c r="E14" s="153"/>
      <c r="F14" s="111"/>
      <c r="G14" s="81">
        <f>SUM(G2:G13)</f>
        <v>130</v>
      </c>
      <c r="H14" s="111"/>
      <c r="I14" s="115"/>
      <c r="J14" s="124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20">
        <f>IFERROR(J14,"")</f>
        <v>0</v>
      </c>
    </row>
    <row r="15" spans="1:20" ht="15" customHeight="1">
      <c r="A15" s="69">
        <v>46235</v>
      </c>
      <c r="B15" s="32">
        <v>0.83333333333333304</v>
      </c>
      <c r="C15" s="33" t="s">
        <v>34</v>
      </c>
      <c r="D15" s="62" t="s">
        <v>43</v>
      </c>
      <c r="E15" s="110" t="s">
        <v>256</v>
      </c>
      <c r="F15" s="141"/>
      <c r="G15" s="106">
        <v>10</v>
      </c>
      <c r="H15" s="141"/>
      <c r="I15" s="142"/>
      <c r="J15" s="143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8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10" t="s">
        <v>256</v>
      </c>
      <c r="F16" s="135"/>
      <c r="G16" s="106">
        <v>13</v>
      </c>
      <c r="H16" s="135"/>
      <c r="I16" s="136"/>
      <c r="J16" s="137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308</v>
      </c>
      <c r="S16" s="60"/>
    </row>
    <row r="17" spans="1:20" ht="15" customHeight="1">
      <c r="A17" s="69">
        <v>46235</v>
      </c>
      <c r="B17" s="32">
        <f t="shared" si="5"/>
        <v>0.9166666666666663</v>
      </c>
      <c r="C17" s="33" t="s">
        <v>34</v>
      </c>
      <c r="D17" s="62" t="s">
        <v>43</v>
      </c>
      <c r="E17" s="110" t="s">
        <v>256</v>
      </c>
      <c r="F17" s="135"/>
      <c r="G17" s="106">
        <v>10</v>
      </c>
      <c r="H17" s="135"/>
      <c r="I17" s="136"/>
      <c r="J17" s="137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272</v>
      </c>
      <c r="S17" s="60"/>
    </row>
    <row r="18" spans="1:20" ht="15" customHeight="1">
      <c r="A18" s="68">
        <v>46235</v>
      </c>
      <c r="B18" s="25">
        <f t="shared" si="5"/>
        <v>0.95833333333333293</v>
      </c>
      <c r="C18" s="33" t="s">
        <v>34</v>
      </c>
      <c r="D18" s="62" t="s">
        <v>43</v>
      </c>
      <c r="E18" s="110" t="s">
        <v>256</v>
      </c>
      <c r="F18" s="135"/>
      <c r="G18" s="106">
        <v>16</v>
      </c>
      <c r="H18" s="135"/>
      <c r="I18" s="136"/>
      <c r="J18" s="137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292</v>
      </c>
      <c r="S18" s="60"/>
    </row>
    <row r="19" spans="1:20" ht="15" customHeight="1">
      <c r="A19" s="69">
        <v>46235</v>
      </c>
      <c r="B19" s="32">
        <f t="shared" si="5"/>
        <v>0.99999999999999956</v>
      </c>
      <c r="C19" s="33" t="s">
        <v>34</v>
      </c>
      <c r="D19" s="62" t="s">
        <v>43</v>
      </c>
      <c r="E19" s="110" t="s">
        <v>256</v>
      </c>
      <c r="F19" s="135"/>
      <c r="G19" s="106">
        <v>15</v>
      </c>
      <c r="H19" s="135"/>
      <c r="I19" s="136"/>
      <c r="J19" s="137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309</v>
      </c>
      <c r="S19" s="60"/>
    </row>
    <row r="20" spans="1:20" ht="15" customHeight="1">
      <c r="A20" s="68">
        <v>46235</v>
      </c>
      <c r="B20" s="25">
        <f t="shared" si="5"/>
        <v>1.0416666666666663</v>
      </c>
      <c r="C20" s="33" t="s">
        <v>34</v>
      </c>
      <c r="D20" s="62" t="s">
        <v>43</v>
      </c>
      <c r="E20" s="110" t="s">
        <v>256</v>
      </c>
      <c r="F20" s="135"/>
      <c r="G20" s="106">
        <v>12</v>
      </c>
      <c r="H20" s="135"/>
      <c r="I20" s="136"/>
      <c r="J20" s="137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9">
        <v>46235</v>
      </c>
      <c r="B21" s="32">
        <f t="shared" si="5"/>
        <v>1.083333333333333</v>
      </c>
      <c r="C21" s="33" t="s">
        <v>34</v>
      </c>
      <c r="D21" s="62" t="s">
        <v>43</v>
      </c>
      <c r="E21" s="110" t="s">
        <v>256</v>
      </c>
      <c r="F21" s="135"/>
      <c r="G21" s="106">
        <v>17</v>
      </c>
      <c r="H21" s="135"/>
      <c r="I21" s="136"/>
      <c r="J21" s="137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8">
        <v>46235</v>
      </c>
      <c r="B22" s="25">
        <f t="shared" si="5"/>
        <v>1.1249999999999998</v>
      </c>
      <c r="C22" s="33" t="s">
        <v>34</v>
      </c>
      <c r="D22" s="62" t="s">
        <v>43</v>
      </c>
      <c r="E22" s="110" t="s">
        <v>256</v>
      </c>
      <c r="F22" s="135"/>
      <c r="G22" s="106">
        <v>15</v>
      </c>
      <c r="H22" s="135"/>
      <c r="I22" s="136"/>
      <c r="J22" s="137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310</v>
      </c>
      <c r="S22" s="60"/>
    </row>
    <row r="23" spans="1:20" ht="15" customHeight="1">
      <c r="A23" s="69">
        <v>46235</v>
      </c>
      <c r="B23" s="32">
        <f t="shared" si="5"/>
        <v>1.1666666666666665</v>
      </c>
      <c r="C23" s="33" t="s">
        <v>34</v>
      </c>
      <c r="D23" s="62" t="s">
        <v>43</v>
      </c>
      <c r="E23" s="110" t="s">
        <v>256</v>
      </c>
      <c r="F23" s="135"/>
      <c r="G23" s="106">
        <v>10</v>
      </c>
      <c r="H23" s="135"/>
      <c r="I23" s="136"/>
      <c r="J23" s="137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8">
        <v>46235</v>
      </c>
      <c r="B24" s="25">
        <f t="shared" si="5"/>
        <v>1.2083333333333333</v>
      </c>
      <c r="C24" s="33" t="s">
        <v>34</v>
      </c>
      <c r="D24" s="62" t="s">
        <v>43</v>
      </c>
      <c r="E24" s="110" t="s">
        <v>256</v>
      </c>
      <c r="F24" s="135"/>
      <c r="G24" s="106">
        <v>0</v>
      </c>
      <c r="H24" s="135"/>
      <c r="I24" s="136"/>
      <c r="J24" s="137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9">
        <v>46235</v>
      </c>
      <c r="B25" s="32">
        <f t="shared" si="5"/>
        <v>1.25</v>
      </c>
      <c r="C25" s="33" t="s">
        <v>34</v>
      </c>
      <c r="D25" s="62" t="s">
        <v>43</v>
      </c>
      <c r="E25" s="110" t="s">
        <v>256</v>
      </c>
      <c r="F25" s="135"/>
      <c r="G25" s="106">
        <v>10</v>
      </c>
      <c r="H25" s="135"/>
      <c r="I25" s="136"/>
      <c r="J25" s="137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8">
        <v>46235</v>
      </c>
      <c r="B26" s="25">
        <f t="shared" si="5"/>
        <v>1.2916666666666667</v>
      </c>
      <c r="C26" s="33" t="s">
        <v>34</v>
      </c>
      <c r="D26" s="62" t="s">
        <v>43</v>
      </c>
      <c r="E26" s="110" t="s">
        <v>256</v>
      </c>
      <c r="F26" s="138"/>
      <c r="G26" s="106">
        <v>10</v>
      </c>
      <c r="H26" s="138"/>
      <c r="I26" s="139"/>
      <c r="J26" s="140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2" t="s">
        <v>244</v>
      </c>
      <c r="B27" s="153"/>
      <c r="C27" s="153"/>
      <c r="D27" s="153"/>
      <c r="E27" s="153"/>
      <c r="F27" s="112"/>
      <c r="G27" s="81">
        <f>SUM(G15:G26)</f>
        <v>138</v>
      </c>
      <c r="H27" s="112"/>
      <c r="I27" s="116"/>
      <c r="J27" s="125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20">
        <f>IFERROR(J27,"")</f>
        <v>0</v>
      </c>
    </row>
    <row r="28" spans="1:20" ht="18" customHeight="1">
      <c r="A28" s="150" t="s">
        <v>245</v>
      </c>
      <c r="B28" s="151"/>
      <c r="C28" s="151"/>
      <c r="D28" s="151"/>
      <c r="E28" s="151"/>
      <c r="F28" s="113"/>
      <c r="G28" s="92">
        <f>G14+G27</f>
        <v>268</v>
      </c>
      <c r="H28" s="113"/>
      <c r="I28" s="117"/>
      <c r="J28" s="126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2">
        <f>IFERROR(J28,"")</f>
        <v>0</v>
      </c>
    </row>
    <row r="29" spans="1:20" ht="15" customHeight="1">
      <c r="A29" s="68">
        <v>46236</v>
      </c>
      <c r="B29" s="25">
        <v>0.33333333333333298</v>
      </c>
      <c r="C29" s="26" t="s">
        <v>50</v>
      </c>
      <c r="D29" s="59" t="s">
        <v>43</v>
      </c>
      <c r="E29" s="109" t="s">
        <v>256</v>
      </c>
      <c r="F29" s="141"/>
      <c r="G29" s="106">
        <v>3</v>
      </c>
      <c r="H29" s="141"/>
      <c r="I29" s="142"/>
      <c r="J29" s="143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9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9" t="s">
        <v>256</v>
      </c>
      <c r="F30" s="135"/>
      <c r="G30" s="106">
        <v>13</v>
      </c>
      <c r="H30" s="135"/>
      <c r="I30" s="136"/>
      <c r="J30" s="137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8">
        <v>46236</v>
      </c>
      <c r="B31" s="25">
        <f t="shared" si="8"/>
        <v>0.41666666666666635</v>
      </c>
      <c r="C31" s="26" t="s">
        <v>50</v>
      </c>
      <c r="D31" s="59" t="s">
        <v>43</v>
      </c>
      <c r="E31" s="109" t="s">
        <v>256</v>
      </c>
      <c r="F31" s="135"/>
      <c r="G31" s="106">
        <v>15</v>
      </c>
      <c r="H31" s="135"/>
      <c r="I31" s="136"/>
      <c r="J31" s="137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9">
        <v>46236</v>
      </c>
      <c r="B32" s="32">
        <f t="shared" si="8"/>
        <v>0.45833333333333304</v>
      </c>
      <c r="C32" s="26" t="s">
        <v>50</v>
      </c>
      <c r="D32" s="59" t="s">
        <v>43</v>
      </c>
      <c r="E32" s="109" t="s">
        <v>256</v>
      </c>
      <c r="F32" s="135"/>
      <c r="G32" s="106">
        <v>9</v>
      </c>
      <c r="H32" s="135"/>
      <c r="I32" s="136"/>
      <c r="J32" s="137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8">
        <v>46236</v>
      </c>
      <c r="B33" s="25">
        <f t="shared" si="8"/>
        <v>0.49999999999999972</v>
      </c>
      <c r="C33" s="26" t="s">
        <v>50</v>
      </c>
      <c r="D33" s="59" t="s">
        <v>43</v>
      </c>
      <c r="E33" s="109" t="s">
        <v>256</v>
      </c>
      <c r="F33" s="135"/>
      <c r="G33" s="106">
        <v>12</v>
      </c>
      <c r="H33" s="135"/>
      <c r="I33" s="136"/>
      <c r="J33" s="137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9">
        <v>46236</v>
      </c>
      <c r="B34" s="32">
        <f t="shared" si="8"/>
        <v>0.54166666666666641</v>
      </c>
      <c r="C34" s="26" t="s">
        <v>50</v>
      </c>
      <c r="D34" s="59" t="s">
        <v>43</v>
      </c>
      <c r="E34" s="109" t="s">
        <v>256</v>
      </c>
      <c r="F34" s="135"/>
      <c r="G34" s="106">
        <v>22</v>
      </c>
      <c r="H34" s="135"/>
      <c r="I34" s="136"/>
      <c r="J34" s="137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8">
        <v>46236</v>
      </c>
      <c r="B35" s="25">
        <f t="shared" si="8"/>
        <v>0.58333333333333304</v>
      </c>
      <c r="C35" s="26" t="s">
        <v>50</v>
      </c>
      <c r="D35" s="59" t="s">
        <v>43</v>
      </c>
      <c r="E35" s="109" t="s">
        <v>256</v>
      </c>
      <c r="F35" s="135"/>
      <c r="G35" s="106">
        <v>17</v>
      </c>
      <c r="H35" s="135"/>
      <c r="I35" s="136"/>
      <c r="J35" s="137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9">
        <v>46236</v>
      </c>
      <c r="B36" s="32">
        <f t="shared" si="8"/>
        <v>0.62499999999999967</v>
      </c>
      <c r="C36" s="26" t="s">
        <v>50</v>
      </c>
      <c r="D36" s="59" t="s">
        <v>43</v>
      </c>
      <c r="E36" s="109" t="s">
        <v>256</v>
      </c>
      <c r="F36" s="135"/>
      <c r="G36" s="106">
        <v>20</v>
      </c>
      <c r="H36" s="135"/>
      <c r="I36" s="136"/>
      <c r="J36" s="137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8">
        <v>46236</v>
      </c>
      <c r="B37" s="25">
        <f t="shared" si="8"/>
        <v>0.6666666666666663</v>
      </c>
      <c r="C37" s="26" t="s">
        <v>50</v>
      </c>
      <c r="D37" s="59" t="s">
        <v>43</v>
      </c>
      <c r="E37" s="109" t="s">
        <v>256</v>
      </c>
      <c r="F37" s="135"/>
      <c r="G37" s="106">
        <v>5</v>
      </c>
      <c r="H37" s="135"/>
      <c r="I37" s="136"/>
      <c r="J37" s="137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9">
        <v>46236</v>
      </c>
      <c r="B38" s="32">
        <f t="shared" si="8"/>
        <v>0.70833333333333293</v>
      </c>
      <c r="C38" s="26" t="s">
        <v>50</v>
      </c>
      <c r="D38" s="59" t="s">
        <v>43</v>
      </c>
      <c r="E38" s="109" t="s">
        <v>256</v>
      </c>
      <c r="F38" s="135"/>
      <c r="G38" s="106">
        <v>17</v>
      </c>
      <c r="H38" s="135"/>
      <c r="I38" s="136"/>
      <c r="J38" s="137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8">
        <v>46236</v>
      </c>
      <c r="B39" s="25">
        <f t="shared" si="8"/>
        <v>0.74999999999999956</v>
      </c>
      <c r="C39" s="26" t="s">
        <v>50</v>
      </c>
      <c r="D39" s="59" t="s">
        <v>43</v>
      </c>
      <c r="E39" s="109" t="s">
        <v>256</v>
      </c>
      <c r="F39" s="135"/>
      <c r="G39" s="57">
        <v>8</v>
      </c>
      <c r="H39" s="135"/>
      <c r="I39" s="136"/>
      <c r="J39" s="137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9">
        <v>46236</v>
      </c>
      <c r="B40" s="32">
        <f t="shared" si="8"/>
        <v>0.79166666666666619</v>
      </c>
      <c r="C40" s="26" t="s">
        <v>50</v>
      </c>
      <c r="D40" s="59" t="s">
        <v>43</v>
      </c>
      <c r="E40" s="109" t="s">
        <v>256</v>
      </c>
      <c r="F40" s="138"/>
      <c r="G40" s="106">
        <v>0</v>
      </c>
      <c r="H40" s="138"/>
      <c r="I40" s="139"/>
      <c r="J40" s="140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2" t="s">
        <v>241</v>
      </c>
      <c r="B41" s="153"/>
      <c r="C41" s="153"/>
      <c r="D41" s="153"/>
      <c r="E41" s="153"/>
      <c r="F41" s="111"/>
      <c r="G41" s="81">
        <f>SUM(G29:G40)</f>
        <v>141</v>
      </c>
      <c r="H41" s="111"/>
      <c r="I41" s="115"/>
      <c r="J41" s="124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20">
        <f>IFERROR(J41,"")</f>
        <v>0</v>
      </c>
    </row>
    <row r="42" spans="1:20" ht="15" customHeight="1">
      <c r="A42" s="69">
        <v>46236</v>
      </c>
      <c r="B42" s="32">
        <v>0.83333333333333304</v>
      </c>
      <c r="C42" s="33" t="s">
        <v>34</v>
      </c>
      <c r="D42" s="62" t="s">
        <v>27</v>
      </c>
      <c r="E42" s="110" t="s">
        <v>256</v>
      </c>
      <c r="F42" s="141"/>
      <c r="G42" s="106">
        <v>23</v>
      </c>
      <c r="H42" s="141"/>
      <c r="I42" s="142"/>
      <c r="J42" s="143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8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10" t="s">
        <v>256</v>
      </c>
      <c r="F43" s="135"/>
      <c r="G43" s="106">
        <v>8</v>
      </c>
      <c r="H43" s="135"/>
      <c r="I43" s="136"/>
      <c r="J43" s="137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9">
        <v>46236</v>
      </c>
      <c r="B44" s="32">
        <f t="shared" si="11"/>
        <v>0.9166666666666663</v>
      </c>
      <c r="C44" s="33" t="s">
        <v>34</v>
      </c>
      <c r="D44" s="62" t="s">
        <v>27</v>
      </c>
      <c r="E44" s="110" t="s">
        <v>256</v>
      </c>
      <c r="F44" s="135"/>
      <c r="G44" s="106">
        <v>8</v>
      </c>
      <c r="H44" s="135"/>
      <c r="I44" s="136"/>
      <c r="J44" s="137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8">
        <v>46236</v>
      </c>
      <c r="B45" s="25">
        <f t="shared" si="11"/>
        <v>0.95833333333333293</v>
      </c>
      <c r="C45" s="33" t="s">
        <v>34</v>
      </c>
      <c r="D45" s="62" t="s">
        <v>27</v>
      </c>
      <c r="E45" s="110" t="s">
        <v>256</v>
      </c>
      <c r="F45" s="135"/>
      <c r="G45" s="106">
        <v>3</v>
      </c>
      <c r="H45" s="135"/>
      <c r="I45" s="136"/>
      <c r="J45" s="137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311</v>
      </c>
      <c r="S45" s="60"/>
    </row>
    <row r="46" spans="1:20" ht="15" customHeight="1">
      <c r="A46" s="69">
        <v>46236</v>
      </c>
      <c r="B46" s="32">
        <f t="shared" si="11"/>
        <v>0.99999999999999956</v>
      </c>
      <c r="C46" s="33" t="s">
        <v>34</v>
      </c>
      <c r="D46" s="62" t="s">
        <v>27</v>
      </c>
      <c r="E46" s="110" t="s">
        <v>256</v>
      </c>
      <c r="F46" s="135"/>
      <c r="G46" s="106">
        <v>8</v>
      </c>
      <c r="H46" s="135"/>
      <c r="I46" s="136"/>
      <c r="J46" s="137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8">
        <v>46236</v>
      </c>
      <c r="B47" s="25">
        <f t="shared" si="11"/>
        <v>1.0416666666666663</v>
      </c>
      <c r="C47" s="33" t="s">
        <v>34</v>
      </c>
      <c r="D47" s="62" t="s">
        <v>27</v>
      </c>
      <c r="E47" s="110" t="s">
        <v>256</v>
      </c>
      <c r="F47" s="135"/>
      <c r="G47" s="106">
        <v>11</v>
      </c>
      <c r="H47" s="135"/>
      <c r="I47" s="136"/>
      <c r="J47" s="137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9">
        <v>46236</v>
      </c>
      <c r="B48" s="32">
        <f t="shared" si="11"/>
        <v>1.083333333333333</v>
      </c>
      <c r="C48" s="33" t="s">
        <v>34</v>
      </c>
      <c r="D48" s="62" t="s">
        <v>27</v>
      </c>
      <c r="E48" s="110" t="s">
        <v>256</v>
      </c>
      <c r="F48" s="135"/>
      <c r="G48" s="106">
        <v>17</v>
      </c>
      <c r="H48" s="135"/>
      <c r="I48" s="136"/>
      <c r="J48" s="137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8">
        <v>46236</v>
      </c>
      <c r="B49" s="25">
        <f t="shared" si="11"/>
        <v>1.1249999999999998</v>
      </c>
      <c r="C49" s="33" t="s">
        <v>34</v>
      </c>
      <c r="D49" s="62" t="s">
        <v>27</v>
      </c>
      <c r="E49" s="110" t="s">
        <v>256</v>
      </c>
      <c r="F49" s="135"/>
      <c r="G49" s="106">
        <v>20</v>
      </c>
      <c r="H49" s="135"/>
      <c r="I49" s="136"/>
      <c r="J49" s="137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9">
        <v>46236</v>
      </c>
      <c r="B50" s="32">
        <f t="shared" si="11"/>
        <v>1.1666666666666665</v>
      </c>
      <c r="C50" s="33" t="s">
        <v>34</v>
      </c>
      <c r="D50" s="62" t="s">
        <v>27</v>
      </c>
      <c r="E50" s="110" t="s">
        <v>256</v>
      </c>
      <c r="F50" s="135"/>
      <c r="G50" s="106">
        <v>12</v>
      </c>
      <c r="H50" s="135"/>
      <c r="I50" s="136"/>
      <c r="J50" s="137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8">
        <v>46236</v>
      </c>
      <c r="B51" s="25">
        <f t="shared" si="11"/>
        <v>1.2083333333333333</v>
      </c>
      <c r="C51" s="33" t="s">
        <v>34</v>
      </c>
      <c r="D51" s="62" t="s">
        <v>27</v>
      </c>
      <c r="E51" s="110" t="s">
        <v>256</v>
      </c>
      <c r="F51" s="135"/>
      <c r="G51" s="106">
        <v>0</v>
      </c>
      <c r="H51" s="135"/>
      <c r="I51" s="136"/>
      <c r="J51" s="137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9">
        <v>46236</v>
      </c>
      <c r="B52" s="32">
        <f t="shared" si="11"/>
        <v>1.25</v>
      </c>
      <c r="C52" s="33" t="s">
        <v>34</v>
      </c>
      <c r="D52" s="62" t="s">
        <v>27</v>
      </c>
      <c r="E52" s="110" t="s">
        <v>256</v>
      </c>
      <c r="F52" s="135"/>
      <c r="G52" s="106">
        <v>11</v>
      </c>
      <c r="H52" s="135"/>
      <c r="I52" s="136"/>
      <c r="J52" s="137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8">
        <v>46236</v>
      </c>
      <c r="B53" s="25">
        <f t="shared" si="11"/>
        <v>1.2916666666666667</v>
      </c>
      <c r="C53" s="33" t="s">
        <v>34</v>
      </c>
      <c r="D53" s="62" t="s">
        <v>27</v>
      </c>
      <c r="E53" s="110" t="s">
        <v>256</v>
      </c>
      <c r="F53" s="138"/>
      <c r="G53" s="106"/>
      <c r="H53" s="138"/>
      <c r="I53" s="139"/>
      <c r="J53" s="140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2" t="s">
        <v>244</v>
      </c>
      <c r="B54" s="153"/>
      <c r="C54" s="153"/>
      <c r="D54" s="153"/>
      <c r="E54" s="153">
        <f>SUM(E42:E53)</f>
        <v>0</v>
      </c>
      <c r="F54" s="112"/>
      <c r="G54" s="81">
        <f>SUM(G42:G53)</f>
        <v>121</v>
      </c>
      <c r="H54" s="112"/>
      <c r="I54" s="116"/>
      <c r="J54" s="125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20">
        <f>IFERROR(J54,"")</f>
        <v>0</v>
      </c>
    </row>
    <row r="55" spans="1:20" ht="18" customHeight="1">
      <c r="A55" s="150" t="s">
        <v>245</v>
      </c>
      <c r="B55" s="151"/>
      <c r="C55" s="151"/>
      <c r="D55" s="151"/>
      <c r="E55" s="151">
        <f>E41+E54</f>
        <v>0</v>
      </c>
      <c r="F55" s="113"/>
      <c r="G55" s="92">
        <f>G41+G54</f>
        <v>262</v>
      </c>
      <c r="H55" s="113"/>
      <c r="I55" s="117"/>
      <c r="J55" s="126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2">
        <f>IFERROR(J55,"")</f>
        <v>0</v>
      </c>
    </row>
    <row r="56" spans="1:20" ht="15" customHeight="1">
      <c r="A56" s="68">
        <v>46237</v>
      </c>
      <c r="B56" s="25">
        <v>0.33333333333333298</v>
      </c>
      <c r="C56" s="26" t="s">
        <v>50</v>
      </c>
      <c r="D56" s="59" t="s">
        <v>43</v>
      </c>
      <c r="E56" s="109" t="s">
        <v>256</v>
      </c>
      <c r="F56" s="141"/>
      <c r="G56" s="106">
        <v>18</v>
      </c>
      <c r="H56" s="141"/>
      <c r="I56" s="142"/>
      <c r="J56" s="143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9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9" t="s">
        <v>256</v>
      </c>
      <c r="F57" s="135"/>
      <c r="G57" s="106">
        <v>12</v>
      </c>
      <c r="H57" s="135"/>
      <c r="I57" s="136"/>
      <c r="J57" s="137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8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9" t="s">
        <v>256</v>
      </c>
      <c r="F58" s="135"/>
      <c r="G58" s="106">
        <v>15</v>
      </c>
      <c r="H58" s="135"/>
      <c r="I58" s="136"/>
      <c r="J58" s="137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9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9" t="s">
        <v>256</v>
      </c>
      <c r="F59" s="135"/>
      <c r="G59" s="106">
        <v>15</v>
      </c>
      <c r="H59" s="135"/>
      <c r="I59" s="136"/>
      <c r="J59" s="137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312</v>
      </c>
      <c r="S59" s="60"/>
    </row>
    <row r="60" spans="1:20" ht="15" customHeight="1">
      <c r="A60" s="68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9" t="s">
        <v>256</v>
      </c>
      <c r="F60" s="135"/>
      <c r="G60" s="106">
        <v>16</v>
      </c>
      <c r="H60" s="135"/>
      <c r="I60" s="136"/>
      <c r="J60" s="137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313</v>
      </c>
      <c r="S60" s="60"/>
    </row>
    <row r="61" spans="1:20" ht="15" customHeight="1">
      <c r="A61" s="69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9" t="s">
        <v>256</v>
      </c>
      <c r="F61" s="135"/>
      <c r="G61" s="106">
        <v>7</v>
      </c>
      <c r="H61" s="135"/>
      <c r="I61" s="136"/>
      <c r="J61" s="137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8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9" t="s">
        <v>256</v>
      </c>
      <c r="F62" s="135"/>
      <c r="G62" s="106">
        <v>15</v>
      </c>
      <c r="H62" s="135"/>
      <c r="I62" s="136"/>
      <c r="J62" s="137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9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9" t="s">
        <v>256</v>
      </c>
      <c r="F63" s="135"/>
      <c r="G63" s="106">
        <v>5</v>
      </c>
      <c r="H63" s="135"/>
      <c r="I63" s="136"/>
      <c r="J63" s="137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8">
        <v>46237</v>
      </c>
      <c r="B64" s="25">
        <f t="shared" si="14"/>
        <v>0.6666666666666663</v>
      </c>
      <c r="C64" s="26" t="s">
        <v>50</v>
      </c>
      <c r="D64" s="59" t="s">
        <v>43</v>
      </c>
      <c r="E64" s="109" t="s">
        <v>256</v>
      </c>
      <c r="F64" s="135"/>
      <c r="G64" s="106">
        <v>0</v>
      </c>
      <c r="H64" s="135"/>
      <c r="I64" s="136"/>
      <c r="J64" s="137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9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9" t="s">
        <v>256</v>
      </c>
      <c r="F65" s="135"/>
      <c r="G65" s="106">
        <v>6</v>
      </c>
      <c r="H65" s="135"/>
      <c r="I65" s="136"/>
      <c r="J65" s="137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8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9" t="s">
        <v>256</v>
      </c>
      <c r="F66" s="135"/>
      <c r="G66" s="106">
        <v>0</v>
      </c>
      <c r="H66" s="135"/>
      <c r="I66" s="136"/>
      <c r="J66" s="137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9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9" t="s">
        <v>256</v>
      </c>
      <c r="F67" s="138"/>
      <c r="G67" s="106">
        <v>6</v>
      </c>
      <c r="H67" s="138"/>
      <c r="I67" s="139"/>
      <c r="J67" s="140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2" t="s">
        <v>241</v>
      </c>
      <c r="B68" s="153"/>
      <c r="C68" s="153"/>
      <c r="D68" s="153"/>
      <c r="E68" s="153">
        <f>SUM(E56:E67)</f>
        <v>0</v>
      </c>
      <c r="F68" s="111"/>
      <c r="G68" s="81">
        <f>SUM(G56:G67)</f>
        <v>115</v>
      </c>
      <c r="H68" s="111"/>
      <c r="I68" s="115"/>
      <c r="J68" s="124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20">
        <f>IFERROR(J68,"")</f>
        <v>0</v>
      </c>
    </row>
    <row r="69" spans="1:20" ht="15" customHeight="1">
      <c r="A69" s="69">
        <v>46237</v>
      </c>
      <c r="B69" s="32">
        <v>0.83333333333333304</v>
      </c>
      <c r="C69" s="33" t="s">
        <v>34</v>
      </c>
      <c r="D69" s="62" t="s">
        <v>43</v>
      </c>
      <c r="E69" s="110" t="s">
        <v>256</v>
      </c>
      <c r="F69" s="141"/>
      <c r="G69" s="106">
        <v>7</v>
      </c>
      <c r="H69" s="141"/>
      <c r="I69" s="142"/>
      <c r="J69" s="143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314</v>
      </c>
      <c r="S69" s="60"/>
    </row>
    <row r="70" spans="1:20" ht="15" customHeight="1">
      <c r="A70" s="68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10" t="s">
        <v>256</v>
      </c>
      <c r="F70" s="135"/>
      <c r="G70" s="106">
        <v>9</v>
      </c>
      <c r="H70" s="135"/>
      <c r="I70" s="136"/>
      <c r="J70" s="137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9">
        <v>46237</v>
      </c>
      <c r="B71" s="32">
        <f t="shared" si="17"/>
        <v>0.9166666666666663</v>
      </c>
      <c r="C71" s="33" t="s">
        <v>34</v>
      </c>
      <c r="D71" s="62" t="s">
        <v>43</v>
      </c>
      <c r="E71" s="110" t="s">
        <v>256</v>
      </c>
      <c r="F71" s="135"/>
      <c r="G71" s="106">
        <v>9</v>
      </c>
      <c r="H71" s="135"/>
      <c r="I71" s="136"/>
      <c r="J71" s="137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8">
        <v>46237</v>
      </c>
      <c r="B72" s="25">
        <f t="shared" si="17"/>
        <v>0.95833333333333293</v>
      </c>
      <c r="C72" s="33" t="s">
        <v>34</v>
      </c>
      <c r="D72" s="62" t="s">
        <v>43</v>
      </c>
      <c r="E72" s="110" t="s">
        <v>256</v>
      </c>
      <c r="F72" s="135"/>
      <c r="G72" s="106">
        <v>11</v>
      </c>
      <c r="H72" s="135"/>
      <c r="I72" s="136"/>
      <c r="J72" s="137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292</v>
      </c>
      <c r="S72" s="60"/>
    </row>
    <row r="73" spans="1:20" ht="15" customHeight="1">
      <c r="A73" s="69">
        <v>46237</v>
      </c>
      <c r="B73" s="32">
        <f t="shared" si="17"/>
        <v>0.99999999999999956</v>
      </c>
      <c r="C73" s="33" t="s">
        <v>34</v>
      </c>
      <c r="D73" s="62" t="s">
        <v>43</v>
      </c>
      <c r="E73" s="110" t="s">
        <v>256</v>
      </c>
      <c r="F73" s="135"/>
      <c r="G73" s="106">
        <v>13</v>
      </c>
      <c r="H73" s="135"/>
      <c r="I73" s="136"/>
      <c r="J73" s="137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8">
        <v>46237</v>
      </c>
      <c r="B74" s="25">
        <f t="shared" si="17"/>
        <v>1.0416666666666663</v>
      </c>
      <c r="C74" s="33" t="s">
        <v>34</v>
      </c>
      <c r="D74" s="62" t="s">
        <v>43</v>
      </c>
      <c r="E74" s="110" t="s">
        <v>256</v>
      </c>
      <c r="F74" s="135"/>
      <c r="G74" s="106">
        <v>14</v>
      </c>
      <c r="H74" s="135"/>
      <c r="I74" s="136"/>
      <c r="J74" s="137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9">
        <v>46237</v>
      </c>
      <c r="B75" s="32">
        <f t="shared" si="17"/>
        <v>1.083333333333333</v>
      </c>
      <c r="C75" s="33" t="s">
        <v>34</v>
      </c>
      <c r="D75" s="62" t="s">
        <v>43</v>
      </c>
      <c r="E75" s="110" t="s">
        <v>256</v>
      </c>
      <c r="F75" s="135"/>
      <c r="G75" s="106">
        <v>18</v>
      </c>
      <c r="H75" s="135"/>
      <c r="I75" s="136"/>
      <c r="J75" s="137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8">
        <v>46237</v>
      </c>
      <c r="B76" s="25">
        <f t="shared" si="17"/>
        <v>1.1249999999999998</v>
      </c>
      <c r="C76" s="33" t="s">
        <v>34</v>
      </c>
      <c r="D76" s="62" t="s">
        <v>43</v>
      </c>
      <c r="E76" s="110" t="s">
        <v>256</v>
      </c>
      <c r="F76" s="135"/>
      <c r="G76" s="106">
        <v>12</v>
      </c>
      <c r="H76" s="135"/>
      <c r="I76" s="136"/>
      <c r="J76" s="137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9">
        <v>46237</v>
      </c>
      <c r="B77" s="32">
        <f t="shared" si="17"/>
        <v>1.1666666666666665</v>
      </c>
      <c r="C77" s="33" t="s">
        <v>34</v>
      </c>
      <c r="D77" s="62" t="s">
        <v>43</v>
      </c>
      <c r="E77" s="110" t="s">
        <v>256</v>
      </c>
      <c r="F77" s="135"/>
      <c r="G77" s="106">
        <v>12</v>
      </c>
      <c r="H77" s="135"/>
      <c r="I77" s="136"/>
      <c r="J77" s="137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8">
        <v>46237</v>
      </c>
      <c r="B78" s="25">
        <f t="shared" si="17"/>
        <v>1.2083333333333333</v>
      </c>
      <c r="C78" s="33" t="s">
        <v>34</v>
      </c>
      <c r="D78" s="62" t="s">
        <v>43</v>
      </c>
      <c r="E78" s="110" t="s">
        <v>256</v>
      </c>
      <c r="F78" s="135"/>
      <c r="G78" s="106">
        <v>14</v>
      </c>
      <c r="H78" s="135"/>
      <c r="I78" s="136"/>
      <c r="J78" s="137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9">
        <v>46237</v>
      </c>
      <c r="B79" s="32">
        <f t="shared" si="17"/>
        <v>1.25</v>
      </c>
      <c r="C79" s="33" t="s">
        <v>34</v>
      </c>
      <c r="D79" s="62" t="s">
        <v>35</v>
      </c>
      <c r="E79" s="110" t="s">
        <v>256</v>
      </c>
      <c r="F79" s="135"/>
      <c r="G79" s="106">
        <v>14</v>
      </c>
      <c r="H79" s="135"/>
      <c r="I79" s="136"/>
      <c r="J79" s="137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8">
        <v>46237</v>
      </c>
      <c r="B80" s="25">
        <f t="shared" si="17"/>
        <v>1.2916666666666667</v>
      </c>
      <c r="C80" s="33" t="s">
        <v>34</v>
      </c>
      <c r="D80" s="62" t="s">
        <v>35</v>
      </c>
      <c r="E80" s="110"/>
      <c r="F80" s="138"/>
      <c r="G80" s="106">
        <v>10</v>
      </c>
      <c r="H80" s="138"/>
      <c r="I80" s="139"/>
      <c r="J80" s="140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2" t="s">
        <v>244</v>
      </c>
      <c r="B81" s="153"/>
      <c r="C81" s="153"/>
      <c r="D81" s="153"/>
      <c r="E81" s="153">
        <f>SUM(E69:E80)</f>
        <v>0</v>
      </c>
      <c r="F81" s="112"/>
      <c r="G81" s="81">
        <f>SUM(G69:G80)</f>
        <v>143</v>
      </c>
      <c r="H81" s="112"/>
      <c r="I81" s="116"/>
      <c r="J81" s="125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20">
        <f>IFERROR(J81,"")</f>
        <v>0</v>
      </c>
    </row>
    <row r="82" spans="1:20" ht="18" customHeight="1">
      <c r="A82" s="150" t="s">
        <v>245</v>
      </c>
      <c r="B82" s="151"/>
      <c r="C82" s="151"/>
      <c r="D82" s="151"/>
      <c r="E82" s="151">
        <f>E68+E81</f>
        <v>0</v>
      </c>
      <c r="F82" s="113"/>
      <c r="G82" s="92">
        <f>G68+G81</f>
        <v>258</v>
      </c>
      <c r="H82" s="113"/>
      <c r="I82" s="117"/>
      <c r="J82" s="126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2">
        <f>IFERROR(J82,"")</f>
        <v>0</v>
      </c>
    </row>
    <row r="83" spans="1:20" ht="15" customHeight="1">
      <c r="A83" s="68">
        <v>46238</v>
      </c>
      <c r="B83" s="25">
        <v>0.33333333333333298</v>
      </c>
      <c r="C83" s="26" t="s">
        <v>50</v>
      </c>
      <c r="D83" s="59" t="s">
        <v>35</v>
      </c>
      <c r="E83" s="109" t="s">
        <v>256</v>
      </c>
      <c r="F83" s="141"/>
      <c r="G83" s="106">
        <v>15</v>
      </c>
      <c r="H83" s="141"/>
      <c r="I83" s="142"/>
      <c r="J83" s="143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9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9" t="s">
        <v>256</v>
      </c>
      <c r="F84" s="135"/>
      <c r="G84" s="106">
        <v>20</v>
      </c>
      <c r="H84" s="135"/>
      <c r="I84" s="136"/>
      <c r="J84" s="137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8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9" t="s">
        <v>256</v>
      </c>
      <c r="F85" s="135"/>
      <c r="G85" s="106">
        <v>10</v>
      </c>
      <c r="H85" s="135"/>
      <c r="I85" s="136"/>
      <c r="J85" s="137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9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9" t="s">
        <v>256</v>
      </c>
      <c r="F86" s="135"/>
      <c r="G86" s="106">
        <v>17</v>
      </c>
      <c r="H86" s="135"/>
      <c r="I86" s="136"/>
      <c r="J86" s="137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8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9" t="s">
        <v>256</v>
      </c>
      <c r="F87" s="135"/>
      <c r="G87" s="106">
        <v>17</v>
      </c>
      <c r="H87" s="135"/>
      <c r="I87" s="136"/>
      <c r="J87" s="137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9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9" t="s">
        <v>256</v>
      </c>
      <c r="F88" s="135"/>
      <c r="G88" s="106">
        <v>15</v>
      </c>
      <c r="H88" s="135"/>
      <c r="I88" s="136"/>
      <c r="J88" s="137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8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9" t="s">
        <v>256</v>
      </c>
      <c r="F89" s="135"/>
      <c r="G89" s="106">
        <v>16</v>
      </c>
      <c r="H89" s="135"/>
      <c r="I89" s="136"/>
      <c r="J89" s="137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9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9" t="s">
        <v>256</v>
      </c>
      <c r="F90" s="135"/>
      <c r="G90" s="106">
        <v>20</v>
      </c>
      <c r="H90" s="135"/>
      <c r="I90" s="136"/>
      <c r="J90" s="137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8">
        <v>46238</v>
      </c>
      <c r="B91" s="25">
        <f t="shared" si="20"/>
        <v>0.6666666666666663</v>
      </c>
      <c r="C91" s="26" t="s">
        <v>50</v>
      </c>
      <c r="D91" s="59" t="s">
        <v>35</v>
      </c>
      <c r="E91" s="109" t="s">
        <v>256</v>
      </c>
      <c r="F91" s="135"/>
      <c r="G91" s="106">
        <v>16</v>
      </c>
      <c r="H91" s="135"/>
      <c r="I91" s="136"/>
      <c r="J91" s="137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9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9" t="s">
        <v>256</v>
      </c>
      <c r="F92" s="135"/>
      <c r="G92" s="106">
        <v>19</v>
      </c>
      <c r="H92" s="135"/>
      <c r="I92" s="136"/>
      <c r="J92" s="137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8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9" t="s">
        <v>256</v>
      </c>
      <c r="F93" s="135"/>
      <c r="G93" s="106">
        <v>3</v>
      </c>
      <c r="H93" s="135"/>
      <c r="I93" s="136"/>
      <c r="J93" s="137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9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9" t="s">
        <v>256</v>
      </c>
      <c r="F94" s="138"/>
      <c r="G94" s="106">
        <v>15</v>
      </c>
      <c r="H94" s="138"/>
      <c r="I94" s="139"/>
      <c r="J94" s="140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2" t="s">
        <v>241</v>
      </c>
      <c r="B95" s="153"/>
      <c r="C95" s="153"/>
      <c r="D95" s="153"/>
      <c r="E95" s="153">
        <f>SUM(E83:E94)</f>
        <v>0</v>
      </c>
      <c r="F95" s="111"/>
      <c r="G95" s="81">
        <f>SUM(G83:G94)</f>
        <v>183</v>
      </c>
      <c r="H95" s="111"/>
      <c r="I95" s="115"/>
      <c r="J95" s="124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20">
        <f>IFERROR(J95,"")</f>
        <v>0</v>
      </c>
    </row>
    <row r="96" spans="1:20" ht="15" customHeight="1">
      <c r="A96" s="69">
        <v>46238</v>
      </c>
      <c r="B96" s="32">
        <v>0.83333333333333304</v>
      </c>
      <c r="C96" s="33" t="s">
        <v>34</v>
      </c>
      <c r="D96" s="62" t="s">
        <v>35</v>
      </c>
      <c r="E96" s="110" t="s">
        <v>256</v>
      </c>
      <c r="F96" s="141"/>
      <c r="G96" s="106">
        <v>20</v>
      </c>
      <c r="H96" s="141"/>
      <c r="I96" s="142"/>
      <c r="J96" s="143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8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10" t="s">
        <v>256</v>
      </c>
      <c r="F97" s="135"/>
      <c r="G97" s="106">
        <v>20</v>
      </c>
      <c r="H97" s="135"/>
      <c r="I97" s="136"/>
      <c r="J97" s="137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292</v>
      </c>
      <c r="S97" s="60"/>
    </row>
    <row r="98" spans="1:20" ht="15" customHeight="1">
      <c r="A98" s="69">
        <v>46238</v>
      </c>
      <c r="B98" s="32">
        <f t="shared" si="23"/>
        <v>0.9166666666666663</v>
      </c>
      <c r="C98" s="33" t="s">
        <v>34</v>
      </c>
      <c r="D98" s="62" t="s">
        <v>35</v>
      </c>
      <c r="E98" s="110" t="s">
        <v>256</v>
      </c>
      <c r="F98" s="135"/>
      <c r="G98" s="106">
        <v>15</v>
      </c>
      <c r="H98" s="135"/>
      <c r="I98" s="136"/>
      <c r="J98" s="137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8">
        <v>46238</v>
      </c>
      <c r="B99" s="25">
        <f t="shared" si="23"/>
        <v>0.95833333333333293</v>
      </c>
      <c r="C99" s="33" t="s">
        <v>34</v>
      </c>
      <c r="D99" s="62" t="s">
        <v>35</v>
      </c>
      <c r="E99" s="110" t="s">
        <v>256</v>
      </c>
      <c r="F99" s="135"/>
      <c r="G99" s="106">
        <v>22</v>
      </c>
      <c r="H99" s="135"/>
      <c r="I99" s="136"/>
      <c r="J99" s="137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9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10" t="s">
        <v>256</v>
      </c>
      <c r="F100" s="135"/>
      <c r="G100" s="106">
        <v>14</v>
      </c>
      <c r="H100" s="135"/>
      <c r="I100" s="136"/>
      <c r="J100" s="137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8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10" t="s">
        <v>256</v>
      </c>
      <c r="F101" s="135"/>
      <c r="G101" s="106">
        <v>10</v>
      </c>
      <c r="H101" s="135"/>
      <c r="I101" s="136"/>
      <c r="J101" s="137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9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10" t="s">
        <v>256</v>
      </c>
      <c r="F102" s="135"/>
      <c r="G102" s="106">
        <v>14</v>
      </c>
      <c r="H102" s="135"/>
      <c r="I102" s="136"/>
      <c r="J102" s="137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8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10" t="s">
        <v>256</v>
      </c>
      <c r="F103" s="135"/>
      <c r="G103" s="106">
        <v>28</v>
      </c>
      <c r="H103" s="135"/>
      <c r="I103" s="136"/>
      <c r="J103" s="137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9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10" t="s">
        <v>256</v>
      </c>
      <c r="F104" s="135"/>
      <c r="G104" s="106">
        <v>17</v>
      </c>
      <c r="H104" s="135"/>
      <c r="I104" s="136"/>
      <c r="J104" s="137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8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10" t="s">
        <v>256</v>
      </c>
      <c r="F105" s="135"/>
      <c r="G105" s="106">
        <v>12</v>
      </c>
      <c r="H105" s="135"/>
      <c r="I105" s="136"/>
      <c r="J105" s="137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9">
        <v>46238</v>
      </c>
      <c r="B106" s="32">
        <f t="shared" si="23"/>
        <v>1.25</v>
      </c>
      <c r="C106" s="33" t="s">
        <v>34</v>
      </c>
      <c r="D106" s="62" t="s">
        <v>35</v>
      </c>
      <c r="E106" s="110" t="s">
        <v>256</v>
      </c>
      <c r="F106" s="135"/>
      <c r="G106" s="106">
        <v>15</v>
      </c>
      <c r="H106" s="135"/>
      <c r="I106" s="136"/>
      <c r="J106" s="137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8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10" t="s">
        <v>256</v>
      </c>
      <c r="F107" s="138"/>
      <c r="G107" s="106">
        <v>10</v>
      </c>
      <c r="H107" s="138"/>
      <c r="I107" s="139"/>
      <c r="J107" s="140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2" t="s">
        <v>244</v>
      </c>
      <c r="B108" s="153"/>
      <c r="C108" s="153"/>
      <c r="D108" s="153"/>
      <c r="E108" s="153">
        <f>SUM(E96:E107)</f>
        <v>0</v>
      </c>
      <c r="F108" s="112"/>
      <c r="G108" s="81">
        <f>SUM(G96:G107)</f>
        <v>197</v>
      </c>
      <c r="H108" s="112"/>
      <c r="I108" s="116"/>
      <c r="J108" s="125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20">
        <f>IFERROR(J108,"")</f>
        <v>0</v>
      </c>
    </row>
    <row r="109" spans="1:20" ht="18" customHeight="1">
      <c r="A109" s="150" t="s">
        <v>245</v>
      </c>
      <c r="B109" s="151"/>
      <c r="C109" s="151"/>
      <c r="D109" s="151"/>
      <c r="E109" s="151">
        <f>E95+E108</f>
        <v>0</v>
      </c>
      <c r="F109" s="113"/>
      <c r="G109" s="92">
        <f>G95+G108</f>
        <v>380</v>
      </c>
      <c r="H109" s="113"/>
      <c r="I109" s="117"/>
      <c r="J109" s="126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2">
        <f>IFERROR(J109,"")</f>
        <v>0</v>
      </c>
    </row>
    <row r="110" spans="1:20" ht="15" customHeight="1">
      <c r="A110" s="68">
        <v>46239</v>
      </c>
      <c r="B110" s="25">
        <v>0.33333333333333298</v>
      </c>
      <c r="C110" s="26" t="s">
        <v>50</v>
      </c>
      <c r="D110" s="59" t="s">
        <v>35</v>
      </c>
      <c r="E110" s="109" t="s">
        <v>256</v>
      </c>
      <c r="F110" s="141"/>
      <c r="G110" s="106">
        <v>25</v>
      </c>
      <c r="H110" s="141"/>
      <c r="I110" s="142"/>
      <c r="J110" s="143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9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9" t="s">
        <v>256</v>
      </c>
      <c r="F111" s="135"/>
      <c r="G111" s="106">
        <v>10</v>
      </c>
      <c r="H111" s="135"/>
      <c r="I111" s="136"/>
      <c r="J111" s="137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8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9" t="s">
        <v>256</v>
      </c>
      <c r="F112" s="135"/>
      <c r="G112" s="106">
        <v>16</v>
      </c>
      <c r="H112" s="135"/>
      <c r="I112" s="136"/>
      <c r="J112" s="137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9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9" t="s">
        <v>256</v>
      </c>
      <c r="F113" s="135"/>
      <c r="G113" s="106">
        <v>18</v>
      </c>
      <c r="H113" s="135"/>
      <c r="I113" s="136"/>
      <c r="J113" s="137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8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9" t="s">
        <v>256</v>
      </c>
      <c r="F114" s="135"/>
      <c r="G114" s="106">
        <v>14</v>
      </c>
      <c r="H114" s="135"/>
      <c r="I114" s="136"/>
      <c r="J114" s="137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315</v>
      </c>
      <c r="S114" s="60"/>
    </row>
    <row r="115" spans="1:20" ht="15" customHeight="1">
      <c r="A115" s="69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9" t="s">
        <v>256</v>
      </c>
      <c r="F115" s="135"/>
      <c r="G115" s="106">
        <v>20</v>
      </c>
      <c r="H115" s="135"/>
      <c r="I115" s="136"/>
      <c r="J115" s="137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8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9" t="s">
        <v>256</v>
      </c>
      <c r="F116" s="135"/>
      <c r="G116" s="106">
        <v>13</v>
      </c>
      <c r="H116" s="135"/>
      <c r="I116" s="136"/>
      <c r="J116" s="137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9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9" t="s">
        <v>256</v>
      </c>
      <c r="F117" s="135"/>
      <c r="G117" s="106">
        <v>7</v>
      </c>
      <c r="H117" s="135"/>
      <c r="I117" s="136"/>
      <c r="J117" s="137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8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9" t="s">
        <v>256</v>
      </c>
      <c r="F118" s="135"/>
      <c r="G118" s="106">
        <v>21</v>
      </c>
      <c r="H118" s="135"/>
      <c r="I118" s="136"/>
      <c r="J118" s="137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9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9" t="s">
        <v>256</v>
      </c>
      <c r="F119" s="135"/>
      <c r="G119" s="106">
        <v>16</v>
      </c>
      <c r="H119" s="135"/>
      <c r="I119" s="136"/>
      <c r="J119" s="137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8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9" t="s">
        <v>256</v>
      </c>
      <c r="F120" s="135"/>
      <c r="G120" s="106">
        <v>5</v>
      </c>
      <c r="H120" s="135"/>
      <c r="I120" s="136"/>
      <c r="J120" s="137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9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9" t="s">
        <v>256</v>
      </c>
      <c r="F121" s="138"/>
      <c r="G121" s="106">
        <v>5</v>
      </c>
      <c r="H121" s="138"/>
      <c r="I121" s="139"/>
      <c r="J121" s="140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2" t="s">
        <v>241</v>
      </c>
      <c r="B122" s="153"/>
      <c r="C122" s="153"/>
      <c r="D122" s="153"/>
      <c r="E122" s="153">
        <f>SUM(E110:E121)</f>
        <v>0</v>
      </c>
      <c r="F122" s="111"/>
      <c r="G122" s="81">
        <f>SUM(G110:G121)</f>
        <v>170</v>
      </c>
      <c r="H122" s="111"/>
      <c r="I122" s="115"/>
      <c r="J122" s="124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20">
        <f>IFERROR(J122,"")</f>
        <v>0</v>
      </c>
    </row>
    <row r="123" spans="1:20" ht="15" customHeight="1">
      <c r="A123" s="69">
        <v>46239</v>
      </c>
      <c r="B123" s="32">
        <v>0.83333333333333304</v>
      </c>
      <c r="C123" s="33" t="s">
        <v>34</v>
      </c>
      <c r="D123" s="62" t="s">
        <v>35</v>
      </c>
      <c r="E123" s="110" t="s">
        <v>256</v>
      </c>
      <c r="F123" s="141"/>
      <c r="G123" s="106">
        <v>24</v>
      </c>
      <c r="H123" s="141"/>
      <c r="I123" s="142"/>
      <c r="J123" s="143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8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10" t="s">
        <v>256</v>
      </c>
      <c r="F124" s="135"/>
      <c r="G124" s="106">
        <v>14</v>
      </c>
      <c r="H124" s="135"/>
      <c r="I124" s="136"/>
      <c r="J124" s="137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316</v>
      </c>
      <c r="S124" s="60"/>
    </row>
    <row r="125" spans="1:20" ht="15" customHeight="1">
      <c r="A125" s="69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10" t="s">
        <v>256</v>
      </c>
      <c r="F125" s="135"/>
      <c r="G125" s="106">
        <v>15</v>
      </c>
      <c r="H125" s="135"/>
      <c r="I125" s="136"/>
      <c r="J125" s="137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8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10" t="s">
        <v>256</v>
      </c>
      <c r="F126" s="135"/>
      <c r="G126" s="106">
        <v>24</v>
      </c>
      <c r="H126" s="135"/>
      <c r="I126" s="136"/>
      <c r="J126" s="137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9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10" t="s">
        <v>256</v>
      </c>
      <c r="F127" s="135"/>
      <c r="G127" s="106">
        <v>10</v>
      </c>
      <c r="H127" s="135"/>
      <c r="I127" s="136"/>
      <c r="J127" s="137"/>
      <c r="K127" s="34">
        <f t="shared" si="27"/>
        <v>42</v>
      </c>
      <c r="L127" s="33" t="s">
        <v>24</v>
      </c>
      <c r="M127" s="33" t="s">
        <v>57</v>
      </c>
      <c r="N127" s="33" t="s">
        <v>275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8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10" t="s">
        <v>256</v>
      </c>
      <c r="F128" s="135"/>
      <c r="G128" s="106">
        <v>16</v>
      </c>
      <c r="H128" s="135"/>
      <c r="I128" s="136"/>
      <c r="J128" s="137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9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10" t="s">
        <v>256</v>
      </c>
      <c r="F129" s="135"/>
      <c r="G129" s="106">
        <v>25</v>
      </c>
      <c r="H129" s="135"/>
      <c r="I129" s="136"/>
      <c r="J129" s="137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292</v>
      </c>
      <c r="S129" s="60"/>
    </row>
    <row r="130" spans="1:22" ht="15" customHeight="1">
      <c r="A130" s="68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10" t="s">
        <v>256</v>
      </c>
      <c r="F130" s="135"/>
      <c r="G130" s="106">
        <v>13</v>
      </c>
      <c r="H130" s="135"/>
      <c r="I130" s="136"/>
      <c r="J130" s="137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9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10" t="s">
        <v>256</v>
      </c>
      <c r="F131" s="135"/>
      <c r="G131" s="106">
        <v>20</v>
      </c>
      <c r="H131" s="135"/>
      <c r="I131" s="136"/>
      <c r="J131" s="137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8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10" t="s">
        <v>256</v>
      </c>
      <c r="F132" s="135"/>
      <c r="G132" s="106">
        <v>21</v>
      </c>
      <c r="H132" s="135"/>
      <c r="I132" s="136"/>
      <c r="J132" s="137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9">
        <v>46239</v>
      </c>
      <c r="B133" s="32">
        <f t="shared" si="29"/>
        <v>1.25</v>
      </c>
      <c r="C133" s="33" t="s">
        <v>34</v>
      </c>
      <c r="D133" s="62" t="s">
        <v>35</v>
      </c>
      <c r="E133" s="110" t="s">
        <v>256</v>
      </c>
      <c r="F133" s="135"/>
      <c r="G133" s="106">
        <v>10</v>
      </c>
      <c r="H133" s="135"/>
      <c r="I133" s="136"/>
      <c r="J133" s="137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8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10" t="s">
        <v>256</v>
      </c>
      <c r="F134" s="138"/>
      <c r="G134" s="106">
        <v>5</v>
      </c>
      <c r="H134" s="138"/>
      <c r="I134" s="139"/>
      <c r="J134" s="140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2" t="s">
        <v>244</v>
      </c>
      <c r="B135" s="153"/>
      <c r="C135" s="153"/>
      <c r="D135" s="153"/>
      <c r="E135" s="153">
        <f>SUM(E123:E134)</f>
        <v>0</v>
      </c>
      <c r="F135" s="112"/>
      <c r="G135" s="81">
        <f>SUM(G123:G134)</f>
        <v>197</v>
      </c>
      <c r="H135" s="112"/>
      <c r="I135" s="116"/>
      <c r="J135" s="125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20">
        <f>IFERROR(J135,"")</f>
        <v>0</v>
      </c>
    </row>
    <row r="136" spans="1:22" ht="18" customHeight="1">
      <c r="A136" s="150" t="s">
        <v>245</v>
      </c>
      <c r="B136" s="151"/>
      <c r="C136" s="151"/>
      <c r="D136" s="151"/>
      <c r="E136" s="151">
        <f>E122+E135</f>
        <v>0</v>
      </c>
      <c r="F136" s="113"/>
      <c r="G136" s="92">
        <f>G122+G135</f>
        <v>367</v>
      </c>
      <c r="H136" s="113"/>
      <c r="I136" s="117"/>
      <c r="J136" s="126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2">
        <f>IFERROR(J136,"")</f>
        <v>0</v>
      </c>
    </row>
    <row r="137" spans="1:22" ht="15" customHeight="1">
      <c r="A137" s="69">
        <v>46240</v>
      </c>
      <c r="B137" s="32">
        <v>0.33333333333333298</v>
      </c>
      <c r="C137" s="33" t="s">
        <v>26</v>
      </c>
      <c r="D137" s="62" t="s">
        <v>35</v>
      </c>
      <c r="E137" s="110" t="s">
        <v>256</v>
      </c>
      <c r="F137" s="141"/>
      <c r="G137" s="106">
        <v>20</v>
      </c>
      <c r="H137" s="141"/>
      <c r="I137" s="142"/>
      <c r="J137" s="143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8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10" t="s">
        <v>256</v>
      </c>
      <c r="F138" s="135"/>
      <c r="G138" s="106">
        <v>24</v>
      </c>
      <c r="H138" s="135"/>
      <c r="I138" s="136"/>
      <c r="J138" s="137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317</v>
      </c>
      <c r="S138" s="31"/>
    </row>
    <row r="139" spans="1:22" ht="15" customHeight="1">
      <c r="A139" s="69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10" t="s">
        <v>256</v>
      </c>
      <c r="F139" s="135"/>
      <c r="G139" s="106">
        <v>15</v>
      </c>
      <c r="H139" s="135"/>
      <c r="I139" s="136"/>
      <c r="J139" s="137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8" t="s">
        <v>318</v>
      </c>
      <c r="S139" s="31"/>
    </row>
    <row r="140" spans="1:22" ht="15" customHeight="1">
      <c r="A140" s="68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10" t="s">
        <v>256</v>
      </c>
      <c r="F140" s="135"/>
      <c r="G140" s="106">
        <v>18</v>
      </c>
      <c r="H140" s="135"/>
      <c r="I140" s="136"/>
      <c r="J140" s="137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9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10" t="s">
        <v>256</v>
      </c>
      <c r="F141" s="135"/>
      <c r="G141" s="106">
        <v>18</v>
      </c>
      <c r="H141" s="135"/>
      <c r="I141" s="136"/>
      <c r="J141" s="137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8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10" t="s">
        <v>256</v>
      </c>
      <c r="F142" s="135"/>
      <c r="G142" s="106">
        <v>14</v>
      </c>
      <c r="H142" s="135"/>
      <c r="I142" s="136"/>
      <c r="J142" s="137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6"/>
    </row>
    <row r="143" spans="1:22" ht="15" customHeight="1">
      <c r="A143" s="69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10" t="s">
        <v>256</v>
      </c>
      <c r="F143" s="135"/>
      <c r="G143" s="106">
        <v>17</v>
      </c>
      <c r="H143" s="135"/>
      <c r="I143" s="136"/>
      <c r="J143" s="137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8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10" t="s">
        <v>256</v>
      </c>
      <c r="F144" s="135"/>
      <c r="G144" s="106">
        <v>12</v>
      </c>
      <c r="H144" s="135"/>
      <c r="I144" s="136"/>
      <c r="J144" s="137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9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10" t="s">
        <v>256</v>
      </c>
      <c r="F145" s="135"/>
      <c r="G145" s="106">
        <v>16</v>
      </c>
      <c r="H145" s="135"/>
      <c r="I145" s="136"/>
      <c r="J145" s="137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8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10" t="s">
        <v>256</v>
      </c>
      <c r="F146" s="135"/>
      <c r="G146" s="106">
        <v>12</v>
      </c>
      <c r="H146" s="135"/>
      <c r="I146" s="136"/>
      <c r="J146" s="137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8" t="s">
        <v>283</v>
      </c>
      <c r="S146" s="31"/>
    </row>
    <row r="147" spans="1:20" ht="15" customHeight="1">
      <c r="A147" s="69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10" t="s">
        <v>256</v>
      </c>
      <c r="F147" s="135"/>
      <c r="G147" s="106">
        <v>10</v>
      </c>
      <c r="H147" s="135"/>
      <c r="I147" s="136"/>
      <c r="J147" s="137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8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10" t="s">
        <v>256</v>
      </c>
      <c r="F148" s="138"/>
      <c r="G148" s="106">
        <v>6</v>
      </c>
      <c r="H148" s="138"/>
      <c r="I148" s="139"/>
      <c r="J148" s="140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9" t="s">
        <v>241</v>
      </c>
      <c r="B149" s="80"/>
      <c r="C149" s="80"/>
      <c r="D149" s="80"/>
      <c r="E149" s="80">
        <f>SUM(E137:E148)</f>
        <v>0</v>
      </c>
      <c r="F149" s="111"/>
      <c r="G149" s="81">
        <f>SUM(G137:G148)</f>
        <v>182</v>
      </c>
      <c r="H149" s="111"/>
      <c r="I149" s="115"/>
      <c r="J149" s="124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20">
        <f>IFERROR(J149,"")</f>
        <v>0</v>
      </c>
    </row>
    <row r="150" spans="1:20" ht="15" customHeight="1">
      <c r="A150" s="68">
        <v>46240</v>
      </c>
      <c r="B150" s="25">
        <v>0.83333333333333304</v>
      </c>
      <c r="C150" s="26" t="s">
        <v>50</v>
      </c>
      <c r="D150" s="59" t="s">
        <v>43</v>
      </c>
      <c r="E150" s="109" t="s">
        <v>256</v>
      </c>
      <c r="F150" s="141"/>
      <c r="G150" s="106">
        <v>10</v>
      </c>
      <c r="H150" s="141"/>
      <c r="I150" s="142"/>
      <c r="J150" s="143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319</v>
      </c>
      <c r="S150" s="31"/>
    </row>
    <row r="151" spans="1:20" ht="15" customHeight="1">
      <c r="A151" s="69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9" t="s">
        <v>256</v>
      </c>
      <c r="F151" s="135"/>
      <c r="G151" s="106">
        <v>11</v>
      </c>
      <c r="H151" s="135"/>
      <c r="I151" s="136"/>
      <c r="J151" s="137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320</v>
      </c>
      <c r="S151" s="31"/>
    </row>
    <row r="152" spans="1:20" ht="15" customHeight="1">
      <c r="A152" s="68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9" t="s">
        <v>256</v>
      </c>
      <c r="F152" s="135"/>
      <c r="G152" s="106">
        <v>10</v>
      </c>
      <c r="H152" s="135"/>
      <c r="I152" s="136"/>
      <c r="J152" s="137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9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9" t="s">
        <v>256</v>
      </c>
      <c r="F153" s="135"/>
      <c r="G153" s="106">
        <v>7</v>
      </c>
      <c r="H153" s="135"/>
      <c r="I153" s="136"/>
      <c r="J153" s="137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8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9" t="s">
        <v>256</v>
      </c>
      <c r="F154" s="135"/>
      <c r="G154" s="106">
        <v>10</v>
      </c>
      <c r="H154" s="135"/>
      <c r="I154" s="136"/>
      <c r="J154" s="137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9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9" t="s">
        <v>256</v>
      </c>
      <c r="F155" s="135"/>
      <c r="G155" s="106">
        <v>10</v>
      </c>
      <c r="H155" s="135"/>
      <c r="I155" s="136"/>
      <c r="J155" s="137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8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9" t="s">
        <v>256</v>
      </c>
      <c r="F156" s="135"/>
      <c r="G156" s="106">
        <v>19</v>
      </c>
      <c r="H156" s="135"/>
      <c r="I156" s="136"/>
      <c r="J156" s="137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9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9" t="s">
        <v>256</v>
      </c>
      <c r="F157" s="135"/>
      <c r="G157" s="106">
        <v>16</v>
      </c>
      <c r="H157" s="135"/>
      <c r="I157" s="136"/>
      <c r="J157" s="137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8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9" t="s">
        <v>256</v>
      </c>
      <c r="F158" s="135"/>
      <c r="G158" s="106">
        <v>19</v>
      </c>
      <c r="H158" s="135"/>
      <c r="I158" s="136"/>
      <c r="J158" s="137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9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9" t="s">
        <v>256</v>
      </c>
      <c r="F159" s="135"/>
      <c r="G159" s="106">
        <v>14</v>
      </c>
      <c r="H159" s="135"/>
      <c r="I159" s="136"/>
      <c r="J159" s="137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8">
        <v>46240</v>
      </c>
      <c r="B160" s="25">
        <f t="shared" si="35"/>
        <v>1.25</v>
      </c>
      <c r="C160" s="26" t="s">
        <v>50</v>
      </c>
      <c r="D160" s="59" t="s">
        <v>43</v>
      </c>
      <c r="E160" s="109" t="s">
        <v>256</v>
      </c>
      <c r="F160" s="135"/>
      <c r="G160" s="106">
        <v>0</v>
      </c>
      <c r="H160" s="135"/>
      <c r="I160" s="136"/>
      <c r="J160" s="137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9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9" t="s">
        <v>256</v>
      </c>
      <c r="F161" s="138"/>
      <c r="G161" s="106">
        <v>0</v>
      </c>
      <c r="H161" s="138"/>
      <c r="I161" s="139"/>
      <c r="J161" s="140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2" t="s">
        <v>244</v>
      </c>
      <c r="B162" s="153"/>
      <c r="C162" s="153"/>
      <c r="D162" s="153"/>
      <c r="E162" s="153">
        <f>SUM(E150:E161)</f>
        <v>0</v>
      </c>
      <c r="F162" s="112"/>
      <c r="G162" s="81">
        <f>SUM(G150:G161)</f>
        <v>126</v>
      </c>
      <c r="H162" s="112"/>
      <c r="I162" s="116"/>
      <c r="J162" s="125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20">
        <f>IFERROR(J162,"")</f>
        <v>0</v>
      </c>
    </row>
    <row r="163" spans="1:20" ht="18" customHeight="1">
      <c r="A163" s="150" t="s">
        <v>245</v>
      </c>
      <c r="B163" s="151"/>
      <c r="C163" s="151"/>
      <c r="D163" s="151"/>
      <c r="E163" s="151">
        <f>E149+E162</f>
        <v>0</v>
      </c>
      <c r="F163" s="113"/>
      <c r="G163" s="92">
        <f>G149+G162</f>
        <v>308</v>
      </c>
      <c r="H163" s="113"/>
      <c r="I163" s="117"/>
      <c r="J163" s="126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1">
        <f>IFERROR(J163,"")</f>
        <v>0</v>
      </c>
    </row>
    <row r="164" spans="1:20" ht="15" customHeight="1">
      <c r="A164" s="68">
        <v>46241</v>
      </c>
      <c r="B164" s="25">
        <v>0.33333333333333298</v>
      </c>
      <c r="C164" s="26" t="s">
        <v>26</v>
      </c>
      <c r="D164" s="59" t="s">
        <v>43</v>
      </c>
      <c r="E164" s="109" t="s">
        <v>256</v>
      </c>
      <c r="F164" s="141"/>
      <c r="G164" s="106">
        <v>5</v>
      </c>
      <c r="H164" s="141"/>
      <c r="I164" s="142"/>
      <c r="J164" s="143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9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5"/>
      <c r="G165" s="106">
        <v>17</v>
      </c>
      <c r="H165" s="135"/>
      <c r="I165" s="136"/>
      <c r="J165" s="137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8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5"/>
      <c r="G166" s="106">
        <v>23</v>
      </c>
      <c r="H166" s="135"/>
      <c r="I166" s="136"/>
      <c r="J166" s="137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9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5"/>
      <c r="G167" s="106">
        <v>14</v>
      </c>
      <c r="H167" s="135"/>
      <c r="I167" s="136"/>
      <c r="J167" s="137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8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5"/>
      <c r="G168" s="106">
        <v>10</v>
      </c>
      <c r="H168" s="135"/>
      <c r="I168" s="136"/>
      <c r="J168" s="137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9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5"/>
      <c r="G169" s="106">
        <v>14</v>
      </c>
      <c r="H169" s="135"/>
      <c r="I169" s="136"/>
      <c r="J169" s="137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8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5"/>
      <c r="G170" s="106">
        <v>18</v>
      </c>
      <c r="H170" s="135"/>
      <c r="I170" s="136"/>
      <c r="J170" s="137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321</v>
      </c>
      <c r="S170" s="31"/>
    </row>
    <row r="171" spans="1:20" ht="15" customHeight="1">
      <c r="A171" s="69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5"/>
      <c r="G171" s="106">
        <v>17</v>
      </c>
      <c r="H171" s="135"/>
      <c r="I171" s="136"/>
      <c r="J171" s="137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8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5"/>
      <c r="G172" s="106">
        <v>10</v>
      </c>
      <c r="H172" s="135"/>
      <c r="I172" s="136"/>
      <c r="J172" s="137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9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5"/>
      <c r="G173" s="106">
        <v>14</v>
      </c>
      <c r="H173" s="135"/>
      <c r="I173" s="136"/>
      <c r="J173" s="137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8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5"/>
      <c r="G174" s="106">
        <v>15</v>
      </c>
      <c r="H174" s="135"/>
      <c r="I174" s="136"/>
      <c r="J174" s="137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9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8"/>
      <c r="G175" s="106">
        <v>5</v>
      </c>
      <c r="H175" s="138"/>
      <c r="I175" s="139"/>
      <c r="J175" s="140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2" t="s">
        <v>241</v>
      </c>
      <c r="B176" s="153"/>
      <c r="C176" s="153"/>
      <c r="D176" s="153"/>
      <c r="E176" s="153">
        <f>SUM(E164:E175)</f>
        <v>0</v>
      </c>
      <c r="F176" s="111"/>
      <c r="G176" s="81">
        <f>SUM(G164:G175)</f>
        <v>162</v>
      </c>
      <c r="H176" s="111"/>
      <c r="I176" s="115"/>
      <c r="J176" s="124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20">
        <f>IFERROR(J176,"")</f>
        <v>0</v>
      </c>
    </row>
    <row r="177" spans="1:20" ht="15" customHeight="1">
      <c r="A177" s="69">
        <v>46241</v>
      </c>
      <c r="B177" s="32">
        <v>0.83333333333333304</v>
      </c>
      <c r="C177" s="33" t="s">
        <v>50</v>
      </c>
      <c r="D177" s="62" t="s">
        <v>43</v>
      </c>
      <c r="E177" s="110" t="s">
        <v>256</v>
      </c>
      <c r="F177" s="141"/>
      <c r="G177" s="106">
        <v>12</v>
      </c>
      <c r="H177" s="141"/>
      <c r="I177" s="142"/>
      <c r="J177" s="143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322</v>
      </c>
      <c r="S177" s="31"/>
    </row>
    <row r="178" spans="1:20" ht="15" customHeight="1">
      <c r="A178" s="68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10" t="s">
        <v>256</v>
      </c>
      <c r="F178" s="135"/>
      <c r="G178" s="106">
        <v>8</v>
      </c>
      <c r="H178" s="135"/>
      <c r="I178" s="136"/>
      <c r="J178" s="137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9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10" t="s">
        <v>256</v>
      </c>
      <c r="F179" s="135"/>
      <c r="G179" s="106">
        <v>6</v>
      </c>
      <c r="H179" s="135"/>
      <c r="I179" s="136"/>
      <c r="J179" s="137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8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10" t="s">
        <v>256</v>
      </c>
      <c r="F180" s="135"/>
      <c r="G180" s="106">
        <v>23</v>
      </c>
      <c r="H180" s="135"/>
      <c r="I180" s="136"/>
      <c r="J180" s="137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9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10" t="s">
        <v>256</v>
      </c>
      <c r="F181" s="135"/>
      <c r="G181" s="106">
        <v>10</v>
      </c>
      <c r="H181" s="135"/>
      <c r="I181" s="136"/>
      <c r="J181" s="137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8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10" t="s">
        <v>256</v>
      </c>
      <c r="F182" s="135"/>
      <c r="G182" s="106">
        <v>13</v>
      </c>
      <c r="H182" s="135"/>
      <c r="I182" s="136"/>
      <c r="J182" s="137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9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10" t="s">
        <v>256</v>
      </c>
      <c r="F183" s="135"/>
      <c r="G183" s="106">
        <v>16</v>
      </c>
      <c r="H183" s="135"/>
      <c r="I183" s="136"/>
      <c r="J183" s="137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8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10" t="s">
        <v>256</v>
      </c>
      <c r="F184" s="135"/>
      <c r="G184" s="106">
        <v>9</v>
      </c>
      <c r="H184" s="135"/>
      <c r="I184" s="136"/>
      <c r="J184" s="137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9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10" t="s">
        <v>256</v>
      </c>
      <c r="F185" s="135"/>
      <c r="G185" s="106">
        <v>19</v>
      </c>
      <c r="H185" s="135"/>
      <c r="I185" s="136"/>
      <c r="J185" s="137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8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10" t="s">
        <v>256</v>
      </c>
      <c r="F186" s="135"/>
      <c r="G186" s="106">
        <v>20</v>
      </c>
      <c r="H186" s="135"/>
      <c r="I186" s="136"/>
      <c r="J186" s="137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9">
        <v>46241</v>
      </c>
      <c r="B187" s="32">
        <f t="shared" si="41"/>
        <v>1.25</v>
      </c>
      <c r="C187" s="33" t="s">
        <v>50</v>
      </c>
      <c r="D187" s="62" t="s">
        <v>43</v>
      </c>
      <c r="E187" s="110" t="s">
        <v>256</v>
      </c>
      <c r="F187" s="135"/>
      <c r="G187" s="106">
        <v>18</v>
      </c>
      <c r="H187" s="135"/>
      <c r="I187" s="136"/>
      <c r="J187" s="137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8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10" t="s">
        <v>256</v>
      </c>
      <c r="F188" s="138"/>
      <c r="G188" s="106">
        <v>8</v>
      </c>
      <c r="H188" s="138"/>
      <c r="I188" s="139"/>
      <c r="J188" s="140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2" t="s">
        <v>244</v>
      </c>
      <c r="B189" s="153"/>
      <c r="C189" s="153"/>
      <c r="D189" s="153"/>
      <c r="E189" s="153">
        <f>SUM(E177:E188)</f>
        <v>0</v>
      </c>
      <c r="F189" s="112"/>
      <c r="G189" s="81">
        <f>SUM(G177:G188)</f>
        <v>162</v>
      </c>
      <c r="H189" s="112"/>
      <c r="I189" s="116"/>
      <c r="J189" s="125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20">
        <f>IFERROR(J189,"")</f>
        <v>0</v>
      </c>
    </row>
    <row r="190" spans="1:20" ht="18" customHeight="1">
      <c r="A190" s="150" t="s">
        <v>245</v>
      </c>
      <c r="B190" s="151"/>
      <c r="C190" s="151"/>
      <c r="D190" s="151"/>
      <c r="E190" s="151">
        <f>E176+E189</f>
        <v>0</v>
      </c>
      <c r="F190" s="113"/>
      <c r="G190" s="92">
        <f>G176+G189</f>
        <v>324</v>
      </c>
      <c r="H190" s="113"/>
      <c r="I190" s="117"/>
      <c r="J190" s="126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1">
        <f>IFERROR(J190,"")</f>
        <v>0</v>
      </c>
    </row>
    <row r="191" spans="1:20" ht="15" customHeight="1">
      <c r="A191" s="69">
        <v>46242</v>
      </c>
      <c r="B191" s="32">
        <v>0.33333333333333298</v>
      </c>
      <c r="C191" s="33" t="s">
        <v>26</v>
      </c>
      <c r="D191" s="62" t="s">
        <v>43</v>
      </c>
      <c r="E191" s="110" t="s">
        <v>256</v>
      </c>
      <c r="F191" s="141"/>
      <c r="G191" s="106">
        <v>15</v>
      </c>
      <c r="H191" s="141"/>
      <c r="I191" s="142"/>
      <c r="J191" s="143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8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10" t="s">
        <v>256</v>
      </c>
      <c r="F192" s="135"/>
      <c r="G192" s="106">
        <v>15</v>
      </c>
      <c r="H192" s="135"/>
      <c r="I192" s="136"/>
      <c r="J192" s="137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323</v>
      </c>
      <c r="S192" s="31"/>
    </row>
    <row r="193" spans="1:20" ht="15" customHeight="1">
      <c r="A193" s="69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10" t="s">
        <v>256</v>
      </c>
      <c r="F193" s="135"/>
      <c r="G193" s="106">
        <v>14</v>
      </c>
      <c r="H193" s="135"/>
      <c r="I193" s="136"/>
      <c r="J193" s="137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8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10" t="s">
        <v>256</v>
      </c>
      <c r="F194" s="135"/>
      <c r="G194" s="106">
        <v>18</v>
      </c>
      <c r="H194" s="135"/>
      <c r="I194" s="136"/>
      <c r="J194" s="137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9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10" t="s">
        <v>256</v>
      </c>
      <c r="F195" s="135"/>
      <c r="G195" s="106">
        <v>10</v>
      </c>
      <c r="H195" s="135"/>
      <c r="I195" s="136"/>
      <c r="J195" s="137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8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10" t="s">
        <v>256</v>
      </c>
      <c r="F196" s="135"/>
      <c r="G196" s="106">
        <v>17</v>
      </c>
      <c r="H196" s="135"/>
      <c r="I196" s="136"/>
      <c r="J196" s="137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9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10" t="s">
        <v>256</v>
      </c>
      <c r="F197" s="135"/>
      <c r="G197" s="106">
        <v>0</v>
      </c>
      <c r="H197" s="135"/>
      <c r="I197" s="136"/>
      <c r="J197" s="137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8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10" t="s">
        <v>256</v>
      </c>
      <c r="F198" s="135"/>
      <c r="G198" s="106">
        <v>16</v>
      </c>
      <c r="H198" s="135"/>
      <c r="I198" s="136"/>
      <c r="J198" s="137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9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10" t="s">
        <v>256</v>
      </c>
      <c r="F199" s="135"/>
      <c r="G199" s="106">
        <v>17</v>
      </c>
      <c r="H199" s="135"/>
      <c r="I199" s="136"/>
      <c r="J199" s="137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8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10" t="s">
        <v>256</v>
      </c>
      <c r="F200" s="135"/>
      <c r="G200" s="106">
        <v>20</v>
      </c>
      <c r="H200" s="135"/>
      <c r="I200" s="136"/>
      <c r="J200" s="137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9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10" t="s">
        <v>256</v>
      </c>
      <c r="F201" s="135"/>
      <c r="G201" s="106">
        <v>10</v>
      </c>
      <c r="H201" s="135"/>
      <c r="I201" s="136"/>
      <c r="J201" s="137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8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10" t="s">
        <v>256</v>
      </c>
      <c r="F202" s="138"/>
      <c r="G202" s="106">
        <v>9</v>
      </c>
      <c r="H202" s="138"/>
      <c r="I202" s="139"/>
      <c r="J202" s="140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2" t="s">
        <v>241</v>
      </c>
      <c r="B203" s="153"/>
      <c r="C203" s="153"/>
      <c r="D203" s="153"/>
      <c r="E203" s="153">
        <f>SUM(E191:E202)</f>
        <v>0</v>
      </c>
      <c r="F203" s="111"/>
      <c r="G203" s="81">
        <f>SUM(G191:G202)</f>
        <v>161</v>
      </c>
      <c r="H203" s="111"/>
      <c r="I203" s="115"/>
      <c r="J203" s="124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3">
        <f>IFERROR(J203,"")</f>
        <v>0</v>
      </c>
    </row>
    <row r="204" spans="1:20" ht="15" customHeight="1">
      <c r="A204" s="68">
        <v>46242</v>
      </c>
      <c r="B204" s="25">
        <v>0.83333333333333304</v>
      </c>
      <c r="C204" s="26" t="s">
        <v>50</v>
      </c>
      <c r="D204" s="59" t="s">
        <v>43</v>
      </c>
      <c r="E204" s="109" t="s">
        <v>256</v>
      </c>
      <c r="F204" s="141"/>
      <c r="G204" s="106">
        <v>14</v>
      </c>
      <c r="H204" s="141"/>
      <c r="I204" s="142"/>
      <c r="J204" s="143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324</v>
      </c>
      <c r="S204" s="60"/>
    </row>
    <row r="205" spans="1:20" ht="15" customHeight="1">
      <c r="A205" s="69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9" t="s">
        <v>256</v>
      </c>
      <c r="F205" s="135"/>
      <c r="G205" s="106">
        <v>6</v>
      </c>
      <c r="H205" s="135"/>
      <c r="I205" s="136"/>
      <c r="J205" s="137"/>
      <c r="K205" s="34">
        <f t="shared" si="45"/>
        <v>25.200000000000003</v>
      </c>
      <c r="L205" s="33" t="s">
        <v>25</v>
      </c>
      <c r="M205" s="57" t="s">
        <v>325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8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9" t="s">
        <v>256</v>
      </c>
      <c r="F206" s="135"/>
      <c r="G206" s="106">
        <v>0</v>
      </c>
      <c r="H206" s="135"/>
      <c r="I206" s="136"/>
      <c r="J206" s="137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326</v>
      </c>
      <c r="S206" s="60"/>
    </row>
    <row r="207" spans="1:20" ht="15" customHeight="1">
      <c r="A207" s="69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9" t="s">
        <v>256</v>
      </c>
      <c r="F207" s="135"/>
      <c r="G207" s="106">
        <v>0</v>
      </c>
      <c r="H207" s="135"/>
      <c r="I207" s="136"/>
      <c r="J207" s="137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8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9" t="s">
        <v>256</v>
      </c>
      <c r="F208" s="135"/>
      <c r="G208" s="106">
        <v>0</v>
      </c>
      <c r="H208" s="135"/>
      <c r="I208" s="136"/>
      <c r="J208" s="137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9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9" t="s">
        <v>256</v>
      </c>
      <c r="F209" s="135"/>
      <c r="G209" s="106">
        <v>20</v>
      </c>
      <c r="H209" s="135"/>
      <c r="I209" s="136"/>
      <c r="J209" s="137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8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9" t="s">
        <v>256</v>
      </c>
      <c r="F210" s="135"/>
      <c r="G210" s="106">
        <v>19</v>
      </c>
      <c r="H210" s="135"/>
      <c r="I210" s="136"/>
      <c r="J210" s="137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9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9" t="s">
        <v>256</v>
      </c>
      <c r="F211" s="135"/>
      <c r="G211" s="106">
        <v>19</v>
      </c>
      <c r="H211" s="135"/>
      <c r="I211" s="136"/>
      <c r="J211" s="137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8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9" t="s">
        <v>256</v>
      </c>
      <c r="F212" s="135"/>
      <c r="G212" s="106">
        <v>16</v>
      </c>
      <c r="H212" s="135"/>
      <c r="I212" s="136"/>
      <c r="J212" s="137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9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9" t="s">
        <v>256</v>
      </c>
      <c r="F213" s="135"/>
      <c r="G213" s="106">
        <v>13</v>
      </c>
      <c r="H213" s="135"/>
      <c r="I213" s="136"/>
      <c r="J213" s="137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8">
        <v>46242</v>
      </c>
      <c r="B214" s="25">
        <f t="shared" si="47"/>
        <v>1.25</v>
      </c>
      <c r="C214" s="26" t="s">
        <v>50</v>
      </c>
      <c r="D214" s="59" t="s">
        <v>43</v>
      </c>
      <c r="E214" s="109" t="s">
        <v>256</v>
      </c>
      <c r="F214" s="135"/>
      <c r="G214" s="106">
        <v>17</v>
      </c>
      <c r="H214" s="135"/>
      <c r="I214" s="136"/>
      <c r="J214" s="137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9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9" t="s">
        <v>256</v>
      </c>
      <c r="F215" s="138"/>
      <c r="G215" s="106">
        <v>12</v>
      </c>
      <c r="H215" s="138"/>
      <c r="I215" s="139"/>
      <c r="J215" s="140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2" t="s">
        <v>244</v>
      </c>
      <c r="B216" s="153"/>
      <c r="C216" s="153"/>
      <c r="D216" s="153"/>
      <c r="E216" s="153">
        <f>SUM(E204:E215)</f>
        <v>0</v>
      </c>
      <c r="F216" s="112"/>
      <c r="G216" s="81">
        <f>SUM(G204:G215)</f>
        <v>136</v>
      </c>
      <c r="H216" s="112"/>
      <c r="I216" s="116"/>
      <c r="J216" s="125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3">
        <f>IFERROR(J216,"")</f>
        <v>0</v>
      </c>
    </row>
    <row r="217" spans="1:20" ht="18" customHeight="1">
      <c r="A217" s="150" t="s">
        <v>245</v>
      </c>
      <c r="B217" s="151"/>
      <c r="C217" s="151"/>
      <c r="D217" s="151"/>
      <c r="E217" s="151">
        <f>E203+E216</f>
        <v>0</v>
      </c>
      <c r="F217" s="113"/>
      <c r="G217" s="92">
        <f>G203+G216</f>
        <v>297</v>
      </c>
      <c r="H217" s="113"/>
      <c r="I217" s="117"/>
      <c r="J217" s="126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2">
        <f>IFERROR(J217,"")</f>
        <v>0</v>
      </c>
    </row>
    <row r="218" spans="1:20" ht="15" customHeight="1">
      <c r="A218" s="68">
        <v>46243</v>
      </c>
      <c r="B218" s="25">
        <v>0.33333333333333298</v>
      </c>
      <c r="C218" s="26" t="s">
        <v>34</v>
      </c>
      <c r="D218" s="59" t="s">
        <v>43</v>
      </c>
      <c r="E218" s="109" t="s">
        <v>256</v>
      </c>
      <c r="F218" s="141"/>
      <c r="G218" s="106">
        <v>15</v>
      </c>
      <c r="H218" s="141"/>
      <c r="I218" s="142"/>
      <c r="J218" s="143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9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9" t="s">
        <v>256</v>
      </c>
      <c r="F219" s="135"/>
      <c r="G219" s="106">
        <v>22</v>
      </c>
      <c r="H219" s="135"/>
      <c r="I219" s="136"/>
      <c r="J219" s="137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8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9" t="s">
        <v>256</v>
      </c>
      <c r="F220" s="135"/>
      <c r="G220" s="106">
        <v>14</v>
      </c>
      <c r="H220" s="135"/>
      <c r="I220" s="136"/>
      <c r="J220" s="137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327</v>
      </c>
      <c r="S220" s="60"/>
    </row>
    <row r="221" spans="1:20" ht="15" customHeight="1">
      <c r="A221" s="69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9" t="s">
        <v>256</v>
      </c>
      <c r="F221" s="135"/>
      <c r="G221" s="106">
        <v>7</v>
      </c>
      <c r="H221" s="135"/>
      <c r="I221" s="136"/>
      <c r="J221" s="137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328</v>
      </c>
      <c r="S221" s="60"/>
    </row>
    <row r="222" spans="1:20" ht="15" customHeight="1">
      <c r="A222" s="68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9" t="s">
        <v>240</v>
      </c>
      <c r="F222" s="135"/>
      <c r="G222" s="106">
        <v>20</v>
      </c>
      <c r="H222" s="135"/>
      <c r="I222" s="136"/>
      <c r="J222" s="137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9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9" t="s">
        <v>256</v>
      </c>
      <c r="F223" s="135"/>
      <c r="G223" s="106">
        <v>20</v>
      </c>
      <c r="H223" s="135"/>
      <c r="I223" s="136"/>
      <c r="J223" s="137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8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9" t="s">
        <v>256</v>
      </c>
      <c r="F224" s="135"/>
      <c r="G224" s="106">
        <v>10</v>
      </c>
      <c r="H224" s="135"/>
      <c r="I224" s="136"/>
      <c r="J224" s="137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9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9" t="s">
        <v>256</v>
      </c>
      <c r="F225" s="135"/>
      <c r="G225" s="106">
        <v>3</v>
      </c>
      <c r="H225" s="135"/>
      <c r="I225" s="136"/>
      <c r="J225" s="137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8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9" t="s">
        <v>256</v>
      </c>
      <c r="F226" s="135"/>
      <c r="G226" s="106">
        <v>16</v>
      </c>
      <c r="H226" s="135"/>
      <c r="I226" s="136"/>
      <c r="J226" s="137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9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9" t="s">
        <v>256</v>
      </c>
      <c r="F227" s="135"/>
      <c r="G227" s="106">
        <v>15</v>
      </c>
      <c r="H227" s="135"/>
      <c r="I227" s="136"/>
      <c r="J227" s="137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8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9" t="s">
        <v>256</v>
      </c>
      <c r="F228" s="135"/>
      <c r="G228" s="106">
        <v>17</v>
      </c>
      <c r="H228" s="135"/>
      <c r="I228" s="136"/>
      <c r="J228" s="137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9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9" t="s">
        <v>256</v>
      </c>
      <c r="F229" s="138"/>
      <c r="G229" s="106">
        <v>10</v>
      </c>
      <c r="H229" s="138"/>
      <c r="I229" s="139"/>
      <c r="J229" s="140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2" t="s">
        <v>241</v>
      </c>
      <c r="B230" s="153"/>
      <c r="C230" s="153"/>
      <c r="D230" s="153"/>
      <c r="E230" s="153">
        <f>SUM(E218:E229)</f>
        <v>0</v>
      </c>
      <c r="F230" s="111"/>
      <c r="G230" s="81">
        <f>SUM(G218:G229)</f>
        <v>169</v>
      </c>
      <c r="H230" s="111"/>
      <c r="I230" s="115"/>
      <c r="J230" s="124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20">
        <f>IFERROR(J230,"")</f>
        <v>0</v>
      </c>
    </row>
    <row r="231" spans="1:20" ht="15" customHeight="1">
      <c r="A231" s="69">
        <v>46243</v>
      </c>
      <c r="B231" s="32">
        <v>0.83333333333333304</v>
      </c>
      <c r="C231" s="33" t="s">
        <v>50</v>
      </c>
      <c r="D231" s="62" t="s">
        <v>43</v>
      </c>
      <c r="E231" s="110" t="s">
        <v>256</v>
      </c>
      <c r="F231" s="141"/>
      <c r="G231" s="106">
        <v>18</v>
      </c>
      <c r="H231" s="141"/>
      <c r="I231" s="142"/>
      <c r="J231" s="143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329</v>
      </c>
      <c r="S231" s="60"/>
    </row>
    <row r="232" spans="1:20" ht="15" customHeight="1">
      <c r="A232" s="68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10" t="s">
        <v>240</v>
      </c>
      <c r="F232" s="135"/>
      <c r="G232" s="106">
        <v>5</v>
      </c>
      <c r="H232" s="135"/>
      <c r="I232" s="136"/>
      <c r="J232" s="137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330</v>
      </c>
      <c r="S232" s="60"/>
    </row>
    <row r="233" spans="1:20" ht="15" customHeight="1">
      <c r="A233" s="69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10" t="s">
        <v>256</v>
      </c>
      <c r="F233" s="135"/>
      <c r="G233" s="106">
        <v>7</v>
      </c>
      <c r="H233" s="135"/>
      <c r="I233" s="136"/>
      <c r="J233" s="137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8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10" t="s">
        <v>240</v>
      </c>
      <c r="F234" s="135"/>
      <c r="G234" s="106">
        <v>11</v>
      </c>
      <c r="H234" s="135"/>
      <c r="I234" s="136"/>
      <c r="J234" s="137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9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10" t="s">
        <v>240</v>
      </c>
      <c r="F235" s="135"/>
      <c r="G235" s="106">
        <v>15</v>
      </c>
      <c r="H235" s="135"/>
      <c r="I235" s="136"/>
      <c r="J235" s="137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8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10" t="s">
        <v>240</v>
      </c>
      <c r="F236" s="135"/>
      <c r="G236" s="106">
        <v>12</v>
      </c>
      <c r="H236" s="135"/>
      <c r="I236" s="136"/>
      <c r="J236" s="137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9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10" t="s">
        <v>240</v>
      </c>
      <c r="F237" s="135"/>
      <c r="G237" s="106">
        <v>12</v>
      </c>
      <c r="H237" s="135"/>
      <c r="I237" s="136"/>
      <c r="J237" s="137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8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10" t="s">
        <v>240</v>
      </c>
      <c r="F238" s="135"/>
      <c r="G238" s="106">
        <v>17</v>
      </c>
      <c r="H238" s="135"/>
      <c r="I238" s="136"/>
      <c r="J238" s="137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9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10" t="s">
        <v>240</v>
      </c>
      <c r="F239" s="135"/>
      <c r="G239" s="106">
        <v>11</v>
      </c>
      <c r="H239" s="135"/>
      <c r="I239" s="136"/>
      <c r="J239" s="137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8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10" t="s">
        <v>240</v>
      </c>
      <c r="F240" s="135"/>
      <c r="G240" s="106">
        <v>14</v>
      </c>
      <c r="H240" s="135"/>
      <c r="I240" s="136"/>
      <c r="J240" s="137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9">
        <v>46243</v>
      </c>
      <c r="B241" s="32">
        <f t="shared" si="53"/>
        <v>1.25</v>
      </c>
      <c r="C241" s="33" t="s">
        <v>50</v>
      </c>
      <c r="D241" s="62" t="s">
        <v>43</v>
      </c>
      <c r="E241" s="110" t="s">
        <v>240</v>
      </c>
      <c r="F241" s="135"/>
      <c r="G241" s="106">
        <v>15</v>
      </c>
      <c r="H241" s="135"/>
      <c r="I241" s="136"/>
      <c r="J241" s="137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8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10" t="s">
        <v>240</v>
      </c>
      <c r="F242" s="138"/>
      <c r="G242" s="106">
        <v>0</v>
      </c>
      <c r="H242" s="138"/>
      <c r="I242" s="139"/>
      <c r="J242" s="140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2" t="s">
        <v>244</v>
      </c>
      <c r="B243" s="153"/>
      <c r="C243" s="153"/>
      <c r="D243" s="153"/>
      <c r="E243" s="153">
        <f>SUM(E231:E242)</f>
        <v>0</v>
      </c>
      <c r="F243" s="112"/>
      <c r="G243" s="81">
        <f>SUM(G231:G242)</f>
        <v>137</v>
      </c>
      <c r="H243" s="112"/>
      <c r="I243" s="116"/>
      <c r="J243" s="125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20">
        <f>IFERROR(J243,"")</f>
        <v>0</v>
      </c>
    </row>
    <row r="244" spans="1:20" ht="18" customHeight="1">
      <c r="A244" s="150" t="s">
        <v>245</v>
      </c>
      <c r="B244" s="151"/>
      <c r="C244" s="151"/>
      <c r="D244" s="151"/>
      <c r="E244" s="151">
        <f>E230+E243</f>
        <v>0</v>
      </c>
      <c r="F244" s="113"/>
      <c r="G244" s="92">
        <f>G230+G243</f>
        <v>306</v>
      </c>
      <c r="H244" s="113"/>
      <c r="I244" s="117"/>
      <c r="J244" s="126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2">
        <f>IFERROR(J244,"")</f>
        <v>0</v>
      </c>
    </row>
    <row r="245" spans="1:20" ht="15" customHeight="1">
      <c r="A245" s="68">
        <v>46244</v>
      </c>
      <c r="B245" s="25">
        <v>0.33333333333333298</v>
      </c>
      <c r="C245" s="26" t="s">
        <v>34</v>
      </c>
      <c r="D245" s="59" t="s">
        <v>43</v>
      </c>
      <c r="E245" s="109" t="s">
        <v>240</v>
      </c>
      <c r="F245" s="141"/>
      <c r="G245" s="27">
        <v>15</v>
      </c>
      <c r="H245" s="141"/>
      <c r="I245" s="142"/>
      <c r="J245" s="143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9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9" t="s">
        <v>240</v>
      </c>
      <c r="F246" s="135"/>
      <c r="G246" s="27" t="s">
        <v>331</v>
      </c>
      <c r="H246" s="135"/>
      <c r="I246" s="136"/>
      <c r="J246" s="137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8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9" t="s">
        <v>240</v>
      </c>
      <c r="F247" s="135"/>
      <c r="G247" s="27">
        <v>19</v>
      </c>
      <c r="H247" s="135"/>
      <c r="I247" s="136"/>
      <c r="J247" s="137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9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9" t="s">
        <v>240</v>
      </c>
      <c r="F248" s="135"/>
      <c r="G248" s="27">
        <v>24</v>
      </c>
      <c r="H248" s="135"/>
      <c r="I248" s="136"/>
      <c r="J248" s="137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8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9" t="s">
        <v>256</v>
      </c>
      <c r="F249" s="135"/>
      <c r="G249" s="27">
        <v>10</v>
      </c>
      <c r="H249" s="135"/>
      <c r="I249" s="136"/>
      <c r="J249" s="137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332</v>
      </c>
      <c r="S249" s="60"/>
    </row>
    <row r="250" spans="1:20" ht="15" customHeight="1">
      <c r="A250" s="69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9" t="s">
        <v>256</v>
      </c>
      <c r="F250" s="135"/>
      <c r="G250" s="27">
        <v>16</v>
      </c>
      <c r="H250" s="135"/>
      <c r="I250" s="136"/>
      <c r="J250" s="137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8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9" t="s">
        <v>256</v>
      </c>
      <c r="F251" s="135"/>
      <c r="G251" s="27">
        <v>0</v>
      </c>
      <c r="H251" s="135"/>
      <c r="I251" s="136"/>
      <c r="J251" s="137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9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9" t="s">
        <v>256</v>
      </c>
      <c r="F252" s="135"/>
      <c r="G252" s="27">
        <v>18</v>
      </c>
      <c r="H252" s="135"/>
      <c r="I252" s="136"/>
      <c r="J252" s="137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8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9" t="s">
        <v>256</v>
      </c>
      <c r="F253" s="135"/>
      <c r="G253" s="27">
        <v>15</v>
      </c>
      <c r="H253" s="135"/>
      <c r="I253" s="136"/>
      <c r="J253" s="137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9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9" t="s">
        <v>256</v>
      </c>
      <c r="F254" s="135"/>
      <c r="G254" s="27">
        <v>18</v>
      </c>
      <c r="H254" s="135"/>
      <c r="I254" s="136"/>
      <c r="J254" s="137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8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9" t="s">
        <v>256</v>
      </c>
      <c r="F255" s="135"/>
      <c r="G255" s="27">
        <v>11</v>
      </c>
      <c r="H255" s="135"/>
      <c r="I255" s="136"/>
      <c r="J255" s="137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9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9" t="s">
        <v>256</v>
      </c>
      <c r="F256" s="138"/>
      <c r="G256" s="27">
        <v>21</v>
      </c>
      <c r="H256" s="138"/>
      <c r="I256" s="139"/>
      <c r="J256" s="140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2" t="s">
        <v>241</v>
      </c>
      <c r="B257" s="153"/>
      <c r="C257" s="153"/>
      <c r="D257" s="153"/>
      <c r="E257" s="153">
        <f>SUM(E245:E256)</f>
        <v>0</v>
      </c>
      <c r="F257" s="111"/>
      <c r="G257" s="36">
        <f>SUM(G245:G256)</f>
        <v>167</v>
      </c>
      <c r="H257" s="111"/>
      <c r="I257" s="115"/>
      <c r="J257" s="124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20">
        <f>IFERROR(J257,"")</f>
        <v>0</v>
      </c>
    </row>
    <row r="258" spans="1:20" ht="15" customHeight="1">
      <c r="A258" s="69">
        <v>46244</v>
      </c>
      <c r="B258" s="32">
        <v>0.83333333333333304</v>
      </c>
      <c r="C258" s="33"/>
      <c r="D258" s="62" t="s">
        <v>43</v>
      </c>
      <c r="E258" s="110" t="s">
        <v>256</v>
      </c>
      <c r="F258" s="141"/>
      <c r="G258" s="27">
        <v>1</v>
      </c>
      <c r="H258" s="141"/>
      <c r="I258" s="142"/>
      <c r="J258" s="143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8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10" t="s">
        <v>256</v>
      </c>
      <c r="F259" s="135"/>
      <c r="G259" s="27">
        <v>20</v>
      </c>
      <c r="H259" s="135"/>
      <c r="I259" s="136"/>
      <c r="J259" s="137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9">
        <v>46244</v>
      </c>
      <c r="B260" s="32">
        <f t="shared" si="59"/>
        <v>0.9166666666666663</v>
      </c>
      <c r="C260" s="33"/>
      <c r="D260" s="62" t="s">
        <v>43</v>
      </c>
      <c r="E260" s="110" t="s">
        <v>256</v>
      </c>
      <c r="F260" s="135"/>
      <c r="G260" s="27">
        <v>15</v>
      </c>
      <c r="H260" s="135"/>
      <c r="I260" s="136"/>
      <c r="J260" s="137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8">
        <v>46244</v>
      </c>
      <c r="B261" s="25">
        <f t="shared" si="59"/>
        <v>0.95833333333333293</v>
      </c>
      <c r="C261" s="33"/>
      <c r="D261" s="62" t="s">
        <v>43</v>
      </c>
      <c r="E261" s="110" t="s">
        <v>256</v>
      </c>
      <c r="F261" s="135"/>
      <c r="G261" s="27">
        <v>27</v>
      </c>
      <c r="H261" s="135"/>
      <c r="I261" s="136"/>
      <c r="J261" s="137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9">
        <v>46244</v>
      </c>
      <c r="B262" s="32">
        <f t="shared" si="59"/>
        <v>0.99999999999999956</v>
      </c>
      <c r="C262" s="33"/>
      <c r="D262" s="62" t="s">
        <v>43</v>
      </c>
      <c r="E262" s="110" t="s">
        <v>256</v>
      </c>
      <c r="F262" s="135"/>
      <c r="G262" s="27">
        <v>19</v>
      </c>
      <c r="H262" s="135"/>
      <c r="I262" s="136"/>
      <c r="J262" s="137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8">
        <v>46244</v>
      </c>
      <c r="B263" s="25">
        <f t="shared" si="59"/>
        <v>1.0416666666666663</v>
      </c>
      <c r="C263" s="33"/>
      <c r="D263" s="62" t="s">
        <v>43</v>
      </c>
      <c r="E263" s="110" t="s">
        <v>256</v>
      </c>
      <c r="F263" s="135"/>
      <c r="G263" s="27">
        <v>16</v>
      </c>
      <c r="H263" s="135"/>
      <c r="I263" s="136"/>
      <c r="J263" s="137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9">
        <v>46244</v>
      </c>
      <c r="B264" s="32">
        <f t="shared" si="59"/>
        <v>1.083333333333333</v>
      </c>
      <c r="C264" s="33"/>
      <c r="D264" s="62" t="s">
        <v>43</v>
      </c>
      <c r="E264" s="110" t="s">
        <v>256</v>
      </c>
      <c r="F264" s="135"/>
      <c r="G264" s="27">
        <v>2</v>
      </c>
      <c r="H264" s="135"/>
      <c r="I264" s="136"/>
      <c r="J264" s="137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8">
        <v>46244</v>
      </c>
      <c r="B265" s="25">
        <f t="shared" si="59"/>
        <v>1.1249999999999998</v>
      </c>
      <c r="C265" s="33"/>
      <c r="D265" s="62" t="s">
        <v>43</v>
      </c>
      <c r="E265" s="110" t="s">
        <v>256</v>
      </c>
      <c r="F265" s="135"/>
      <c r="G265" s="27">
        <v>16</v>
      </c>
      <c r="H265" s="135"/>
      <c r="I265" s="136"/>
      <c r="J265" s="137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9">
        <v>46244</v>
      </c>
      <c r="B266" s="32">
        <f t="shared" si="59"/>
        <v>1.1666666666666665</v>
      </c>
      <c r="C266" s="33"/>
      <c r="D266" s="62" t="s">
        <v>43</v>
      </c>
      <c r="E266" s="110" t="s">
        <v>256</v>
      </c>
      <c r="F266" s="135"/>
      <c r="G266" s="27">
        <v>14</v>
      </c>
      <c r="H266" s="135"/>
      <c r="I266" s="136"/>
      <c r="J266" s="137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8">
        <v>46244</v>
      </c>
      <c r="B267" s="25">
        <f t="shared" si="59"/>
        <v>1.2083333333333333</v>
      </c>
      <c r="C267" s="33"/>
      <c r="D267" s="62" t="s">
        <v>43</v>
      </c>
      <c r="E267" s="110" t="s">
        <v>256</v>
      </c>
      <c r="F267" s="135"/>
      <c r="G267" s="27">
        <v>21</v>
      </c>
      <c r="H267" s="135"/>
      <c r="I267" s="136"/>
      <c r="J267" s="137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9">
        <v>46244</v>
      </c>
      <c r="B268" s="32">
        <f t="shared" si="59"/>
        <v>1.25</v>
      </c>
      <c r="C268" s="33"/>
      <c r="D268" s="62" t="s">
        <v>43</v>
      </c>
      <c r="E268" s="110" t="s">
        <v>256</v>
      </c>
      <c r="F268" s="135"/>
      <c r="G268" s="27">
        <v>20</v>
      </c>
      <c r="H268" s="135"/>
      <c r="I268" s="136"/>
      <c r="J268" s="137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8">
        <v>46244</v>
      </c>
      <c r="B269" s="25">
        <f t="shared" si="59"/>
        <v>1.2916666666666667</v>
      </c>
      <c r="C269" s="33"/>
      <c r="D269" s="62" t="s">
        <v>43</v>
      </c>
      <c r="E269" s="110" t="s">
        <v>256</v>
      </c>
      <c r="F269" s="138"/>
      <c r="G269" s="27">
        <v>9</v>
      </c>
      <c r="H269" s="138"/>
      <c r="I269" s="139"/>
      <c r="J269" s="140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2" t="s">
        <v>244</v>
      </c>
      <c r="B270" s="153"/>
      <c r="C270" s="153"/>
      <c r="D270" s="153"/>
      <c r="E270" s="153">
        <f>SUM(E258:E269)</f>
        <v>0</v>
      </c>
      <c r="F270" s="112"/>
      <c r="G270" s="36">
        <f>SUM(G258:G269)</f>
        <v>180</v>
      </c>
      <c r="H270" s="112"/>
      <c r="I270" s="116"/>
      <c r="J270" s="125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20">
        <f>IFERROR(J270,"")</f>
        <v>0</v>
      </c>
    </row>
    <row r="271" spans="1:20" ht="18" customHeight="1">
      <c r="A271" s="150" t="s">
        <v>245</v>
      </c>
      <c r="B271" s="151"/>
      <c r="C271" s="151"/>
      <c r="D271" s="151"/>
      <c r="E271" s="151">
        <f>E257+E270</f>
        <v>0</v>
      </c>
      <c r="F271" s="113"/>
      <c r="G271" s="92">
        <f>G257+G270</f>
        <v>347</v>
      </c>
      <c r="H271" s="113"/>
      <c r="I271" s="117"/>
      <c r="J271" s="126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2">
        <f>IFERROR(J271,"")</f>
        <v>0</v>
      </c>
    </row>
    <row r="272" spans="1:20" ht="15" customHeight="1">
      <c r="A272" s="68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1"/>
      <c r="G272" s="27">
        <v>20</v>
      </c>
      <c r="H272" s="141"/>
      <c r="I272" s="142"/>
      <c r="J272" s="143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9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5"/>
      <c r="G273" s="27">
        <v>15</v>
      </c>
      <c r="H273" s="135"/>
      <c r="I273" s="136"/>
      <c r="J273" s="137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8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5"/>
      <c r="G274" s="27">
        <v>5</v>
      </c>
      <c r="H274" s="135"/>
      <c r="I274" s="136"/>
      <c r="J274" s="137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9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5"/>
      <c r="G275" s="27">
        <v>14</v>
      </c>
      <c r="H275" s="135"/>
      <c r="I275" s="136"/>
      <c r="J275" s="137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8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5"/>
      <c r="G276" s="27">
        <v>10</v>
      </c>
      <c r="H276" s="135"/>
      <c r="I276" s="136"/>
      <c r="J276" s="137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9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5"/>
      <c r="G277" s="27">
        <v>9</v>
      </c>
      <c r="H277" s="135"/>
      <c r="I277" s="136"/>
      <c r="J277" s="137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8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5"/>
      <c r="G278" s="27">
        <v>21</v>
      </c>
      <c r="H278" s="135"/>
      <c r="I278" s="136"/>
      <c r="J278" s="137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9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5"/>
      <c r="G279" s="27">
        <v>14</v>
      </c>
      <c r="H279" s="135"/>
      <c r="I279" s="136"/>
      <c r="J279" s="137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8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5"/>
      <c r="G280" s="27">
        <v>10</v>
      </c>
      <c r="H280" s="135"/>
      <c r="I280" s="136"/>
      <c r="J280" s="137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9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5"/>
      <c r="G281" s="27">
        <v>20</v>
      </c>
      <c r="H281" s="135"/>
      <c r="I281" s="136"/>
      <c r="J281" s="137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8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5"/>
      <c r="G282" s="27">
        <v>19</v>
      </c>
      <c r="H282" s="135"/>
      <c r="I282" s="136"/>
      <c r="J282" s="137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9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8"/>
      <c r="G283" s="27">
        <v>15</v>
      </c>
      <c r="H283" s="138"/>
      <c r="I283" s="139"/>
      <c r="J283" s="140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2" t="s">
        <v>241</v>
      </c>
      <c r="B284" s="153"/>
      <c r="C284" s="153"/>
      <c r="D284" s="153"/>
      <c r="E284" s="153">
        <f>SUM(E272:E283)</f>
        <v>0</v>
      </c>
      <c r="F284" s="111"/>
      <c r="G284" s="36">
        <f>SUM(G272:G283)</f>
        <v>172</v>
      </c>
      <c r="H284" s="111"/>
      <c r="I284" s="115"/>
      <c r="J284" s="124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20">
        <f>IFERROR(J284,"")</f>
        <v>0</v>
      </c>
    </row>
    <row r="285" spans="1:20" ht="15" customHeight="1">
      <c r="A285" s="69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1"/>
      <c r="G285" s="27">
        <v>10</v>
      </c>
      <c r="H285" s="141"/>
      <c r="I285" s="142"/>
      <c r="J285" s="143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8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5"/>
      <c r="G286" s="27">
        <v>10</v>
      </c>
      <c r="H286" s="135"/>
      <c r="I286" s="136"/>
      <c r="J286" s="137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9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5"/>
      <c r="G287" s="27">
        <v>27</v>
      </c>
      <c r="H287" s="135"/>
      <c r="I287" s="136"/>
      <c r="J287" s="137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8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5"/>
      <c r="G288" s="27">
        <v>26</v>
      </c>
      <c r="H288" s="135"/>
      <c r="I288" s="136"/>
      <c r="J288" s="137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9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5"/>
      <c r="G289" s="27">
        <v>14</v>
      </c>
      <c r="H289" s="135"/>
      <c r="I289" s="136"/>
      <c r="J289" s="137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8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5"/>
      <c r="G290" s="27">
        <v>6</v>
      </c>
      <c r="H290" s="135"/>
      <c r="I290" s="136"/>
      <c r="J290" s="137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9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5"/>
      <c r="G291" s="27">
        <v>9</v>
      </c>
      <c r="H291" s="135"/>
      <c r="I291" s="136"/>
      <c r="J291" s="137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8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5"/>
      <c r="G292" s="27">
        <v>1</v>
      </c>
      <c r="H292" s="135"/>
      <c r="I292" s="136"/>
      <c r="J292" s="137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9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5"/>
      <c r="G293" s="27">
        <v>15</v>
      </c>
      <c r="H293" s="135"/>
      <c r="I293" s="136"/>
      <c r="J293" s="137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8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5"/>
      <c r="G294" s="27">
        <v>9</v>
      </c>
      <c r="H294" s="135"/>
      <c r="I294" s="136"/>
      <c r="J294" s="137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9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5"/>
      <c r="G295" s="27">
        <v>13</v>
      </c>
      <c r="H295" s="135"/>
      <c r="I295" s="136"/>
      <c r="J295" s="137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8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8"/>
      <c r="G296" s="27">
        <v>12</v>
      </c>
      <c r="H296" s="138"/>
      <c r="I296" s="139"/>
      <c r="J296" s="140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2" t="s">
        <v>244</v>
      </c>
      <c r="B297" s="153"/>
      <c r="C297" s="153"/>
      <c r="D297" s="153"/>
      <c r="E297" s="153">
        <f>SUM(E285:E296)</f>
        <v>0</v>
      </c>
      <c r="F297" s="112"/>
      <c r="G297" s="36">
        <f>SUM(G285:G296)</f>
        <v>152</v>
      </c>
      <c r="H297" s="112"/>
      <c r="I297" s="116"/>
      <c r="J297" s="125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20">
        <f>IFERROR(J297,"")</f>
        <v>0</v>
      </c>
    </row>
    <row r="298" spans="1:20" ht="18" customHeight="1">
      <c r="A298" s="150" t="s">
        <v>245</v>
      </c>
      <c r="B298" s="151"/>
      <c r="C298" s="151"/>
      <c r="D298" s="151"/>
      <c r="E298" s="151">
        <f>E284+E297</f>
        <v>0</v>
      </c>
      <c r="F298" s="113"/>
      <c r="G298" s="40">
        <f>G284+G297</f>
        <v>324</v>
      </c>
      <c r="H298" s="113"/>
      <c r="I298" s="117"/>
      <c r="J298" s="126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2">
        <f>IFERROR(J298,"")</f>
        <v>0</v>
      </c>
    </row>
    <row r="299" spans="1:20" ht="15" customHeight="1">
      <c r="A299" s="69">
        <v>46246</v>
      </c>
      <c r="B299" s="32">
        <v>0.33333333333333298</v>
      </c>
      <c r="C299" s="33" t="s">
        <v>34</v>
      </c>
      <c r="D299" s="62" t="s">
        <v>35</v>
      </c>
      <c r="E299" s="110" t="s">
        <v>256</v>
      </c>
      <c r="F299" s="141">
        <f>IFERROR(IF($D299="","",VLOOKUP($D299,Cadastro!$C$4:$E$7,3,FALSE)),"")</f>
        <v>0.23</v>
      </c>
      <c r="G299" s="27">
        <v>15</v>
      </c>
      <c r="H299" s="141">
        <f>IFERROR(IF($G299="","",$G299*$S$311/$G$311/Cadastro!$E$33),"")</f>
        <v>0</v>
      </c>
      <c r="I299" s="142">
        <f>IFERROR(IF($D299="","",VLOOKUP($D299,Cadastro!$C$4:$G$7,5,FALSE)),"")</f>
        <v>0.6</v>
      </c>
      <c r="J299" s="137">
        <f t="shared" ref="J299:J310" si="66">IFERROR(IF($H299="","",$H299*$F299*$I299),"")</f>
        <v>0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8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10" t="s">
        <v>256</v>
      </c>
      <c r="F300" s="135">
        <f>IFERROR(IF($D300="","",VLOOKUP($D300,Cadastro!$C$4:$E$7,3,FALSE)),"")</f>
        <v>0.23</v>
      </c>
      <c r="G300" s="27">
        <v>17</v>
      </c>
      <c r="H300" s="135">
        <f>IFERROR(IF($G300="","",$G300*$S$311/$G$311/Cadastro!$E$33),"")</f>
        <v>0</v>
      </c>
      <c r="I300" s="136">
        <f>IFERROR(IF($D300="","",VLOOKUP($D300,Cadastro!$C$4:$G$7,5,FALSE)),"")</f>
        <v>0.6</v>
      </c>
      <c r="J300" s="137">
        <f t="shared" si="66"/>
        <v>0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9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10" t="s">
        <v>256</v>
      </c>
      <c r="F301" s="135">
        <f>IFERROR(IF($D301="","",VLOOKUP($D301,Cadastro!$C$4:$E$7,3,FALSE)),"")</f>
        <v>0.23</v>
      </c>
      <c r="G301" s="27">
        <v>22</v>
      </c>
      <c r="H301" s="135">
        <f>IFERROR(IF($G301="","",$G301*$S$311/$G$311/Cadastro!$E$33),"")</f>
        <v>0</v>
      </c>
      <c r="I301" s="136">
        <f>IFERROR(IF($D301="","",VLOOKUP($D301,Cadastro!$C$4:$G$7,5,FALSE)),"")</f>
        <v>0.6</v>
      </c>
      <c r="J301" s="137">
        <f t="shared" si="66"/>
        <v>0</v>
      </c>
      <c r="K301" s="34">
        <f t="shared" si="67"/>
        <v>92.4</v>
      </c>
      <c r="L301" s="33"/>
      <c r="M301" s="33"/>
      <c r="N301" s="33"/>
      <c r="O301" s="65"/>
      <c r="P301" s="29"/>
      <c r="Q301" s="35" t="str">
        <f t="shared" ca="1" si="68"/>
        <v/>
      </c>
      <c r="R301" s="27"/>
      <c r="S301" s="60"/>
    </row>
    <row r="302" spans="1:20" ht="15" customHeight="1">
      <c r="A302" s="68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10" t="s">
        <v>256</v>
      </c>
      <c r="F302" s="135">
        <f>IFERROR(IF($D302="","",VLOOKUP($D302,Cadastro!$C$4:$E$7,3,FALSE)),"")</f>
        <v>0.23</v>
      </c>
      <c r="G302" s="27">
        <v>10</v>
      </c>
      <c r="H302" s="135">
        <f>IFERROR(IF($G302="","",$G302*$S$311/$G$311/Cadastro!$E$33),"")</f>
        <v>0</v>
      </c>
      <c r="I302" s="136">
        <f>IFERROR(IF($D302="","",VLOOKUP($D302,Cadastro!$C$4:$G$7,5,FALSE)),"")</f>
        <v>0.6</v>
      </c>
      <c r="J302" s="137">
        <f t="shared" si="66"/>
        <v>0</v>
      </c>
      <c r="K302" s="28">
        <f t="shared" si="67"/>
        <v>42</v>
      </c>
      <c r="L302" s="26"/>
      <c r="M302" s="26"/>
      <c r="N302" s="26"/>
      <c r="O302" s="29"/>
      <c r="P302" s="29"/>
      <c r="Q302" s="30" t="str">
        <f t="shared" ca="1" si="68"/>
        <v/>
      </c>
      <c r="R302" s="27"/>
      <c r="S302" s="60"/>
    </row>
    <row r="303" spans="1:20" ht="15" customHeight="1">
      <c r="A303" s="69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10" t="s">
        <v>256</v>
      </c>
      <c r="F303" s="135">
        <f>IFERROR(IF($D303="","",VLOOKUP($D303,Cadastro!$C$4:$E$7,3,FALSE)),"")</f>
        <v>0.23</v>
      </c>
      <c r="G303" s="27">
        <v>29</v>
      </c>
      <c r="H303" s="135">
        <f>IFERROR(IF($G303="","",$G303*$S$311/$G$311/Cadastro!$E$33),"")</f>
        <v>0</v>
      </c>
      <c r="I303" s="136">
        <f>IFERROR(IF($D303="","",VLOOKUP($D303,Cadastro!$C$4:$G$7,5,FALSE)),"")</f>
        <v>0.6</v>
      </c>
      <c r="J303" s="137">
        <f t="shared" si="66"/>
        <v>0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8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10" t="s">
        <v>256</v>
      </c>
      <c r="F304" s="135">
        <f>IFERROR(IF($D304="","",VLOOKUP($D304,Cadastro!$C$4:$E$7,3,FALSE)),"")</f>
        <v>0.23</v>
      </c>
      <c r="G304" s="27">
        <v>30</v>
      </c>
      <c r="H304" s="135">
        <f>IFERROR(IF($G304="","",$G304*$S$311/$G$311/Cadastro!$E$33),"")</f>
        <v>0</v>
      </c>
      <c r="I304" s="136">
        <f>IFERROR(IF($D304="","",VLOOKUP($D304,Cadastro!$C$4:$G$7,5,FALSE)),"")</f>
        <v>0.6</v>
      </c>
      <c r="J304" s="137">
        <f t="shared" si="66"/>
        <v>0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9">
        <v>46246</v>
      </c>
      <c r="B305" s="32">
        <f t="shared" si="69"/>
        <v>0.58333333333333304</v>
      </c>
      <c r="C305" s="33" t="s">
        <v>34</v>
      </c>
      <c r="D305" s="62" t="s">
        <v>35</v>
      </c>
      <c r="E305" s="110" t="s">
        <v>256</v>
      </c>
      <c r="F305" s="135">
        <f>IFERROR(IF($D305="","",VLOOKUP($D305,Cadastro!$C$4:$E$7,3,FALSE)),"")</f>
        <v>0.23</v>
      </c>
      <c r="G305" s="27">
        <v>20</v>
      </c>
      <c r="H305" s="135">
        <f>IFERROR(IF($G305="","",$G305*$S$311/$G$311/Cadastro!$E$33),"")</f>
        <v>0</v>
      </c>
      <c r="I305" s="136">
        <f>IFERROR(IF($D305="","",VLOOKUP($D305,Cadastro!$C$4:$G$7,5,FALSE)),"")</f>
        <v>0.6</v>
      </c>
      <c r="J305" s="137">
        <f t="shared" si="66"/>
        <v>0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8">
        <v>46246</v>
      </c>
      <c r="B306" s="25">
        <f t="shared" si="69"/>
        <v>0.62499999999999967</v>
      </c>
      <c r="C306" s="33" t="s">
        <v>34</v>
      </c>
      <c r="D306" s="62" t="s">
        <v>35</v>
      </c>
      <c r="E306" s="110" t="s">
        <v>256</v>
      </c>
      <c r="F306" s="135">
        <f>IFERROR(IF($D306="","",VLOOKUP($D306,Cadastro!$C$4:$E$7,3,FALSE)),"")</f>
        <v>0.23</v>
      </c>
      <c r="G306" s="106"/>
      <c r="H306" s="135" t="str">
        <f>IFERROR(IF($G306="","",$G306*$S$311/$G$311/Cadastro!$E$33),"")</f>
        <v/>
      </c>
      <c r="I306" s="136">
        <f>IFERROR(IF($D306="","",VLOOKUP($D306,Cadastro!$C$4:$G$7,5,FALSE)),"")</f>
        <v>0.6</v>
      </c>
      <c r="J306" s="137" t="str">
        <f t="shared" si="66"/>
        <v/>
      </c>
      <c r="K306" s="28" t="str">
        <f t="shared" si="67"/>
        <v/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9">
        <v>46246</v>
      </c>
      <c r="B307" s="32">
        <f t="shared" si="69"/>
        <v>0.6666666666666663</v>
      </c>
      <c r="C307" s="33" t="s">
        <v>34</v>
      </c>
      <c r="D307" s="62" t="s">
        <v>35</v>
      </c>
      <c r="E307" s="110" t="s">
        <v>256</v>
      </c>
      <c r="F307" s="135">
        <f>IFERROR(IF($D307="","",VLOOKUP($D307,Cadastro!$C$4:$E$7,3,FALSE)),"")</f>
        <v>0.23</v>
      </c>
      <c r="G307" s="106"/>
      <c r="H307" s="135" t="str">
        <f>IFERROR(IF($G307="","",$G307*$S$311/$G$311/Cadastro!$E$33),"")</f>
        <v/>
      </c>
      <c r="I307" s="136">
        <f>IFERROR(IF($D307="","",VLOOKUP($D307,Cadastro!$C$4:$G$7,5,FALSE)),"")</f>
        <v>0.6</v>
      </c>
      <c r="J307" s="137" t="str">
        <f t="shared" si="66"/>
        <v/>
      </c>
      <c r="K307" s="34" t="str">
        <f t="shared" si="67"/>
        <v/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8">
        <v>46246</v>
      </c>
      <c r="B308" s="25">
        <f t="shared" si="69"/>
        <v>0.70833333333333293</v>
      </c>
      <c r="C308" s="33" t="s">
        <v>34</v>
      </c>
      <c r="D308" s="62" t="s">
        <v>35</v>
      </c>
      <c r="E308" s="110" t="s">
        <v>256</v>
      </c>
      <c r="F308" s="135">
        <f>IFERROR(IF($D308="","",VLOOKUP($D308,Cadastro!$C$4:$E$7,3,FALSE)),"")</f>
        <v>0.23</v>
      </c>
      <c r="G308" s="106"/>
      <c r="H308" s="135" t="str">
        <f>IFERROR(IF($G308="","",$G308*$S$311/$G$311/Cadastro!$E$33),"")</f>
        <v/>
      </c>
      <c r="I308" s="136">
        <f>IFERROR(IF($D308="","",VLOOKUP($D308,Cadastro!$C$4:$G$7,5,FALSE)),"")</f>
        <v>0.6</v>
      </c>
      <c r="J308" s="137" t="str">
        <f t="shared" si="66"/>
        <v/>
      </c>
      <c r="K308" s="28" t="str">
        <f t="shared" si="67"/>
        <v/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9">
        <v>46246</v>
      </c>
      <c r="B309" s="32">
        <f t="shared" si="69"/>
        <v>0.74999999999999956</v>
      </c>
      <c r="C309" s="33" t="s">
        <v>34</v>
      </c>
      <c r="D309" s="62" t="s">
        <v>35</v>
      </c>
      <c r="E309" s="110" t="s">
        <v>256</v>
      </c>
      <c r="F309" s="135">
        <f>IFERROR(IF($D309="","",VLOOKUP($D309,Cadastro!$C$4:$E$7,3,FALSE)),"")</f>
        <v>0.23</v>
      </c>
      <c r="G309" s="106"/>
      <c r="H309" s="135" t="str">
        <f>IFERROR(IF($G309="","",$G309*$S$311/$G$311/Cadastro!$E$33),"")</f>
        <v/>
      </c>
      <c r="I309" s="136">
        <f>IFERROR(IF($D309="","",VLOOKUP($D309,Cadastro!$C$4:$G$7,5,FALSE)),"")</f>
        <v>0.6</v>
      </c>
      <c r="J309" s="137" t="str">
        <f t="shared" si="66"/>
        <v/>
      </c>
      <c r="K309" s="34" t="str">
        <f t="shared" si="67"/>
        <v/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8">
        <v>46246</v>
      </c>
      <c r="B310" s="25">
        <f t="shared" si="69"/>
        <v>0.79166666666666619</v>
      </c>
      <c r="C310" s="33" t="s">
        <v>34</v>
      </c>
      <c r="D310" s="62" t="s">
        <v>35</v>
      </c>
      <c r="E310" s="110" t="s">
        <v>256</v>
      </c>
      <c r="F310" s="138">
        <f>IFERROR(IF($D310="","",VLOOKUP($D310,Cadastro!$C$4:$E$7,3,FALSE)),"")</f>
        <v>0.23</v>
      </c>
      <c r="G310" s="106"/>
      <c r="H310" s="138" t="str">
        <f>IFERROR(IF($G310="","",$G310*$S$311/$G$311/Cadastro!$E$33),"")</f>
        <v/>
      </c>
      <c r="I310" s="139">
        <f>IFERROR(IF($D310="","",VLOOKUP($D310,Cadastro!$C$4:$G$7,5,FALSE)),"")</f>
        <v>0.6</v>
      </c>
      <c r="J310" s="140" t="str">
        <f t="shared" si="66"/>
        <v/>
      </c>
      <c r="K310" s="28" t="str">
        <f t="shared" si="67"/>
        <v/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2" t="s">
        <v>241</v>
      </c>
      <c r="B311" s="153"/>
      <c r="C311" s="153"/>
      <c r="D311" s="153"/>
      <c r="E311" s="153">
        <f>SUM(E299:E310)</f>
        <v>0</v>
      </c>
      <c r="F311" s="111"/>
      <c r="G311" s="81">
        <f>SUM(G299:G310)</f>
        <v>143</v>
      </c>
      <c r="H311" s="111">
        <f>IFERROR(SUM(H299:H310),"")</f>
        <v>0</v>
      </c>
      <c r="I311" s="115"/>
      <c r="J311" s="124">
        <f>IFERROR(SUM(J299:J310),"")</f>
        <v>0</v>
      </c>
      <c r="K311" s="36">
        <f>SUM(K299:K310)</f>
        <v>600.6</v>
      </c>
      <c r="L311" s="37"/>
      <c r="M311" s="37"/>
      <c r="N311" s="37"/>
      <c r="O311" s="61"/>
      <c r="P311" s="61"/>
      <c r="Q311" s="38">
        <f ca="1">IFERROR(SUM(Q299:Q310),"")</f>
        <v>1.5972222222222221E-2</v>
      </c>
      <c r="R311" s="36" t="s">
        <v>242</v>
      </c>
      <c r="S311" s="39"/>
      <c r="T311" s="120">
        <f>IFERROR(J311,"")</f>
        <v>0</v>
      </c>
    </row>
    <row r="312" spans="1:20" ht="15" customHeight="1">
      <c r="A312" s="68">
        <v>46246</v>
      </c>
      <c r="B312" s="25">
        <v>0.83333333333333304</v>
      </c>
      <c r="C312" s="26"/>
      <c r="D312" s="59"/>
      <c r="E312" s="109"/>
      <c r="F312" s="141" t="str">
        <f>IFERROR(IF($D312="","",VLOOKUP($D312,Cadastro!$C$4:$E$7,3,FALSE)),"")</f>
        <v/>
      </c>
      <c r="G312" s="106"/>
      <c r="H312" s="141" t="str">
        <f>IFERROR(IF($G312="","",$G312*$S$324/$G$324/Cadastro!$E$33),"")</f>
        <v/>
      </c>
      <c r="I312" s="142" t="str">
        <f>IFERROR(IF($D312="","",VLOOKUP($D312,Cadastro!$C$4:$G$7,5,FALSE)),"")</f>
        <v/>
      </c>
      <c r="J312" s="143" t="str">
        <f t="shared" ref="J312:J323" si="70">IFERROR(IF($H312="","",$H312*$F312*$I312),"")</f>
        <v/>
      </c>
      <c r="K312" s="28" t="str">
        <f t="shared" ref="K312:K323" si="71">IF(G312="","",IF(E312="PC 17",G312*4.2,IF(E312="PC 19",G312*5,IF(E312="CB",G312*24,""))))</f>
        <v/>
      </c>
      <c r="L312" s="26"/>
      <c r="M312" s="26"/>
      <c r="N312" s="26"/>
      <c r="O312" s="29"/>
      <c r="P312" s="29"/>
      <c r="Q312" s="30" t="str">
        <f t="shared" ref="Q312:Q323" ca="1" si="72">IFERROR(IF(O312="","",IF(P312="",MOD(NOW()-O312,1),IF(P312&gt;=O312,P312-O312,P312+1-O312))),"")</f>
        <v/>
      </c>
      <c r="R312" s="27"/>
      <c r="S312" s="60"/>
    </row>
    <row r="313" spans="1:20" ht="15" customHeight="1">
      <c r="A313" s="69">
        <v>46246</v>
      </c>
      <c r="B313" s="32">
        <f t="shared" ref="B313:B323" si="73">B312+TIME(0,60,0)</f>
        <v>0.87499999999999967</v>
      </c>
      <c r="C313" s="26"/>
      <c r="D313" s="59"/>
      <c r="E313" s="109"/>
      <c r="F313" s="135" t="str">
        <f>IFERROR(IF($D313="","",VLOOKUP($D313,Cadastro!$C$4:$E$7,3,FALSE)),"")</f>
        <v/>
      </c>
      <c r="G313" s="106"/>
      <c r="H313" s="135" t="str">
        <f>IFERROR(IF($G313="","",$G313*$S$324/$G$324/Cadastro!$E$33),"")</f>
        <v/>
      </c>
      <c r="I313" s="136" t="str">
        <f>IFERROR(IF($D313="","",VLOOKUP($D313,Cadastro!$C$4:$G$7,5,FALSE)),"")</f>
        <v/>
      </c>
      <c r="J313" s="137" t="str">
        <f t="shared" si="70"/>
        <v/>
      </c>
      <c r="K313" s="34" t="str">
        <f t="shared" si="71"/>
        <v/>
      </c>
      <c r="L313" s="33"/>
      <c r="M313" s="33"/>
      <c r="N313" s="33"/>
      <c r="O313" s="29"/>
      <c r="P313" s="29"/>
      <c r="Q313" s="35" t="str">
        <f t="shared" ca="1" si="72"/>
        <v/>
      </c>
      <c r="R313" s="27"/>
      <c r="S313" s="60"/>
    </row>
    <row r="314" spans="1:20" ht="15" customHeight="1">
      <c r="A314" s="68">
        <v>46246</v>
      </c>
      <c r="B314" s="25">
        <f t="shared" si="73"/>
        <v>0.9166666666666663</v>
      </c>
      <c r="C314" s="26"/>
      <c r="D314" s="59"/>
      <c r="E314" s="109"/>
      <c r="F314" s="135" t="str">
        <f>IFERROR(IF($D314="","",VLOOKUP($D314,Cadastro!$C$4:$E$7,3,FALSE)),"")</f>
        <v/>
      </c>
      <c r="G314" s="106"/>
      <c r="H314" s="135" t="str">
        <f>IFERROR(IF($G314="","",$G314*$S$324/$G$324/Cadastro!$E$33),"")</f>
        <v/>
      </c>
      <c r="I314" s="136" t="str">
        <f>IFERROR(IF($D314="","",VLOOKUP($D314,Cadastro!$C$4:$G$7,5,FALSE)),"")</f>
        <v/>
      </c>
      <c r="J314" s="137" t="str">
        <f t="shared" si="70"/>
        <v/>
      </c>
      <c r="K314" s="28" t="str">
        <f t="shared" si="71"/>
        <v/>
      </c>
      <c r="L314" s="26"/>
      <c r="M314" s="26"/>
      <c r="N314" s="26"/>
      <c r="O314" s="29"/>
      <c r="P314" s="29"/>
      <c r="Q314" s="30" t="str">
        <f t="shared" ca="1" si="72"/>
        <v/>
      </c>
      <c r="R314" s="27"/>
      <c r="S314" s="60"/>
    </row>
    <row r="315" spans="1:20" ht="15" customHeight="1">
      <c r="A315" s="69">
        <v>46246</v>
      </c>
      <c r="B315" s="32">
        <f t="shared" si="73"/>
        <v>0.95833333333333293</v>
      </c>
      <c r="C315" s="26"/>
      <c r="D315" s="59"/>
      <c r="E315" s="109"/>
      <c r="F315" s="135" t="str">
        <f>IFERROR(IF($D315="","",VLOOKUP($D315,Cadastro!$C$4:$E$7,3,FALSE)),"")</f>
        <v/>
      </c>
      <c r="G315" s="106"/>
      <c r="H315" s="135" t="str">
        <f>IFERROR(IF($G315="","",$G315*$S$324/$G$324/Cadastro!$E$33),"")</f>
        <v/>
      </c>
      <c r="I315" s="136" t="str">
        <f>IFERROR(IF($D315="","",VLOOKUP($D315,Cadastro!$C$4:$G$7,5,FALSE)),"")</f>
        <v/>
      </c>
      <c r="J315" s="137" t="str">
        <f t="shared" si="70"/>
        <v/>
      </c>
      <c r="K315" s="34" t="str">
        <f t="shared" si="71"/>
        <v/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8">
        <v>46246</v>
      </c>
      <c r="B316" s="25">
        <f t="shared" si="73"/>
        <v>0.99999999999999956</v>
      </c>
      <c r="C316" s="26"/>
      <c r="D316" s="59"/>
      <c r="E316" s="109"/>
      <c r="F316" s="135" t="str">
        <f>IFERROR(IF($D316="","",VLOOKUP($D316,Cadastro!$C$4:$E$7,3,FALSE)),"")</f>
        <v/>
      </c>
      <c r="G316" s="106"/>
      <c r="H316" s="135" t="str">
        <f>IFERROR(IF($G316="","",$G316*$S$324/$G$324/Cadastro!$E$33),"")</f>
        <v/>
      </c>
      <c r="I316" s="136" t="str">
        <f>IFERROR(IF($D316="","",VLOOKUP($D316,Cadastro!$C$4:$G$7,5,FALSE)),"")</f>
        <v/>
      </c>
      <c r="J316" s="137" t="str">
        <f t="shared" si="70"/>
        <v/>
      </c>
      <c r="K316" s="28" t="str">
        <f t="shared" si="71"/>
        <v/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9">
        <v>46246</v>
      </c>
      <c r="B317" s="32">
        <f t="shared" si="73"/>
        <v>1.0416666666666663</v>
      </c>
      <c r="C317" s="26"/>
      <c r="D317" s="59"/>
      <c r="E317" s="109"/>
      <c r="F317" s="135" t="str">
        <f>IFERROR(IF($D317="","",VLOOKUP($D317,Cadastro!$C$4:$E$7,3,FALSE)),"")</f>
        <v/>
      </c>
      <c r="G317" s="106"/>
      <c r="H317" s="135" t="str">
        <f>IFERROR(IF($G317="","",$G317*$S$324/$G$324/Cadastro!$E$33),"")</f>
        <v/>
      </c>
      <c r="I317" s="136" t="str">
        <f>IFERROR(IF($D317="","",VLOOKUP($D317,Cadastro!$C$4:$G$7,5,FALSE)),"")</f>
        <v/>
      </c>
      <c r="J317" s="137" t="str">
        <f t="shared" si="70"/>
        <v/>
      </c>
      <c r="K317" s="34" t="str">
        <f t="shared" si="71"/>
        <v/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8">
        <v>46246</v>
      </c>
      <c r="B318" s="25">
        <f t="shared" si="73"/>
        <v>1.083333333333333</v>
      </c>
      <c r="C318" s="26"/>
      <c r="D318" s="59"/>
      <c r="E318" s="109"/>
      <c r="F318" s="135" t="str">
        <f>IFERROR(IF($D318="","",VLOOKUP($D318,Cadastro!$C$4:$E$7,3,FALSE)),"")</f>
        <v/>
      </c>
      <c r="G318" s="106"/>
      <c r="H318" s="135" t="str">
        <f>IFERROR(IF($G318="","",$G318*$S$324/$G$324/Cadastro!$E$33),"")</f>
        <v/>
      </c>
      <c r="I318" s="136" t="str">
        <f>IFERROR(IF($D318="","",VLOOKUP($D318,Cadastro!$C$4:$G$7,5,FALSE)),"")</f>
        <v/>
      </c>
      <c r="J318" s="137" t="str">
        <f t="shared" si="70"/>
        <v/>
      </c>
      <c r="K318" s="28" t="str">
        <f t="shared" si="71"/>
        <v/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9">
        <v>46246</v>
      </c>
      <c r="B319" s="32">
        <f t="shared" si="73"/>
        <v>1.1249999999999998</v>
      </c>
      <c r="C319" s="26"/>
      <c r="D319" s="59"/>
      <c r="E319" s="109"/>
      <c r="F319" s="135" t="str">
        <f>IFERROR(IF($D319="","",VLOOKUP($D319,Cadastro!$C$4:$E$7,3,FALSE)),"")</f>
        <v/>
      </c>
      <c r="G319" s="106"/>
      <c r="H319" s="135" t="str">
        <f>IFERROR(IF($G319="","",$G319*$S$324/$G$324/Cadastro!$E$33),"")</f>
        <v/>
      </c>
      <c r="I319" s="136" t="str">
        <f>IFERROR(IF($D319="","",VLOOKUP($D319,Cadastro!$C$4:$G$7,5,FALSE)),"")</f>
        <v/>
      </c>
      <c r="J319" s="137" t="str">
        <f t="shared" si="70"/>
        <v/>
      </c>
      <c r="K319" s="34" t="str">
        <f t="shared" si="71"/>
        <v/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8">
        <v>46246</v>
      </c>
      <c r="B320" s="25">
        <f t="shared" si="73"/>
        <v>1.1666666666666665</v>
      </c>
      <c r="C320" s="26"/>
      <c r="D320" s="59"/>
      <c r="E320" s="109"/>
      <c r="F320" s="135" t="str">
        <f>IFERROR(IF($D320="","",VLOOKUP($D320,Cadastro!$C$4:$E$7,3,FALSE)),"")</f>
        <v/>
      </c>
      <c r="G320" s="106"/>
      <c r="H320" s="135" t="str">
        <f>IFERROR(IF($G320="","",$G320*$S$324/$G$324/Cadastro!$E$33),"")</f>
        <v/>
      </c>
      <c r="I320" s="136" t="str">
        <f>IFERROR(IF($D320="","",VLOOKUP($D320,Cadastro!$C$4:$G$7,5,FALSE)),"")</f>
        <v/>
      </c>
      <c r="J320" s="137" t="str">
        <f t="shared" si="70"/>
        <v/>
      </c>
      <c r="K320" s="28" t="str">
        <f t="shared" si="71"/>
        <v/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9">
        <v>46246</v>
      </c>
      <c r="B321" s="32">
        <f t="shared" si="73"/>
        <v>1.2083333333333333</v>
      </c>
      <c r="C321" s="26"/>
      <c r="D321" s="59"/>
      <c r="E321" s="109"/>
      <c r="F321" s="135" t="str">
        <f>IFERROR(IF($D321="","",VLOOKUP($D321,Cadastro!$C$4:$E$7,3,FALSE)),"")</f>
        <v/>
      </c>
      <c r="G321" s="106"/>
      <c r="H321" s="135" t="str">
        <f>IFERROR(IF($G321="","",$G321*$S$324/$G$324/Cadastro!$E$33),"")</f>
        <v/>
      </c>
      <c r="I321" s="136" t="str">
        <f>IFERROR(IF($D321="","",VLOOKUP($D321,Cadastro!$C$4:$G$7,5,FALSE)),"")</f>
        <v/>
      </c>
      <c r="J321" s="137" t="str">
        <f t="shared" si="70"/>
        <v/>
      </c>
      <c r="K321" s="34" t="str">
        <f t="shared" si="71"/>
        <v/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8">
        <v>46246</v>
      </c>
      <c r="B322" s="25">
        <f t="shared" si="73"/>
        <v>1.25</v>
      </c>
      <c r="C322" s="26"/>
      <c r="D322" s="59"/>
      <c r="E322" s="109"/>
      <c r="F322" s="135" t="str">
        <f>IFERROR(IF($D322="","",VLOOKUP($D322,Cadastro!$C$4:$E$7,3,FALSE)),"")</f>
        <v/>
      </c>
      <c r="G322" s="106"/>
      <c r="H322" s="135" t="str">
        <f>IFERROR(IF($G322="","",$G322*$S$324/$G$324/Cadastro!$E$33),"")</f>
        <v/>
      </c>
      <c r="I322" s="136" t="str">
        <f>IFERROR(IF($D322="","",VLOOKUP($D322,Cadastro!$C$4:$G$7,5,FALSE)),"")</f>
        <v/>
      </c>
      <c r="J322" s="137" t="str">
        <f t="shared" si="70"/>
        <v/>
      </c>
      <c r="K322" s="28" t="str">
        <f t="shared" si="71"/>
        <v/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9">
        <v>46246</v>
      </c>
      <c r="B323" s="32">
        <f t="shared" si="73"/>
        <v>1.2916666666666667</v>
      </c>
      <c r="C323" s="26"/>
      <c r="D323" s="59"/>
      <c r="E323" s="109"/>
      <c r="F323" s="138" t="str">
        <f>IFERROR(IF($D323="","",VLOOKUP($D323,Cadastro!$C$4:$E$7,3,FALSE)),"")</f>
        <v/>
      </c>
      <c r="G323" s="106"/>
      <c r="H323" s="138" t="str">
        <f>IFERROR(IF($G323="","",$G323*$S$324/$G$324/Cadastro!$E$33),"")</f>
        <v/>
      </c>
      <c r="I323" s="139" t="str">
        <f>IFERROR(IF($D323="","",VLOOKUP($D323,Cadastro!$C$4:$G$7,5,FALSE)),"")</f>
        <v/>
      </c>
      <c r="J323" s="140" t="str">
        <f t="shared" si="70"/>
        <v/>
      </c>
      <c r="K323" s="34" t="str">
        <f t="shared" si="71"/>
        <v/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2" t="s">
        <v>244</v>
      </c>
      <c r="B324" s="153"/>
      <c r="C324" s="153"/>
      <c r="D324" s="153"/>
      <c r="E324" s="153">
        <f>SUM(E312:E323)</f>
        <v>0</v>
      </c>
      <c r="F324" s="112"/>
      <c r="G324" s="81">
        <f>SUM(G312:G323)</f>
        <v>0</v>
      </c>
      <c r="H324" s="112">
        <f>IFERROR(SUM(H312:H323),"")</f>
        <v>0</v>
      </c>
      <c r="I324" s="116"/>
      <c r="J324" s="125">
        <f>IFERROR(SUM(J312:J323),"")</f>
        <v>0</v>
      </c>
      <c r="K324" s="36">
        <f>SUM(K312:K323)</f>
        <v>0</v>
      </c>
      <c r="L324" s="37"/>
      <c r="M324" s="37"/>
      <c r="N324" s="37"/>
      <c r="O324" s="61"/>
      <c r="P324" s="61"/>
      <c r="Q324" s="38">
        <f ca="1">IFERROR(SUM(Q312:Q323),"")</f>
        <v>0</v>
      </c>
      <c r="R324" s="36" t="s">
        <v>242</v>
      </c>
      <c r="S324" s="39"/>
      <c r="T324" s="120">
        <f>IFERROR(J324,"")</f>
        <v>0</v>
      </c>
    </row>
    <row r="325" spans="1:20" ht="18" customHeight="1">
      <c r="A325" s="150" t="s">
        <v>245</v>
      </c>
      <c r="B325" s="151"/>
      <c r="C325" s="151"/>
      <c r="D325" s="151"/>
      <c r="E325" s="151">
        <f>E311+E324</f>
        <v>0</v>
      </c>
      <c r="F325" s="113"/>
      <c r="G325" s="92">
        <f>G311+G324</f>
        <v>143</v>
      </c>
      <c r="H325" s="113">
        <f>IFERROR(H311+H324,"")</f>
        <v>0</v>
      </c>
      <c r="I325" s="117"/>
      <c r="J325" s="126">
        <f>IFERROR(J311+J324,"")</f>
        <v>0</v>
      </c>
      <c r="K325" s="40">
        <f>K311+K324</f>
        <v>600.6</v>
      </c>
      <c r="L325" s="41"/>
      <c r="M325" s="41"/>
      <c r="N325" s="41"/>
      <c r="O325" s="63"/>
      <c r="P325" s="63"/>
      <c r="Q325" s="42">
        <f ca="1">IFERROR(Q311+Q324,"")</f>
        <v>1.5972222222222221E-2</v>
      </c>
      <c r="R325" s="40" t="s">
        <v>246</v>
      </c>
      <c r="S325" s="48">
        <f>IFERROR(S311+S324,"")</f>
        <v>0</v>
      </c>
      <c r="T325" s="122">
        <f>IFERROR(J325,"")</f>
        <v>0</v>
      </c>
    </row>
    <row r="326" spans="1:20" ht="15" customHeight="1">
      <c r="A326" s="68">
        <v>46247</v>
      </c>
      <c r="B326" s="25">
        <v>0.33333333333333298</v>
      </c>
      <c r="C326" s="26" t="s">
        <v>34</v>
      </c>
      <c r="D326" s="59" t="s">
        <v>35</v>
      </c>
      <c r="E326" s="109" t="s">
        <v>256</v>
      </c>
      <c r="F326" s="141">
        <f>IFERROR(IF($D326="","",VLOOKUP($D326,Cadastro!$C$4:$E$7,3,FALSE)),"")</f>
        <v>0.23</v>
      </c>
      <c r="G326" s="106"/>
      <c r="H326" s="141" t="str">
        <f>IFERROR(IF($G326="","",$G326*$S$338/$G$338/Cadastro!$E$33),"")</f>
        <v/>
      </c>
      <c r="I326" s="142">
        <f>IFERROR(IF($D326="","",VLOOKUP($D326,Cadastro!$C$4:$G$7,5,FALSE)),"")</f>
        <v>0.6</v>
      </c>
      <c r="J326" s="143" t="str">
        <f t="shared" ref="J326:J337" si="74">IFERROR(IF($H326="","",$H326*$F326*$I326),"")</f>
        <v/>
      </c>
      <c r="K326" s="28" t="str">
        <f>IF(G326="","",IF(E327="PC 17",G326*4.2,IF(E327="PC 19",G326*5,"")))</f>
        <v/>
      </c>
      <c r="L326" s="26"/>
      <c r="M326" s="26"/>
      <c r="N326" s="26"/>
      <c r="O326" s="29"/>
      <c r="P326" s="29"/>
      <c r="Q326" s="30" t="str">
        <f t="shared" ref="Q326:Q337" ca="1" si="75">IFERROR(IF(O326="","",IF(P326="",MOD(NOW()-O326,1),IF(P326&gt;=O326,P326-O326,P326+1-O326))),"")</f>
        <v/>
      </c>
      <c r="R326" s="27"/>
      <c r="S326" s="60"/>
    </row>
    <row r="327" spans="1:20" ht="15" customHeight="1">
      <c r="A327" s="69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9" t="s">
        <v>256</v>
      </c>
      <c r="F327" s="135">
        <f>IFERROR(IF($D327="","",VLOOKUP($D327,Cadastro!$C$4:$E$7,3,FALSE)),"")</f>
        <v>0.23</v>
      </c>
      <c r="G327" s="106"/>
      <c r="H327" s="135" t="str">
        <f>IFERROR(IF($G327="","",$G327*$S$338/$G$338/Cadastro!$E$33),"")</f>
        <v/>
      </c>
      <c r="I327" s="136">
        <f>IFERROR(IF($D327="","",VLOOKUP($D327,Cadastro!$C$4:$G$7,5,FALSE)),"")</f>
        <v>0.6</v>
      </c>
      <c r="J327" s="137" t="str">
        <f t="shared" si="74"/>
        <v/>
      </c>
      <c r="K327" s="34"/>
      <c r="L327" s="33"/>
      <c r="M327" s="33"/>
      <c r="N327" s="33"/>
      <c r="O327" s="29"/>
      <c r="P327" s="29"/>
      <c r="Q327" s="35" t="str">
        <f t="shared" ca="1" si="75"/>
        <v/>
      </c>
      <c r="R327" s="27"/>
      <c r="S327" s="60"/>
    </row>
    <row r="328" spans="1:20" ht="15" customHeight="1">
      <c r="A328" s="68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9" t="s">
        <v>256</v>
      </c>
      <c r="F328" s="135">
        <f>IFERROR(IF($D328="","",VLOOKUP($D328,Cadastro!$C$4:$E$7,3,FALSE)),"")</f>
        <v>0.23</v>
      </c>
      <c r="G328" s="106"/>
      <c r="H328" s="135" t="str">
        <f>IFERROR(IF($G328="","",$G328*$S$338/$G$338/Cadastro!$E$33),"")</f>
        <v/>
      </c>
      <c r="I328" s="136">
        <f>IFERROR(IF($D328="","",VLOOKUP($D328,Cadastro!$C$4:$G$7,5,FALSE)),"")</f>
        <v>0.6</v>
      </c>
      <c r="J328" s="137" t="str">
        <f t="shared" si="74"/>
        <v/>
      </c>
      <c r="K328" s="28" t="str">
        <f t="shared" ref="K328:K337" si="77">IF(G328="","",IF(E328="PC 17",G328*4.2,IF(E328="PC 19",G328*5,IF(E328="CB",G328*24,""))))</f>
        <v/>
      </c>
      <c r="L328" s="26"/>
      <c r="M328" s="26"/>
      <c r="N328" s="26"/>
      <c r="O328" s="29"/>
      <c r="P328" s="29"/>
      <c r="Q328" s="30" t="str">
        <f t="shared" ca="1" si="75"/>
        <v/>
      </c>
      <c r="R328" s="27"/>
      <c r="S328" s="60"/>
    </row>
    <row r="329" spans="1:20" ht="15" customHeight="1">
      <c r="A329" s="69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9" t="s">
        <v>256</v>
      </c>
      <c r="F329" s="135">
        <f>IFERROR(IF($D329="","",VLOOKUP($D329,Cadastro!$C$4:$E$7,3,FALSE)),"")</f>
        <v>0.23</v>
      </c>
      <c r="G329" s="106"/>
      <c r="H329" s="135" t="str">
        <f>IFERROR(IF($G329="","",$G329*$S$338/$G$338/Cadastro!$E$33),"")</f>
        <v/>
      </c>
      <c r="I329" s="136">
        <f>IFERROR(IF($D329="","",VLOOKUP($D329,Cadastro!$C$4:$G$7,5,FALSE)),"")</f>
        <v>0.6</v>
      </c>
      <c r="J329" s="137" t="str">
        <f t="shared" si="74"/>
        <v/>
      </c>
      <c r="K329" s="34" t="str">
        <f t="shared" si="77"/>
        <v/>
      </c>
      <c r="L329" s="33"/>
      <c r="M329" s="33"/>
      <c r="N329" s="33"/>
      <c r="O329" s="29"/>
      <c r="P329" s="29"/>
      <c r="Q329" s="35" t="str">
        <f t="shared" ca="1" si="75"/>
        <v/>
      </c>
      <c r="R329" s="27"/>
      <c r="S329" s="60"/>
    </row>
    <row r="330" spans="1:20" ht="15" customHeight="1">
      <c r="A330" s="68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9" t="s">
        <v>256</v>
      </c>
      <c r="F330" s="135">
        <f>IFERROR(IF($D330="","",VLOOKUP($D330,Cadastro!$C$4:$E$7,3,FALSE)),"")</f>
        <v>0.23</v>
      </c>
      <c r="G330" s="106"/>
      <c r="H330" s="135" t="str">
        <f>IFERROR(IF($G330="","",$G330*$S$338/$G$338/Cadastro!$E$33),"")</f>
        <v/>
      </c>
      <c r="I330" s="136">
        <f>IFERROR(IF($D330="","",VLOOKUP($D330,Cadastro!$C$4:$G$7,5,FALSE)),"")</f>
        <v>0.6</v>
      </c>
      <c r="J330" s="137" t="str">
        <f t="shared" si="74"/>
        <v/>
      </c>
      <c r="K330" s="28" t="str">
        <f t="shared" si="77"/>
        <v/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9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9" t="s">
        <v>256</v>
      </c>
      <c r="F331" s="135">
        <f>IFERROR(IF($D331="","",VLOOKUP($D331,Cadastro!$C$4:$E$7,3,FALSE)),"")</f>
        <v>0.23</v>
      </c>
      <c r="G331" s="106"/>
      <c r="H331" s="135" t="str">
        <f>IFERROR(IF($G331="","",$G331*$S$338/$G$338/Cadastro!$E$33),"")</f>
        <v/>
      </c>
      <c r="I331" s="136">
        <f>IFERROR(IF($D331="","",VLOOKUP($D331,Cadastro!$C$4:$G$7,5,FALSE)),"")</f>
        <v>0.6</v>
      </c>
      <c r="J331" s="137" t="str">
        <f t="shared" si="74"/>
        <v/>
      </c>
      <c r="K331" s="34" t="str">
        <f t="shared" si="77"/>
        <v/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8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9" t="s">
        <v>256</v>
      </c>
      <c r="F332" s="135">
        <f>IFERROR(IF($D332="","",VLOOKUP($D332,Cadastro!$C$4:$E$7,3,FALSE)),"")</f>
        <v>0.23</v>
      </c>
      <c r="G332" s="106"/>
      <c r="H332" s="135" t="str">
        <f>IFERROR(IF($G332="","",$G332*$S$338/$G$338/Cadastro!$E$33),"")</f>
        <v/>
      </c>
      <c r="I332" s="136">
        <f>IFERROR(IF($D332="","",VLOOKUP($D332,Cadastro!$C$4:$G$7,5,FALSE)),"")</f>
        <v>0.6</v>
      </c>
      <c r="J332" s="137" t="str">
        <f t="shared" si="74"/>
        <v/>
      </c>
      <c r="K332" s="28" t="str">
        <f t="shared" si="77"/>
        <v/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9">
        <v>46247</v>
      </c>
      <c r="B333" s="32">
        <f t="shared" si="76"/>
        <v>0.62499999999999967</v>
      </c>
      <c r="C333" s="26" t="s">
        <v>34</v>
      </c>
      <c r="D333" s="59" t="s">
        <v>43</v>
      </c>
      <c r="E333" s="109"/>
      <c r="F333" s="135">
        <f>IFERROR(IF($D333="","",VLOOKUP($D333,Cadastro!$C$4:$E$7,3,FALSE)),"")</f>
        <v>0.21</v>
      </c>
      <c r="G333" s="106"/>
      <c r="H333" s="135" t="str">
        <f>IFERROR(IF($G333="","",$G333*$S$338/$G$338/Cadastro!$E$33),"")</f>
        <v/>
      </c>
      <c r="I333" s="136">
        <f>IFERROR(IF($D333="","",VLOOKUP($D333,Cadastro!$C$4:$G$7,5,FALSE)),"")</f>
        <v>0.55000000000000004</v>
      </c>
      <c r="J333" s="137" t="str">
        <f t="shared" si="74"/>
        <v/>
      </c>
      <c r="K333" s="34" t="str">
        <f t="shared" si="77"/>
        <v/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8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9"/>
      <c r="F334" s="135">
        <f>IFERROR(IF($D334="","",VLOOKUP($D334,Cadastro!$C$4:$E$7,3,FALSE)),"")</f>
        <v>0.23</v>
      </c>
      <c r="G334" s="106"/>
      <c r="H334" s="135" t="str">
        <f>IFERROR(IF($G334="","",$G334*$S$338/$G$338/Cadastro!$E$33),"")</f>
        <v/>
      </c>
      <c r="I334" s="136">
        <f>IFERROR(IF($D334="","",VLOOKUP($D334,Cadastro!$C$4:$G$7,5,FALSE)),"")</f>
        <v>0.6</v>
      </c>
      <c r="J334" s="137" t="str">
        <f t="shared" si="74"/>
        <v/>
      </c>
      <c r="K334" s="28" t="str">
        <f t="shared" si="77"/>
        <v/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9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9"/>
      <c r="F335" s="135">
        <f>IFERROR(IF($D335="","",VLOOKUP($D335,Cadastro!$C$4:$E$7,3,FALSE)),"")</f>
        <v>0.23</v>
      </c>
      <c r="G335" s="106"/>
      <c r="H335" s="135" t="str">
        <f>IFERROR(IF($G335="","",$G335*$S$338/$G$338/Cadastro!$E$33),"")</f>
        <v/>
      </c>
      <c r="I335" s="136">
        <f>IFERROR(IF($D335="","",VLOOKUP($D335,Cadastro!$C$4:$G$7,5,FALSE)),"")</f>
        <v>0.6</v>
      </c>
      <c r="J335" s="137" t="str">
        <f t="shared" si="74"/>
        <v/>
      </c>
      <c r="K335" s="34" t="str">
        <f t="shared" si="77"/>
        <v/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8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9"/>
      <c r="F336" s="135">
        <f>IFERROR(IF($D336="","",VLOOKUP($D336,Cadastro!$C$4:$E$7,3,FALSE)),"")</f>
        <v>0.23</v>
      </c>
      <c r="G336" s="106"/>
      <c r="H336" s="135" t="str">
        <f>IFERROR(IF($G336="","",$G336*$S$338/$G$338/Cadastro!$E$33),"")</f>
        <v/>
      </c>
      <c r="I336" s="136">
        <f>IFERROR(IF($D336="","",VLOOKUP($D336,Cadastro!$C$4:$G$7,5,FALSE)),"")</f>
        <v>0.6</v>
      </c>
      <c r="J336" s="137" t="str">
        <f t="shared" si="74"/>
        <v/>
      </c>
      <c r="K336" s="28" t="str">
        <f t="shared" si="77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9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9"/>
      <c r="F337" s="138">
        <f>IFERROR(IF($D337="","",VLOOKUP($D337,Cadastro!$C$4:$E$7,3,FALSE)),"")</f>
        <v>0.23</v>
      </c>
      <c r="G337" s="106"/>
      <c r="H337" s="138" t="str">
        <f>IFERROR(IF($G337="","",$G337*$S$338/$G$338/Cadastro!$E$33),"")</f>
        <v/>
      </c>
      <c r="I337" s="139">
        <f>IFERROR(IF($D337="","",VLOOKUP($D337,Cadastro!$C$4:$G$7,5,FALSE)),"")</f>
        <v>0.6</v>
      </c>
      <c r="J337" s="140" t="str">
        <f t="shared" si="74"/>
        <v/>
      </c>
      <c r="K337" s="34" t="str">
        <f t="shared" si="77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2" t="s">
        <v>241</v>
      </c>
      <c r="B338" s="153"/>
      <c r="C338" s="153"/>
      <c r="D338" s="153"/>
      <c r="E338" s="153">
        <f>SUM(E327:E337)</f>
        <v>0</v>
      </c>
      <c r="F338" s="111"/>
      <c r="G338" s="81">
        <f>SUM(G326:G337)</f>
        <v>0</v>
      </c>
      <c r="H338" s="111">
        <f>IFERROR(SUM(H326:H337),"")</f>
        <v>0</v>
      </c>
      <c r="I338" s="115"/>
      <c r="J338" s="124">
        <f>IFERROR(SUM(J326:J337),"")</f>
        <v>0</v>
      </c>
      <c r="K338" s="36">
        <f>SUM(K326:K337)</f>
        <v>0</v>
      </c>
      <c r="L338" s="37"/>
      <c r="M338" s="37"/>
      <c r="N338" s="37"/>
      <c r="O338" s="61"/>
      <c r="P338" s="61"/>
      <c r="Q338" s="38">
        <f ca="1">IFERROR(SUM(Q326:Q337),"")</f>
        <v>0</v>
      </c>
      <c r="R338" s="36" t="s">
        <v>242</v>
      </c>
      <c r="S338" s="39"/>
      <c r="T338" s="120">
        <f>IFERROR(J338,"")</f>
        <v>0</v>
      </c>
    </row>
    <row r="339" spans="1:20" ht="15" customHeight="1">
      <c r="A339" s="69">
        <v>46247</v>
      </c>
      <c r="B339" s="32">
        <v>0.83333333333333304</v>
      </c>
      <c r="C339" s="33"/>
      <c r="D339" s="62"/>
      <c r="E339" s="110"/>
      <c r="F339" s="141" t="str">
        <f>IFERROR(IF($D339="","",VLOOKUP($D339,Cadastro!$C$4:$E$7,3,FALSE)),"")</f>
        <v/>
      </c>
      <c r="G339" s="106"/>
      <c r="H339" s="141" t="str">
        <f>IFERROR(IF($G339="","",$G339*$S$351/$G$351/Cadastro!$E$33),"")</f>
        <v/>
      </c>
      <c r="I339" s="142" t="str">
        <f>IFERROR(IF($D339="","",VLOOKUP($D339,Cadastro!$C$4:$G$7,5,FALSE)),"")</f>
        <v/>
      </c>
      <c r="J339" s="143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8">
        <v>46247</v>
      </c>
      <c r="B340" s="25">
        <f t="shared" ref="B340:B350" si="81">B339+TIME(0,60,0)</f>
        <v>0.87499999999999967</v>
      </c>
      <c r="C340" s="33"/>
      <c r="D340" s="62"/>
      <c r="E340" s="110"/>
      <c r="F340" s="135" t="str">
        <f>IFERROR(IF($D340="","",VLOOKUP($D340,Cadastro!$C$4:$E$7,3,FALSE)),"")</f>
        <v/>
      </c>
      <c r="G340" s="106"/>
      <c r="H340" s="135" t="str">
        <f>IFERROR(IF($G340="","",$G340*$S$351/$G$351/Cadastro!$E$33),"")</f>
        <v/>
      </c>
      <c r="I340" s="136" t="str">
        <f>IFERROR(IF($D340="","",VLOOKUP($D340,Cadastro!$C$4:$G$7,5,FALSE)),"")</f>
        <v/>
      </c>
      <c r="J340" s="137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9">
        <v>46247</v>
      </c>
      <c r="B341" s="32">
        <f t="shared" si="81"/>
        <v>0.9166666666666663</v>
      </c>
      <c r="C341" s="33"/>
      <c r="D341" s="62"/>
      <c r="E341" s="110"/>
      <c r="F341" s="135" t="str">
        <f>IFERROR(IF($D341="","",VLOOKUP($D341,Cadastro!$C$4:$E$7,3,FALSE)),"")</f>
        <v/>
      </c>
      <c r="G341" s="106"/>
      <c r="H341" s="135" t="str">
        <f>IFERROR(IF($G341="","",$G341*$S$351/$G$351/Cadastro!$E$33),"")</f>
        <v/>
      </c>
      <c r="I341" s="136" t="str">
        <f>IFERROR(IF($D341="","",VLOOKUP($D341,Cadastro!$C$4:$G$7,5,FALSE)),"")</f>
        <v/>
      </c>
      <c r="J341" s="137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8">
        <v>46247</v>
      </c>
      <c r="B342" s="25">
        <f t="shared" si="81"/>
        <v>0.95833333333333293</v>
      </c>
      <c r="C342" s="33"/>
      <c r="D342" s="62"/>
      <c r="E342" s="110"/>
      <c r="F342" s="135" t="str">
        <f>IFERROR(IF($D342="","",VLOOKUP($D342,Cadastro!$C$4:$E$7,3,FALSE)),"")</f>
        <v/>
      </c>
      <c r="G342" s="106"/>
      <c r="H342" s="135" t="str">
        <f>IFERROR(IF($G342="","",$G342*$S$351/$G$351/Cadastro!$E$33),"")</f>
        <v/>
      </c>
      <c r="I342" s="136" t="str">
        <f>IFERROR(IF($D342="","",VLOOKUP($D342,Cadastro!$C$4:$G$7,5,FALSE)),"")</f>
        <v/>
      </c>
      <c r="J342" s="137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9">
        <v>46247</v>
      </c>
      <c r="B343" s="32">
        <f t="shared" si="81"/>
        <v>0.99999999999999956</v>
      </c>
      <c r="C343" s="33"/>
      <c r="D343" s="62"/>
      <c r="E343" s="110"/>
      <c r="F343" s="135" t="str">
        <f>IFERROR(IF($D343="","",VLOOKUP($D343,Cadastro!$C$4:$E$7,3,FALSE)),"")</f>
        <v/>
      </c>
      <c r="G343" s="106"/>
      <c r="H343" s="135" t="str">
        <f>IFERROR(IF($G343="","",$G343*$S$351/$G$351/Cadastro!$E$33),"")</f>
        <v/>
      </c>
      <c r="I343" s="136" t="str">
        <f>IFERROR(IF($D343="","",VLOOKUP($D343,Cadastro!$C$4:$G$7,5,FALSE)),"")</f>
        <v/>
      </c>
      <c r="J343" s="137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8">
        <v>46247</v>
      </c>
      <c r="B344" s="25">
        <f t="shared" si="81"/>
        <v>1.0416666666666663</v>
      </c>
      <c r="C344" s="33"/>
      <c r="D344" s="62"/>
      <c r="E344" s="110"/>
      <c r="F344" s="135" t="str">
        <f>IFERROR(IF($D344="","",VLOOKUP($D344,Cadastro!$C$4:$E$7,3,FALSE)),"")</f>
        <v/>
      </c>
      <c r="G344" s="106"/>
      <c r="H344" s="135" t="str">
        <f>IFERROR(IF($G344="","",$G344*$S$351/$G$351/Cadastro!$E$33),"")</f>
        <v/>
      </c>
      <c r="I344" s="136" t="str">
        <f>IFERROR(IF($D344="","",VLOOKUP($D344,Cadastro!$C$4:$G$7,5,FALSE)),"")</f>
        <v/>
      </c>
      <c r="J344" s="137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9">
        <v>46247</v>
      </c>
      <c r="B345" s="32">
        <f t="shared" si="81"/>
        <v>1.083333333333333</v>
      </c>
      <c r="C345" s="33"/>
      <c r="D345" s="62"/>
      <c r="E345" s="110"/>
      <c r="F345" s="135" t="str">
        <f>IFERROR(IF($D345="","",VLOOKUP($D345,Cadastro!$C$4:$E$7,3,FALSE)),"")</f>
        <v/>
      </c>
      <c r="G345" s="106"/>
      <c r="H345" s="135" t="str">
        <f>IFERROR(IF($G345="","",$G345*$S$351/$G$351/Cadastro!$E$33),"")</f>
        <v/>
      </c>
      <c r="I345" s="136" t="str">
        <f>IFERROR(IF($D345="","",VLOOKUP($D345,Cadastro!$C$4:$G$7,5,FALSE)),"")</f>
        <v/>
      </c>
      <c r="J345" s="137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8">
        <v>46247</v>
      </c>
      <c r="B346" s="25">
        <f t="shared" si="81"/>
        <v>1.1249999999999998</v>
      </c>
      <c r="C346" s="33"/>
      <c r="D346" s="62"/>
      <c r="E346" s="110"/>
      <c r="F346" s="135" t="str">
        <f>IFERROR(IF($D346="","",VLOOKUP($D346,Cadastro!$C$4:$E$7,3,FALSE)),"")</f>
        <v/>
      </c>
      <c r="G346" s="106"/>
      <c r="H346" s="135" t="str">
        <f>IFERROR(IF($G346="","",$G346*$S$351/$G$351/Cadastro!$E$33),"")</f>
        <v/>
      </c>
      <c r="I346" s="136" t="str">
        <f>IFERROR(IF($D346="","",VLOOKUP($D346,Cadastro!$C$4:$G$7,5,FALSE)),"")</f>
        <v/>
      </c>
      <c r="J346" s="137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9">
        <v>46247</v>
      </c>
      <c r="B347" s="32">
        <f t="shared" si="81"/>
        <v>1.1666666666666665</v>
      </c>
      <c r="C347" s="33"/>
      <c r="D347" s="62"/>
      <c r="E347" s="110"/>
      <c r="F347" s="135" t="str">
        <f>IFERROR(IF($D347="","",VLOOKUP($D347,Cadastro!$C$4:$E$7,3,FALSE)),"")</f>
        <v/>
      </c>
      <c r="G347" s="106"/>
      <c r="H347" s="135" t="str">
        <f>IFERROR(IF($G347="","",$G347*$S$351/$G$351/Cadastro!$E$33),"")</f>
        <v/>
      </c>
      <c r="I347" s="136" t="str">
        <f>IFERROR(IF($D347="","",VLOOKUP($D347,Cadastro!$C$4:$G$7,5,FALSE)),"")</f>
        <v/>
      </c>
      <c r="J347" s="137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8">
        <v>46247</v>
      </c>
      <c r="B348" s="25">
        <f t="shared" si="81"/>
        <v>1.2083333333333333</v>
      </c>
      <c r="C348" s="33"/>
      <c r="D348" s="62"/>
      <c r="E348" s="110"/>
      <c r="F348" s="135" t="str">
        <f>IFERROR(IF($D348="","",VLOOKUP($D348,Cadastro!$C$4:$E$7,3,FALSE)),"")</f>
        <v/>
      </c>
      <c r="G348" s="106"/>
      <c r="H348" s="135" t="str">
        <f>IFERROR(IF($G348="","",$G348*$S$351/$G$351/Cadastro!$E$33),"")</f>
        <v/>
      </c>
      <c r="I348" s="136" t="str">
        <f>IFERROR(IF($D348="","",VLOOKUP($D348,Cadastro!$C$4:$G$7,5,FALSE)),"")</f>
        <v/>
      </c>
      <c r="J348" s="137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9">
        <v>46247</v>
      </c>
      <c r="B349" s="32">
        <f t="shared" si="81"/>
        <v>1.25</v>
      </c>
      <c r="C349" s="33"/>
      <c r="D349" s="62"/>
      <c r="E349" s="110"/>
      <c r="F349" s="135" t="str">
        <f>IFERROR(IF($D349="","",VLOOKUP($D349,Cadastro!$C$4:$E$7,3,FALSE)),"")</f>
        <v/>
      </c>
      <c r="G349" s="106"/>
      <c r="H349" s="135" t="str">
        <f>IFERROR(IF($G349="","",$G349*$S$351/$G$351/Cadastro!$E$33),"")</f>
        <v/>
      </c>
      <c r="I349" s="136" t="str">
        <f>IFERROR(IF($D349="","",VLOOKUP($D349,Cadastro!$C$4:$G$7,5,FALSE)),"")</f>
        <v/>
      </c>
      <c r="J349" s="137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8">
        <v>46247</v>
      </c>
      <c r="B350" s="25">
        <f t="shared" si="81"/>
        <v>1.2916666666666667</v>
      </c>
      <c r="C350" s="33"/>
      <c r="D350" s="62"/>
      <c r="E350" s="110"/>
      <c r="F350" s="138" t="str">
        <f>IFERROR(IF($D350="","",VLOOKUP($D350,Cadastro!$C$4:$E$7,3,FALSE)),"")</f>
        <v/>
      </c>
      <c r="G350" s="106"/>
      <c r="H350" s="138" t="str">
        <f>IFERROR(IF($G350="","",$G350*$S$351/$G$351/Cadastro!$E$33),"")</f>
        <v/>
      </c>
      <c r="I350" s="139" t="str">
        <f>IFERROR(IF($D350="","",VLOOKUP($D350,Cadastro!$C$4:$G$7,5,FALSE)),"")</f>
        <v/>
      </c>
      <c r="J350" s="140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2" t="s">
        <v>244</v>
      </c>
      <c r="B351" s="153"/>
      <c r="C351" s="153"/>
      <c r="D351" s="153"/>
      <c r="E351" s="153">
        <f>SUM(E339:E350)</f>
        <v>0</v>
      </c>
      <c r="F351" s="112"/>
      <c r="G351" s="81">
        <f>SUM(G339:G350)</f>
        <v>0</v>
      </c>
      <c r="H351" s="112">
        <f>IFERROR(SUM(H339:H350),"")</f>
        <v>0</v>
      </c>
      <c r="I351" s="116"/>
      <c r="J351" s="125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20">
        <f>IFERROR(J351,"")</f>
        <v>0</v>
      </c>
    </row>
    <row r="352" spans="1:20" ht="18" customHeight="1">
      <c r="A352" s="150" t="s">
        <v>245</v>
      </c>
      <c r="B352" s="151"/>
      <c r="C352" s="151"/>
      <c r="D352" s="151"/>
      <c r="E352" s="151">
        <f>E338+E351</f>
        <v>0</v>
      </c>
      <c r="F352" s="113"/>
      <c r="G352" s="92">
        <f>G338+G351</f>
        <v>0</v>
      </c>
      <c r="H352" s="113">
        <f>IFERROR(H338+H351,"")</f>
        <v>0</v>
      </c>
      <c r="I352" s="117"/>
      <c r="J352" s="126">
        <f>IFERROR(J338+J351,"")</f>
        <v>0</v>
      </c>
      <c r="K352" s="40">
        <f>K338+K351</f>
        <v>0</v>
      </c>
      <c r="L352" s="41"/>
      <c r="M352" s="41"/>
      <c r="N352" s="41"/>
      <c r="O352" s="63"/>
      <c r="P352" s="63"/>
      <c r="Q352" s="42">
        <f ca="1">IFERROR(Q338+Q351,"")</f>
        <v>0</v>
      </c>
      <c r="R352" s="40" t="s">
        <v>246</v>
      </c>
      <c r="S352" s="48">
        <f>IFERROR(S338+S351,"")</f>
        <v>0</v>
      </c>
      <c r="T352" s="122">
        <f>IFERROR(J352,"")</f>
        <v>0</v>
      </c>
    </row>
    <row r="353" spans="1:20" ht="15" customHeight="1">
      <c r="A353" s="69">
        <v>46248</v>
      </c>
      <c r="B353" s="32">
        <v>0.33333333333333298</v>
      </c>
      <c r="C353" s="33"/>
      <c r="D353" s="62"/>
      <c r="E353" s="110"/>
      <c r="F353" s="141" t="str">
        <f>IFERROR(IF($D353="","",VLOOKUP($D353,Cadastro!$C$4:$E$7,3,FALSE)),"")</f>
        <v/>
      </c>
      <c r="G353" s="106"/>
      <c r="H353" s="141" t="str">
        <f>IFERROR(IF($G353="","",$G353*$S$365/$G$365/Cadastro!$E$33),"")</f>
        <v/>
      </c>
      <c r="I353" s="142" t="str">
        <f>IFERROR(IF($D353="","",VLOOKUP($D353,Cadastro!$C$4:$G$7,5,FALSE)),"")</f>
        <v/>
      </c>
      <c r="J353" s="143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8">
        <v>46248</v>
      </c>
      <c r="B354" s="25">
        <f t="shared" ref="B354:B364" si="85">B353+TIME(0,60,0)</f>
        <v>0.37499999999999967</v>
      </c>
      <c r="C354" s="33"/>
      <c r="D354" s="62"/>
      <c r="E354" s="110"/>
      <c r="F354" s="135" t="str">
        <f>IFERROR(IF($D354="","",VLOOKUP($D354,Cadastro!$C$4:$E$7,3,FALSE)),"")</f>
        <v/>
      </c>
      <c r="G354" s="106"/>
      <c r="H354" s="135" t="str">
        <f>IFERROR(IF($G354="","",$G354*$S$365/$G$365/Cadastro!$E$33),"")</f>
        <v/>
      </c>
      <c r="I354" s="136" t="str">
        <f>IFERROR(IF($D354="","",VLOOKUP($D354,Cadastro!$C$4:$G$7,5,FALSE)),"")</f>
        <v/>
      </c>
      <c r="J354" s="137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9">
        <v>46248</v>
      </c>
      <c r="B355" s="32">
        <f t="shared" si="85"/>
        <v>0.41666666666666635</v>
      </c>
      <c r="C355" s="33"/>
      <c r="D355" s="62"/>
      <c r="E355" s="110"/>
      <c r="F355" s="135" t="str">
        <f>IFERROR(IF($D355="","",VLOOKUP($D355,Cadastro!$C$4:$E$7,3,FALSE)),"")</f>
        <v/>
      </c>
      <c r="G355" s="106"/>
      <c r="H355" s="135" t="str">
        <f>IFERROR(IF($G355="","",$G355*$S$365/$G$365/Cadastro!$E$33),"")</f>
        <v/>
      </c>
      <c r="I355" s="136" t="str">
        <f>IFERROR(IF($D355="","",VLOOKUP($D355,Cadastro!$C$4:$G$7,5,FALSE)),"")</f>
        <v/>
      </c>
      <c r="J355" s="137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8">
        <v>46248</v>
      </c>
      <c r="B356" s="25">
        <f t="shared" si="85"/>
        <v>0.45833333333333304</v>
      </c>
      <c r="C356" s="33"/>
      <c r="D356" s="62"/>
      <c r="E356" s="110"/>
      <c r="F356" s="135" t="str">
        <f>IFERROR(IF($D356="","",VLOOKUP($D356,Cadastro!$C$4:$E$7,3,FALSE)),"")</f>
        <v/>
      </c>
      <c r="G356" s="106"/>
      <c r="H356" s="135" t="str">
        <f>IFERROR(IF($G356="","",$G356*$S$365/$G$365/Cadastro!$E$33),"")</f>
        <v/>
      </c>
      <c r="I356" s="136" t="str">
        <f>IFERROR(IF($D356="","",VLOOKUP($D356,Cadastro!$C$4:$G$7,5,FALSE)),"")</f>
        <v/>
      </c>
      <c r="J356" s="137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9">
        <v>46248</v>
      </c>
      <c r="B357" s="32">
        <f t="shared" si="85"/>
        <v>0.49999999999999972</v>
      </c>
      <c r="C357" s="33"/>
      <c r="D357" s="62"/>
      <c r="E357" s="110"/>
      <c r="F357" s="135" t="str">
        <f>IFERROR(IF($D357="","",VLOOKUP($D357,Cadastro!$C$4:$E$7,3,FALSE)),"")</f>
        <v/>
      </c>
      <c r="G357" s="106"/>
      <c r="H357" s="135" t="str">
        <f>IFERROR(IF($G357="","",$G357*$S$365/$G$365/Cadastro!$E$33),"")</f>
        <v/>
      </c>
      <c r="I357" s="136" t="str">
        <f>IFERROR(IF($D357="","",VLOOKUP($D357,Cadastro!$C$4:$G$7,5,FALSE)),"")</f>
        <v/>
      </c>
      <c r="J357" s="137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8">
        <v>46248</v>
      </c>
      <c r="B358" s="25">
        <f t="shared" si="85"/>
        <v>0.54166666666666641</v>
      </c>
      <c r="C358" s="33"/>
      <c r="D358" s="62"/>
      <c r="E358" s="110"/>
      <c r="F358" s="135" t="str">
        <f>IFERROR(IF($D358="","",VLOOKUP($D358,Cadastro!$C$4:$E$7,3,FALSE)),"")</f>
        <v/>
      </c>
      <c r="G358" s="106"/>
      <c r="H358" s="135" t="str">
        <f>IFERROR(IF($G358="","",$G358*$S$365/$G$365/Cadastro!$E$33),"")</f>
        <v/>
      </c>
      <c r="I358" s="136" t="str">
        <f>IFERROR(IF($D358="","",VLOOKUP($D358,Cadastro!$C$4:$G$7,5,FALSE)),"")</f>
        <v/>
      </c>
      <c r="J358" s="137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9">
        <v>46248</v>
      </c>
      <c r="B359" s="32">
        <f t="shared" si="85"/>
        <v>0.58333333333333304</v>
      </c>
      <c r="C359" s="33"/>
      <c r="D359" s="62"/>
      <c r="E359" s="110"/>
      <c r="F359" s="135" t="str">
        <f>IFERROR(IF($D359="","",VLOOKUP($D359,Cadastro!$C$4:$E$7,3,FALSE)),"")</f>
        <v/>
      </c>
      <c r="G359" s="106"/>
      <c r="H359" s="135" t="str">
        <f>IFERROR(IF($G359="","",$G359*$S$365/$G$365/Cadastro!$E$33),"")</f>
        <v/>
      </c>
      <c r="I359" s="136" t="str">
        <f>IFERROR(IF($D359="","",VLOOKUP($D359,Cadastro!$C$4:$G$7,5,FALSE)),"")</f>
        <v/>
      </c>
      <c r="J359" s="137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8">
        <v>46248</v>
      </c>
      <c r="B360" s="25">
        <f t="shared" si="85"/>
        <v>0.62499999999999967</v>
      </c>
      <c r="C360" s="33"/>
      <c r="D360" s="62"/>
      <c r="E360" s="110"/>
      <c r="F360" s="135" t="str">
        <f>IFERROR(IF($D360="","",VLOOKUP($D360,Cadastro!$C$4:$E$7,3,FALSE)),"")</f>
        <v/>
      </c>
      <c r="G360" s="106"/>
      <c r="H360" s="135" t="str">
        <f>IFERROR(IF($G360="","",$G360*$S$365/$G$365/Cadastro!$E$33),"")</f>
        <v/>
      </c>
      <c r="I360" s="136" t="str">
        <f>IFERROR(IF($D360="","",VLOOKUP($D360,Cadastro!$C$4:$G$7,5,FALSE)),"")</f>
        <v/>
      </c>
      <c r="J360" s="137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9">
        <v>46248</v>
      </c>
      <c r="B361" s="32">
        <f t="shared" si="85"/>
        <v>0.6666666666666663</v>
      </c>
      <c r="C361" s="33"/>
      <c r="D361" s="62"/>
      <c r="E361" s="110"/>
      <c r="F361" s="135" t="str">
        <f>IFERROR(IF($D361="","",VLOOKUP($D361,Cadastro!$C$4:$E$7,3,FALSE)),"")</f>
        <v/>
      </c>
      <c r="G361" s="106"/>
      <c r="H361" s="135" t="str">
        <f>IFERROR(IF($G361="","",$G361*$S$365/$G$365/Cadastro!$E$33),"")</f>
        <v/>
      </c>
      <c r="I361" s="136" t="str">
        <f>IFERROR(IF($D361="","",VLOOKUP($D361,Cadastro!$C$4:$G$7,5,FALSE)),"")</f>
        <v/>
      </c>
      <c r="J361" s="137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8">
        <v>46248</v>
      </c>
      <c r="B362" s="25">
        <f t="shared" si="85"/>
        <v>0.70833333333333293</v>
      </c>
      <c r="C362" s="33"/>
      <c r="D362" s="62"/>
      <c r="E362" s="110"/>
      <c r="F362" s="135" t="str">
        <f>IFERROR(IF($D362="","",VLOOKUP($D362,Cadastro!$C$4:$E$7,3,FALSE)),"")</f>
        <v/>
      </c>
      <c r="G362" s="106"/>
      <c r="H362" s="135" t="str">
        <f>IFERROR(IF($G362="","",$G362*$S$365/$G$365/Cadastro!$E$33),"")</f>
        <v/>
      </c>
      <c r="I362" s="136" t="str">
        <f>IFERROR(IF($D362="","",VLOOKUP($D362,Cadastro!$C$4:$G$7,5,FALSE)),"")</f>
        <v/>
      </c>
      <c r="J362" s="137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9">
        <v>46248</v>
      </c>
      <c r="B363" s="32">
        <f t="shared" si="85"/>
        <v>0.74999999999999956</v>
      </c>
      <c r="C363" s="33"/>
      <c r="D363" s="62"/>
      <c r="E363" s="110"/>
      <c r="F363" s="135" t="str">
        <f>IFERROR(IF($D363="","",VLOOKUP($D363,Cadastro!$C$4:$E$7,3,FALSE)),"")</f>
        <v/>
      </c>
      <c r="G363" s="106"/>
      <c r="H363" s="135" t="str">
        <f>IFERROR(IF($G363="","",$G363*$S$365/$G$365/Cadastro!$E$33),"")</f>
        <v/>
      </c>
      <c r="I363" s="136" t="str">
        <f>IFERROR(IF($D363="","",VLOOKUP($D363,Cadastro!$C$4:$G$7,5,FALSE)),"")</f>
        <v/>
      </c>
      <c r="J363" s="137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8">
        <v>46248</v>
      </c>
      <c r="B364" s="25">
        <f t="shared" si="85"/>
        <v>0.79166666666666619</v>
      </c>
      <c r="C364" s="33"/>
      <c r="D364" s="62"/>
      <c r="E364" s="110"/>
      <c r="F364" s="138" t="str">
        <f>IFERROR(IF($D364="","",VLOOKUP($D364,Cadastro!$C$4:$E$7,3,FALSE)),"")</f>
        <v/>
      </c>
      <c r="G364" s="106"/>
      <c r="H364" s="138" t="str">
        <f>IFERROR(IF($G364="","",$G364*$S$365/$G$365/Cadastro!$E$33),"")</f>
        <v/>
      </c>
      <c r="I364" s="139" t="str">
        <f>IFERROR(IF($D364="","",VLOOKUP($D364,Cadastro!$C$4:$G$7,5,FALSE)),"")</f>
        <v/>
      </c>
      <c r="J364" s="140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9" t="s">
        <v>241</v>
      </c>
      <c r="B365" s="80"/>
      <c r="C365" s="80"/>
      <c r="D365" s="80"/>
      <c r="E365" s="80">
        <f>SUM(E353:E364)</f>
        <v>0</v>
      </c>
      <c r="F365" s="111"/>
      <c r="G365" s="81">
        <f>SUM(G353:G364)</f>
        <v>0</v>
      </c>
      <c r="H365" s="111">
        <f>IFERROR(SUM(H353:H364),"")</f>
        <v>0</v>
      </c>
      <c r="I365" s="115"/>
      <c r="J365" s="124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20">
        <f>IFERROR(J365,"")</f>
        <v>0</v>
      </c>
    </row>
    <row r="366" spans="1:20" ht="15" customHeight="1">
      <c r="A366" s="68">
        <v>46248</v>
      </c>
      <c r="B366" s="25">
        <v>0.83333333333333304</v>
      </c>
      <c r="C366" s="26"/>
      <c r="D366" s="59"/>
      <c r="E366" s="109"/>
      <c r="F366" s="141" t="str">
        <f>IFERROR(IF($D366="","",VLOOKUP($D366,Cadastro!$C$4:$E$7,3,FALSE)),"")</f>
        <v/>
      </c>
      <c r="G366" s="106"/>
      <c r="H366" s="141" t="str">
        <f>IFERROR(IF($G366="","",$G366*$S$378/$G$378/Cadastro!$E$33),"")</f>
        <v/>
      </c>
      <c r="I366" s="142" t="str">
        <f>IFERROR(IF($D366="","",VLOOKUP($D366,Cadastro!$C$4:$G$7,5,FALSE)),"")</f>
        <v/>
      </c>
      <c r="J366" s="143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9">
        <v>46248</v>
      </c>
      <c r="B367" s="32">
        <f t="shared" ref="B367:B377" si="89">B366+TIME(0,60,0)</f>
        <v>0.87499999999999967</v>
      </c>
      <c r="C367" s="26"/>
      <c r="D367" s="59"/>
      <c r="E367" s="109"/>
      <c r="F367" s="135" t="str">
        <f>IFERROR(IF($D367="","",VLOOKUP($D367,Cadastro!$C$4:$E$7,3,FALSE)),"")</f>
        <v/>
      </c>
      <c r="G367" s="106"/>
      <c r="H367" s="135" t="str">
        <f>IFERROR(IF($G367="","",$G367*$S$378/$G$378/Cadastro!$E$33),"")</f>
        <v/>
      </c>
      <c r="I367" s="136" t="str">
        <f>IFERROR(IF($D367="","",VLOOKUP($D367,Cadastro!$C$4:$G$7,5,FALSE)),"")</f>
        <v/>
      </c>
      <c r="J367" s="137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8">
        <v>46248</v>
      </c>
      <c r="B368" s="25">
        <f t="shared" si="89"/>
        <v>0.9166666666666663</v>
      </c>
      <c r="C368" s="26"/>
      <c r="D368" s="59"/>
      <c r="E368" s="109"/>
      <c r="F368" s="135" t="str">
        <f>IFERROR(IF($D368="","",VLOOKUP($D368,Cadastro!$C$4:$E$7,3,FALSE)),"")</f>
        <v/>
      </c>
      <c r="G368" s="106"/>
      <c r="H368" s="135" t="str">
        <f>IFERROR(IF($G368="","",$G368*$S$378/$G$378/Cadastro!$E$33),"")</f>
        <v/>
      </c>
      <c r="I368" s="136" t="str">
        <f>IFERROR(IF($D368="","",VLOOKUP($D368,Cadastro!$C$4:$G$7,5,FALSE)),"")</f>
        <v/>
      </c>
      <c r="J368" s="137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9">
        <v>46248</v>
      </c>
      <c r="B369" s="32">
        <f t="shared" si="89"/>
        <v>0.95833333333333293</v>
      </c>
      <c r="C369" s="26"/>
      <c r="D369" s="59"/>
      <c r="E369" s="109"/>
      <c r="F369" s="135" t="str">
        <f>IFERROR(IF($D369="","",VLOOKUP($D369,Cadastro!$C$4:$E$7,3,FALSE)),"")</f>
        <v/>
      </c>
      <c r="G369" s="106"/>
      <c r="H369" s="135" t="str">
        <f>IFERROR(IF($G369="","",$G369*$S$378/$G$378/Cadastro!$E$33),"")</f>
        <v/>
      </c>
      <c r="I369" s="136" t="str">
        <f>IFERROR(IF($D369="","",VLOOKUP($D369,Cadastro!$C$4:$G$7,5,FALSE)),"")</f>
        <v/>
      </c>
      <c r="J369" s="137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8">
        <v>46248</v>
      </c>
      <c r="B370" s="25">
        <f t="shared" si="89"/>
        <v>0.99999999999999956</v>
      </c>
      <c r="C370" s="26"/>
      <c r="D370" s="59"/>
      <c r="E370" s="109"/>
      <c r="F370" s="135" t="str">
        <f>IFERROR(IF($D370="","",VLOOKUP($D370,Cadastro!$C$4:$E$7,3,FALSE)),"")</f>
        <v/>
      </c>
      <c r="G370" s="106"/>
      <c r="H370" s="135" t="str">
        <f>IFERROR(IF($G370="","",$G370*$S$378/$G$378/Cadastro!$E$33),"")</f>
        <v/>
      </c>
      <c r="I370" s="136" t="str">
        <f>IFERROR(IF($D370="","",VLOOKUP($D370,Cadastro!$C$4:$G$7,5,FALSE)),"")</f>
        <v/>
      </c>
      <c r="J370" s="137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9">
        <v>46248</v>
      </c>
      <c r="B371" s="32">
        <f t="shared" si="89"/>
        <v>1.0416666666666663</v>
      </c>
      <c r="C371" s="26"/>
      <c r="D371" s="59"/>
      <c r="E371" s="109"/>
      <c r="F371" s="135" t="str">
        <f>IFERROR(IF($D371="","",VLOOKUP($D371,Cadastro!$C$4:$E$7,3,FALSE)),"")</f>
        <v/>
      </c>
      <c r="G371" s="106"/>
      <c r="H371" s="135" t="str">
        <f>IFERROR(IF($G371="","",$G371*$S$378/$G$378/Cadastro!$E$33),"")</f>
        <v/>
      </c>
      <c r="I371" s="136" t="str">
        <f>IFERROR(IF($D371="","",VLOOKUP($D371,Cadastro!$C$4:$G$7,5,FALSE)),"")</f>
        <v/>
      </c>
      <c r="J371" s="137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8">
        <v>46248</v>
      </c>
      <c r="B372" s="25">
        <f t="shared" si="89"/>
        <v>1.083333333333333</v>
      </c>
      <c r="C372" s="26"/>
      <c r="D372" s="59"/>
      <c r="E372" s="109"/>
      <c r="F372" s="135" t="str">
        <f>IFERROR(IF($D372="","",VLOOKUP($D372,Cadastro!$C$4:$E$7,3,FALSE)),"")</f>
        <v/>
      </c>
      <c r="G372" s="106"/>
      <c r="H372" s="135" t="str">
        <f>IFERROR(IF($G372="","",$G372*$S$378/$G$378/Cadastro!$E$33),"")</f>
        <v/>
      </c>
      <c r="I372" s="136" t="str">
        <f>IFERROR(IF($D372="","",VLOOKUP($D372,Cadastro!$C$4:$G$7,5,FALSE)),"")</f>
        <v/>
      </c>
      <c r="J372" s="137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9">
        <v>46248</v>
      </c>
      <c r="B373" s="32">
        <f t="shared" si="89"/>
        <v>1.1249999999999998</v>
      </c>
      <c r="C373" s="26"/>
      <c r="D373" s="59"/>
      <c r="E373" s="109"/>
      <c r="F373" s="135" t="str">
        <f>IFERROR(IF($D373="","",VLOOKUP($D373,Cadastro!$C$4:$E$7,3,FALSE)),"")</f>
        <v/>
      </c>
      <c r="G373" s="106"/>
      <c r="H373" s="135" t="str">
        <f>IFERROR(IF($G373="","",$G373*$S$378/$G$378/Cadastro!$E$33),"")</f>
        <v/>
      </c>
      <c r="I373" s="136" t="str">
        <f>IFERROR(IF($D373="","",VLOOKUP($D373,Cadastro!$C$4:$G$7,5,FALSE)),"")</f>
        <v/>
      </c>
      <c r="J373" s="137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8">
        <v>46248</v>
      </c>
      <c r="B374" s="25">
        <f t="shared" si="89"/>
        <v>1.1666666666666665</v>
      </c>
      <c r="C374" s="26"/>
      <c r="D374" s="59"/>
      <c r="E374" s="109"/>
      <c r="F374" s="135" t="str">
        <f>IFERROR(IF($D374="","",VLOOKUP($D374,Cadastro!$C$4:$E$7,3,FALSE)),"")</f>
        <v/>
      </c>
      <c r="G374" s="106"/>
      <c r="H374" s="135" t="str">
        <f>IFERROR(IF($G374="","",$G374*$S$378/$G$378/Cadastro!$E$33),"")</f>
        <v/>
      </c>
      <c r="I374" s="136" t="str">
        <f>IFERROR(IF($D374="","",VLOOKUP($D374,Cadastro!$C$4:$G$7,5,FALSE)),"")</f>
        <v/>
      </c>
      <c r="J374" s="137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9">
        <v>46248</v>
      </c>
      <c r="B375" s="32">
        <f t="shared" si="89"/>
        <v>1.2083333333333333</v>
      </c>
      <c r="C375" s="26"/>
      <c r="D375" s="59"/>
      <c r="E375" s="109"/>
      <c r="F375" s="135" t="str">
        <f>IFERROR(IF($D375="","",VLOOKUP($D375,Cadastro!$C$4:$E$7,3,FALSE)),"")</f>
        <v/>
      </c>
      <c r="G375" s="106"/>
      <c r="H375" s="135" t="str">
        <f>IFERROR(IF($G375="","",$G375*$S$378/$G$378/Cadastro!$E$33),"")</f>
        <v/>
      </c>
      <c r="I375" s="136" t="str">
        <f>IFERROR(IF($D375="","",VLOOKUP($D375,Cadastro!$C$4:$G$7,5,FALSE)),"")</f>
        <v/>
      </c>
      <c r="J375" s="137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8">
        <v>46248</v>
      </c>
      <c r="B376" s="25">
        <f t="shared" si="89"/>
        <v>1.25</v>
      </c>
      <c r="C376" s="26"/>
      <c r="D376" s="59"/>
      <c r="E376" s="109"/>
      <c r="F376" s="135" t="str">
        <f>IFERROR(IF($D376="","",VLOOKUP($D376,Cadastro!$C$4:$E$7,3,FALSE)),"")</f>
        <v/>
      </c>
      <c r="G376" s="106"/>
      <c r="H376" s="135" t="str">
        <f>IFERROR(IF($G376="","",$G376*$S$378/$G$378/Cadastro!$E$33),"")</f>
        <v/>
      </c>
      <c r="I376" s="136" t="str">
        <f>IFERROR(IF($D376="","",VLOOKUP($D376,Cadastro!$C$4:$G$7,5,FALSE)),"")</f>
        <v/>
      </c>
      <c r="J376" s="137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9">
        <v>46248</v>
      </c>
      <c r="B377" s="32">
        <f t="shared" si="89"/>
        <v>1.2916666666666667</v>
      </c>
      <c r="C377" s="26"/>
      <c r="D377" s="59"/>
      <c r="E377" s="109"/>
      <c r="F377" s="138" t="str">
        <f>IFERROR(IF($D377="","",VLOOKUP($D377,Cadastro!$C$4:$E$7,3,FALSE)),"")</f>
        <v/>
      </c>
      <c r="G377" s="106"/>
      <c r="H377" s="138" t="str">
        <f>IFERROR(IF($G377="","",$G377*$S$378/$G$378/Cadastro!$E$33),"")</f>
        <v/>
      </c>
      <c r="I377" s="139" t="str">
        <f>IFERROR(IF($D377="","",VLOOKUP($D377,Cadastro!$C$4:$G$7,5,FALSE)),"")</f>
        <v/>
      </c>
      <c r="J377" s="140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2" t="s">
        <v>244</v>
      </c>
      <c r="B378" s="153"/>
      <c r="C378" s="153"/>
      <c r="D378" s="153"/>
      <c r="E378" s="153">
        <f>SUM(E366:E377)</f>
        <v>0</v>
      </c>
      <c r="F378" s="112"/>
      <c r="G378" s="81">
        <f>SUM(G366:G377)</f>
        <v>0</v>
      </c>
      <c r="H378" s="112">
        <f>IFERROR(SUM(H366:H377),"")</f>
        <v>0</v>
      </c>
      <c r="I378" s="116"/>
      <c r="J378" s="125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20">
        <f>IFERROR(J378,"")</f>
        <v>0</v>
      </c>
    </row>
    <row r="379" spans="1:20" ht="18" customHeight="1">
      <c r="A379" s="150" t="s">
        <v>245</v>
      </c>
      <c r="B379" s="151"/>
      <c r="C379" s="151"/>
      <c r="D379" s="151"/>
      <c r="E379" s="151">
        <f>E365+E378</f>
        <v>0</v>
      </c>
      <c r="F379" s="113"/>
      <c r="G379" s="92">
        <f>G365+G378</f>
        <v>0</v>
      </c>
      <c r="H379" s="113">
        <f>IFERROR(H365+H378,"")</f>
        <v>0</v>
      </c>
      <c r="I379" s="117"/>
      <c r="J379" s="126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2">
        <f>IFERROR(J379,"")</f>
        <v>0</v>
      </c>
    </row>
    <row r="380" spans="1:20" ht="15" customHeight="1">
      <c r="A380" s="68">
        <v>46249</v>
      </c>
      <c r="B380" s="25">
        <v>0.33333333333333298</v>
      </c>
      <c r="C380" s="26"/>
      <c r="D380" s="59"/>
      <c r="E380" s="109"/>
      <c r="F380" s="141" t="str">
        <f>IFERROR(IF($D380="","",VLOOKUP($D380,Cadastro!$C$4:$E$7,3,FALSE)),"")</f>
        <v/>
      </c>
      <c r="G380" s="106"/>
      <c r="H380" s="141" t="str">
        <f>IFERROR(IF($G380="","",$G380*$S$392/$G$392/Cadastro!$E$33),"")</f>
        <v/>
      </c>
      <c r="I380" s="142" t="str">
        <f>IFERROR(IF($D380="","",VLOOKUP($D380,Cadastro!$C$4:$G$7,5,FALSE)),"")</f>
        <v/>
      </c>
      <c r="J380" s="143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9">
        <v>46249</v>
      </c>
      <c r="B381" s="32">
        <f t="shared" ref="B381:B391" si="93">B380+TIME(0,60,0)</f>
        <v>0.37499999999999967</v>
      </c>
      <c r="C381" s="26"/>
      <c r="D381" s="59"/>
      <c r="E381" s="109"/>
      <c r="F381" s="135" t="str">
        <f>IFERROR(IF($D381="","",VLOOKUP($D381,Cadastro!$C$4:$E$7,3,FALSE)),"")</f>
        <v/>
      </c>
      <c r="G381" s="106"/>
      <c r="H381" s="135" t="str">
        <f>IFERROR(IF($G381="","",$G381*$S$392/$G$392/Cadastro!$E$33),"")</f>
        <v/>
      </c>
      <c r="I381" s="136" t="str">
        <f>IFERROR(IF($D381="","",VLOOKUP($D381,Cadastro!$C$4:$G$7,5,FALSE)),"")</f>
        <v/>
      </c>
      <c r="J381" s="137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8">
        <v>46249</v>
      </c>
      <c r="B382" s="25">
        <f t="shared" si="93"/>
        <v>0.41666666666666635</v>
      </c>
      <c r="C382" s="26"/>
      <c r="D382" s="59"/>
      <c r="E382" s="109"/>
      <c r="F382" s="135" t="str">
        <f>IFERROR(IF($D382="","",VLOOKUP($D382,Cadastro!$C$4:$E$7,3,FALSE)),"")</f>
        <v/>
      </c>
      <c r="G382" s="106"/>
      <c r="H382" s="135" t="str">
        <f>IFERROR(IF($G382="","",$G382*$S$392/$G$392/Cadastro!$E$33),"")</f>
        <v/>
      </c>
      <c r="I382" s="136" t="str">
        <f>IFERROR(IF($D382="","",VLOOKUP($D382,Cadastro!$C$4:$G$7,5,FALSE)),"")</f>
        <v/>
      </c>
      <c r="J382" s="137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9">
        <v>46249</v>
      </c>
      <c r="B383" s="32">
        <f t="shared" si="93"/>
        <v>0.45833333333333304</v>
      </c>
      <c r="C383" s="26"/>
      <c r="D383" s="59"/>
      <c r="E383" s="109"/>
      <c r="F383" s="135" t="str">
        <f>IFERROR(IF($D383="","",VLOOKUP($D383,Cadastro!$C$4:$E$7,3,FALSE)),"")</f>
        <v/>
      </c>
      <c r="G383" s="106"/>
      <c r="H383" s="135" t="str">
        <f>IFERROR(IF($G383="","",$G383*$S$392/$G$392/Cadastro!$E$33),"")</f>
        <v/>
      </c>
      <c r="I383" s="136" t="str">
        <f>IFERROR(IF($D383="","",VLOOKUP($D383,Cadastro!$C$4:$G$7,5,FALSE)),"")</f>
        <v/>
      </c>
      <c r="J383" s="137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8">
        <v>46249</v>
      </c>
      <c r="B384" s="25">
        <f t="shared" si="93"/>
        <v>0.49999999999999972</v>
      </c>
      <c r="C384" s="26"/>
      <c r="D384" s="59"/>
      <c r="E384" s="109"/>
      <c r="F384" s="135" t="str">
        <f>IFERROR(IF($D384="","",VLOOKUP($D384,Cadastro!$C$4:$E$7,3,FALSE)),"")</f>
        <v/>
      </c>
      <c r="G384" s="106"/>
      <c r="H384" s="135" t="str">
        <f>IFERROR(IF($G384="","",$G384*$S$392/$G$392/Cadastro!$E$33),"")</f>
        <v/>
      </c>
      <c r="I384" s="136" t="str">
        <f>IFERROR(IF($D384="","",VLOOKUP($D384,Cadastro!$C$4:$G$7,5,FALSE)),"")</f>
        <v/>
      </c>
      <c r="J384" s="137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9">
        <v>46249</v>
      </c>
      <c r="B385" s="32">
        <f t="shared" si="93"/>
        <v>0.54166666666666641</v>
      </c>
      <c r="C385" s="26"/>
      <c r="D385" s="59"/>
      <c r="E385" s="109"/>
      <c r="F385" s="135" t="str">
        <f>IFERROR(IF($D385="","",VLOOKUP($D385,Cadastro!$C$4:$E$7,3,FALSE)),"")</f>
        <v/>
      </c>
      <c r="G385" s="106"/>
      <c r="H385" s="135" t="str">
        <f>IFERROR(IF($G385="","",$G385*$S$392/$G$392/Cadastro!$E$33),"")</f>
        <v/>
      </c>
      <c r="I385" s="136" t="str">
        <f>IFERROR(IF($D385="","",VLOOKUP($D385,Cadastro!$C$4:$G$7,5,FALSE)),"")</f>
        <v/>
      </c>
      <c r="J385" s="137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8">
        <v>46249</v>
      </c>
      <c r="B386" s="25">
        <f t="shared" si="93"/>
        <v>0.58333333333333304</v>
      </c>
      <c r="C386" s="26"/>
      <c r="D386" s="59"/>
      <c r="E386" s="109"/>
      <c r="F386" s="135" t="str">
        <f>IFERROR(IF($D386="","",VLOOKUP($D386,Cadastro!$C$4:$E$7,3,FALSE)),"")</f>
        <v/>
      </c>
      <c r="G386" s="106"/>
      <c r="H386" s="135" t="str">
        <f>IFERROR(IF($G386="","",$G386*$S$392/$G$392/Cadastro!$E$33),"")</f>
        <v/>
      </c>
      <c r="I386" s="136" t="str">
        <f>IFERROR(IF($D386="","",VLOOKUP($D386,Cadastro!$C$4:$G$7,5,FALSE)),"")</f>
        <v/>
      </c>
      <c r="J386" s="137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9">
        <v>46249</v>
      </c>
      <c r="B387" s="32">
        <f t="shared" si="93"/>
        <v>0.62499999999999967</v>
      </c>
      <c r="C387" s="26"/>
      <c r="D387" s="59"/>
      <c r="E387" s="109"/>
      <c r="F387" s="135" t="str">
        <f>IFERROR(IF($D387="","",VLOOKUP($D387,Cadastro!$C$4:$E$7,3,FALSE)),"")</f>
        <v/>
      </c>
      <c r="G387" s="106"/>
      <c r="H387" s="135" t="str">
        <f>IFERROR(IF($G387="","",$G387*$S$392/$G$392/Cadastro!$E$33),"")</f>
        <v/>
      </c>
      <c r="I387" s="136" t="str">
        <f>IFERROR(IF($D387="","",VLOOKUP($D387,Cadastro!$C$4:$G$7,5,FALSE)),"")</f>
        <v/>
      </c>
      <c r="J387" s="137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8">
        <v>46249</v>
      </c>
      <c r="B388" s="25">
        <f t="shared" si="93"/>
        <v>0.6666666666666663</v>
      </c>
      <c r="C388" s="26"/>
      <c r="D388" s="59"/>
      <c r="E388" s="109"/>
      <c r="F388" s="135" t="str">
        <f>IFERROR(IF($D388="","",VLOOKUP($D388,Cadastro!$C$4:$E$7,3,FALSE)),"")</f>
        <v/>
      </c>
      <c r="G388" s="106"/>
      <c r="H388" s="135" t="str">
        <f>IFERROR(IF($G388="","",$G388*$S$392/$G$392/Cadastro!$E$33),"")</f>
        <v/>
      </c>
      <c r="I388" s="136" t="str">
        <f>IFERROR(IF($D388="","",VLOOKUP($D388,Cadastro!$C$4:$G$7,5,FALSE)),"")</f>
        <v/>
      </c>
      <c r="J388" s="137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9">
        <v>46249</v>
      </c>
      <c r="B389" s="32">
        <f t="shared" si="93"/>
        <v>0.70833333333333293</v>
      </c>
      <c r="C389" s="26"/>
      <c r="D389" s="59"/>
      <c r="E389" s="109"/>
      <c r="F389" s="135" t="str">
        <f>IFERROR(IF($D389="","",VLOOKUP($D389,Cadastro!$C$4:$E$7,3,FALSE)),"")</f>
        <v/>
      </c>
      <c r="G389" s="106"/>
      <c r="H389" s="135" t="str">
        <f>IFERROR(IF($G389="","",$G389*$S$392/$G$392/Cadastro!$E$33),"")</f>
        <v/>
      </c>
      <c r="I389" s="136" t="str">
        <f>IFERROR(IF($D389="","",VLOOKUP($D389,Cadastro!$C$4:$G$7,5,FALSE)),"")</f>
        <v/>
      </c>
      <c r="J389" s="137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8">
        <v>46249</v>
      </c>
      <c r="B390" s="25">
        <f t="shared" si="93"/>
        <v>0.74999999999999956</v>
      </c>
      <c r="C390" s="26"/>
      <c r="D390" s="59"/>
      <c r="E390" s="109"/>
      <c r="F390" s="135" t="str">
        <f>IFERROR(IF($D390="","",VLOOKUP($D390,Cadastro!$C$4:$E$7,3,FALSE)),"")</f>
        <v/>
      </c>
      <c r="G390" s="106"/>
      <c r="H390" s="135" t="str">
        <f>IFERROR(IF($G390="","",$G390*$S$392/$G$392/Cadastro!$E$33),"")</f>
        <v/>
      </c>
      <c r="I390" s="136" t="str">
        <f>IFERROR(IF($D390="","",VLOOKUP($D390,Cadastro!$C$4:$G$7,5,FALSE)),"")</f>
        <v/>
      </c>
      <c r="J390" s="137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9">
        <v>46249</v>
      </c>
      <c r="B391" s="32">
        <f t="shared" si="93"/>
        <v>0.79166666666666619</v>
      </c>
      <c r="C391" s="26"/>
      <c r="D391" s="59"/>
      <c r="E391" s="109"/>
      <c r="F391" s="138" t="str">
        <f>IFERROR(IF($D391="","",VLOOKUP($D391,Cadastro!$C$4:$E$7,3,FALSE)),"")</f>
        <v/>
      </c>
      <c r="G391" s="106"/>
      <c r="H391" s="138" t="str">
        <f>IFERROR(IF($G391="","",$G391*$S$392/$G$392/Cadastro!$E$33),"")</f>
        <v/>
      </c>
      <c r="I391" s="139" t="str">
        <f>IFERROR(IF($D391="","",VLOOKUP($D391,Cadastro!$C$4:$G$7,5,FALSE)),"")</f>
        <v/>
      </c>
      <c r="J391" s="140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2" t="s">
        <v>241</v>
      </c>
      <c r="B392" s="153"/>
      <c r="C392" s="153"/>
      <c r="D392" s="153"/>
      <c r="E392" s="153">
        <f>SUM(E380:E391)</f>
        <v>0</v>
      </c>
      <c r="F392" s="111"/>
      <c r="G392" s="81">
        <f>SUM(G380:G391)</f>
        <v>0</v>
      </c>
      <c r="H392" s="111">
        <f>IFERROR(SUM(H380:H391),"")</f>
        <v>0</v>
      </c>
      <c r="I392" s="115"/>
      <c r="J392" s="124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20">
        <f>IFERROR(J392,"")</f>
        <v>0</v>
      </c>
    </row>
    <row r="393" spans="1:20" ht="15" customHeight="1">
      <c r="A393" s="69">
        <v>46249</v>
      </c>
      <c r="B393" s="32">
        <v>0.83333333333333304</v>
      </c>
      <c r="C393" s="33"/>
      <c r="D393" s="62"/>
      <c r="E393" s="110"/>
      <c r="F393" s="141" t="str">
        <f>IFERROR(IF($D393="","",VLOOKUP($D393,Cadastro!$C$4:$E$7,3,FALSE)),"")</f>
        <v/>
      </c>
      <c r="G393" s="106"/>
      <c r="H393" s="141" t="str">
        <f>IFERROR(IF($G393="","",$G393*$S$405/$G$405/Cadastro!$E$33),"")</f>
        <v/>
      </c>
      <c r="I393" s="142" t="str">
        <f>IFERROR(IF($D393="","",VLOOKUP($D393,Cadastro!$C$4:$G$7,5,FALSE)),"")</f>
        <v/>
      </c>
      <c r="J393" s="143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8">
        <v>46249</v>
      </c>
      <c r="B394" s="25">
        <f t="shared" ref="B394:B404" si="97">B393+TIME(0,60,0)</f>
        <v>0.87499999999999967</v>
      </c>
      <c r="C394" s="33"/>
      <c r="D394" s="62"/>
      <c r="E394" s="110"/>
      <c r="F394" s="135" t="str">
        <f>IFERROR(IF($D394="","",VLOOKUP($D394,Cadastro!$C$4:$E$7,3,FALSE)),"")</f>
        <v/>
      </c>
      <c r="G394" s="106"/>
      <c r="H394" s="135" t="str">
        <f>IFERROR(IF($G394="","",$G394*$S$405/$G$405/Cadastro!$E$33),"")</f>
        <v/>
      </c>
      <c r="I394" s="136" t="str">
        <f>IFERROR(IF($D394="","",VLOOKUP($D394,Cadastro!$C$4:$G$7,5,FALSE)),"")</f>
        <v/>
      </c>
      <c r="J394" s="137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9">
        <v>46249</v>
      </c>
      <c r="B395" s="32">
        <f t="shared" si="97"/>
        <v>0.9166666666666663</v>
      </c>
      <c r="C395" s="33"/>
      <c r="D395" s="62"/>
      <c r="E395" s="110"/>
      <c r="F395" s="135" t="str">
        <f>IFERROR(IF($D395="","",VLOOKUP($D395,Cadastro!$C$4:$E$7,3,FALSE)),"")</f>
        <v/>
      </c>
      <c r="G395" s="106"/>
      <c r="H395" s="135" t="str">
        <f>IFERROR(IF($G395="","",$G395*$S$405/$G$405/Cadastro!$E$33),"")</f>
        <v/>
      </c>
      <c r="I395" s="136" t="str">
        <f>IFERROR(IF($D395="","",VLOOKUP($D395,Cadastro!$C$4:$G$7,5,FALSE)),"")</f>
        <v/>
      </c>
      <c r="J395" s="137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8">
        <v>46249</v>
      </c>
      <c r="B396" s="25">
        <f t="shared" si="97"/>
        <v>0.95833333333333293</v>
      </c>
      <c r="C396" s="33"/>
      <c r="D396" s="62"/>
      <c r="E396" s="110"/>
      <c r="F396" s="135" t="str">
        <f>IFERROR(IF($D396="","",VLOOKUP($D396,Cadastro!$C$4:$E$7,3,FALSE)),"")</f>
        <v/>
      </c>
      <c r="G396" s="106"/>
      <c r="H396" s="135" t="str">
        <f>IFERROR(IF($G396="","",$G396*$S$405/$G$405/Cadastro!$E$33),"")</f>
        <v/>
      </c>
      <c r="I396" s="136" t="str">
        <f>IFERROR(IF($D396="","",VLOOKUP($D396,Cadastro!$C$4:$G$7,5,FALSE)),"")</f>
        <v/>
      </c>
      <c r="J396" s="137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9">
        <v>46249</v>
      </c>
      <c r="B397" s="32">
        <f t="shared" si="97"/>
        <v>0.99999999999999956</v>
      </c>
      <c r="C397" s="33"/>
      <c r="D397" s="62"/>
      <c r="E397" s="110"/>
      <c r="F397" s="135" t="str">
        <f>IFERROR(IF($D397="","",VLOOKUP($D397,Cadastro!$C$4:$E$7,3,FALSE)),"")</f>
        <v/>
      </c>
      <c r="G397" s="106"/>
      <c r="H397" s="135" t="str">
        <f>IFERROR(IF($G397="","",$G397*$S$405/$G$405/Cadastro!$E$33),"")</f>
        <v/>
      </c>
      <c r="I397" s="136" t="str">
        <f>IFERROR(IF($D397="","",VLOOKUP($D397,Cadastro!$C$4:$G$7,5,FALSE)),"")</f>
        <v/>
      </c>
      <c r="J397" s="137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8">
        <v>46249</v>
      </c>
      <c r="B398" s="25">
        <f t="shared" si="97"/>
        <v>1.0416666666666663</v>
      </c>
      <c r="C398" s="33"/>
      <c r="D398" s="62"/>
      <c r="E398" s="110"/>
      <c r="F398" s="135" t="str">
        <f>IFERROR(IF($D398="","",VLOOKUP($D398,Cadastro!$C$4:$E$7,3,FALSE)),"")</f>
        <v/>
      </c>
      <c r="G398" s="106"/>
      <c r="H398" s="135" t="str">
        <f>IFERROR(IF($G398="","",$G398*$S$405/$G$405/Cadastro!$E$33),"")</f>
        <v/>
      </c>
      <c r="I398" s="136" t="str">
        <f>IFERROR(IF($D398="","",VLOOKUP($D398,Cadastro!$C$4:$G$7,5,FALSE)),"")</f>
        <v/>
      </c>
      <c r="J398" s="137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9">
        <v>46249</v>
      </c>
      <c r="B399" s="32">
        <f t="shared" si="97"/>
        <v>1.083333333333333</v>
      </c>
      <c r="C399" s="33"/>
      <c r="D399" s="62"/>
      <c r="E399" s="110"/>
      <c r="F399" s="135" t="str">
        <f>IFERROR(IF($D399="","",VLOOKUP($D399,Cadastro!$C$4:$E$7,3,FALSE)),"")</f>
        <v/>
      </c>
      <c r="G399" s="106"/>
      <c r="H399" s="135" t="str">
        <f>IFERROR(IF($G399="","",$G399*$S$405/$G$405/Cadastro!$E$33),"")</f>
        <v/>
      </c>
      <c r="I399" s="136" t="str">
        <f>IFERROR(IF($D399="","",VLOOKUP($D399,Cadastro!$C$4:$G$7,5,FALSE)),"")</f>
        <v/>
      </c>
      <c r="J399" s="137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8">
        <v>46249</v>
      </c>
      <c r="B400" s="25">
        <f t="shared" si="97"/>
        <v>1.1249999999999998</v>
      </c>
      <c r="C400" s="33"/>
      <c r="D400" s="62"/>
      <c r="E400" s="110"/>
      <c r="F400" s="135" t="str">
        <f>IFERROR(IF($D400="","",VLOOKUP($D400,Cadastro!$C$4:$E$7,3,FALSE)),"")</f>
        <v/>
      </c>
      <c r="G400" s="106"/>
      <c r="H400" s="135" t="str">
        <f>IFERROR(IF($G400="","",$G400*$S$405/$G$405/Cadastro!$E$33),"")</f>
        <v/>
      </c>
      <c r="I400" s="136" t="str">
        <f>IFERROR(IF($D400="","",VLOOKUP($D400,Cadastro!$C$4:$G$7,5,FALSE)),"")</f>
        <v/>
      </c>
      <c r="J400" s="137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9">
        <v>46249</v>
      </c>
      <c r="B401" s="32">
        <f t="shared" si="97"/>
        <v>1.1666666666666665</v>
      </c>
      <c r="C401" s="33"/>
      <c r="D401" s="62"/>
      <c r="E401" s="110"/>
      <c r="F401" s="135" t="str">
        <f>IFERROR(IF($D401="","",VLOOKUP($D401,Cadastro!$C$4:$E$7,3,FALSE)),"")</f>
        <v/>
      </c>
      <c r="G401" s="106"/>
      <c r="H401" s="135" t="str">
        <f>IFERROR(IF($G401="","",$G401*$S$405/$G$405/Cadastro!$E$33),"")</f>
        <v/>
      </c>
      <c r="I401" s="136" t="str">
        <f>IFERROR(IF($D401="","",VLOOKUP($D401,Cadastro!$C$4:$G$7,5,FALSE)),"")</f>
        <v/>
      </c>
      <c r="J401" s="137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8">
        <v>46249</v>
      </c>
      <c r="B402" s="25">
        <f t="shared" si="97"/>
        <v>1.2083333333333333</v>
      </c>
      <c r="C402" s="33"/>
      <c r="D402" s="62"/>
      <c r="E402" s="110"/>
      <c r="F402" s="135" t="str">
        <f>IFERROR(IF($D402="","",VLOOKUP($D402,Cadastro!$C$4:$E$7,3,FALSE)),"")</f>
        <v/>
      </c>
      <c r="G402" s="106"/>
      <c r="H402" s="135" t="str">
        <f>IFERROR(IF($G402="","",$G402*$S$405/$G$405/Cadastro!$E$33),"")</f>
        <v/>
      </c>
      <c r="I402" s="136" t="str">
        <f>IFERROR(IF($D402="","",VLOOKUP($D402,Cadastro!$C$4:$G$7,5,FALSE)),"")</f>
        <v/>
      </c>
      <c r="J402" s="137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9">
        <v>46249</v>
      </c>
      <c r="B403" s="32">
        <f t="shared" si="97"/>
        <v>1.25</v>
      </c>
      <c r="C403" s="33"/>
      <c r="D403" s="62"/>
      <c r="E403" s="110"/>
      <c r="F403" s="135" t="str">
        <f>IFERROR(IF($D403="","",VLOOKUP($D403,Cadastro!$C$4:$E$7,3,FALSE)),"")</f>
        <v/>
      </c>
      <c r="G403" s="106"/>
      <c r="H403" s="135" t="str">
        <f>IFERROR(IF($G403="","",$G403*$S$405/$G$405/Cadastro!$E$33),"")</f>
        <v/>
      </c>
      <c r="I403" s="136" t="str">
        <f>IFERROR(IF($D403="","",VLOOKUP($D403,Cadastro!$C$4:$G$7,5,FALSE)),"")</f>
        <v/>
      </c>
      <c r="J403" s="137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8">
        <v>46249</v>
      </c>
      <c r="B404" s="25">
        <f t="shared" si="97"/>
        <v>1.2916666666666667</v>
      </c>
      <c r="C404" s="33"/>
      <c r="D404" s="62"/>
      <c r="E404" s="110"/>
      <c r="F404" s="138" t="str">
        <f>IFERROR(IF($D404="","",VLOOKUP($D404,Cadastro!$C$4:$E$7,3,FALSE)),"")</f>
        <v/>
      </c>
      <c r="G404" s="106"/>
      <c r="H404" s="138" t="str">
        <f>IFERROR(IF($G404="","",$G404*$S$405/$G$405/Cadastro!$E$33),"")</f>
        <v/>
      </c>
      <c r="I404" s="139" t="str">
        <f>IFERROR(IF($D404="","",VLOOKUP($D404,Cadastro!$C$4:$G$7,5,FALSE)),"")</f>
        <v/>
      </c>
      <c r="J404" s="140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2" t="s">
        <v>244</v>
      </c>
      <c r="B405" s="153"/>
      <c r="C405" s="153"/>
      <c r="D405" s="153"/>
      <c r="E405" s="153">
        <f>SUM(E393:E404)</f>
        <v>0</v>
      </c>
      <c r="F405" s="112"/>
      <c r="G405" s="81">
        <f>SUM(G393:G404)</f>
        <v>0</v>
      </c>
      <c r="H405" s="112">
        <f>IFERROR(SUM(H393:H404),"")</f>
        <v>0</v>
      </c>
      <c r="I405" s="116"/>
      <c r="J405" s="125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20">
        <f>IFERROR(J405,"")</f>
        <v>0</v>
      </c>
    </row>
    <row r="406" spans="1:20" ht="18" customHeight="1">
      <c r="A406" s="150" t="s">
        <v>245</v>
      </c>
      <c r="B406" s="151"/>
      <c r="C406" s="151"/>
      <c r="D406" s="151"/>
      <c r="E406" s="151">
        <f>E392+E405</f>
        <v>0</v>
      </c>
      <c r="F406" s="113"/>
      <c r="G406" s="92">
        <f>G392+G405</f>
        <v>0</v>
      </c>
      <c r="H406" s="113">
        <f>IFERROR(H392+H405,"")</f>
        <v>0</v>
      </c>
      <c r="I406" s="117"/>
      <c r="J406" s="126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2">
        <f>IFERROR(J406,"")</f>
        <v>0</v>
      </c>
    </row>
    <row r="407" spans="1:20" ht="15" customHeight="1">
      <c r="A407" s="69">
        <v>46250</v>
      </c>
      <c r="B407" s="32">
        <v>0.33333333333333298</v>
      </c>
      <c r="C407" s="33"/>
      <c r="D407" s="62"/>
      <c r="E407" s="110"/>
      <c r="F407" s="141" t="str">
        <f>IFERROR(IF($D407="","",VLOOKUP($D407,Cadastro!$C$4:$E$7,3,FALSE)),"")</f>
        <v/>
      </c>
      <c r="G407" s="106"/>
      <c r="H407" s="141" t="str">
        <f>IFERROR(IF($G407="","",$G407*$S$419/$G$419/Cadastro!$E$33),"")</f>
        <v/>
      </c>
      <c r="I407" s="142" t="str">
        <f>IFERROR(IF($D407="","",VLOOKUP($D407,Cadastro!$C$4:$G$7,5,FALSE)),"")</f>
        <v/>
      </c>
      <c r="J407" s="143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8">
        <v>46250</v>
      </c>
      <c r="B408" s="25">
        <f t="shared" ref="B408:B418" si="101">B407+TIME(0,60,0)</f>
        <v>0.37499999999999967</v>
      </c>
      <c r="C408" s="33"/>
      <c r="D408" s="62"/>
      <c r="E408" s="110"/>
      <c r="F408" s="135" t="str">
        <f>IFERROR(IF($D408="","",VLOOKUP($D408,Cadastro!$C$4:$E$7,3,FALSE)),"")</f>
        <v/>
      </c>
      <c r="G408" s="106"/>
      <c r="H408" s="135" t="str">
        <f>IFERROR(IF($G408="","",$G408*$S$419/$G$419/Cadastro!$E$33),"")</f>
        <v/>
      </c>
      <c r="I408" s="136" t="str">
        <f>IFERROR(IF($D408="","",VLOOKUP($D408,Cadastro!$C$4:$G$7,5,FALSE)),"")</f>
        <v/>
      </c>
      <c r="J408" s="137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9">
        <v>46250</v>
      </c>
      <c r="B409" s="32">
        <f t="shared" si="101"/>
        <v>0.41666666666666635</v>
      </c>
      <c r="C409" s="33"/>
      <c r="D409" s="62"/>
      <c r="E409" s="110"/>
      <c r="F409" s="135" t="str">
        <f>IFERROR(IF($D409="","",VLOOKUP($D409,Cadastro!$C$4:$E$7,3,FALSE)),"")</f>
        <v/>
      </c>
      <c r="G409" s="106"/>
      <c r="H409" s="135" t="str">
        <f>IFERROR(IF($G409="","",$G409*$S$419/$G$419/Cadastro!$E$33),"")</f>
        <v/>
      </c>
      <c r="I409" s="136" t="str">
        <f>IFERROR(IF($D409="","",VLOOKUP($D409,Cadastro!$C$4:$G$7,5,FALSE)),"")</f>
        <v/>
      </c>
      <c r="J409" s="137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8">
        <v>46250</v>
      </c>
      <c r="B410" s="25">
        <f t="shared" si="101"/>
        <v>0.45833333333333304</v>
      </c>
      <c r="C410" s="33"/>
      <c r="D410" s="62"/>
      <c r="E410" s="110"/>
      <c r="F410" s="135" t="str">
        <f>IFERROR(IF($D410="","",VLOOKUP($D410,Cadastro!$C$4:$E$7,3,FALSE)),"")</f>
        <v/>
      </c>
      <c r="G410" s="106"/>
      <c r="H410" s="135" t="str">
        <f>IFERROR(IF($G410="","",$G410*$S$419/$G$419/Cadastro!$E$33),"")</f>
        <v/>
      </c>
      <c r="I410" s="136" t="str">
        <f>IFERROR(IF($D410="","",VLOOKUP($D410,Cadastro!$C$4:$G$7,5,FALSE)),"")</f>
        <v/>
      </c>
      <c r="J410" s="137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9">
        <v>46250</v>
      </c>
      <c r="B411" s="32">
        <f t="shared" si="101"/>
        <v>0.49999999999999972</v>
      </c>
      <c r="C411" s="33"/>
      <c r="D411" s="62"/>
      <c r="E411" s="110"/>
      <c r="F411" s="135" t="str">
        <f>IFERROR(IF($D411="","",VLOOKUP($D411,Cadastro!$C$4:$E$7,3,FALSE)),"")</f>
        <v/>
      </c>
      <c r="G411" s="106"/>
      <c r="H411" s="135" t="str">
        <f>IFERROR(IF($G411="","",$G411*$S$419/$G$419/Cadastro!$E$33),"")</f>
        <v/>
      </c>
      <c r="I411" s="136" t="str">
        <f>IFERROR(IF($D411="","",VLOOKUP($D411,Cadastro!$C$4:$G$7,5,FALSE)),"")</f>
        <v/>
      </c>
      <c r="J411" s="137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8">
        <v>46250</v>
      </c>
      <c r="B412" s="25">
        <f t="shared" si="101"/>
        <v>0.54166666666666641</v>
      </c>
      <c r="C412" s="33"/>
      <c r="D412" s="62"/>
      <c r="E412" s="110"/>
      <c r="F412" s="135" t="str">
        <f>IFERROR(IF($D412="","",VLOOKUP($D412,Cadastro!$C$4:$E$7,3,FALSE)),"")</f>
        <v/>
      </c>
      <c r="G412" s="106"/>
      <c r="H412" s="135" t="str">
        <f>IFERROR(IF($G412="","",$G412*$S$419/$G$419/Cadastro!$E$33),"")</f>
        <v/>
      </c>
      <c r="I412" s="136" t="str">
        <f>IFERROR(IF($D412="","",VLOOKUP($D412,Cadastro!$C$4:$G$7,5,FALSE)),"")</f>
        <v/>
      </c>
      <c r="J412" s="137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9">
        <v>46250</v>
      </c>
      <c r="B413" s="32">
        <f t="shared" si="101"/>
        <v>0.58333333333333304</v>
      </c>
      <c r="C413" s="33"/>
      <c r="D413" s="62"/>
      <c r="E413" s="110"/>
      <c r="F413" s="135" t="str">
        <f>IFERROR(IF($D413="","",VLOOKUP($D413,Cadastro!$C$4:$E$7,3,FALSE)),"")</f>
        <v/>
      </c>
      <c r="G413" s="106"/>
      <c r="H413" s="135" t="str">
        <f>IFERROR(IF($G413="","",$G413*$S$419/$G$419/Cadastro!$E$33),"")</f>
        <v/>
      </c>
      <c r="I413" s="136" t="str">
        <f>IFERROR(IF($D413="","",VLOOKUP($D413,Cadastro!$C$4:$G$7,5,FALSE)),"")</f>
        <v/>
      </c>
      <c r="J413" s="137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8">
        <v>46250</v>
      </c>
      <c r="B414" s="25">
        <f t="shared" si="101"/>
        <v>0.62499999999999967</v>
      </c>
      <c r="C414" s="33"/>
      <c r="D414" s="62"/>
      <c r="E414" s="110"/>
      <c r="F414" s="135" t="str">
        <f>IFERROR(IF($D414="","",VLOOKUP($D414,Cadastro!$C$4:$E$7,3,FALSE)),"")</f>
        <v/>
      </c>
      <c r="G414" s="106"/>
      <c r="H414" s="135" t="str">
        <f>IFERROR(IF($G414="","",$G414*$S$419/$G$419/Cadastro!$E$33),"")</f>
        <v/>
      </c>
      <c r="I414" s="136" t="str">
        <f>IFERROR(IF($D414="","",VLOOKUP($D414,Cadastro!$C$4:$G$7,5,FALSE)),"")</f>
        <v/>
      </c>
      <c r="J414" s="137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9">
        <v>46250</v>
      </c>
      <c r="B415" s="32">
        <f t="shared" si="101"/>
        <v>0.6666666666666663</v>
      </c>
      <c r="C415" s="33"/>
      <c r="D415" s="62"/>
      <c r="E415" s="110"/>
      <c r="F415" s="135" t="str">
        <f>IFERROR(IF($D415="","",VLOOKUP($D415,Cadastro!$C$4:$E$7,3,FALSE)),"")</f>
        <v/>
      </c>
      <c r="G415" s="106"/>
      <c r="H415" s="135" t="str">
        <f>IFERROR(IF($G415="","",$G415*$S$419/$G$419/Cadastro!$E$33),"")</f>
        <v/>
      </c>
      <c r="I415" s="136" t="str">
        <f>IFERROR(IF($D415="","",VLOOKUP($D415,Cadastro!$C$4:$G$7,5,FALSE)),"")</f>
        <v/>
      </c>
      <c r="J415" s="137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8">
        <v>46250</v>
      </c>
      <c r="B416" s="25">
        <f t="shared" si="101"/>
        <v>0.70833333333333293</v>
      </c>
      <c r="C416" s="33"/>
      <c r="D416" s="62"/>
      <c r="E416" s="110"/>
      <c r="F416" s="135" t="str">
        <f>IFERROR(IF($D416="","",VLOOKUP($D416,Cadastro!$C$4:$E$7,3,FALSE)),"")</f>
        <v/>
      </c>
      <c r="G416" s="106"/>
      <c r="H416" s="135" t="str">
        <f>IFERROR(IF($G416="","",$G416*$S$419/$G$419/Cadastro!$E$33),"")</f>
        <v/>
      </c>
      <c r="I416" s="136" t="str">
        <f>IFERROR(IF($D416="","",VLOOKUP($D416,Cadastro!$C$4:$G$7,5,FALSE)),"")</f>
        <v/>
      </c>
      <c r="J416" s="137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9">
        <v>46250</v>
      </c>
      <c r="B417" s="32">
        <f t="shared" si="101"/>
        <v>0.74999999999999956</v>
      </c>
      <c r="C417" s="33"/>
      <c r="D417" s="62"/>
      <c r="E417" s="110"/>
      <c r="F417" s="135" t="str">
        <f>IFERROR(IF($D417="","",VLOOKUP($D417,Cadastro!$C$4:$E$7,3,FALSE)),"")</f>
        <v/>
      </c>
      <c r="G417" s="106"/>
      <c r="H417" s="135" t="str">
        <f>IFERROR(IF($G417="","",$G417*$S$419/$G$419/Cadastro!$E$33),"")</f>
        <v/>
      </c>
      <c r="I417" s="136" t="str">
        <f>IFERROR(IF($D417="","",VLOOKUP($D417,Cadastro!$C$4:$G$7,5,FALSE)),"")</f>
        <v/>
      </c>
      <c r="J417" s="137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8">
        <v>46250</v>
      </c>
      <c r="B418" s="25">
        <f t="shared" si="101"/>
        <v>0.79166666666666619</v>
      </c>
      <c r="C418" s="33"/>
      <c r="D418" s="62"/>
      <c r="E418" s="110"/>
      <c r="F418" s="138" t="str">
        <f>IFERROR(IF($D418="","",VLOOKUP($D418,Cadastro!$C$4:$E$7,3,FALSE)),"")</f>
        <v/>
      </c>
      <c r="G418" s="106"/>
      <c r="H418" s="138" t="str">
        <f>IFERROR(IF($G418="","",$G418*$S$419/$G$419/Cadastro!$E$33),"")</f>
        <v/>
      </c>
      <c r="I418" s="139" t="str">
        <f>IFERROR(IF($D418="","",VLOOKUP($D418,Cadastro!$C$4:$G$7,5,FALSE)),"")</f>
        <v/>
      </c>
      <c r="J418" s="140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2" t="s">
        <v>241</v>
      </c>
      <c r="B419" s="153"/>
      <c r="C419" s="153"/>
      <c r="D419" s="153"/>
      <c r="E419" s="153">
        <f>SUM(E407:E418)</f>
        <v>0</v>
      </c>
      <c r="F419" s="111"/>
      <c r="G419" s="81">
        <f>SUM(G407:G418)</f>
        <v>0</v>
      </c>
      <c r="H419" s="111">
        <f>IFERROR(SUM(H407:H418),"")</f>
        <v>0</v>
      </c>
      <c r="I419" s="115"/>
      <c r="J419" s="124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20">
        <f>IFERROR(J419,"")</f>
        <v>0</v>
      </c>
    </row>
    <row r="420" spans="1:20" ht="15" customHeight="1">
      <c r="A420" s="68">
        <v>46250</v>
      </c>
      <c r="B420" s="25">
        <v>0.83333333333333304</v>
      </c>
      <c r="C420" s="26"/>
      <c r="D420" s="59"/>
      <c r="E420" s="109"/>
      <c r="F420" s="141" t="str">
        <f>IFERROR(IF($D420="","",VLOOKUP($D420,Cadastro!$C$4:$E$7,3,FALSE)),"")</f>
        <v/>
      </c>
      <c r="G420" s="106"/>
      <c r="H420" s="141" t="str">
        <f>IFERROR(IF($G420="","",$G420*$S$432/$G$432/Cadastro!$E$33),"")</f>
        <v/>
      </c>
      <c r="I420" s="142" t="str">
        <f>IFERROR(IF($D420="","",VLOOKUP($D420,Cadastro!$C$4:$G$7,5,FALSE)),"")</f>
        <v/>
      </c>
      <c r="J420" s="143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9">
        <v>46250</v>
      </c>
      <c r="B421" s="32">
        <f t="shared" ref="B421:B431" si="105">B420+TIME(0,60,0)</f>
        <v>0.87499999999999967</v>
      </c>
      <c r="C421" s="26"/>
      <c r="D421" s="59"/>
      <c r="E421" s="109"/>
      <c r="F421" s="135" t="str">
        <f>IFERROR(IF($D421="","",VLOOKUP($D421,Cadastro!$C$4:$E$7,3,FALSE)),"")</f>
        <v/>
      </c>
      <c r="G421" s="106"/>
      <c r="H421" s="135" t="str">
        <f>IFERROR(IF($G421="","",$G421*$S$432/$G$432/Cadastro!$E$33),"")</f>
        <v/>
      </c>
      <c r="I421" s="136" t="str">
        <f>IFERROR(IF($D421="","",VLOOKUP($D421,Cadastro!$C$4:$G$7,5,FALSE)),"")</f>
        <v/>
      </c>
      <c r="J421" s="137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8">
        <v>46250</v>
      </c>
      <c r="B422" s="25">
        <f t="shared" si="105"/>
        <v>0.9166666666666663</v>
      </c>
      <c r="C422" s="26"/>
      <c r="D422" s="59"/>
      <c r="E422" s="109"/>
      <c r="F422" s="135" t="str">
        <f>IFERROR(IF($D422="","",VLOOKUP($D422,Cadastro!$C$4:$E$7,3,FALSE)),"")</f>
        <v/>
      </c>
      <c r="G422" s="106"/>
      <c r="H422" s="135" t="str">
        <f>IFERROR(IF($G422="","",$G422*$S$432/$G$432/Cadastro!$E$33),"")</f>
        <v/>
      </c>
      <c r="I422" s="136" t="str">
        <f>IFERROR(IF($D422="","",VLOOKUP($D422,Cadastro!$C$4:$G$7,5,FALSE)),"")</f>
        <v/>
      </c>
      <c r="J422" s="137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9">
        <v>46250</v>
      </c>
      <c r="B423" s="32">
        <f t="shared" si="105"/>
        <v>0.95833333333333293</v>
      </c>
      <c r="C423" s="26"/>
      <c r="D423" s="59"/>
      <c r="E423" s="109"/>
      <c r="F423" s="135" t="str">
        <f>IFERROR(IF($D423="","",VLOOKUP($D423,Cadastro!$C$4:$E$7,3,FALSE)),"")</f>
        <v/>
      </c>
      <c r="G423" s="106"/>
      <c r="H423" s="135" t="str">
        <f>IFERROR(IF($G423="","",$G423*$S$432/$G$432/Cadastro!$E$33),"")</f>
        <v/>
      </c>
      <c r="I423" s="136" t="str">
        <f>IFERROR(IF($D423="","",VLOOKUP($D423,Cadastro!$C$4:$G$7,5,FALSE)),"")</f>
        <v/>
      </c>
      <c r="J423" s="137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8">
        <v>46250</v>
      </c>
      <c r="B424" s="25">
        <f t="shared" si="105"/>
        <v>0.99999999999999956</v>
      </c>
      <c r="C424" s="26"/>
      <c r="D424" s="59"/>
      <c r="E424" s="109"/>
      <c r="F424" s="135" t="str">
        <f>IFERROR(IF($D424="","",VLOOKUP($D424,Cadastro!$C$4:$E$7,3,FALSE)),"")</f>
        <v/>
      </c>
      <c r="G424" s="106"/>
      <c r="H424" s="135" t="str">
        <f>IFERROR(IF($G424="","",$G424*$S$432/$G$432/Cadastro!$E$33),"")</f>
        <v/>
      </c>
      <c r="I424" s="136" t="str">
        <f>IFERROR(IF($D424="","",VLOOKUP($D424,Cadastro!$C$4:$G$7,5,FALSE)),"")</f>
        <v/>
      </c>
      <c r="J424" s="137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9">
        <v>46250</v>
      </c>
      <c r="B425" s="32">
        <f t="shared" si="105"/>
        <v>1.0416666666666663</v>
      </c>
      <c r="C425" s="26"/>
      <c r="D425" s="59"/>
      <c r="E425" s="109"/>
      <c r="F425" s="135" t="str">
        <f>IFERROR(IF($D425="","",VLOOKUP($D425,Cadastro!$C$4:$E$7,3,FALSE)),"")</f>
        <v/>
      </c>
      <c r="G425" s="106"/>
      <c r="H425" s="135" t="str">
        <f>IFERROR(IF($G425="","",$G425*$S$432/$G$432/Cadastro!$E$33),"")</f>
        <v/>
      </c>
      <c r="I425" s="136" t="str">
        <f>IFERROR(IF($D425="","",VLOOKUP($D425,Cadastro!$C$4:$G$7,5,FALSE)),"")</f>
        <v/>
      </c>
      <c r="J425" s="137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8">
        <v>46250</v>
      </c>
      <c r="B426" s="25">
        <f t="shared" si="105"/>
        <v>1.083333333333333</v>
      </c>
      <c r="C426" s="26"/>
      <c r="D426" s="59"/>
      <c r="E426" s="109"/>
      <c r="F426" s="135" t="str">
        <f>IFERROR(IF($D426="","",VLOOKUP($D426,Cadastro!$C$4:$E$7,3,FALSE)),"")</f>
        <v/>
      </c>
      <c r="G426" s="106"/>
      <c r="H426" s="135" t="str">
        <f>IFERROR(IF($G426="","",$G426*$S$432/$G$432/Cadastro!$E$33),"")</f>
        <v/>
      </c>
      <c r="I426" s="136" t="str">
        <f>IFERROR(IF($D426="","",VLOOKUP($D426,Cadastro!$C$4:$G$7,5,FALSE)),"")</f>
        <v/>
      </c>
      <c r="J426" s="137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9">
        <v>46250</v>
      </c>
      <c r="B427" s="32">
        <f t="shared" si="105"/>
        <v>1.1249999999999998</v>
      </c>
      <c r="C427" s="26"/>
      <c r="D427" s="59"/>
      <c r="E427" s="109"/>
      <c r="F427" s="135" t="str">
        <f>IFERROR(IF($D427="","",VLOOKUP($D427,Cadastro!$C$4:$E$7,3,FALSE)),"")</f>
        <v/>
      </c>
      <c r="G427" s="106"/>
      <c r="H427" s="135" t="str">
        <f>IFERROR(IF($G427="","",$G427*$S$432/$G$432/Cadastro!$E$33),"")</f>
        <v/>
      </c>
      <c r="I427" s="136" t="str">
        <f>IFERROR(IF($D427="","",VLOOKUP($D427,Cadastro!$C$4:$G$7,5,FALSE)),"")</f>
        <v/>
      </c>
      <c r="J427" s="137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8">
        <v>46250</v>
      </c>
      <c r="B428" s="25">
        <f t="shared" si="105"/>
        <v>1.1666666666666665</v>
      </c>
      <c r="C428" s="26"/>
      <c r="D428" s="59"/>
      <c r="E428" s="109"/>
      <c r="F428" s="135" t="str">
        <f>IFERROR(IF($D428="","",VLOOKUP($D428,Cadastro!$C$4:$E$7,3,FALSE)),"")</f>
        <v/>
      </c>
      <c r="G428" s="106"/>
      <c r="H428" s="135" t="str">
        <f>IFERROR(IF($G428="","",$G428*$S$432/$G$432/Cadastro!$E$33),"")</f>
        <v/>
      </c>
      <c r="I428" s="136" t="str">
        <f>IFERROR(IF($D428="","",VLOOKUP($D428,Cadastro!$C$4:$G$7,5,FALSE)),"")</f>
        <v/>
      </c>
      <c r="J428" s="137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9">
        <v>46250</v>
      </c>
      <c r="B429" s="32">
        <f t="shared" si="105"/>
        <v>1.2083333333333333</v>
      </c>
      <c r="C429" s="26"/>
      <c r="D429" s="59"/>
      <c r="E429" s="109"/>
      <c r="F429" s="135" t="str">
        <f>IFERROR(IF($D429="","",VLOOKUP($D429,Cadastro!$C$4:$E$7,3,FALSE)),"")</f>
        <v/>
      </c>
      <c r="G429" s="106"/>
      <c r="H429" s="135" t="str">
        <f>IFERROR(IF($G429="","",$G429*$S$432/$G$432/Cadastro!$E$33),"")</f>
        <v/>
      </c>
      <c r="I429" s="136" t="str">
        <f>IFERROR(IF($D429="","",VLOOKUP($D429,Cadastro!$C$4:$G$7,5,FALSE)),"")</f>
        <v/>
      </c>
      <c r="J429" s="137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8">
        <v>46250</v>
      </c>
      <c r="B430" s="25">
        <f t="shared" si="105"/>
        <v>1.25</v>
      </c>
      <c r="C430" s="26"/>
      <c r="D430" s="59"/>
      <c r="E430" s="109"/>
      <c r="F430" s="135" t="str">
        <f>IFERROR(IF($D430="","",VLOOKUP($D430,Cadastro!$C$4:$E$7,3,FALSE)),"")</f>
        <v/>
      </c>
      <c r="G430" s="106"/>
      <c r="H430" s="135" t="str">
        <f>IFERROR(IF($G430="","",$G430*$S$432/$G$432/Cadastro!$E$33),"")</f>
        <v/>
      </c>
      <c r="I430" s="136" t="str">
        <f>IFERROR(IF($D430="","",VLOOKUP($D430,Cadastro!$C$4:$G$7,5,FALSE)),"")</f>
        <v/>
      </c>
      <c r="J430" s="137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9">
        <v>46250</v>
      </c>
      <c r="B431" s="32">
        <f t="shared" si="105"/>
        <v>1.2916666666666667</v>
      </c>
      <c r="C431" s="26"/>
      <c r="D431" s="59"/>
      <c r="E431" s="109"/>
      <c r="F431" s="138" t="str">
        <f>IFERROR(IF($D431="","",VLOOKUP($D431,Cadastro!$C$4:$E$7,3,FALSE)),"")</f>
        <v/>
      </c>
      <c r="G431" s="106"/>
      <c r="H431" s="138" t="str">
        <f>IFERROR(IF($G431="","",$G431*$S$432/$G$432/Cadastro!$E$33),"")</f>
        <v/>
      </c>
      <c r="I431" s="139" t="str">
        <f>IFERROR(IF($D431="","",VLOOKUP($D431,Cadastro!$C$4:$G$7,5,FALSE)),"")</f>
        <v/>
      </c>
      <c r="J431" s="140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2" t="s">
        <v>244</v>
      </c>
      <c r="B432" s="153"/>
      <c r="C432" s="153"/>
      <c r="D432" s="153"/>
      <c r="E432" s="153">
        <f>SUM(E420:E431)</f>
        <v>0</v>
      </c>
      <c r="F432" s="112"/>
      <c r="G432" s="81">
        <f>SUM(G420:G431)</f>
        <v>0</v>
      </c>
      <c r="H432" s="112">
        <f>IFERROR(SUM(H420:H431),"")</f>
        <v>0</v>
      </c>
      <c r="I432" s="116"/>
      <c r="J432" s="125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20">
        <f>IFERROR(J432,"")</f>
        <v>0</v>
      </c>
    </row>
    <row r="433" spans="1:21" ht="18" customHeight="1">
      <c r="A433" s="150" t="s">
        <v>245</v>
      </c>
      <c r="B433" s="151"/>
      <c r="C433" s="151"/>
      <c r="D433" s="151"/>
      <c r="E433" s="151">
        <f>E419+E432</f>
        <v>0</v>
      </c>
      <c r="F433" s="113"/>
      <c r="G433" s="92">
        <f>G419+G432</f>
        <v>0</v>
      </c>
      <c r="H433" s="113">
        <f>IFERROR(H419+H432,"")</f>
        <v>0</v>
      </c>
      <c r="I433" s="117"/>
      <c r="J433" s="126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2">
        <f>IFERROR(J433,"")</f>
        <v>0</v>
      </c>
    </row>
    <row r="434" spans="1:21" ht="15" customHeight="1">
      <c r="A434" s="68">
        <v>46251</v>
      </c>
      <c r="B434" s="25">
        <v>0.33333333333333298</v>
      </c>
      <c r="C434" s="26"/>
      <c r="D434" s="59"/>
      <c r="E434" s="109"/>
      <c r="F434" s="141" t="str">
        <f>IFERROR(IF($D434="","",VLOOKUP($D434,Cadastro!$C$4:$E$7,3,FALSE)),"")</f>
        <v/>
      </c>
      <c r="G434" s="106"/>
      <c r="H434" s="141" t="str">
        <f>IFERROR(IF($G434="","",$G434*$S$446/$G$446/Cadastro!$E$33),"")</f>
        <v/>
      </c>
      <c r="I434" s="142" t="str">
        <f>IFERROR(IF($D434="","",VLOOKUP($D434,Cadastro!$C$4:$G$7,5,FALSE)),"")</f>
        <v/>
      </c>
      <c r="J434" s="143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9">
        <v>46251</v>
      </c>
      <c r="B435" s="32">
        <f t="shared" ref="B435:B445" si="109">B434+TIME(0,60,0)</f>
        <v>0.37499999999999967</v>
      </c>
      <c r="C435" s="26"/>
      <c r="D435" s="59"/>
      <c r="E435" s="109"/>
      <c r="F435" s="135" t="str">
        <f>IFERROR(IF($D435="","",VLOOKUP($D435,Cadastro!$C$4:$E$7,3,FALSE)),"")</f>
        <v/>
      </c>
      <c r="G435" s="106"/>
      <c r="H435" s="135" t="str">
        <f>IFERROR(IF($G435="","",$G435*$S$446/$G$446/Cadastro!$E$33),"")</f>
        <v/>
      </c>
      <c r="I435" s="136" t="str">
        <f>IFERROR(IF($D435="","",VLOOKUP($D435,Cadastro!$C$4:$G$7,5,FALSE)),"")</f>
        <v/>
      </c>
      <c r="J435" s="137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8">
        <v>46251</v>
      </c>
      <c r="B436" s="25">
        <f t="shared" si="109"/>
        <v>0.41666666666666635</v>
      </c>
      <c r="C436" s="26"/>
      <c r="D436" s="59"/>
      <c r="E436" s="109"/>
      <c r="F436" s="135" t="str">
        <f>IFERROR(IF($D436="","",VLOOKUP($D436,Cadastro!$C$4:$E$7,3,FALSE)),"")</f>
        <v/>
      </c>
      <c r="G436" s="106"/>
      <c r="H436" s="135" t="str">
        <f>IFERROR(IF($G436="","",$G436*$S$446/$G$446/Cadastro!$E$33),"")</f>
        <v/>
      </c>
      <c r="I436" s="136" t="str">
        <f>IFERROR(IF($D436="","",VLOOKUP($D436,Cadastro!$C$4:$G$7,5,FALSE)),"")</f>
        <v/>
      </c>
      <c r="J436" s="137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9">
        <v>46251</v>
      </c>
      <c r="B437" s="32">
        <f t="shared" si="109"/>
        <v>0.45833333333333304</v>
      </c>
      <c r="C437" s="26"/>
      <c r="D437" s="59"/>
      <c r="E437" s="109"/>
      <c r="F437" s="135" t="str">
        <f>IFERROR(IF($D437="","",VLOOKUP($D437,Cadastro!$C$4:$E$7,3,FALSE)),"")</f>
        <v/>
      </c>
      <c r="G437" s="106"/>
      <c r="H437" s="135" t="str">
        <f>IFERROR(IF($G437="","",$G437*$S$446/$G$446/Cadastro!$E$33),"")</f>
        <v/>
      </c>
      <c r="I437" s="136" t="str">
        <f>IFERROR(IF($D437="","",VLOOKUP($D437,Cadastro!$C$4:$G$7,5,FALSE)),"")</f>
        <v/>
      </c>
      <c r="J437" s="137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8">
        <v>46251</v>
      </c>
      <c r="B438" s="25">
        <f t="shared" si="109"/>
        <v>0.49999999999999972</v>
      </c>
      <c r="C438" s="26"/>
      <c r="D438" s="59"/>
      <c r="E438" s="109"/>
      <c r="F438" s="135" t="str">
        <f>IFERROR(IF($D438="","",VLOOKUP($D438,Cadastro!$C$4:$E$7,3,FALSE)),"")</f>
        <v/>
      </c>
      <c r="G438" s="106"/>
      <c r="H438" s="135" t="str">
        <f>IFERROR(IF($G438="","",$G438*$S$446/$G$446/Cadastro!$E$33),"")</f>
        <v/>
      </c>
      <c r="I438" s="136" t="str">
        <f>IFERROR(IF($D438="","",VLOOKUP($D438,Cadastro!$C$4:$G$7,5,FALSE)),"")</f>
        <v/>
      </c>
      <c r="J438" s="137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9">
        <v>46251</v>
      </c>
      <c r="B439" s="32">
        <f t="shared" si="109"/>
        <v>0.54166666666666641</v>
      </c>
      <c r="C439" s="26"/>
      <c r="D439" s="59"/>
      <c r="E439" s="109"/>
      <c r="F439" s="135" t="str">
        <f>IFERROR(IF($D439="","",VLOOKUP($D439,Cadastro!$C$4:$E$7,3,FALSE)),"")</f>
        <v/>
      </c>
      <c r="G439" s="106"/>
      <c r="H439" s="135" t="str">
        <f>IFERROR(IF($G439="","",$G439*$S$446/$G$446/Cadastro!$E$33),"")</f>
        <v/>
      </c>
      <c r="I439" s="136" t="str">
        <f>IFERROR(IF($D439="","",VLOOKUP($D439,Cadastro!$C$4:$G$7,5,FALSE)),"")</f>
        <v/>
      </c>
      <c r="J439" s="137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8">
        <v>46251</v>
      </c>
      <c r="B440" s="25">
        <f t="shared" si="109"/>
        <v>0.58333333333333304</v>
      </c>
      <c r="C440" s="26"/>
      <c r="D440" s="59"/>
      <c r="E440" s="109"/>
      <c r="F440" s="135" t="str">
        <f>IFERROR(IF($D440="","",VLOOKUP($D440,Cadastro!$C$4:$E$7,3,FALSE)),"")</f>
        <v/>
      </c>
      <c r="G440" s="106"/>
      <c r="H440" s="135" t="str">
        <f>IFERROR(IF($G440="","",$G440*$S$446/$G$446/Cadastro!$E$33),"")</f>
        <v/>
      </c>
      <c r="I440" s="136" t="str">
        <f>IFERROR(IF($D440="","",VLOOKUP($D440,Cadastro!$C$4:$G$7,5,FALSE)),"")</f>
        <v/>
      </c>
      <c r="J440" s="137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9">
        <v>46251</v>
      </c>
      <c r="B441" s="32">
        <f t="shared" si="109"/>
        <v>0.62499999999999967</v>
      </c>
      <c r="C441" s="26"/>
      <c r="D441" s="59"/>
      <c r="E441" s="109"/>
      <c r="F441" s="135" t="str">
        <f>IFERROR(IF($D441="","",VLOOKUP($D441,Cadastro!$C$4:$E$7,3,FALSE)),"")</f>
        <v/>
      </c>
      <c r="G441" s="106"/>
      <c r="H441" s="135" t="str">
        <f>IFERROR(IF($G441="","",$G441*$S$446/$G$446/Cadastro!$E$33),"")</f>
        <v/>
      </c>
      <c r="I441" s="136" t="str">
        <f>IFERROR(IF($D441="","",VLOOKUP($D441,Cadastro!$C$4:$G$7,5,FALSE)),"")</f>
        <v/>
      </c>
      <c r="J441" s="137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8">
        <v>46251</v>
      </c>
      <c r="B442" s="25">
        <f t="shared" si="109"/>
        <v>0.6666666666666663</v>
      </c>
      <c r="C442" s="26"/>
      <c r="D442" s="59"/>
      <c r="E442" s="109"/>
      <c r="F442" s="135" t="str">
        <f>IFERROR(IF($D442="","",VLOOKUP($D442,Cadastro!$C$4:$E$7,3,FALSE)),"")</f>
        <v/>
      </c>
      <c r="G442" s="106"/>
      <c r="H442" s="135" t="str">
        <f>IFERROR(IF($G442="","",$G442*$S$446/$G$446/Cadastro!$E$33),"")</f>
        <v/>
      </c>
      <c r="I442" s="136" t="str">
        <f>IFERROR(IF($D442="","",VLOOKUP($D442,Cadastro!$C$4:$G$7,5,FALSE)),"")</f>
        <v/>
      </c>
      <c r="J442" s="137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9">
        <v>46251</v>
      </c>
      <c r="B443" s="32">
        <f t="shared" si="109"/>
        <v>0.70833333333333293</v>
      </c>
      <c r="C443" s="26"/>
      <c r="D443" s="59"/>
      <c r="E443" s="109"/>
      <c r="F443" s="135" t="str">
        <f>IFERROR(IF($D443="","",VLOOKUP($D443,Cadastro!$C$4:$E$7,3,FALSE)),"")</f>
        <v/>
      </c>
      <c r="G443" s="106"/>
      <c r="H443" s="135" t="str">
        <f>IFERROR(IF($G443="","",$G443*$S$446/$G$446/Cadastro!$E$33),"")</f>
        <v/>
      </c>
      <c r="I443" s="136" t="str">
        <f>IFERROR(IF($D443="","",VLOOKUP($D443,Cadastro!$C$4:$G$7,5,FALSE)),"")</f>
        <v/>
      </c>
      <c r="J443" s="137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8">
        <v>46251</v>
      </c>
      <c r="B444" s="25">
        <f t="shared" si="109"/>
        <v>0.74999999999999956</v>
      </c>
      <c r="C444" s="26"/>
      <c r="D444" s="59"/>
      <c r="E444" s="109"/>
      <c r="F444" s="135" t="str">
        <f>IFERROR(IF($D444="","",VLOOKUP($D444,Cadastro!$C$4:$E$7,3,FALSE)),"")</f>
        <v/>
      </c>
      <c r="G444" s="106"/>
      <c r="H444" s="135" t="str">
        <f>IFERROR(IF($G444="","",$G444*$S$446/$G$446/Cadastro!$E$33),"")</f>
        <v/>
      </c>
      <c r="I444" s="136" t="str">
        <f>IFERROR(IF($D444="","",VLOOKUP($D444,Cadastro!$C$4:$G$7,5,FALSE)),"")</f>
        <v/>
      </c>
      <c r="J444" s="137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9">
        <v>46251</v>
      </c>
      <c r="B445" s="32">
        <f t="shared" si="109"/>
        <v>0.79166666666666619</v>
      </c>
      <c r="C445" s="26"/>
      <c r="D445" s="59"/>
      <c r="E445" s="109"/>
      <c r="F445" s="138" t="str">
        <f>IFERROR(IF($D445="","",VLOOKUP($D445,Cadastro!$C$4:$E$7,3,FALSE)),"")</f>
        <v/>
      </c>
      <c r="G445" s="106"/>
      <c r="H445" s="138" t="str">
        <f>IFERROR(IF($G445="","",$G445*$S$446/$G$446/Cadastro!$E$33),"")</f>
        <v/>
      </c>
      <c r="I445" s="139" t="str">
        <f>IFERROR(IF($D445="","",VLOOKUP($D445,Cadastro!$C$4:$G$7,5,FALSE)),"")</f>
        <v/>
      </c>
      <c r="J445" s="140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2" t="s">
        <v>241</v>
      </c>
      <c r="B446" s="153"/>
      <c r="C446" s="153"/>
      <c r="D446" s="153"/>
      <c r="E446" s="153">
        <f>SUM(E434:E445)</f>
        <v>0</v>
      </c>
      <c r="F446" s="111"/>
      <c r="G446" s="81">
        <f>SUM(G434:G445)</f>
        <v>0</v>
      </c>
      <c r="H446" s="111">
        <f>IFERROR(SUM(H434:H445),"")</f>
        <v>0</v>
      </c>
      <c r="I446" s="115"/>
      <c r="J446" s="124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20">
        <f>IFERROR(J446,"")</f>
        <v>0</v>
      </c>
    </row>
    <row r="447" spans="1:21" ht="15" customHeight="1">
      <c r="A447" s="69">
        <v>46251</v>
      </c>
      <c r="B447" s="32">
        <v>0.83333333333333304</v>
      </c>
      <c r="C447" s="33"/>
      <c r="D447" s="62"/>
      <c r="E447" s="110"/>
      <c r="F447" s="141" t="str">
        <f>IFERROR(IF($D447="","",VLOOKUP($D447,Cadastro!$C$4:$E$7,3,FALSE)),"")</f>
        <v/>
      </c>
      <c r="G447" s="106"/>
      <c r="H447" s="141" t="str">
        <f>IFERROR(IF($G447="","",$G447*$S$459/$G$459/Cadastro!$E$33),"")</f>
        <v/>
      </c>
      <c r="I447" s="142" t="str">
        <f>IFERROR(IF($D447="","",VLOOKUP($D447,Cadastro!$C$4:$G$7,5,FALSE)),"")</f>
        <v/>
      </c>
      <c r="J447" s="143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8">
        <v>46251</v>
      </c>
      <c r="B448" s="25">
        <f t="shared" ref="B448:B458" si="113">B447+TIME(0,60,0)</f>
        <v>0.87499999999999967</v>
      </c>
      <c r="C448" s="33"/>
      <c r="D448" s="62"/>
      <c r="E448" s="110"/>
      <c r="F448" s="135" t="str">
        <f>IFERROR(IF($D448="","",VLOOKUP($D448,Cadastro!$C$4:$E$7,3,FALSE)),"")</f>
        <v/>
      </c>
      <c r="G448" s="106"/>
      <c r="H448" s="135" t="str">
        <f>IFERROR(IF($G448="","",$G448*$S$459/$G$459/Cadastro!$E$33),"")</f>
        <v/>
      </c>
      <c r="I448" s="136" t="str">
        <f>IFERROR(IF($D448="","",VLOOKUP($D448,Cadastro!$C$4:$G$7,5,FALSE)),"")</f>
        <v/>
      </c>
      <c r="J448" s="137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6"/>
    </row>
    <row r="449" spans="1:20" ht="15" customHeight="1">
      <c r="A449" s="69">
        <v>46251</v>
      </c>
      <c r="B449" s="32">
        <f t="shared" si="113"/>
        <v>0.9166666666666663</v>
      </c>
      <c r="C449" s="33"/>
      <c r="D449" s="62"/>
      <c r="E449" s="110"/>
      <c r="F449" s="135" t="str">
        <f>IFERROR(IF($D449="","",VLOOKUP($D449,Cadastro!$C$4:$E$7,3,FALSE)),"")</f>
        <v/>
      </c>
      <c r="G449" s="106"/>
      <c r="H449" s="135" t="str">
        <f>IFERROR(IF($G449="","",$G449*$S$459/$G$459/Cadastro!$E$33),"")</f>
        <v/>
      </c>
      <c r="I449" s="136" t="str">
        <f>IFERROR(IF($D449="","",VLOOKUP($D449,Cadastro!$C$4:$G$7,5,FALSE)),"")</f>
        <v/>
      </c>
      <c r="J449" s="137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8">
        <v>46251</v>
      </c>
      <c r="B450" s="25">
        <f t="shared" si="113"/>
        <v>0.95833333333333293</v>
      </c>
      <c r="C450" s="33"/>
      <c r="D450" s="62"/>
      <c r="F450" s="135" t="str">
        <f>IFERROR(IF($D450="","",VLOOKUP($D450,Cadastro!$C$4:$E$7,3,FALSE)),"")</f>
        <v/>
      </c>
      <c r="G450" s="106"/>
      <c r="H450" s="135" t="str">
        <f>IFERROR(IF($G450="","",$G450*$S$459/$G$459/Cadastro!$E$33),"")</f>
        <v/>
      </c>
      <c r="I450" s="136" t="str">
        <f>IFERROR(IF($D450="","",VLOOKUP($D450,Cadastro!$C$4:$G$7,5,FALSE)),"")</f>
        <v/>
      </c>
      <c r="J450" s="137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9">
        <v>46251</v>
      </c>
      <c r="B451" s="32">
        <f t="shared" si="113"/>
        <v>0.99999999999999956</v>
      </c>
      <c r="C451" s="33"/>
      <c r="D451" s="62"/>
      <c r="E451" s="110"/>
      <c r="F451" s="135" t="str">
        <f>IFERROR(IF($D451="","",VLOOKUP($D451,Cadastro!$C$4:$E$7,3,FALSE)),"")</f>
        <v/>
      </c>
      <c r="G451" s="106"/>
      <c r="H451" s="135" t="str">
        <f>IFERROR(IF($G451="","",$G451*$S$459/$G$459/Cadastro!$E$33),"")</f>
        <v/>
      </c>
      <c r="I451" s="136" t="str">
        <f>IFERROR(IF($D451="","",VLOOKUP($D451,Cadastro!$C$4:$G$7,5,FALSE)),"")</f>
        <v/>
      </c>
      <c r="J451" s="137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8">
        <v>46251</v>
      </c>
      <c r="B452" s="25">
        <f t="shared" si="113"/>
        <v>1.0416666666666663</v>
      </c>
      <c r="C452" s="33"/>
      <c r="D452" s="62"/>
      <c r="E452" s="110"/>
      <c r="F452" s="135" t="str">
        <f>IFERROR(IF($D452="","",VLOOKUP($D452,Cadastro!$C$4:$E$7,3,FALSE)),"")</f>
        <v/>
      </c>
      <c r="G452" s="106"/>
      <c r="H452" s="135" t="str">
        <f>IFERROR(IF($G452="","",$G452*$S$459/$G$459/Cadastro!$E$33),"")</f>
        <v/>
      </c>
      <c r="I452" s="136" t="str">
        <f>IFERROR(IF($D452="","",VLOOKUP($D452,Cadastro!$C$4:$G$7,5,FALSE)),"")</f>
        <v/>
      </c>
      <c r="J452" s="137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9">
        <v>46251</v>
      </c>
      <c r="B453" s="32">
        <f t="shared" si="113"/>
        <v>1.083333333333333</v>
      </c>
      <c r="C453" s="33"/>
      <c r="D453" s="62"/>
      <c r="E453" s="110"/>
      <c r="F453" s="135" t="str">
        <f>IFERROR(IF($D453="","",VLOOKUP($D453,Cadastro!$C$4:$E$7,3,FALSE)),"")</f>
        <v/>
      </c>
      <c r="G453" s="106"/>
      <c r="H453" s="135" t="str">
        <f>IFERROR(IF($G453="","",$G453*$S$459/$G$459/Cadastro!$E$33),"")</f>
        <v/>
      </c>
      <c r="I453" s="136" t="str">
        <f>IFERROR(IF($D453="","",VLOOKUP($D453,Cadastro!$C$4:$G$7,5,FALSE)),"")</f>
        <v/>
      </c>
      <c r="J453" s="137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8">
        <v>46251</v>
      </c>
      <c r="B454" s="25">
        <f t="shared" si="113"/>
        <v>1.1249999999999998</v>
      </c>
      <c r="C454" s="33"/>
      <c r="D454" s="62"/>
      <c r="E454" s="110"/>
      <c r="F454" s="135" t="str">
        <f>IFERROR(IF($D454="","",VLOOKUP($D454,Cadastro!$C$4:$E$7,3,FALSE)),"")</f>
        <v/>
      </c>
      <c r="G454" s="106"/>
      <c r="H454" s="135" t="str">
        <f>IFERROR(IF($G454="","",$G454*$S$459/$G$459/Cadastro!$E$33),"")</f>
        <v/>
      </c>
      <c r="I454" s="136" t="str">
        <f>IFERROR(IF($D454="","",VLOOKUP($D454,Cadastro!$C$4:$G$7,5,FALSE)),"")</f>
        <v/>
      </c>
      <c r="J454" s="137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9">
        <v>46251</v>
      </c>
      <c r="B455" s="32">
        <f t="shared" si="113"/>
        <v>1.1666666666666665</v>
      </c>
      <c r="C455" s="33"/>
      <c r="D455" s="62"/>
      <c r="E455" s="110"/>
      <c r="F455" s="135" t="str">
        <f>IFERROR(IF($D455="","",VLOOKUP($D455,Cadastro!$C$4:$E$7,3,FALSE)),"")</f>
        <v/>
      </c>
      <c r="G455" s="106"/>
      <c r="H455" s="135" t="str">
        <f>IFERROR(IF($G455="","",$G455*$S$459/$G$459/Cadastro!$E$33),"")</f>
        <v/>
      </c>
      <c r="I455" s="136" t="str">
        <f>IFERROR(IF($D455="","",VLOOKUP($D455,Cadastro!$C$4:$G$7,5,FALSE)),"")</f>
        <v/>
      </c>
      <c r="J455" s="137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8">
        <v>46251</v>
      </c>
      <c r="B456" s="25">
        <f t="shared" si="113"/>
        <v>1.2083333333333333</v>
      </c>
      <c r="C456" s="33"/>
      <c r="D456" s="62"/>
      <c r="E456" s="110"/>
      <c r="F456" s="135" t="str">
        <f>IFERROR(IF($D456="","",VLOOKUP($D456,Cadastro!$C$4:$E$7,3,FALSE)),"")</f>
        <v/>
      </c>
      <c r="G456" s="106"/>
      <c r="H456" s="135" t="str">
        <f>IFERROR(IF($G456="","",$G456*$S$459/$G$459/Cadastro!$E$33),"")</f>
        <v/>
      </c>
      <c r="I456" s="136" t="str">
        <f>IFERROR(IF($D456="","",VLOOKUP($D456,Cadastro!$C$4:$G$7,5,FALSE)),"")</f>
        <v/>
      </c>
      <c r="J456" s="137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9">
        <v>46251</v>
      </c>
      <c r="B457" s="32">
        <f t="shared" si="113"/>
        <v>1.25</v>
      </c>
      <c r="C457" s="33"/>
      <c r="D457" s="62"/>
      <c r="E457" s="110"/>
      <c r="F457" s="135" t="str">
        <f>IFERROR(IF($D457="","",VLOOKUP($D457,Cadastro!$C$4:$E$7,3,FALSE)),"")</f>
        <v/>
      </c>
      <c r="G457" s="106"/>
      <c r="H457" s="135" t="str">
        <f>IFERROR(IF($G457="","",$G457*$S$459/$G$459/Cadastro!$E$33),"")</f>
        <v/>
      </c>
      <c r="I457" s="136" t="str">
        <f>IFERROR(IF($D457="","",VLOOKUP($D457,Cadastro!$C$4:$G$7,5,FALSE)),"")</f>
        <v/>
      </c>
      <c r="J457" s="137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8">
        <v>46251</v>
      </c>
      <c r="B458" s="25">
        <f t="shared" si="113"/>
        <v>1.2916666666666667</v>
      </c>
      <c r="C458" s="33"/>
      <c r="D458" s="62"/>
      <c r="E458" s="110"/>
      <c r="F458" s="138" t="str">
        <f>IFERROR(IF($D458="","",VLOOKUP($D458,Cadastro!$C$4:$E$7,3,FALSE)),"")</f>
        <v/>
      </c>
      <c r="G458" s="106"/>
      <c r="H458" s="138" t="str">
        <f>IFERROR(IF($G458="","",$G458*$S$459/$G$459/Cadastro!$E$33),"")</f>
        <v/>
      </c>
      <c r="I458" s="139" t="str">
        <f>IFERROR(IF($D458="","",VLOOKUP($D458,Cadastro!$C$4:$G$7,5,FALSE)),"")</f>
        <v/>
      </c>
      <c r="J458" s="140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2" t="s">
        <v>244</v>
      </c>
      <c r="B459" s="153"/>
      <c r="C459" s="153"/>
      <c r="D459" s="153"/>
      <c r="E459" s="153">
        <f>SUM(E447:E458)</f>
        <v>0</v>
      </c>
      <c r="F459" s="112"/>
      <c r="G459" s="81">
        <f>SUM(G447:G458)</f>
        <v>0</v>
      </c>
      <c r="H459" s="112">
        <f>IFERROR(SUM(H447:H458),"")</f>
        <v>0</v>
      </c>
      <c r="I459" s="116"/>
      <c r="J459" s="125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20">
        <f>IFERROR(J459,"")</f>
        <v>0</v>
      </c>
    </row>
    <row r="460" spans="1:20" ht="18" customHeight="1">
      <c r="A460" s="150" t="s">
        <v>245</v>
      </c>
      <c r="B460" s="151"/>
      <c r="C460" s="151"/>
      <c r="D460" s="151"/>
      <c r="E460" s="151">
        <f>E446+E459</f>
        <v>0</v>
      </c>
      <c r="F460" s="113"/>
      <c r="G460" s="92">
        <f>G446+G459</f>
        <v>0</v>
      </c>
      <c r="H460" s="113">
        <f>IFERROR(H446+H459,"")</f>
        <v>0</v>
      </c>
      <c r="I460" s="117"/>
      <c r="J460" s="126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2">
        <f>IFERROR(J460,"")</f>
        <v>0</v>
      </c>
    </row>
    <row r="461" spans="1:20" ht="15" customHeight="1">
      <c r="A461" s="69">
        <v>46252</v>
      </c>
      <c r="B461" s="32">
        <v>0.33333333333333298</v>
      </c>
      <c r="C461" s="33"/>
      <c r="D461" s="62"/>
      <c r="E461" s="110"/>
      <c r="F461" s="141" t="str">
        <f>IFERROR(IF($D461="","",VLOOKUP($D461,Cadastro!$C$4:$E$7,3,FALSE)),"")</f>
        <v/>
      </c>
      <c r="G461" s="106"/>
      <c r="H461" s="141" t="str">
        <f>IFERROR(IF($G461="","",$G461*$S$473/$G$473/Cadastro!$E$33),"")</f>
        <v/>
      </c>
      <c r="I461" s="142" t="str">
        <f>IFERROR(IF($D461="","",VLOOKUP($D461,Cadastro!$C$4:$G$7,5,FALSE)),"")</f>
        <v/>
      </c>
      <c r="J461" s="143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8">
        <v>46252</v>
      </c>
      <c r="B462" s="25">
        <f t="shared" ref="B462:B472" si="117">B461+TIME(0,60,0)</f>
        <v>0.37499999999999967</v>
      </c>
      <c r="C462" s="33"/>
      <c r="D462" s="62"/>
      <c r="E462" s="110"/>
      <c r="F462" s="135" t="str">
        <f>IFERROR(IF($D462="","",VLOOKUP($D462,Cadastro!$C$4:$E$7,3,FALSE)),"")</f>
        <v/>
      </c>
      <c r="G462" s="106"/>
      <c r="H462" s="135" t="str">
        <f>IFERROR(IF($G462="","",$G462*$S$473/$G$473/Cadastro!$E$33),"")</f>
        <v/>
      </c>
      <c r="I462" s="136" t="str">
        <f>IFERROR(IF($D462="","",VLOOKUP($D462,Cadastro!$C$4:$G$7,5,FALSE)),"")</f>
        <v/>
      </c>
      <c r="J462" s="137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9">
        <v>46252</v>
      </c>
      <c r="B463" s="32">
        <f t="shared" si="117"/>
        <v>0.41666666666666635</v>
      </c>
      <c r="C463" s="33"/>
      <c r="D463" s="62"/>
      <c r="E463" s="110"/>
      <c r="F463" s="135" t="str">
        <f>IFERROR(IF($D463="","",VLOOKUP($D463,Cadastro!$C$4:$E$7,3,FALSE)),"")</f>
        <v/>
      </c>
      <c r="G463" s="106"/>
      <c r="H463" s="135" t="str">
        <f>IFERROR(IF($G463="","",$G463*$S$473/$G$473/Cadastro!$E$33),"")</f>
        <v/>
      </c>
      <c r="I463" s="136" t="str">
        <f>IFERROR(IF($D463="","",VLOOKUP($D463,Cadastro!$C$4:$G$7,5,FALSE)),"")</f>
        <v/>
      </c>
      <c r="J463" s="137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8">
        <v>46252</v>
      </c>
      <c r="B464" s="25">
        <f t="shared" si="117"/>
        <v>0.45833333333333304</v>
      </c>
      <c r="C464" s="33"/>
      <c r="D464" s="62"/>
      <c r="E464" s="110"/>
      <c r="F464" s="135" t="str">
        <f>IFERROR(IF($D464="","",VLOOKUP($D464,Cadastro!$C$4:$E$7,3,FALSE)),"")</f>
        <v/>
      </c>
      <c r="G464" s="106"/>
      <c r="H464" s="135" t="str">
        <f>IFERROR(IF($G464="","",$G464*$S$473/$G$473/Cadastro!$E$33),"")</f>
        <v/>
      </c>
      <c r="I464" s="136" t="str">
        <f>IFERROR(IF($D464="","",VLOOKUP($D464,Cadastro!$C$4:$G$7,5,FALSE)),"")</f>
        <v/>
      </c>
      <c r="J464" s="137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9">
        <v>46252</v>
      </c>
      <c r="B465" s="32">
        <f t="shared" si="117"/>
        <v>0.49999999999999972</v>
      </c>
      <c r="C465" s="33"/>
      <c r="D465" s="62"/>
      <c r="E465" s="110"/>
      <c r="F465" s="135" t="str">
        <f>IFERROR(IF($D465="","",VLOOKUP($D465,Cadastro!$C$4:$E$7,3,FALSE)),"")</f>
        <v/>
      </c>
      <c r="G465" s="106"/>
      <c r="H465" s="135" t="str">
        <f>IFERROR(IF($G465="","",$G465*$S$473/$G$473/Cadastro!$E$33),"")</f>
        <v/>
      </c>
      <c r="I465" s="136" t="str">
        <f>IFERROR(IF($D465="","",VLOOKUP($D465,Cadastro!$C$4:$G$7,5,FALSE)),"")</f>
        <v/>
      </c>
      <c r="J465" s="137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8">
        <v>46252</v>
      </c>
      <c r="B466" s="25">
        <f t="shared" si="117"/>
        <v>0.54166666666666641</v>
      </c>
      <c r="C466" s="33"/>
      <c r="D466" s="62"/>
      <c r="E466" s="110"/>
      <c r="F466" s="135" t="str">
        <f>IFERROR(IF($D466="","",VLOOKUP($D466,Cadastro!$C$4:$E$7,3,FALSE)),"")</f>
        <v/>
      </c>
      <c r="G466" s="106"/>
      <c r="H466" s="135" t="str">
        <f>IFERROR(IF($G466="","",$G466*$S$473/$G$473/Cadastro!$E$33),"")</f>
        <v/>
      </c>
      <c r="I466" s="136" t="str">
        <f>IFERROR(IF($D466="","",VLOOKUP($D466,Cadastro!$C$4:$G$7,5,FALSE)),"")</f>
        <v/>
      </c>
      <c r="J466" s="137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9">
        <v>46252</v>
      </c>
      <c r="B467" s="32">
        <f t="shared" si="117"/>
        <v>0.58333333333333304</v>
      </c>
      <c r="C467" s="33"/>
      <c r="D467" s="62"/>
      <c r="E467" s="110"/>
      <c r="F467" s="135" t="str">
        <f>IFERROR(IF($D467="","",VLOOKUP($D467,Cadastro!$C$4:$E$7,3,FALSE)),"")</f>
        <v/>
      </c>
      <c r="G467" s="106"/>
      <c r="H467" s="135" t="str">
        <f>IFERROR(IF($G467="","",$G467*$S$473/$G$473/Cadastro!$E$33),"")</f>
        <v/>
      </c>
      <c r="I467" s="136" t="str">
        <f>IFERROR(IF($D467="","",VLOOKUP($D467,Cadastro!$C$4:$G$7,5,FALSE)),"")</f>
        <v/>
      </c>
      <c r="J467" s="137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8">
        <v>46252</v>
      </c>
      <c r="B468" s="25">
        <f t="shared" si="117"/>
        <v>0.62499999999999967</v>
      </c>
      <c r="C468" s="33"/>
      <c r="D468" s="62"/>
      <c r="E468" s="110"/>
      <c r="F468" s="135" t="str">
        <f>IFERROR(IF($D468="","",VLOOKUP($D468,Cadastro!$C$4:$E$7,3,FALSE)),"")</f>
        <v/>
      </c>
      <c r="G468" s="106"/>
      <c r="H468" s="135" t="str">
        <f>IFERROR(IF($G468="","",$G468*$S$473/$G$473/Cadastro!$E$33),"")</f>
        <v/>
      </c>
      <c r="I468" s="136" t="str">
        <f>IFERROR(IF($D468="","",VLOOKUP($D468,Cadastro!$C$4:$G$7,5,FALSE)),"")</f>
        <v/>
      </c>
      <c r="J468" s="137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9">
        <v>46252</v>
      </c>
      <c r="B469" s="32">
        <f t="shared" si="117"/>
        <v>0.6666666666666663</v>
      </c>
      <c r="C469" s="33"/>
      <c r="D469" s="62"/>
      <c r="E469" s="110"/>
      <c r="F469" s="135" t="str">
        <f>IFERROR(IF($D469="","",VLOOKUP($D469,Cadastro!$C$4:$E$7,3,FALSE)),"")</f>
        <v/>
      </c>
      <c r="G469" s="106"/>
      <c r="H469" s="135" t="str">
        <f>IFERROR(IF($G469="","",$G469*$S$473/$G$473/Cadastro!$E$33),"")</f>
        <v/>
      </c>
      <c r="I469" s="136" t="str">
        <f>IFERROR(IF($D469="","",VLOOKUP($D469,Cadastro!$C$4:$G$7,5,FALSE)),"")</f>
        <v/>
      </c>
      <c r="J469" s="137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8">
        <v>46252</v>
      </c>
      <c r="B470" s="25">
        <f t="shared" si="117"/>
        <v>0.70833333333333293</v>
      </c>
      <c r="C470" s="33"/>
      <c r="D470" s="62"/>
      <c r="E470" s="110"/>
      <c r="F470" s="135" t="str">
        <f>IFERROR(IF($D470="","",VLOOKUP($D470,Cadastro!$C$4:$E$7,3,FALSE)),"")</f>
        <v/>
      </c>
      <c r="G470" s="106"/>
      <c r="H470" s="135" t="str">
        <f>IFERROR(IF($G470="","",$G470*$S$473/$G$473/Cadastro!$E$33),"")</f>
        <v/>
      </c>
      <c r="I470" s="136" t="str">
        <f>IFERROR(IF($D470="","",VLOOKUP($D470,Cadastro!$C$4:$G$7,5,FALSE)),"")</f>
        <v/>
      </c>
      <c r="J470" s="137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9">
        <v>46252</v>
      </c>
      <c r="B471" s="32">
        <f t="shared" si="117"/>
        <v>0.74999999999999956</v>
      </c>
      <c r="C471" s="33"/>
      <c r="D471" s="62"/>
      <c r="E471" s="110"/>
      <c r="F471" s="135" t="str">
        <f>IFERROR(IF($D471="","",VLOOKUP($D471,Cadastro!$C$4:$E$7,3,FALSE)),"")</f>
        <v/>
      </c>
      <c r="G471" s="106"/>
      <c r="H471" s="135" t="str">
        <f>IFERROR(IF($G471="","",$G471*$S$473/$G$473/Cadastro!$E$33),"")</f>
        <v/>
      </c>
      <c r="I471" s="136" t="str">
        <f>IFERROR(IF($D471="","",VLOOKUP($D471,Cadastro!$C$4:$G$7,5,FALSE)),"")</f>
        <v/>
      </c>
      <c r="J471" s="137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8">
        <v>46252</v>
      </c>
      <c r="B472" s="25">
        <f t="shared" si="117"/>
        <v>0.79166666666666619</v>
      </c>
      <c r="C472" s="33"/>
      <c r="D472" s="62"/>
      <c r="E472" s="110"/>
      <c r="F472" s="138" t="str">
        <f>IFERROR(IF($D472="","",VLOOKUP($D472,Cadastro!$C$4:$E$7,3,FALSE)),"")</f>
        <v/>
      </c>
      <c r="G472" s="106"/>
      <c r="H472" s="138" t="str">
        <f>IFERROR(IF($G472="","",$G472*$S$473/$G$473/Cadastro!$E$33),"")</f>
        <v/>
      </c>
      <c r="I472" s="139" t="str">
        <f>IFERROR(IF($D472="","",VLOOKUP($D472,Cadastro!$C$4:$G$7,5,FALSE)),"")</f>
        <v/>
      </c>
      <c r="J472" s="140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2" t="s">
        <v>241</v>
      </c>
      <c r="B473" s="153"/>
      <c r="C473" s="153"/>
      <c r="D473" s="153"/>
      <c r="E473" s="153">
        <f>SUM(E461:E472)</f>
        <v>0</v>
      </c>
      <c r="F473" s="111"/>
      <c r="G473" s="81">
        <f>SUM(G461:G472)</f>
        <v>0</v>
      </c>
      <c r="H473" s="111">
        <f>IFERROR(SUM(H461:H472),"")</f>
        <v>0</v>
      </c>
      <c r="I473" s="115"/>
      <c r="J473" s="124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20">
        <f>IFERROR(J473,"")</f>
        <v>0</v>
      </c>
    </row>
    <row r="474" spans="1:20" ht="15" customHeight="1">
      <c r="A474" s="68">
        <v>46252</v>
      </c>
      <c r="B474" s="25">
        <v>0.83333333333333304</v>
      </c>
      <c r="C474" s="26"/>
      <c r="D474" s="59"/>
      <c r="E474" s="109"/>
      <c r="F474" s="141" t="str">
        <f>IFERROR(IF($D474="","",VLOOKUP($D474,Cadastro!$C$4:$E$7,3,FALSE)),"")</f>
        <v/>
      </c>
      <c r="G474" s="106"/>
      <c r="H474" s="141" t="str">
        <f>IFERROR(IF($G474="","",$G474*$S$486/$G$486/Cadastro!$E$33),"")</f>
        <v/>
      </c>
      <c r="I474" s="142" t="str">
        <f>IFERROR(IF($D474="","",VLOOKUP($D474,Cadastro!$C$4:$G$7,5,FALSE)),"")</f>
        <v/>
      </c>
      <c r="J474" s="143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9">
        <v>46252</v>
      </c>
      <c r="B475" s="32">
        <f t="shared" ref="B475:B485" si="121">B474+TIME(0,60,0)</f>
        <v>0.87499999999999967</v>
      </c>
      <c r="C475" s="26"/>
      <c r="D475" s="59"/>
      <c r="E475" s="109"/>
      <c r="F475" s="135" t="str">
        <f>IFERROR(IF($D475="","",VLOOKUP($D475,Cadastro!$C$4:$E$7,3,FALSE)),"")</f>
        <v/>
      </c>
      <c r="G475" s="106"/>
      <c r="H475" s="135" t="str">
        <f>IFERROR(IF($G475="","",$G475*$S$486/$G$486/Cadastro!$E$33),"")</f>
        <v/>
      </c>
      <c r="I475" s="136" t="str">
        <f>IFERROR(IF($D475="","",VLOOKUP($D475,Cadastro!$C$4:$G$7,5,FALSE)),"")</f>
        <v/>
      </c>
      <c r="J475" s="137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8">
        <v>46252</v>
      </c>
      <c r="B476" s="25">
        <f t="shared" si="121"/>
        <v>0.9166666666666663</v>
      </c>
      <c r="C476" s="26"/>
      <c r="D476" s="59"/>
      <c r="E476" s="109"/>
      <c r="F476" s="135" t="str">
        <f>IFERROR(IF($D476="","",VLOOKUP($D476,Cadastro!$C$4:$E$7,3,FALSE)),"")</f>
        <v/>
      </c>
      <c r="G476" s="106"/>
      <c r="H476" s="135" t="str">
        <f>IFERROR(IF($G476="","",$G476*$S$486/$G$486/Cadastro!$E$33),"")</f>
        <v/>
      </c>
      <c r="I476" s="136" t="str">
        <f>IFERROR(IF($D476="","",VLOOKUP($D476,Cadastro!$C$4:$G$7,5,FALSE)),"")</f>
        <v/>
      </c>
      <c r="J476" s="137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9">
        <v>46252</v>
      </c>
      <c r="B477" s="32">
        <f t="shared" si="121"/>
        <v>0.95833333333333293</v>
      </c>
      <c r="C477" s="26"/>
      <c r="D477" s="59"/>
      <c r="E477" s="109"/>
      <c r="F477" s="135" t="str">
        <f>IFERROR(IF($D477="","",VLOOKUP($D477,Cadastro!$C$4:$E$7,3,FALSE)),"")</f>
        <v/>
      </c>
      <c r="G477" s="106"/>
      <c r="H477" s="135" t="str">
        <f>IFERROR(IF($G477="","",$G477*$S$486/$G$486/Cadastro!$E$33),"")</f>
        <v/>
      </c>
      <c r="I477" s="136" t="str">
        <f>IFERROR(IF($D477="","",VLOOKUP($D477,Cadastro!$C$4:$G$7,5,FALSE)),"")</f>
        <v/>
      </c>
      <c r="J477" s="137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8">
        <v>46252</v>
      </c>
      <c r="B478" s="25">
        <f t="shared" si="121"/>
        <v>0.99999999999999956</v>
      </c>
      <c r="C478" s="26"/>
      <c r="D478" s="59"/>
      <c r="E478" s="109"/>
      <c r="F478" s="135" t="str">
        <f>IFERROR(IF($D478="","",VLOOKUP($D478,Cadastro!$C$4:$E$7,3,FALSE)),"")</f>
        <v/>
      </c>
      <c r="G478" s="106"/>
      <c r="H478" s="135" t="str">
        <f>IFERROR(IF($G478="","",$G478*$S$486/$G$486/Cadastro!$E$33),"")</f>
        <v/>
      </c>
      <c r="I478" s="136" t="str">
        <f>IFERROR(IF($D478="","",VLOOKUP($D478,Cadastro!$C$4:$G$7,5,FALSE)),"")</f>
        <v/>
      </c>
      <c r="J478" s="137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9">
        <v>46252</v>
      </c>
      <c r="B479" s="32">
        <f t="shared" si="121"/>
        <v>1.0416666666666663</v>
      </c>
      <c r="C479" s="26"/>
      <c r="D479" s="59"/>
      <c r="E479" s="109"/>
      <c r="F479" s="135" t="str">
        <f>IFERROR(IF($D479="","",VLOOKUP($D479,Cadastro!$C$4:$E$7,3,FALSE)),"")</f>
        <v/>
      </c>
      <c r="G479" s="106"/>
      <c r="H479" s="135" t="str">
        <f>IFERROR(IF($G479="","",$G479*$S$486/$G$486/Cadastro!$E$33),"")</f>
        <v/>
      </c>
      <c r="I479" s="136" t="str">
        <f>IFERROR(IF($D479="","",VLOOKUP($D479,Cadastro!$C$4:$G$7,5,FALSE)),"")</f>
        <v/>
      </c>
      <c r="J479" s="137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8">
        <v>46252</v>
      </c>
      <c r="B480" s="25">
        <f t="shared" si="121"/>
        <v>1.083333333333333</v>
      </c>
      <c r="C480" s="26"/>
      <c r="D480" s="59"/>
      <c r="E480" s="109"/>
      <c r="F480" s="135" t="str">
        <f>IFERROR(IF($D480="","",VLOOKUP($D480,Cadastro!$C$4:$E$7,3,FALSE)),"")</f>
        <v/>
      </c>
      <c r="G480" s="106"/>
      <c r="H480" s="135" t="str">
        <f>IFERROR(IF($G480="","",$G480*$S$486/$G$486/Cadastro!$E$33),"")</f>
        <v/>
      </c>
      <c r="I480" s="136" t="str">
        <f>IFERROR(IF($D480="","",VLOOKUP($D480,Cadastro!$C$4:$G$7,5,FALSE)),"")</f>
        <v/>
      </c>
      <c r="J480" s="137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9">
        <v>46252</v>
      </c>
      <c r="B481" s="32">
        <f t="shared" si="121"/>
        <v>1.1249999999999998</v>
      </c>
      <c r="C481" s="26"/>
      <c r="D481" s="59"/>
      <c r="E481" s="109"/>
      <c r="F481" s="135" t="str">
        <f>IFERROR(IF($D481="","",VLOOKUP($D481,Cadastro!$C$4:$E$7,3,FALSE)),"")</f>
        <v/>
      </c>
      <c r="G481" s="106"/>
      <c r="H481" s="135" t="str">
        <f>IFERROR(IF($G481="","",$G481*$S$486/$G$486/Cadastro!$E$33),"")</f>
        <v/>
      </c>
      <c r="I481" s="136" t="str">
        <f>IFERROR(IF($D481="","",VLOOKUP($D481,Cadastro!$C$4:$G$7,5,FALSE)),"")</f>
        <v/>
      </c>
      <c r="J481" s="137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8">
        <v>46252</v>
      </c>
      <c r="B482" s="25">
        <f t="shared" si="121"/>
        <v>1.1666666666666665</v>
      </c>
      <c r="C482" s="26"/>
      <c r="D482" s="59"/>
      <c r="E482" s="109"/>
      <c r="F482" s="135" t="str">
        <f>IFERROR(IF($D482="","",VLOOKUP($D482,Cadastro!$C$4:$E$7,3,FALSE)),"")</f>
        <v/>
      </c>
      <c r="G482" s="106"/>
      <c r="H482" s="135" t="str">
        <f>IFERROR(IF($G482="","",$G482*$S$486/$G$486/Cadastro!$E$33),"")</f>
        <v/>
      </c>
      <c r="I482" s="136" t="str">
        <f>IFERROR(IF($D482="","",VLOOKUP($D482,Cadastro!$C$4:$G$7,5,FALSE)),"")</f>
        <v/>
      </c>
      <c r="J482" s="137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9">
        <v>46252</v>
      </c>
      <c r="B483" s="32">
        <f t="shared" si="121"/>
        <v>1.2083333333333333</v>
      </c>
      <c r="C483" s="26"/>
      <c r="D483" s="59"/>
      <c r="E483" s="109"/>
      <c r="F483" s="135" t="str">
        <f>IFERROR(IF($D483="","",VLOOKUP($D483,Cadastro!$C$4:$E$7,3,FALSE)),"")</f>
        <v/>
      </c>
      <c r="G483" s="106"/>
      <c r="H483" s="135" t="str">
        <f>IFERROR(IF($G483="","",$G483*$S$486/$G$486/Cadastro!$E$33),"")</f>
        <v/>
      </c>
      <c r="I483" s="136" t="str">
        <f>IFERROR(IF($D483="","",VLOOKUP($D483,Cadastro!$C$4:$G$7,5,FALSE)),"")</f>
        <v/>
      </c>
      <c r="J483" s="137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8">
        <v>46252</v>
      </c>
      <c r="B484" s="25">
        <f t="shared" si="121"/>
        <v>1.25</v>
      </c>
      <c r="C484" s="26"/>
      <c r="D484" s="59"/>
      <c r="E484" s="109"/>
      <c r="F484" s="135" t="str">
        <f>IFERROR(IF($D484="","",VLOOKUP($D484,Cadastro!$C$4:$E$7,3,FALSE)),"")</f>
        <v/>
      </c>
      <c r="G484" s="106"/>
      <c r="H484" s="135" t="str">
        <f>IFERROR(IF($G484="","",$G484*$S$486/$G$486/Cadastro!$E$33),"")</f>
        <v/>
      </c>
      <c r="I484" s="136" t="str">
        <f>IFERROR(IF($D484="","",VLOOKUP($D484,Cadastro!$C$4:$G$7,5,FALSE)),"")</f>
        <v/>
      </c>
      <c r="J484" s="137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9">
        <v>46252</v>
      </c>
      <c r="B485" s="32">
        <f t="shared" si="121"/>
        <v>1.2916666666666667</v>
      </c>
      <c r="C485" s="26"/>
      <c r="D485" s="59"/>
      <c r="E485" s="109"/>
      <c r="F485" s="138" t="str">
        <f>IFERROR(IF($D485="","",VLOOKUP($D485,Cadastro!$C$4:$E$7,3,FALSE)),"")</f>
        <v/>
      </c>
      <c r="G485" s="106"/>
      <c r="H485" s="138" t="str">
        <f>IFERROR(IF($G485="","",$G485*$S$486/$G$486/Cadastro!$E$33),"")</f>
        <v/>
      </c>
      <c r="I485" s="139" t="str">
        <f>IFERROR(IF($D485="","",VLOOKUP($D485,Cadastro!$C$4:$G$7,5,FALSE)),"")</f>
        <v/>
      </c>
      <c r="J485" s="140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2" t="s">
        <v>244</v>
      </c>
      <c r="B486" s="153"/>
      <c r="C486" s="153"/>
      <c r="D486" s="153"/>
      <c r="E486" s="153">
        <f>SUM(E474:E485)</f>
        <v>0</v>
      </c>
      <c r="F486" s="112"/>
      <c r="G486" s="81">
        <f>SUM(G474:G485)</f>
        <v>0</v>
      </c>
      <c r="H486" s="112">
        <f>IFERROR(SUM(H474:H485),"")</f>
        <v>0</v>
      </c>
      <c r="I486" s="116"/>
      <c r="J486" s="125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20">
        <f>IFERROR(J486,"")</f>
        <v>0</v>
      </c>
    </row>
    <row r="487" spans="1:20" ht="18" customHeight="1">
      <c r="A487" s="150" t="s">
        <v>245</v>
      </c>
      <c r="B487" s="151"/>
      <c r="C487" s="151"/>
      <c r="D487" s="151"/>
      <c r="E487" s="151">
        <f>E473+E486</f>
        <v>0</v>
      </c>
      <c r="F487" s="113"/>
      <c r="G487" s="92">
        <f>G473+G486</f>
        <v>0</v>
      </c>
      <c r="H487" s="113">
        <f>IFERROR(H473+H486,"")</f>
        <v>0</v>
      </c>
      <c r="I487" s="117"/>
      <c r="J487" s="126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2">
        <f>IFERROR(J487,"")</f>
        <v>0</v>
      </c>
    </row>
    <row r="488" spans="1:20" ht="15" customHeight="1">
      <c r="A488" s="68">
        <v>46253</v>
      </c>
      <c r="B488" s="25">
        <v>0.33333333333333298</v>
      </c>
      <c r="C488" s="26"/>
      <c r="D488" s="59"/>
      <c r="E488" s="109"/>
      <c r="F488" s="141" t="str">
        <f>IFERROR(IF($D488="","",VLOOKUP($D488,Cadastro!$C$4:$E$7,3,FALSE)),"")</f>
        <v/>
      </c>
      <c r="G488" s="106"/>
      <c r="H488" s="141" t="str">
        <f>IFERROR(IF($G488="","",$G488*$S$500/$G$500/Cadastro!$E$33),"")</f>
        <v/>
      </c>
      <c r="I488" s="142" t="str">
        <f>IFERROR(IF($D488="","",VLOOKUP($D488,Cadastro!$C$4:$G$7,5,FALSE)),"")</f>
        <v/>
      </c>
      <c r="J488" s="143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9">
        <v>46253</v>
      </c>
      <c r="B489" s="32">
        <f t="shared" ref="B489:B499" si="124">B488+TIME(0,60,0)</f>
        <v>0.37499999999999967</v>
      </c>
      <c r="C489" s="26"/>
      <c r="D489" s="59"/>
      <c r="E489" s="109"/>
      <c r="F489" s="135" t="str">
        <f>IFERROR(IF($D489="","",VLOOKUP($D489,Cadastro!$C$4:$E$7,3,FALSE)),"")</f>
        <v/>
      </c>
      <c r="G489" s="106"/>
      <c r="H489" s="135" t="str">
        <f>IFERROR(IF($G489="","",$G489*$S$500/$G$500/Cadastro!$E$33),"")</f>
        <v/>
      </c>
      <c r="I489" s="136" t="str">
        <f>IFERROR(IF($D489="","",VLOOKUP($D489,Cadastro!$C$4:$G$7,5,FALSE)),"")</f>
        <v/>
      </c>
      <c r="J489" s="137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8">
        <v>46253</v>
      </c>
      <c r="B490" s="25">
        <f t="shared" si="124"/>
        <v>0.41666666666666635</v>
      </c>
      <c r="C490" s="26"/>
      <c r="D490" s="59"/>
      <c r="E490" s="109"/>
      <c r="F490" s="135" t="str">
        <f>IFERROR(IF($D490="","",VLOOKUP($D490,Cadastro!$C$4:$E$7,3,FALSE)),"")</f>
        <v/>
      </c>
      <c r="G490" s="106"/>
      <c r="H490" s="135" t="str">
        <f>IFERROR(IF($G490="","",$G490*$S$500/$G$500/Cadastro!$E$33),"")</f>
        <v/>
      </c>
      <c r="I490" s="136" t="str">
        <f>IFERROR(IF($D490="","",VLOOKUP($D490,Cadastro!$C$4:$G$7,5,FALSE)),"")</f>
        <v/>
      </c>
      <c r="J490" s="137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9">
        <v>46253</v>
      </c>
      <c r="B491" s="32">
        <f t="shared" si="124"/>
        <v>0.45833333333333304</v>
      </c>
      <c r="C491" s="26"/>
      <c r="D491" s="59"/>
      <c r="E491" s="109"/>
      <c r="F491" s="135" t="str">
        <f>IFERROR(IF($D491="","",VLOOKUP($D491,Cadastro!$C$4:$E$7,3,FALSE)),"")</f>
        <v/>
      </c>
      <c r="G491" s="106"/>
      <c r="H491" s="135" t="str">
        <f>IFERROR(IF($G491="","",$G491*$S$500/$G$500/Cadastro!$E$33),"")</f>
        <v/>
      </c>
      <c r="I491" s="136" t="str">
        <f>IFERROR(IF($D491="","",VLOOKUP($D491,Cadastro!$C$4:$G$7,5,FALSE)),"")</f>
        <v/>
      </c>
      <c r="J491" s="137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8">
        <v>46253</v>
      </c>
      <c r="B492" s="25">
        <f t="shared" si="124"/>
        <v>0.49999999999999972</v>
      </c>
      <c r="C492" s="26"/>
      <c r="D492" s="59"/>
      <c r="E492" s="109"/>
      <c r="F492" s="135" t="str">
        <f>IFERROR(IF($D492="","",VLOOKUP($D492,Cadastro!$C$4:$E$7,3,FALSE)),"")</f>
        <v/>
      </c>
      <c r="G492" s="106"/>
      <c r="H492" s="135" t="str">
        <f>IFERROR(IF($G492="","",$G492*$S$500/$G$500/Cadastro!$E$33),"")</f>
        <v/>
      </c>
      <c r="I492" s="136" t="str">
        <f>IFERROR(IF($D492="","",VLOOKUP($D492,Cadastro!$C$4:$G$7,5,FALSE)),"")</f>
        <v/>
      </c>
      <c r="J492" s="137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9">
        <v>46253</v>
      </c>
      <c r="B493" s="32">
        <f t="shared" si="124"/>
        <v>0.54166666666666641</v>
      </c>
      <c r="C493" s="26"/>
      <c r="D493" s="59"/>
      <c r="E493" s="109"/>
      <c r="F493" s="135" t="str">
        <f>IFERROR(IF($D493="","",VLOOKUP($D493,Cadastro!$C$4:$E$7,3,FALSE)),"")</f>
        <v/>
      </c>
      <c r="G493" s="106"/>
      <c r="H493" s="135" t="str">
        <f>IFERROR(IF($G493="","",$G493*$S$500/$G$500/Cadastro!$E$33),"")</f>
        <v/>
      </c>
      <c r="I493" s="136" t="str">
        <f>IFERROR(IF($D493="","",VLOOKUP($D493,Cadastro!$C$4:$G$7,5,FALSE)),"")</f>
        <v/>
      </c>
      <c r="J493" s="137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8">
        <v>46253</v>
      </c>
      <c r="B494" s="25">
        <f t="shared" si="124"/>
        <v>0.58333333333333304</v>
      </c>
      <c r="C494" s="26"/>
      <c r="D494" s="59"/>
      <c r="E494" s="109"/>
      <c r="F494" s="135" t="str">
        <f>IFERROR(IF($D494="","",VLOOKUP($D494,Cadastro!$C$4:$E$7,3,FALSE)),"")</f>
        <v/>
      </c>
      <c r="G494" s="106"/>
      <c r="H494" s="135" t="str">
        <f>IFERROR(IF($G494="","",$G494*$S$500/$G$500/Cadastro!$E$33),"")</f>
        <v/>
      </c>
      <c r="I494" s="136" t="str">
        <f>IFERROR(IF($D494="","",VLOOKUP($D494,Cadastro!$C$4:$G$7,5,FALSE)),"")</f>
        <v/>
      </c>
      <c r="J494" s="137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9">
        <v>46253</v>
      </c>
      <c r="B495" s="32">
        <f t="shared" si="124"/>
        <v>0.62499999999999967</v>
      </c>
      <c r="C495" s="26"/>
      <c r="D495" s="59"/>
      <c r="E495" s="109"/>
      <c r="F495" s="135" t="str">
        <f>IFERROR(IF($D495="","",VLOOKUP($D495,Cadastro!$C$4:$E$7,3,FALSE)),"")</f>
        <v/>
      </c>
      <c r="G495" s="106"/>
      <c r="H495" s="135" t="str">
        <f>IFERROR(IF($G495="","",$G495*$S$500/$G$500/Cadastro!$E$33),"")</f>
        <v/>
      </c>
      <c r="I495" s="136" t="str">
        <f>IFERROR(IF($D495="","",VLOOKUP($D495,Cadastro!$C$4:$G$7,5,FALSE)),"")</f>
        <v/>
      </c>
      <c r="J495" s="137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8">
        <v>46253</v>
      </c>
      <c r="B496" s="25">
        <f t="shared" si="124"/>
        <v>0.6666666666666663</v>
      </c>
      <c r="C496" s="26"/>
      <c r="D496" s="59"/>
      <c r="E496" s="109"/>
      <c r="F496" s="135" t="str">
        <f>IFERROR(IF($D496="","",VLOOKUP($D496,Cadastro!$C$4:$E$7,3,FALSE)),"")</f>
        <v/>
      </c>
      <c r="G496" s="106"/>
      <c r="H496" s="135" t="str">
        <f>IFERROR(IF($G496="","",$G496*$S$500/$G$500/Cadastro!$E$33),"")</f>
        <v/>
      </c>
      <c r="I496" s="136" t="str">
        <f>IFERROR(IF($D496="","",VLOOKUP($D496,Cadastro!$C$4:$G$7,5,FALSE)),"")</f>
        <v/>
      </c>
      <c r="J496" s="137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9">
        <v>46253</v>
      </c>
      <c r="B497" s="32">
        <f t="shared" si="124"/>
        <v>0.70833333333333293</v>
      </c>
      <c r="C497" s="26"/>
      <c r="D497" s="59"/>
      <c r="E497" s="109"/>
      <c r="F497" s="135" t="str">
        <f>IFERROR(IF($D497="","",VLOOKUP($D497,Cadastro!$C$4:$E$7,3,FALSE)),"")</f>
        <v/>
      </c>
      <c r="G497" s="106"/>
      <c r="H497" s="135" t="str">
        <f>IFERROR(IF($G497="","",$G497*$S$500/$G$500/Cadastro!$E$33),"")</f>
        <v/>
      </c>
      <c r="I497" s="136" t="str">
        <f>IFERROR(IF($D497="","",VLOOKUP($D497,Cadastro!$C$4:$G$7,5,FALSE)),"")</f>
        <v/>
      </c>
      <c r="J497" s="137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8">
        <v>46253</v>
      </c>
      <c r="B498" s="25">
        <f t="shared" si="124"/>
        <v>0.74999999999999956</v>
      </c>
      <c r="C498" s="26"/>
      <c r="D498" s="59"/>
      <c r="E498" s="109"/>
      <c r="F498" s="135" t="str">
        <f>IFERROR(IF($D498="","",VLOOKUP($D498,Cadastro!$C$4:$E$7,3,FALSE)),"")</f>
        <v/>
      </c>
      <c r="G498" s="106"/>
      <c r="H498" s="135" t="str">
        <f>IFERROR(IF($G498="","",$G498*$S$500/$G$500/Cadastro!$E$33),"")</f>
        <v/>
      </c>
      <c r="I498" s="136" t="str">
        <f>IFERROR(IF($D498="","",VLOOKUP($D498,Cadastro!$C$4:$G$7,5,FALSE)),"")</f>
        <v/>
      </c>
      <c r="J498" s="137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9">
        <v>46253</v>
      </c>
      <c r="B499" s="32">
        <f t="shared" si="124"/>
        <v>0.79166666666666619</v>
      </c>
      <c r="C499" s="26"/>
      <c r="D499" s="59"/>
      <c r="E499" s="109"/>
      <c r="F499" s="138" t="str">
        <f>IFERROR(IF($D499="","",VLOOKUP($D499,Cadastro!$C$4:$E$7,3,FALSE)),"")</f>
        <v/>
      </c>
      <c r="G499" s="106"/>
      <c r="H499" s="138" t="str">
        <f>IFERROR(IF($G499="","",$G499*$S$500/$G$500/Cadastro!$E$33),"")</f>
        <v/>
      </c>
      <c r="I499" s="139" t="str">
        <f>IFERROR(IF($D499="","",VLOOKUP($D499,Cadastro!$C$4:$G$7,5,FALSE)),"")</f>
        <v/>
      </c>
      <c r="J499" s="140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2" t="s">
        <v>241</v>
      </c>
      <c r="B500" s="153"/>
      <c r="C500" s="153"/>
      <c r="D500" s="153"/>
      <c r="E500" s="153">
        <f>SUM(E488:E499)</f>
        <v>0</v>
      </c>
      <c r="F500" s="111"/>
      <c r="G500" s="81">
        <f>SUM(G488:G499)</f>
        <v>0</v>
      </c>
      <c r="H500" s="111">
        <f>IFERROR(SUM(H488:H499),"")</f>
        <v>0</v>
      </c>
      <c r="I500" s="115"/>
      <c r="J500" s="124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20">
        <f>IFERROR(J500,"")</f>
        <v>0</v>
      </c>
    </row>
    <row r="501" spans="1:20" ht="15" customHeight="1">
      <c r="A501" s="69">
        <v>46253</v>
      </c>
      <c r="B501" s="32">
        <v>0.83333333333333304</v>
      </c>
      <c r="C501" s="33"/>
      <c r="D501" s="62"/>
      <c r="E501" s="110"/>
      <c r="F501" s="141" t="str">
        <f>IFERROR(IF($D501="","",VLOOKUP($D501,Cadastro!$C$4:$E$7,3,FALSE)),"")</f>
        <v/>
      </c>
      <c r="G501" s="106"/>
      <c r="H501" s="141" t="str">
        <f>IFERROR(IF($G501="","",$G501*$S$513/$G$513/Cadastro!$E$33),"")</f>
        <v/>
      </c>
      <c r="I501" s="142" t="str">
        <f>IFERROR(IF($D501="","",VLOOKUP($D501,Cadastro!$C$4:$G$7,5,FALSE)),"")</f>
        <v/>
      </c>
      <c r="J501" s="143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8">
        <v>46253</v>
      </c>
      <c r="B502" s="25">
        <f t="shared" ref="B502:B512" si="129">B501+TIME(0,60,0)</f>
        <v>0.87499999999999967</v>
      </c>
      <c r="C502" s="33"/>
      <c r="D502" s="62"/>
      <c r="E502" s="110"/>
      <c r="F502" s="135" t="str">
        <f>IFERROR(IF($D502="","",VLOOKUP($D502,Cadastro!$C$4:$E$7,3,FALSE)),"")</f>
        <v/>
      </c>
      <c r="G502" s="106"/>
      <c r="H502" s="135" t="str">
        <f>IFERROR(IF($G502="","",$G502*$S$513/$G$513/Cadastro!$E$33),"")</f>
        <v/>
      </c>
      <c r="I502" s="136" t="str">
        <f>IFERROR(IF($D502="","",VLOOKUP($D502,Cadastro!$C$4:$G$7,5,FALSE)),"")</f>
        <v/>
      </c>
      <c r="J502" s="137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9">
        <v>46253</v>
      </c>
      <c r="B503" s="32">
        <f t="shared" si="129"/>
        <v>0.9166666666666663</v>
      </c>
      <c r="C503" s="33"/>
      <c r="D503" s="62"/>
      <c r="E503" s="110"/>
      <c r="F503" s="135" t="str">
        <f>IFERROR(IF($D503="","",VLOOKUP($D503,Cadastro!$C$4:$E$7,3,FALSE)),"")</f>
        <v/>
      </c>
      <c r="G503" s="106"/>
      <c r="H503" s="135" t="str">
        <f>IFERROR(IF($G503="","",$G503*$S$513/$G$513/Cadastro!$E$33),"")</f>
        <v/>
      </c>
      <c r="I503" s="136" t="str">
        <f>IFERROR(IF($D503="","",VLOOKUP($D503,Cadastro!$C$4:$G$7,5,FALSE)),"")</f>
        <v/>
      </c>
      <c r="J503" s="137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8">
        <v>46253</v>
      </c>
      <c r="B504" s="25">
        <f t="shared" si="129"/>
        <v>0.95833333333333293</v>
      </c>
      <c r="C504" s="33"/>
      <c r="D504" s="62"/>
      <c r="E504" s="110"/>
      <c r="F504" s="135" t="str">
        <f>IFERROR(IF($D504="","",VLOOKUP($D504,Cadastro!$C$4:$E$7,3,FALSE)),"")</f>
        <v/>
      </c>
      <c r="G504" s="106"/>
      <c r="H504" s="135" t="str">
        <f>IFERROR(IF($G504="","",$G504*$S$513/$G$513/Cadastro!$E$33),"")</f>
        <v/>
      </c>
      <c r="I504" s="136" t="str">
        <f>IFERROR(IF($D504="","",VLOOKUP($D504,Cadastro!$C$4:$G$7,5,FALSE)),"")</f>
        <v/>
      </c>
      <c r="J504" s="137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9">
        <v>46253</v>
      </c>
      <c r="B505" s="32">
        <f t="shared" si="129"/>
        <v>0.99999999999999956</v>
      </c>
      <c r="C505" s="33"/>
      <c r="D505" s="62"/>
      <c r="E505" s="110"/>
      <c r="F505" s="135" t="str">
        <f>IFERROR(IF($D505="","",VLOOKUP($D505,Cadastro!$C$4:$E$7,3,FALSE)),"")</f>
        <v/>
      </c>
      <c r="G505" s="106"/>
      <c r="H505" s="135" t="str">
        <f>IFERROR(IF($G505="","",$G505*$S$513/$G$513/Cadastro!$E$33),"")</f>
        <v/>
      </c>
      <c r="I505" s="136" t="str">
        <f>IFERROR(IF($D505="","",VLOOKUP($D505,Cadastro!$C$4:$G$7,5,FALSE)),"")</f>
        <v/>
      </c>
      <c r="J505" s="137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8">
        <v>46253</v>
      </c>
      <c r="B506" s="25">
        <f t="shared" si="129"/>
        <v>1.0416666666666663</v>
      </c>
      <c r="C506" s="33"/>
      <c r="D506" s="62"/>
      <c r="E506" s="110"/>
      <c r="F506" s="135" t="str">
        <f>IFERROR(IF($D506="","",VLOOKUP($D506,Cadastro!$C$4:$E$7,3,FALSE)),"")</f>
        <v/>
      </c>
      <c r="G506" s="106"/>
      <c r="H506" s="135" t="str">
        <f>IFERROR(IF($G506="","",$G506*$S$513/$G$513/Cadastro!$E$33),"")</f>
        <v/>
      </c>
      <c r="I506" s="136" t="str">
        <f>IFERROR(IF($D506="","",VLOOKUP($D506,Cadastro!$C$4:$G$7,5,FALSE)),"")</f>
        <v/>
      </c>
      <c r="J506" s="137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9">
        <v>46253</v>
      </c>
      <c r="B507" s="32">
        <f t="shared" si="129"/>
        <v>1.083333333333333</v>
      </c>
      <c r="C507" s="33"/>
      <c r="D507" s="62"/>
      <c r="E507" s="110"/>
      <c r="F507" s="135" t="str">
        <f>IFERROR(IF($D507="","",VLOOKUP($D507,Cadastro!$C$4:$E$7,3,FALSE)),"")</f>
        <v/>
      </c>
      <c r="G507" s="106"/>
      <c r="H507" s="135" t="str">
        <f>IFERROR(IF($G507="","",$G507*$S$513/$G$513/Cadastro!$E$33),"")</f>
        <v/>
      </c>
      <c r="I507" s="136" t="str">
        <f>IFERROR(IF($D507="","",VLOOKUP($D507,Cadastro!$C$4:$G$7,5,FALSE)),"")</f>
        <v/>
      </c>
      <c r="J507" s="137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8">
        <v>46253</v>
      </c>
      <c r="B508" s="25">
        <f t="shared" si="129"/>
        <v>1.1249999999999998</v>
      </c>
      <c r="C508" s="33"/>
      <c r="D508" s="62"/>
      <c r="E508" s="110"/>
      <c r="F508" s="135" t="str">
        <f>IFERROR(IF($D508="","",VLOOKUP($D508,Cadastro!$C$4:$E$7,3,FALSE)),"")</f>
        <v/>
      </c>
      <c r="G508" s="106"/>
      <c r="H508" s="135" t="str">
        <f>IFERROR(IF($G508="","",$G508*$S$513/$G$513/Cadastro!$E$33),"")</f>
        <v/>
      </c>
      <c r="I508" s="136" t="str">
        <f>IFERROR(IF($D508="","",VLOOKUP($D508,Cadastro!$C$4:$G$7,5,FALSE)),"")</f>
        <v/>
      </c>
      <c r="J508" s="137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9">
        <v>46253</v>
      </c>
      <c r="B509" s="32">
        <f t="shared" si="129"/>
        <v>1.1666666666666665</v>
      </c>
      <c r="C509" s="33"/>
      <c r="D509" s="62"/>
      <c r="E509" s="110"/>
      <c r="F509" s="135" t="str">
        <f>IFERROR(IF($D509="","",VLOOKUP($D509,Cadastro!$C$4:$E$7,3,FALSE)),"")</f>
        <v/>
      </c>
      <c r="G509" s="106"/>
      <c r="H509" s="135" t="str">
        <f>IFERROR(IF($G509="","",$G509*$S$513/$G$513/Cadastro!$E$33),"")</f>
        <v/>
      </c>
      <c r="I509" s="136" t="str">
        <f>IFERROR(IF($D509="","",VLOOKUP($D509,Cadastro!$C$4:$G$7,5,FALSE)),"")</f>
        <v/>
      </c>
      <c r="J509" s="137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8">
        <v>46253</v>
      </c>
      <c r="B510" s="25">
        <f t="shared" si="129"/>
        <v>1.2083333333333333</v>
      </c>
      <c r="C510" s="33"/>
      <c r="D510" s="62"/>
      <c r="E510" s="110"/>
      <c r="F510" s="135" t="str">
        <f>IFERROR(IF($D510="","",VLOOKUP($D510,Cadastro!$C$4:$E$7,3,FALSE)),"")</f>
        <v/>
      </c>
      <c r="G510" s="106"/>
      <c r="H510" s="135" t="str">
        <f>IFERROR(IF($G510="","",$G510*$S$513/$G$513/Cadastro!$E$33),"")</f>
        <v/>
      </c>
      <c r="I510" s="136" t="str">
        <f>IFERROR(IF($D510="","",VLOOKUP($D510,Cadastro!$C$4:$G$7,5,FALSE)),"")</f>
        <v/>
      </c>
      <c r="J510" s="137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9">
        <v>46253</v>
      </c>
      <c r="B511" s="32">
        <f t="shared" si="129"/>
        <v>1.25</v>
      </c>
      <c r="C511" s="33"/>
      <c r="D511" s="62"/>
      <c r="E511" s="110"/>
      <c r="F511" s="135" t="str">
        <f>IFERROR(IF($D511="","",VLOOKUP($D511,Cadastro!$C$4:$E$7,3,FALSE)),"")</f>
        <v/>
      </c>
      <c r="G511" s="106"/>
      <c r="H511" s="135" t="str">
        <f>IFERROR(IF($G511="","",$G511*$S$513/$G$513/Cadastro!$E$33),"")</f>
        <v/>
      </c>
      <c r="I511" s="136" t="str">
        <f>IFERROR(IF($D511="","",VLOOKUP($D511,Cadastro!$C$4:$G$7,5,FALSE)),"")</f>
        <v/>
      </c>
      <c r="J511" s="137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8">
        <v>46253</v>
      </c>
      <c r="B512" s="25">
        <f t="shared" si="129"/>
        <v>1.2916666666666667</v>
      </c>
      <c r="C512" s="33"/>
      <c r="D512" s="62"/>
      <c r="E512" s="110"/>
      <c r="F512" s="138" t="str">
        <f>IFERROR(IF($D512="","",VLOOKUP($D512,Cadastro!$C$4:$E$7,3,FALSE)),"")</f>
        <v/>
      </c>
      <c r="G512" s="106"/>
      <c r="H512" s="138" t="str">
        <f>IFERROR(IF($G512="","",$G512*$S$513/$G$513/Cadastro!$E$33),"")</f>
        <v/>
      </c>
      <c r="I512" s="139" t="str">
        <f>IFERROR(IF($D512="","",VLOOKUP($D512,Cadastro!$C$4:$G$7,5,FALSE)),"")</f>
        <v/>
      </c>
      <c r="J512" s="140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2" t="s">
        <v>244</v>
      </c>
      <c r="B513" s="153"/>
      <c r="C513" s="153"/>
      <c r="D513" s="153"/>
      <c r="E513" s="153">
        <f>SUM(E501:E512)</f>
        <v>0</v>
      </c>
      <c r="F513" s="112"/>
      <c r="G513" s="81">
        <f>SUM(G501:G512)</f>
        <v>0</v>
      </c>
      <c r="H513" s="112">
        <f>IFERROR(SUM(H501:H512),"")</f>
        <v>0</v>
      </c>
      <c r="I513" s="116"/>
      <c r="J513" s="125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20">
        <f>IFERROR(J513,"")</f>
        <v>0</v>
      </c>
    </row>
    <row r="514" spans="1:20" ht="18" customHeight="1">
      <c r="A514" s="150" t="s">
        <v>245</v>
      </c>
      <c r="B514" s="151"/>
      <c r="C514" s="151"/>
      <c r="D514" s="151"/>
      <c r="E514" s="151">
        <f>E500+E513</f>
        <v>0</v>
      </c>
      <c r="F514" s="113"/>
      <c r="G514" s="92">
        <f>G500+G513</f>
        <v>0</v>
      </c>
      <c r="H514" s="113">
        <f>IFERROR(H500+H513,"")</f>
        <v>0</v>
      </c>
      <c r="I514" s="117"/>
      <c r="J514" s="126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2">
        <f>IFERROR(J514,"")</f>
        <v>0</v>
      </c>
    </row>
    <row r="515" spans="1:20" ht="15" customHeight="1">
      <c r="A515" s="69">
        <v>46254</v>
      </c>
      <c r="B515" s="32">
        <v>0.33333333333333298</v>
      </c>
      <c r="C515" s="33"/>
      <c r="D515" s="62"/>
      <c r="E515" s="110"/>
      <c r="F515" s="141" t="str">
        <f>IFERROR(IF($D515="","",VLOOKUP($D515,Cadastro!$C$4:$E$7,3,FALSE)),"")</f>
        <v/>
      </c>
      <c r="G515" s="106"/>
      <c r="H515" s="141" t="str">
        <f>IFERROR(IF($G515="","",$G515*$S$527/$G$527/Cadastro!$E$33),"")</f>
        <v/>
      </c>
      <c r="I515" s="142" t="str">
        <f>IFERROR(IF($D515="","",VLOOKUP($D515,Cadastro!$C$4:$G$7,5,FALSE)),"")</f>
        <v/>
      </c>
      <c r="J515" s="143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8">
        <v>46254</v>
      </c>
      <c r="B516" s="25">
        <f t="shared" ref="B516:B526" si="133">B515+TIME(0,60,0)</f>
        <v>0.37499999999999967</v>
      </c>
      <c r="C516" s="33"/>
      <c r="D516" s="62"/>
      <c r="E516" s="110"/>
      <c r="F516" s="135" t="str">
        <f>IFERROR(IF($D516="","",VLOOKUP($D516,Cadastro!$C$4:$E$7,3,FALSE)),"")</f>
        <v/>
      </c>
      <c r="G516" s="106"/>
      <c r="H516" s="135" t="str">
        <f>IFERROR(IF($G516="","",$G516*$S$527/$G$527/Cadastro!$E$33),"")</f>
        <v/>
      </c>
      <c r="I516" s="136" t="str">
        <f>IFERROR(IF($D516="","",VLOOKUP($D516,Cadastro!$C$4:$G$7,5,FALSE)),"")</f>
        <v/>
      </c>
      <c r="J516" s="137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9">
        <v>46254</v>
      </c>
      <c r="B517" s="32">
        <f t="shared" si="133"/>
        <v>0.41666666666666635</v>
      </c>
      <c r="C517" s="33"/>
      <c r="D517" s="62"/>
      <c r="E517" s="110"/>
      <c r="F517" s="135" t="str">
        <f>IFERROR(IF($D517="","",VLOOKUP($D517,Cadastro!$C$4:$E$7,3,FALSE)),"")</f>
        <v/>
      </c>
      <c r="G517" s="106"/>
      <c r="H517" s="135" t="str">
        <f>IFERROR(IF($G517="","",$G517*$S$527/$G$527/Cadastro!$E$33),"")</f>
        <v/>
      </c>
      <c r="I517" s="136" t="str">
        <f>IFERROR(IF($D517="","",VLOOKUP($D517,Cadastro!$C$4:$G$7,5,FALSE)),"")</f>
        <v/>
      </c>
      <c r="J517" s="137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8">
        <v>46254</v>
      </c>
      <c r="B518" s="25">
        <f t="shared" si="133"/>
        <v>0.45833333333333304</v>
      </c>
      <c r="C518" s="33"/>
      <c r="D518" s="62"/>
      <c r="E518" s="110"/>
      <c r="F518" s="135" t="str">
        <f>IFERROR(IF($D518="","",VLOOKUP($D518,Cadastro!$C$4:$E$7,3,FALSE)),"")</f>
        <v/>
      </c>
      <c r="G518" s="106"/>
      <c r="H518" s="135" t="str">
        <f>IFERROR(IF($G518="","",$G518*$S$527/$G$527/Cadastro!$E$33),"")</f>
        <v/>
      </c>
      <c r="I518" s="136" t="str">
        <f>IFERROR(IF($D518="","",VLOOKUP($D518,Cadastro!$C$4:$G$7,5,FALSE)),"")</f>
        <v/>
      </c>
      <c r="J518" s="137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9">
        <v>46254</v>
      </c>
      <c r="B519" s="32">
        <f t="shared" si="133"/>
        <v>0.49999999999999972</v>
      </c>
      <c r="C519" s="33"/>
      <c r="D519" s="62"/>
      <c r="E519" s="110"/>
      <c r="F519" s="135" t="str">
        <f>IFERROR(IF($D519="","",VLOOKUP($D519,Cadastro!$C$4:$E$7,3,FALSE)),"")</f>
        <v/>
      </c>
      <c r="G519" s="106"/>
      <c r="H519" s="135" t="str">
        <f>IFERROR(IF($G519="","",$G519*$S$527/$G$527/Cadastro!$E$33),"")</f>
        <v/>
      </c>
      <c r="I519" s="136" t="str">
        <f>IFERROR(IF($D519="","",VLOOKUP($D519,Cadastro!$C$4:$G$7,5,FALSE)),"")</f>
        <v/>
      </c>
      <c r="J519" s="137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8">
        <v>46254</v>
      </c>
      <c r="B520" s="25">
        <f t="shared" si="133"/>
        <v>0.54166666666666641</v>
      </c>
      <c r="C520" s="33"/>
      <c r="D520" s="62"/>
      <c r="E520" s="110"/>
      <c r="F520" s="135" t="str">
        <f>IFERROR(IF($D520="","",VLOOKUP($D520,Cadastro!$C$4:$E$7,3,FALSE)),"")</f>
        <v/>
      </c>
      <c r="G520" s="106"/>
      <c r="H520" s="135" t="str">
        <f>IFERROR(IF($G520="","",$G520*$S$527/$G$527/Cadastro!$E$33),"")</f>
        <v/>
      </c>
      <c r="I520" s="136" t="str">
        <f>IFERROR(IF($D520="","",VLOOKUP($D520,Cadastro!$C$4:$G$7,5,FALSE)),"")</f>
        <v/>
      </c>
      <c r="J520" s="137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9">
        <v>46254</v>
      </c>
      <c r="B521" s="32">
        <f t="shared" si="133"/>
        <v>0.58333333333333304</v>
      </c>
      <c r="C521" s="33"/>
      <c r="D521" s="62"/>
      <c r="E521" s="110"/>
      <c r="F521" s="135" t="str">
        <f>IFERROR(IF($D521="","",VLOOKUP($D521,Cadastro!$C$4:$E$7,3,FALSE)),"")</f>
        <v/>
      </c>
      <c r="G521" s="106"/>
      <c r="H521" s="135" t="str">
        <f>IFERROR(IF($G521="","",$G521*$S$527/$G$527/Cadastro!$E$33),"")</f>
        <v/>
      </c>
      <c r="I521" s="136" t="str">
        <f>IFERROR(IF($D521="","",VLOOKUP($D521,Cadastro!$C$4:$G$7,5,FALSE)),"")</f>
        <v/>
      </c>
      <c r="J521" s="137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8">
        <v>46254</v>
      </c>
      <c r="B522" s="25">
        <f t="shared" si="133"/>
        <v>0.62499999999999967</v>
      </c>
      <c r="C522" s="33"/>
      <c r="D522" s="62"/>
      <c r="E522" s="110"/>
      <c r="F522" s="135" t="str">
        <f>IFERROR(IF($D522="","",VLOOKUP($D522,Cadastro!$C$4:$E$7,3,FALSE)),"")</f>
        <v/>
      </c>
      <c r="G522" s="106"/>
      <c r="H522" s="135" t="str">
        <f>IFERROR(IF($G522="","",$G522*$S$527/$G$527/Cadastro!$E$33),"")</f>
        <v/>
      </c>
      <c r="I522" s="136" t="str">
        <f>IFERROR(IF($D522="","",VLOOKUP($D522,Cadastro!$C$4:$G$7,5,FALSE)),"")</f>
        <v/>
      </c>
      <c r="J522" s="137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9">
        <v>46254</v>
      </c>
      <c r="B523" s="32">
        <f t="shared" si="133"/>
        <v>0.6666666666666663</v>
      </c>
      <c r="C523" s="33"/>
      <c r="D523" s="62"/>
      <c r="E523" s="110"/>
      <c r="F523" s="135" t="str">
        <f>IFERROR(IF($D523="","",VLOOKUP($D523,Cadastro!$C$4:$E$7,3,FALSE)),"")</f>
        <v/>
      </c>
      <c r="G523" s="106"/>
      <c r="H523" s="135" t="str">
        <f>IFERROR(IF($G523="","",$G523*$S$527/$G$527/Cadastro!$E$33),"")</f>
        <v/>
      </c>
      <c r="I523" s="136" t="str">
        <f>IFERROR(IF($D523="","",VLOOKUP($D523,Cadastro!$C$4:$G$7,5,FALSE)),"")</f>
        <v/>
      </c>
      <c r="J523" s="137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8">
        <v>46254</v>
      </c>
      <c r="B524" s="25">
        <f t="shared" si="133"/>
        <v>0.70833333333333293</v>
      </c>
      <c r="C524" s="33"/>
      <c r="D524" s="62"/>
      <c r="E524" s="110"/>
      <c r="F524" s="135" t="str">
        <f>IFERROR(IF($D524="","",VLOOKUP($D524,Cadastro!$C$4:$E$7,3,FALSE)),"")</f>
        <v/>
      </c>
      <c r="G524" s="106"/>
      <c r="H524" s="135" t="str">
        <f>IFERROR(IF($G524="","",$G524*$S$527/$G$527/Cadastro!$E$33),"")</f>
        <v/>
      </c>
      <c r="I524" s="136" t="str">
        <f>IFERROR(IF($D524="","",VLOOKUP($D524,Cadastro!$C$4:$G$7,5,FALSE)),"")</f>
        <v/>
      </c>
      <c r="J524" s="137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9">
        <v>46254</v>
      </c>
      <c r="B525" s="32">
        <f t="shared" si="133"/>
        <v>0.74999999999999956</v>
      </c>
      <c r="C525" s="33"/>
      <c r="D525" s="62"/>
      <c r="E525" s="110"/>
      <c r="F525" s="135" t="str">
        <f>IFERROR(IF($D525="","",VLOOKUP($D525,Cadastro!$C$4:$E$7,3,FALSE)),"")</f>
        <v/>
      </c>
      <c r="G525" s="106"/>
      <c r="H525" s="135" t="str">
        <f>IFERROR(IF($G525="","",$G525*$S$527/$G$527/Cadastro!$E$33),"")</f>
        <v/>
      </c>
      <c r="I525" s="136" t="str">
        <f>IFERROR(IF($D525="","",VLOOKUP($D525,Cadastro!$C$4:$G$7,5,FALSE)),"")</f>
        <v/>
      </c>
      <c r="J525" s="137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8">
        <v>46254</v>
      </c>
      <c r="B526" s="25">
        <f t="shared" si="133"/>
        <v>0.79166666666666619</v>
      </c>
      <c r="C526" s="33"/>
      <c r="D526" s="62"/>
      <c r="E526" s="110"/>
      <c r="F526" s="138" t="str">
        <f>IFERROR(IF($D526="","",VLOOKUP($D526,Cadastro!$C$4:$E$7,3,FALSE)),"")</f>
        <v/>
      </c>
      <c r="G526" s="106"/>
      <c r="H526" s="138" t="str">
        <f>IFERROR(IF($G526="","",$G526*$S$527/$G$527/Cadastro!$E$33),"")</f>
        <v/>
      </c>
      <c r="I526" s="139" t="str">
        <f>IFERROR(IF($D526="","",VLOOKUP($D526,Cadastro!$C$4:$G$7,5,FALSE)),"")</f>
        <v/>
      </c>
      <c r="J526" s="140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2" t="s">
        <v>241</v>
      </c>
      <c r="B527" s="153"/>
      <c r="C527" s="153"/>
      <c r="D527" s="153"/>
      <c r="E527" s="153">
        <f>SUM(E515:E526)</f>
        <v>0</v>
      </c>
      <c r="F527" s="111"/>
      <c r="G527" s="81">
        <f>SUM(G515:G526)</f>
        <v>0</v>
      </c>
      <c r="H527" s="111">
        <f>IFERROR(SUM(H515:H526),"")</f>
        <v>0</v>
      </c>
      <c r="I527" s="115"/>
      <c r="J527" s="124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20">
        <f>IFERROR(J527,"")</f>
        <v>0</v>
      </c>
    </row>
    <row r="528" spans="1:20" ht="15" customHeight="1">
      <c r="A528" s="68">
        <v>46254</v>
      </c>
      <c r="B528" s="25">
        <v>0.83333333333333304</v>
      </c>
      <c r="C528" s="26"/>
      <c r="D528" s="59"/>
      <c r="E528" s="109"/>
      <c r="F528" s="141" t="str">
        <f>IFERROR(IF($D528="","",VLOOKUP($D528,Cadastro!$C$4:$E$7,3,FALSE)),"")</f>
        <v/>
      </c>
      <c r="G528" s="106"/>
      <c r="H528" s="141" t="str">
        <f>IFERROR(IF($G528="","",$G528*$S$540/$G$540/Cadastro!$E$33),"")</f>
        <v/>
      </c>
      <c r="I528" s="142" t="str">
        <f>IFERROR(IF($D528="","",VLOOKUP($D528,Cadastro!$C$4:$G$7,5,FALSE)),"")</f>
        <v/>
      </c>
      <c r="J528" s="143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9">
        <v>46254</v>
      </c>
      <c r="B529" s="32">
        <f t="shared" ref="B529:B539" si="137">B528+TIME(0,60,0)</f>
        <v>0.87499999999999967</v>
      </c>
      <c r="C529" s="26"/>
      <c r="D529" s="59"/>
      <c r="E529" s="109"/>
      <c r="F529" s="135" t="str">
        <f>IFERROR(IF($D529="","",VLOOKUP($D529,Cadastro!$C$4:$E$7,3,FALSE)),"")</f>
        <v/>
      </c>
      <c r="G529" s="106"/>
      <c r="H529" s="135" t="str">
        <f>IFERROR(IF($G529="","",$G529*$S$540/$G$540/Cadastro!$E$33),"")</f>
        <v/>
      </c>
      <c r="I529" s="136" t="str">
        <f>IFERROR(IF($D529="","",VLOOKUP($D529,Cadastro!$C$4:$G$7,5,FALSE)),"")</f>
        <v/>
      </c>
      <c r="J529" s="137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8">
        <v>46254</v>
      </c>
      <c r="B530" s="25">
        <f t="shared" si="137"/>
        <v>0.9166666666666663</v>
      </c>
      <c r="C530" s="26"/>
      <c r="D530" s="59"/>
      <c r="E530" s="109"/>
      <c r="F530" s="135" t="str">
        <f>IFERROR(IF($D530="","",VLOOKUP($D530,Cadastro!$C$4:$E$7,3,FALSE)),"")</f>
        <v/>
      </c>
      <c r="G530" s="106"/>
      <c r="H530" s="135" t="str">
        <f>IFERROR(IF($G530="","",$G530*$S$540/$G$540/Cadastro!$E$33),"")</f>
        <v/>
      </c>
      <c r="I530" s="136" t="str">
        <f>IFERROR(IF($D530="","",VLOOKUP($D530,Cadastro!$C$4:$G$7,5,FALSE)),"")</f>
        <v/>
      </c>
      <c r="J530" s="137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9">
        <v>46254</v>
      </c>
      <c r="B531" s="32">
        <f t="shared" si="137"/>
        <v>0.95833333333333293</v>
      </c>
      <c r="C531" s="26"/>
      <c r="D531" s="59"/>
      <c r="E531" s="109"/>
      <c r="F531" s="135" t="str">
        <f>IFERROR(IF($D531="","",VLOOKUP($D531,Cadastro!$C$4:$E$7,3,FALSE)),"")</f>
        <v/>
      </c>
      <c r="G531" s="106"/>
      <c r="H531" s="135" t="str">
        <f>IFERROR(IF($G531="","",$G531*$S$540/$G$540/Cadastro!$E$33),"")</f>
        <v/>
      </c>
      <c r="I531" s="136" t="str">
        <f>IFERROR(IF($D531="","",VLOOKUP($D531,Cadastro!$C$4:$G$7,5,FALSE)),"")</f>
        <v/>
      </c>
      <c r="J531" s="137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8">
        <v>46254</v>
      </c>
      <c r="B532" s="25">
        <f t="shared" si="137"/>
        <v>0.99999999999999956</v>
      </c>
      <c r="C532" s="26"/>
      <c r="D532" s="59"/>
      <c r="E532" s="109"/>
      <c r="F532" s="135" t="str">
        <f>IFERROR(IF($D532="","",VLOOKUP($D532,Cadastro!$C$4:$E$7,3,FALSE)),"")</f>
        <v/>
      </c>
      <c r="G532" s="106"/>
      <c r="H532" s="135" t="str">
        <f>IFERROR(IF($G532="","",$G532*$S$540/$G$540/Cadastro!$E$33),"")</f>
        <v/>
      </c>
      <c r="I532" s="136" t="str">
        <f>IFERROR(IF($D532="","",VLOOKUP($D532,Cadastro!$C$4:$G$7,5,FALSE)),"")</f>
        <v/>
      </c>
      <c r="J532" s="137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9">
        <v>46254</v>
      </c>
      <c r="B533" s="32">
        <f t="shared" si="137"/>
        <v>1.0416666666666663</v>
      </c>
      <c r="C533" s="26"/>
      <c r="D533" s="59"/>
      <c r="E533" s="109"/>
      <c r="F533" s="135" t="str">
        <f>IFERROR(IF($D533="","",VLOOKUP($D533,Cadastro!$C$4:$E$7,3,FALSE)),"")</f>
        <v/>
      </c>
      <c r="G533" s="106"/>
      <c r="H533" s="135" t="str">
        <f>IFERROR(IF($G533="","",$G533*$S$540/$G$540/Cadastro!$E$33),"")</f>
        <v/>
      </c>
      <c r="I533" s="136" t="str">
        <f>IFERROR(IF($D533="","",VLOOKUP($D533,Cadastro!$C$4:$G$7,5,FALSE)),"")</f>
        <v/>
      </c>
      <c r="J533" s="137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8">
        <v>46254</v>
      </c>
      <c r="B534" s="25">
        <f t="shared" si="137"/>
        <v>1.083333333333333</v>
      </c>
      <c r="C534" s="26"/>
      <c r="D534" s="59"/>
      <c r="E534" s="109"/>
      <c r="F534" s="135" t="str">
        <f>IFERROR(IF($D534="","",VLOOKUP($D534,Cadastro!$C$4:$E$7,3,FALSE)),"")</f>
        <v/>
      </c>
      <c r="G534" s="106"/>
      <c r="H534" s="135" t="str">
        <f>IFERROR(IF($G534="","",$G534*$S$540/$G$540/Cadastro!$E$33),"")</f>
        <v/>
      </c>
      <c r="I534" s="136" t="str">
        <f>IFERROR(IF($D534="","",VLOOKUP($D534,Cadastro!$C$4:$G$7,5,FALSE)),"")</f>
        <v/>
      </c>
      <c r="J534" s="137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9">
        <v>46254</v>
      </c>
      <c r="B535" s="32">
        <f t="shared" si="137"/>
        <v>1.1249999999999998</v>
      </c>
      <c r="C535" s="26"/>
      <c r="D535" s="59"/>
      <c r="E535" s="109"/>
      <c r="F535" s="135" t="str">
        <f>IFERROR(IF($D535="","",VLOOKUP($D535,Cadastro!$C$4:$E$7,3,FALSE)),"")</f>
        <v/>
      </c>
      <c r="G535" s="106"/>
      <c r="H535" s="135" t="str">
        <f>IFERROR(IF($G535="","",$G535*$S$540/$G$540/Cadastro!$E$33),"")</f>
        <v/>
      </c>
      <c r="I535" s="136" t="str">
        <f>IFERROR(IF($D535="","",VLOOKUP($D535,Cadastro!$C$4:$G$7,5,FALSE)),"")</f>
        <v/>
      </c>
      <c r="J535" s="137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8">
        <v>46254</v>
      </c>
      <c r="B536" s="25">
        <f t="shared" si="137"/>
        <v>1.1666666666666665</v>
      </c>
      <c r="C536" s="26"/>
      <c r="D536" s="59"/>
      <c r="E536" s="109"/>
      <c r="F536" s="135" t="str">
        <f>IFERROR(IF($D536="","",VLOOKUP($D536,Cadastro!$C$4:$E$7,3,FALSE)),"")</f>
        <v/>
      </c>
      <c r="G536" s="106"/>
      <c r="H536" s="135" t="str">
        <f>IFERROR(IF($G536="","",$G536*$S$540/$G$540/Cadastro!$E$33),"")</f>
        <v/>
      </c>
      <c r="I536" s="136" t="str">
        <f>IFERROR(IF($D536="","",VLOOKUP($D536,Cadastro!$C$4:$G$7,5,FALSE)),"")</f>
        <v/>
      </c>
      <c r="J536" s="137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9">
        <v>46254</v>
      </c>
      <c r="B537" s="32">
        <f t="shared" si="137"/>
        <v>1.2083333333333333</v>
      </c>
      <c r="C537" s="26"/>
      <c r="D537" s="59"/>
      <c r="E537" s="109"/>
      <c r="F537" s="135" t="str">
        <f>IFERROR(IF($D537="","",VLOOKUP($D537,Cadastro!$C$4:$E$7,3,FALSE)),"")</f>
        <v/>
      </c>
      <c r="G537" s="106"/>
      <c r="H537" s="135" t="str">
        <f>IFERROR(IF($G537="","",$G537*$S$540/$G$540/Cadastro!$E$33),"")</f>
        <v/>
      </c>
      <c r="I537" s="136" t="str">
        <f>IFERROR(IF($D537="","",VLOOKUP($D537,Cadastro!$C$4:$G$7,5,FALSE)),"")</f>
        <v/>
      </c>
      <c r="J537" s="137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8">
        <v>46254</v>
      </c>
      <c r="B538" s="25">
        <f t="shared" si="137"/>
        <v>1.25</v>
      </c>
      <c r="C538" s="26"/>
      <c r="D538" s="59"/>
      <c r="E538" s="109"/>
      <c r="F538" s="135" t="str">
        <f>IFERROR(IF($D538="","",VLOOKUP($D538,Cadastro!$C$4:$E$7,3,FALSE)),"")</f>
        <v/>
      </c>
      <c r="G538" s="106"/>
      <c r="H538" s="135" t="str">
        <f>IFERROR(IF($G538="","",$G538*$S$540/$G$540/Cadastro!$E$33),"")</f>
        <v/>
      </c>
      <c r="I538" s="136" t="str">
        <f>IFERROR(IF($D538="","",VLOOKUP($D538,Cadastro!$C$4:$G$7,5,FALSE)),"")</f>
        <v/>
      </c>
      <c r="J538" s="137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9">
        <v>46254</v>
      </c>
      <c r="B539" s="32">
        <f t="shared" si="137"/>
        <v>1.2916666666666667</v>
      </c>
      <c r="C539" s="26"/>
      <c r="D539" s="59"/>
      <c r="E539" s="109"/>
      <c r="F539" s="138" t="str">
        <f>IFERROR(IF($D539="","",VLOOKUP($D539,Cadastro!$C$4:$E$7,3,FALSE)),"")</f>
        <v/>
      </c>
      <c r="G539" s="106"/>
      <c r="H539" s="138" t="str">
        <f>IFERROR(IF($G539="","",$G539*$S$540/$G$540/Cadastro!$E$33),"")</f>
        <v/>
      </c>
      <c r="I539" s="139" t="str">
        <f>IFERROR(IF($D539="","",VLOOKUP($D539,Cadastro!$C$4:$G$7,5,FALSE)),"")</f>
        <v/>
      </c>
      <c r="J539" s="140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2" t="s">
        <v>244</v>
      </c>
      <c r="B540" s="153"/>
      <c r="C540" s="153"/>
      <c r="D540" s="153"/>
      <c r="E540" s="153">
        <f>SUM(E528:E539)</f>
        <v>0</v>
      </c>
      <c r="F540" s="112"/>
      <c r="G540" s="81">
        <f>SUM(G528:G539)</f>
        <v>0</v>
      </c>
      <c r="H540" s="112">
        <f>IFERROR(SUM(H528:H539),"")</f>
        <v>0</v>
      </c>
      <c r="I540" s="116"/>
      <c r="J540" s="125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20">
        <f>IFERROR(J540,"")</f>
        <v>0</v>
      </c>
    </row>
    <row r="541" spans="1:20" ht="18" customHeight="1">
      <c r="A541" s="150" t="s">
        <v>245</v>
      </c>
      <c r="B541" s="151"/>
      <c r="C541" s="151"/>
      <c r="D541" s="151"/>
      <c r="E541" s="151">
        <f>E527+E540</f>
        <v>0</v>
      </c>
      <c r="F541" s="113"/>
      <c r="G541" s="92">
        <f>G527+G540</f>
        <v>0</v>
      </c>
      <c r="H541" s="113">
        <f>IFERROR(H527+H540,"")</f>
        <v>0</v>
      </c>
      <c r="I541" s="117"/>
      <c r="J541" s="126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2">
        <f>IFERROR(J541,"")</f>
        <v>0</v>
      </c>
    </row>
    <row r="542" spans="1:20" ht="15" customHeight="1">
      <c r="A542" s="68">
        <v>46255</v>
      </c>
      <c r="B542" s="25">
        <v>0.33333333333333298</v>
      </c>
      <c r="C542" s="26"/>
      <c r="D542" s="59"/>
      <c r="E542" s="109"/>
      <c r="F542" s="141" t="str">
        <f>IFERROR(IF($D542="","",VLOOKUP($D542,Cadastro!$C$4:$E$7,3,FALSE)),"")</f>
        <v/>
      </c>
      <c r="G542" s="106"/>
      <c r="H542" s="141" t="str">
        <f>IFERROR(IF($G542="","",$G542*$S$554/$G$554/Cadastro!$E$33),"")</f>
        <v/>
      </c>
      <c r="I542" s="142" t="str">
        <f>IFERROR(IF($D542="","",VLOOKUP($D542,Cadastro!$C$4:$G$7,5,FALSE)),"")</f>
        <v/>
      </c>
      <c r="J542" s="143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9">
        <v>46255</v>
      </c>
      <c r="B543" s="32">
        <f t="shared" ref="B543:B553" si="141">B542+TIME(0,60,0)</f>
        <v>0.37499999999999967</v>
      </c>
      <c r="C543" s="26"/>
      <c r="D543" s="59"/>
      <c r="E543" s="109"/>
      <c r="F543" s="135" t="str">
        <f>IFERROR(IF($D543="","",VLOOKUP($D543,Cadastro!$C$4:$E$7,3,FALSE)),"")</f>
        <v/>
      </c>
      <c r="G543" s="106"/>
      <c r="H543" s="135" t="str">
        <f>IFERROR(IF($G543="","",$G543*$S$554/$G$554/Cadastro!$E$33),"")</f>
        <v/>
      </c>
      <c r="I543" s="136" t="str">
        <f>IFERROR(IF($D543="","",VLOOKUP($D543,Cadastro!$C$4:$G$7,5,FALSE)),"")</f>
        <v/>
      </c>
      <c r="J543" s="137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8">
        <v>46255</v>
      </c>
      <c r="B544" s="25">
        <f t="shared" si="141"/>
        <v>0.41666666666666635</v>
      </c>
      <c r="C544" s="26"/>
      <c r="D544" s="59"/>
      <c r="E544" s="109"/>
      <c r="F544" s="135" t="str">
        <f>IFERROR(IF($D544="","",VLOOKUP($D544,Cadastro!$C$4:$E$7,3,FALSE)),"")</f>
        <v/>
      </c>
      <c r="G544" s="106"/>
      <c r="H544" s="135" t="str">
        <f>IFERROR(IF($G544="","",$G544*$S$554/$G$554/Cadastro!$E$33),"")</f>
        <v/>
      </c>
      <c r="I544" s="136" t="str">
        <f>IFERROR(IF($D544="","",VLOOKUP($D544,Cadastro!$C$4:$G$7,5,FALSE)),"")</f>
        <v/>
      </c>
      <c r="J544" s="137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9">
        <v>46255</v>
      </c>
      <c r="B545" s="32">
        <f t="shared" si="141"/>
        <v>0.45833333333333304</v>
      </c>
      <c r="C545" s="26"/>
      <c r="D545" s="59"/>
      <c r="E545" s="109"/>
      <c r="F545" s="135" t="str">
        <f>IFERROR(IF($D545="","",VLOOKUP($D545,Cadastro!$C$4:$E$7,3,FALSE)),"")</f>
        <v/>
      </c>
      <c r="G545" s="106"/>
      <c r="H545" s="135" t="str">
        <f>IFERROR(IF($G545="","",$G545*$S$554/$G$554/Cadastro!$E$33),"")</f>
        <v/>
      </c>
      <c r="I545" s="136" t="str">
        <f>IFERROR(IF($D545="","",VLOOKUP($D545,Cadastro!$C$4:$G$7,5,FALSE)),"")</f>
        <v/>
      </c>
      <c r="J545" s="137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8">
        <v>46255</v>
      </c>
      <c r="B546" s="25">
        <f t="shared" si="141"/>
        <v>0.49999999999999972</v>
      </c>
      <c r="C546" s="26"/>
      <c r="D546" s="59"/>
      <c r="E546" s="109"/>
      <c r="F546" s="135" t="str">
        <f>IFERROR(IF($D546="","",VLOOKUP($D546,Cadastro!$C$4:$E$7,3,FALSE)),"")</f>
        <v/>
      </c>
      <c r="G546" s="106"/>
      <c r="H546" s="135" t="str">
        <f>IFERROR(IF($G546="","",$G546*$S$554/$G$554/Cadastro!$E$33),"")</f>
        <v/>
      </c>
      <c r="I546" s="136" t="str">
        <f>IFERROR(IF($D546="","",VLOOKUP($D546,Cadastro!$C$4:$G$7,5,FALSE)),"")</f>
        <v/>
      </c>
      <c r="J546" s="137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9">
        <v>46255</v>
      </c>
      <c r="B547" s="32">
        <f t="shared" si="141"/>
        <v>0.54166666666666641</v>
      </c>
      <c r="C547" s="26"/>
      <c r="D547" s="59"/>
      <c r="E547" s="109"/>
      <c r="F547" s="135" t="str">
        <f>IFERROR(IF($D547="","",VLOOKUP($D547,Cadastro!$C$4:$E$7,3,FALSE)),"")</f>
        <v/>
      </c>
      <c r="G547" s="106"/>
      <c r="H547" s="135" t="str">
        <f>IFERROR(IF($G547="","",$G547*$S$554/$G$554/Cadastro!$E$33),"")</f>
        <v/>
      </c>
      <c r="I547" s="136" t="str">
        <f>IFERROR(IF($D547="","",VLOOKUP($D547,Cadastro!$C$4:$G$7,5,FALSE)),"")</f>
        <v/>
      </c>
      <c r="J547" s="137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8">
        <v>46255</v>
      </c>
      <c r="B548" s="25">
        <f t="shared" si="141"/>
        <v>0.58333333333333304</v>
      </c>
      <c r="C548" s="26"/>
      <c r="D548" s="59"/>
      <c r="E548" s="109"/>
      <c r="F548" s="135" t="str">
        <f>IFERROR(IF($D548="","",VLOOKUP($D548,Cadastro!$C$4:$E$7,3,FALSE)),"")</f>
        <v/>
      </c>
      <c r="G548" s="106"/>
      <c r="H548" s="135" t="str">
        <f>IFERROR(IF($G548="","",$G548*$S$554/$G$554/Cadastro!$E$33),"")</f>
        <v/>
      </c>
      <c r="I548" s="136" t="str">
        <f>IFERROR(IF($D548="","",VLOOKUP($D548,Cadastro!$C$4:$G$7,5,FALSE)),"")</f>
        <v/>
      </c>
      <c r="J548" s="137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9">
        <v>46255</v>
      </c>
      <c r="B549" s="32">
        <f t="shared" si="141"/>
        <v>0.62499999999999967</v>
      </c>
      <c r="C549" s="26"/>
      <c r="D549" s="59"/>
      <c r="E549" s="109"/>
      <c r="F549" s="135" t="str">
        <f>IFERROR(IF($D549="","",VLOOKUP($D549,Cadastro!$C$4:$E$7,3,FALSE)),"")</f>
        <v/>
      </c>
      <c r="G549" s="106"/>
      <c r="H549" s="135" t="str">
        <f>IFERROR(IF($G549="","",$G549*$S$554/$G$554/Cadastro!$E$33),"")</f>
        <v/>
      </c>
      <c r="I549" s="136" t="str">
        <f>IFERROR(IF($D549="","",VLOOKUP($D549,Cadastro!$C$4:$G$7,5,FALSE)),"")</f>
        <v/>
      </c>
      <c r="J549" s="137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8">
        <v>46255</v>
      </c>
      <c r="B550" s="25">
        <f t="shared" si="141"/>
        <v>0.6666666666666663</v>
      </c>
      <c r="C550" s="26"/>
      <c r="D550" s="59"/>
      <c r="E550" s="109"/>
      <c r="F550" s="135" t="str">
        <f>IFERROR(IF($D550="","",VLOOKUP($D550,Cadastro!$C$4:$E$7,3,FALSE)),"")</f>
        <v/>
      </c>
      <c r="G550" s="106"/>
      <c r="H550" s="135" t="str">
        <f>IFERROR(IF($G550="","",$G550*$S$554/$G$554/Cadastro!$E$33),"")</f>
        <v/>
      </c>
      <c r="I550" s="136" t="str">
        <f>IFERROR(IF($D550="","",VLOOKUP($D550,Cadastro!$C$4:$G$7,5,FALSE)),"")</f>
        <v/>
      </c>
      <c r="J550" s="137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9">
        <v>46255</v>
      </c>
      <c r="B551" s="32">
        <f t="shared" si="141"/>
        <v>0.70833333333333293</v>
      </c>
      <c r="C551" s="26"/>
      <c r="D551" s="59"/>
      <c r="E551" s="109"/>
      <c r="F551" s="135" t="str">
        <f>IFERROR(IF($D551="","",VLOOKUP($D551,Cadastro!$C$4:$E$7,3,FALSE)),"")</f>
        <v/>
      </c>
      <c r="G551" s="106"/>
      <c r="H551" s="135" t="str">
        <f>IFERROR(IF($G551="","",$G551*$S$554/$G$554/Cadastro!$E$33),"")</f>
        <v/>
      </c>
      <c r="I551" s="136" t="str">
        <f>IFERROR(IF($D551="","",VLOOKUP($D551,Cadastro!$C$4:$G$7,5,FALSE)),"")</f>
        <v/>
      </c>
      <c r="J551" s="137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8">
        <v>46255</v>
      </c>
      <c r="B552" s="25">
        <f t="shared" si="141"/>
        <v>0.74999999999999956</v>
      </c>
      <c r="C552" s="26"/>
      <c r="D552" s="59"/>
      <c r="E552" s="109"/>
      <c r="F552" s="135" t="str">
        <f>IFERROR(IF($D552="","",VLOOKUP($D552,Cadastro!$C$4:$E$7,3,FALSE)),"")</f>
        <v/>
      </c>
      <c r="G552" s="106"/>
      <c r="H552" s="135" t="str">
        <f>IFERROR(IF($G552="","",$G552*$S$554/$G$554/Cadastro!$E$33),"")</f>
        <v/>
      </c>
      <c r="I552" s="136" t="str">
        <f>IFERROR(IF($D552="","",VLOOKUP($D552,Cadastro!$C$4:$G$7,5,FALSE)),"")</f>
        <v/>
      </c>
      <c r="J552" s="137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9">
        <v>46255</v>
      </c>
      <c r="B553" s="32">
        <f t="shared" si="141"/>
        <v>0.79166666666666619</v>
      </c>
      <c r="C553" s="26"/>
      <c r="D553" s="59"/>
      <c r="E553" s="109"/>
      <c r="F553" s="138" t="str">
        <f>IFERROR(IF($D553="","",VLOOKUP($D553,Cadastro!$C$4:$E$7,3,FALSE)),"")</f>
        <v/>
      </c>
      <c r="G553" s="106"/>
      <c r="H553" s="138" t="str">
        <f>IFERROR(IF($G553="","",$G553*$S$554/$G$554/Cadastro!$E$33),"")</f>
        <v/>
      </c>
      <c r="I553" s="139" t="str">
        <f>IFERROR(IF($D553="","",VLOOKUP($D553,Cadastro!$C$4:$G$7,5,FALSE)),"")</f>
        <v/>
      </c>
      <c r="J553" s="140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2" t="s">
        <v>241</v>
      </c>
      <c r="B554" s="153"/>
      <c r="C554" s="153"/>
      <c r="D554" s="153"/>
      <c r="E554" s="153">
        <f>SUM(E542:E553)</f>
        <v>0</v>
      </c>
      <c r="F554" s="111"/>
      <c r="G554" s="81">
        <f>SUM(G542:G553)</f>
        <v>0</v>
      </c>
      <c r="H554" s="111">
        <f>IFERROR(SUM(H542:H553),"")</f>
        <v>0</v>
      </c>
      <c r="I554" s="115"/>
      <c r="J554" s="124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20">
        <f>IFERROR(J554,"")</f>
        <v>0</v>
      </c>
    </row>
    <row r="555" spans="1:20" ht="15" customHeight="1">
      <c r="A555" s="69">
        <v>46255</v>
      </c>
      <c r="B555" s="32">
        <v>0.83333333333333304</v>
      </c>
      <c r="C555" s="33"/>
      <c r="D555" s="62"/>
      <c r="E555" s="110"/>
      <c r="F555" s="141" t="str">
        <f>IFERROR(IF($D555="","",VLOOKUP($D555,Cadastro!$C$4:$E$7,3,FALSE)),"")</f>
        <v/>
      </c>
      <c r="G555" s="106"/>
      <c r="H555" s="141" t="str">
        <f>IFERROR(IF($G555="","",$G555*$S$567/$G$567/Cadastro!$E$33),"")</f>
        <v/>
      </c>
      <c r="I555" s="142" t="str">
        <f>IFERROR(IF($D555="","",VLOOKUP($D555,Cadastro!$C$4:$G$7,5,FALSE)),"")</f>
        <v/>
      </c>
      <c r="J555" s="143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8">
        <v>46255</v>
      </c>
      <c r="B556" s="25">
        <f t="shared" ref="B556:B566" si="144">B555+TIME(0,60,0)</f>
        <v>0.87499999999999967</v>
      </c>
      <c r="C556" s="33"/>
      <c r="D556" s="62"/>
      <c r="E556" s="110"/>
      <c r="F556" s="135" t="str">
        <f>IFERROR(IF($D556="","",VLOOKUP($D556,Cadastro!$C$4:$E$7,3,FALSE)),"")</f>
        <v/>
      </c>
      <c r="G556" s="106"/>
      <c r="H556" s="135" t="str">
        <f>IFERROR(IF($G556="","",$G556*$S$567/$G$567/Cadastro!$E$33),"")</f>
        <v/>
      </c>
      <c r="I556" s="136" t="str">
        <f>IFERROR(IF($D556="","",VLOOKUP($D556,Cadastro!$C$4:$G$7,5,FALSE)),"")</f>
        <v/>
      </c>
      <c r="J556" s="137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9">
        <v>46255</v>
      </c>
      <c r="B557" s="32">
        <f t="shared" si="144"/>
        <v>0.9166666666666663</v>
      </c>
      <c r="C557" s="33"/>
      <c r="D557" s="62"/>
      <c r="E557" s="110"/>
      <c r="F557" s="135" t="str">
        <f>IFERROR(IF($D557="","",VLOOKUP($D557,Cadastro!$C$4:$E$7,3,FALSE)),"")</f>
        <v/>
      </c>
      <c r="G557" s="106"/>
      <c r="H557" s="135" t="str">
        <f>IFERROR(IF($G557="","",$G557*$S$567/$G$567/Cadastro!$E$33),"")</f>
        <v/>
      </c>
      <c r="I557" s="136" t="str">
        <f>IFERROR(IF($D557="","",VLOOKUP($D557,Cadastro!$C$4:$G$7,5,FALSE)),"")</f>
        <v/>
      </c>
      <c r="J557" s="137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8">
        <v>46255</v>
      </c>
      <c r="B558" s="25">
        <f t="shared" si="144"/>
        <v>0.95833333333333293</v>
      </c>
      <c r="C558" s="33"/>
      <c r="D558" s="62"/>
      <c r="E558" s="110"/>
      <c r="F558" s="135" t="str">
        <f>IFERROR(IF($D558="","",VLOOKUP($D558,Cadastro!$C$4:$E$7,3,FALSE)),"")</f>
        <v/>
      </c>
      <c r="G558" s="106"/>
      <c r="H558" s="135" t="str">
        <f>IFERROR(IF($G558="","",$G558*$S$567/$G$567/Cadastro!$E$33),"")</f>
        <v/>
      </c>
      <c r="I558" s="136" t="str">
        <f>IFERROR(IF($D558="","",VLOOKUP($D558,Cadastro!$C$4:$G$7,5,FALSE)),"")</f>
        <v/>
      </c>
      <c r="J558" s="137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9">
        <v>46255</v>
      </c>
      <c r="B559" s="32">
        <f t="shared" si="144"/>
        <v>0.99999999999999956</v>
      </c>
      <c r="C559" s="33"/>
      <c r="D559" s="62"/>
      <c r="E559" s="110"/>
      <c r="F559" s="135" t="str">
        <f>IFERROR(IF($D559="","",VLOOKUP($D559,Cadastro!$C$4:$E$7,3,FALSE)),"")</f>
        <v/>
      </c>
      <c r="G559" s="106"/>
      <c r="H559" s="135" t="str">
        <f>IFERROR(IF($G559="","",$G559*$S$567/$G$567/Cadastro!$E$33),"")</f>
        <v/>
      </c>
      <c r="I559" s="136" t="str">
        <f>IFERROR(IF($D559="","",VLOOKUP($D559,Cadastro!$C$4:$G$7,5,FALSE)),"")</f>
        <v/>
      </c>
      <c r="J559" s="137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8">
        <v>46255</v>
      </c>
      <c r="B560" s="25">
        <f t="shared" si="144"/>
        <v>1.0416666666666663</v>
      </c>
      <c r="C560" s="33"/>
      <c r="D560" s="62"/>
      <c r="E560" s="110"/>
      <c r="F560" s="135" t="str">
        <f>IFERROR(IF($D560="","",VLOOKUP($D560,Cadastro!$C$4:$E$7,3,FALSE)),"")</f>
        <v/>
      </c>
      <c r="G560" s="106"/>
      <c r="H560" s="135" t="str">
        <f>IFERROR(IF($G560="","",$G560*$S$567/$G$567/Cadastro!$E$33),"")</f>
        <v/>
      </c>
      <c r="I560" s="136" t="str">
        <f>IFERROR(IF($D560="","",VLOOKUP($D560,Cadastro!$C$4:$G$7,5,FALSE)),"")</f>
        <v/>
      </c>
      <c r="J560" s="137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9">
        <v>46255</v>
      </c>
      <c r="B561" s="32">
        <f t="shared" si="144"/>
        <v>1.083333333333333</v>
      </c>
      <c r="C561" s="33"/>
      <c r="D561" s="62"/>
      <c r="E561" s="110"/>
      <c r="F561" s="135" t="str">
        <f>IFERROR(IF($D561="","",VLOOKUP($D561,Cadastro!$C$4:$E$7,3,FALSE)),"")</f>
        <v/>
      </c>
      <c r="G561" s="106"/>
      <c r="H561" s="135" t="str">
        <f>IFERROR(IF($G561="","",$G561*$S$567/$G$567/Cadastro!$E$33),"")</f>
        <v/>
      </c>
      <c r="I561" s="136" t="str">
        <f>IFERROR(IF($D561="","",VLOOKUP($D561,Cadastro!$C$4:$G$7,5,FALSE)),"")</f>
        <v/>
      </c>
      <c r="J561" s="137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8">
        <v>46255</v>
      </c>
      <c r="B562" s="25">
        <f t="shared" si="144"/>
        <v>1.1249999999999998</v>
      </c>
      <c r="C562" s="33"/>
      <c r="D562" s="62"/>
      <c r="E562" s="110"/>
      <c r="F562" s="135" t="str">
        <f>IFERROR(IF($D562="","",VLOOKUP($D562,Cadastro!$C$4:$E$7,3,FALSE)),"")</f>
        <v/>
      </c>
      <c r="G562" s="106"/>
      <c r="H562" s="135" t="str">
        <f>IFERROR(IF($G562="","",$G562*$S$567/$G$567/Cadastro!$E$33),"")</f>
        <v/>
      </c>
      <c r="I562" s="136" t="str">
        <f>IFERROR(IF($D562="","",VLOOKUP($D562,Cadastro!$C$4:$G$7,5,FALSE)),"")</f>
        <v/>
      </c>
      <c r="J562" s="137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9">
        <v>46255</v>
      </c>
      <c r="B563" s="32">
        <f t="shared" si="144"/>
        <v>1.1666666666666665</v>
      </c>
      <c r="C563" s="33"/>
      <c r="D563" s="62"/>
      <c r="E563" s="110"/>
      <c r="F563" s="135" t="str">
        <f>IFERROR(IF($D563="","",VLOOKUP($D563,Cadastro!$C$4:$E$7,3,FALSE)),"")</f>
        <v/>
      </c>
      <c r="G563" s="106"/>
      <c r="H563" s="135" t="str">
        <f>IFERROR(IF($G563="","",$G563*$S$567/$G$567/Cadastro!$E$33),"")</f>
        <v/>
      </c>
      <c r="I563" s="136" t="str">
        <f>IFERROR(IF($D563="","",VLOOKUP($D563,Cadastro!$C$4:$G$7,5,FALSE)),"")</f>
        <v/>
      </c>
      <c r="J563" s="137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8">
        <v>46255</v>
      </c>
      <c r="B564" s="25">
        <f t="shared" si="144"/>
        <v>1.2083333333333333</v>
      </c>
      <c r="C564" s="33"/>
      <c r="D564" s="62"/>
      <c r="E564" s="110"/>
      <c r="F564" s="135" t="str">
        <f>IFERROR(IF($D564="","",VLOOKUP($D564,Cadastro!$C$4:$E$7,3,FALSE)),"")</f>
        <v/>
      </c>
      <c r="G564" s="106"/>
      <c r="H564" s="135" t="str">
        <f>IFERROR(IF($G564="","",$G564*$S$567/$G$567/Cadastro!$E$33),"")</f>
        <v/>
      </c>
      <c r="I564" s="136" t="str">
        <f>IFERROR(IF($D564="","",VLOOKUP($D564,Cadastro!$C$4:$G$7,5,FALSE)),"")</f>
        <v/>
      </c>
      <c r="J564" s="137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9">
        <v>46255</v>
      </c>
      <c r="B565" s="32">
        <f t="shared" si="144"/>
        <v>1.25</v>
      </c>
      <c r="C565" s="33"/>
      <c r="D565" s="62"/>
      <c r="E565" s="110"/>
      <c r="F565" s="135" t="str">
        <f>IFERROR(IF($D565="","",VLOOKUP($D565,Cadastro!$C$4:$E$7,3,FALSE)),"")</f>
        <v/>
      </c>
      <c r="G565" s="106"/>
      <c r="H565" s="135" t="str">
        <f>IFERROR(IF($G565="","",$G565*$S$567/$G$567/Cadastro!$E$33),"")</f>
        <v/>
      </c>
      <c r="I565" s="136" t="str">
        <f>IFERROR(IF($D565="","",VLOOKUP($D565,Cadastro!$C$4:$G$7,5,FALSE)),"")</f>
        <v/>
      </c>
      <c r="J565" s="137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8">
        <v>46255</v>
      </c>
      <c r="B566" s="25">
        <f t="shared" si="144"/>
        <v>1.2916666666666667</v>
      </c>
      <c r="C566" s="33"/>
      <c r="D566" s="62"/>
      <c r="E566" s="110"/>
      <c r="F566" s="138" t="str">
        <f>IFERROR(IF($D566="","",VLOOKUP($D566,Cadastro!$C$4:$E$7,3,FALSE)),"")</f>
        <v/>
      </c>
      <c r="G566" s="106"/>
      <c r="H566" s="138" t="str">
        <f>IFERROR(IF($G566="","",$G566*$S$567/$G$567/Cadastro!$E$33),"")</f>
        <v/>
      </c>
      <c r="I566" s="139" t="str">
        <f>IFERROR(IF($D566="","",VLOOKUP($D566,Cadastro!$C$4:$G$7,5,FALSE)),"")</f>
        <v/>
      </c>
      <c r="J566" s="140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2" t="s">
        <v>244</v>
      </c>
      <c r="B567" s="153"/>
      <c r="C567" s="153"/>
      <c r="D567" s="153"/>
      <c r="E567" s="153">
        <f>SUM(E555:E566)</f>
        <v>0</v>
      </c>
      <c r="F567" s="112"/>
      <c r="G567" s="81">
        <f>SUM(G555:G566)</f>
        <v>0</v>
      </c>
      <c r="H567" s="112">
        <f>IFERROR(SUM(H555:H566),"")</f>
        <v>0</v>
      </c>
      <c r="I567" s="116"/>
      <c r="J567" s="125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20">
        <f>IFERROR(J567,"")</f>
        <v>0</v>
      </c>
    </row>
    <row r="568" spans="1:20" ht="18" customHeight="1">
      <c r="A568" s="150" t="s">
        <v>245</v>
      </c>
      <c r="B568" s="151"/>
      <c r="C568" s="151"/>
      <c r="D568" s="151"/>
      <c r="E568" s="151">
        <f>E554+E567</f>
        <v>0</v>
      </c>
      <c r="F568" s="113"/>
      <c r="G568" s="92">
        <f>G554+G567</f>
        <v>0</v>
      </c>
      <c r="H568" s="113">
        <f>IFERROR(H554+H567,"")</f>
        <v>0</v>
      </c>
      <c r="I568" s="117"/>
      <c r="J568" s="126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2">
        <f>IFERROR(J568,"")</f>
        <v>0</v>
      </c>
    </row>
    <row r="569" spans="1:20" ht="15" customHeight="1">
      <c r="A569" s="69">
        <v>46256</v>
      </c>
      <c r="B569" s="32">
        <v>0.33333333333333298</v>
      </c>
      <c r="C569" s="33"/>
      <c r="D569" s="62"/>
      <c r="E569" s="110"/>
      <c r="F569" s="141" t="str">
        <f>IFERROR(IF($D569="","",VLOOKUP($D569,Cadastro!$C$4:$E$7,3,FALSE)),"")</f>
        <v/>
      </c>
      <c r="G569" s="106"/>
      <c r="H569" s="141" t="str">
        <f>IFERROR(IF($G569="","",$G569*$S$581/$G$581/Cadastro!$E$33),"")</f>
        <v/>
      </c>
      <c r="I569" s="142" t="str">
        <f>IFERROR(IF($D569="","",VLOOKUP($D569,Cadastro!$C$4:$G$7,5,FALSE)),"")</f>
        <v/>
      </c>
      <c r="J569" s="143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8">
        <v>46256</v>
      </c>
      <c r="B570" s="25">
        <f t="shared" ref="B570:B580" si="149">B569+TIME(0,60,0)</f>
        <v>0.37499999999999967</v>
      </c>
      <c r="C570" s="33"/>
      <c r="D570" s="62"/>
      <c r="E570" s="110"/>
      <c r="F570" s="135" t="str">
        <f>IFERROR(IF($D570="","",VLOOKUP($D570,Cadastro!$C$4:$E$7,3,FALSE)),"")</f>
        <v/>
      </c>
      <c r="G570" s="106"/>
      <c r="H570" s="135" t="str">
        <f>IFERROR(IF($G570="","",$G570*$S$581/$G$581/Cadastro!$E$33),"")</f>
        <v/>
      </c>
      <c r="I570" s="136" t="str">
        <f>IFERROR(IF($D570="","",VLOOKUP($D570,Cadastro!$C$4:$G$7,5,FALSE)),"")</f>
        <v/>
      </c>
      <c r="J570" s="137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9">
        <v>46256</v>
      </c>
      <c r="B571" s="32">
        <f t="shared" si="149"/>
        <v>0.41666666666666635</v>
      </c>
      <c r="C571" s="33"/>
      <c r="D571" s="62"/>
      <c r="E571" s="110"/>
      <c r="F571" s="135" t="str">
        <f>IFERROR(IF($D571="","",VLOOKUP($D571,Cadastro!$C$4:$E$7,3,FALSE)),"")</f>
        <v/>
      </c>
      <c r="G571" s="106"/>
      <c r="H571" s="135" t="str">
        <f>IFERROR(IF($G571="","",$G571*$S$581/$G$581/Cadastro!$E$33),"")</f>
        <v/>
      </c>
      <c r="I571" s="136" t="str">
        <f>IFERROR(IF($D571="","",VLOOKUP($D571,Cadastro!$C$4:$G$7,5,FALSE)),"")</f>
        <v/>
      </c>
      <c r="J571" s="137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8">
        <v>46256</v>
      </c>
      <c r="B572" s="25">
        <f t="shared" si="149"/>
        <v>0.45833333333333304</v>
      </c>
      <c r="C572" s="33"/>
      <c r="D572" s="62"/>
      <c r="E572" s="110"/>
      <c r="F572" s="135" t="str">
        <f>IFERROR(IF($D572="","",VLOOKUP($D572,Cadastro!$C$4:$E$7,3,FALSE)),"")</f>
        <v/>
      </c>
      <c r="G572" s="106"/>
      <c r="H572" s="135" t="str">
        <f>IFERROR(IF($G572="","",$G572*$S$581/$G$581/Cadastro!$E$33),"")</f>
        <v/>
      </c>
      <c r="I572" s="136" t="str">
        <f>IFERROR(IF($D572="","",VLOOKUP($D572,Cadastro!$C$4:$G$7,5,FALSE)),"")</f>
        <v/>
      </c>
      <c r="J572" s="137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9">
        <v>46256</v>
      </c>
      <c r="B573" s="32">
        <f t="shared" si="149"/>
        <v>0.49999999999999972</v>
      </c>
      <c r="C573" s="33"/>
      <c r="D573" s="62"/>
      <c r="E573" s="110"/>
      <c r="F573" s="135" t="str">
        <f>IFERROR(IF($D573="","",VLOOKUP($D573,Cadastro!$C$4:$E$7,3,FALSE)),"")</f>
        <v/>
      </c>
      <c r="G573" s="106"/>
      <c r="H573" s="135" t="str">
        <f>IFERROR(IF($G573="","",$G573*$S$581/$G$581/Cadastro!$E$33),"")</f>
        <v/>
      </c>
      <c r="I573" s="136" t="str">
        <f>IFERROR(IF($D573="","",VLOOKUP($D573,Cadastro!$C$4:$G$7,5,FALSE)),"")</f>
        <v/>
      </c>
      <c r="J573" s="137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8">
        <v>46256</v>
      </c>
      <c r="B574" s="25">
        <f t="shared" si="149"/>
        <v>0.54166666666666641</v>
      </c>
      <c r="C574" s="33"/>
      <c r="D574" s="62"/>
      <c r="E574" s="110"/>
      <c r="F574" s="135" t="str">
        <f>IFERROR(IF($D574="","",VLOOKUP($D574,Cadastro!$C$4:$E$7,3,FALSE)),"")</f>
        <v/>
      </c>
      <c r="G574" s="106"/>
      <c r="H574" s="135" t="str">
        <f>IFERROR(IF($G574="","",$G574*$S$581/$G$581/Cadastro!$E$33),"")</f>
        <v/>
      </c>
      <c r="I574" s="136" t="str">
        <f>IFERROR(IF($D574="","",VLOOKUP($D574,Cadastro!$C$4:$G$7,5,FALSE)),"")</f>
        <v/>
      </c>
      <c r="J574" s="137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9">
        <v>46256</v>
      </c>
      <c r="B575" s="32">
        <f t="shared" si="149"/>
        <v>0.58333333333333304</v>
      </c>
      <c r="C575" s="33"/>
      <c r="D575" s="62"/>
      <c r="E575" s="110"/>
      <c r="F575" s="135" t="str">
        <f>IFERROR(IF($D575="","",VLOOKUP($D575,Cadastro!$C$4:$E$7,3,FALSE)),"")</f>
        <v/>
      </c>
      <c r="G575" s="106"/>
      <c r="H575" s="135" t="str">
        <f>IFERROR(IF($G575="","",$G575*$S$581/$G$581/Cadastro!$E$33),"")</f>
        <v/>
      </c>
      <c r="I575" s="136" t="str">
        <f>IFERROR(IF($D575="","",VLOOKUP($D575,Cadastro!$C$4:$G$7,5,FALSE)),"")</f>
        <v/>
      </c>
      <c r="J575" s="137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8">
        <v>46256</v>
      </c>
      <c r="B576" s="25">
        <f t="shared" si="149"/>
        <v>0.62499999999999967</v>
      </c>
      <c r="C576" s="33"/>
      <c r="D576" s="62"/>
      <c r="E576" s="110"/>
      <c r="F576" s="135" t="str">
        <f>IFERROR(IF($D576="","",VLOOKUP($D576,Cadastro!$C$4:$E$7,3,FALSE)),"")</f>
        <v/>
      </c>
      <c r="G576" s="108"/>
      <c r="H576" s="135" t="str">
        <f>IFERROR(IF($G576="","",$G576*$S$581/$G$581/Cadastro!$E$33),"")</f>
        <v/>
      </c>
      <c r="I576" s="136" t="str">
        <f>IFERROR(IF($D576="","",VLOOKUP($D576,Cadastro!$C$4:$G$7,5,FALSE)),"")</f>
        <v/>
      </c>
      <c r="J576" s="137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9">
        <v>46256</v>
      </c>
      <c r="B577" s="32">
        <f t="shared" si="149"/>
        <v>0.6666666666666663</v>
      </c>
      <c r="C577" s="33"/>
      <c r="D577" s="62"/>
      <c r="E577" s="110"/>
      <c r="F577" s="135" t="str">
        <f>IFERROR(IF($D577="","",VLOOKUP($D577,Cadastro!$C$4:$E$7,3,FALSE)),"")</f>
        <v/>
      </c>
      <c r="G577" s="106"/>
      <c r="H577" s="135" t="str">
        <f>IFERROR(IF($G577="","",$G577*$S$581/$G$581/Cadastro!$E$33),"")</f>
        <v/>
      </c>
      <c r="I577" s="136" t="str">
        <f>IFERROR(IF($D577="","",VLOOKUP($D577,Cadastro!$C$4:$G$7,5,FALSE)),"")</f>
        <v/>
      </c>
      <c r="J577" s="137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8">
        <v>46256</v>
      </c>
      <c r="B578" s="25">
        <f t="shared" si="149"/>
        <v>0.70833333333333293</v>
      </c>
      <c r="C578" s="33"/>
      <c r="D578" s="62"/>
      <c r="E578" s="110"/>
      <c r="F578" s="135" t="str">
        <f>IFERROR(IF($D578="","",VLOOKUP($D578,Cadastro!$C$4:$E$7,3,FALSE)),"")</f>
        <v/>
      </c>
      <c r="G578" s="106"/>
      <c r="H578" s="135" t="str">
        <f>IFERROR(IF($G578="","",$G578*$S$581/$G$581/Cadastro!$E$33),"")</f>
        <v/>
      </c>
      <c r="I578" s="136" t="str">
        <f>IFERROR(IF($D578="","",VLOOKUP($D578,Cadastro!$C$4:$G$7,5,FALSE)),"")</f>
        <v/>
      </c>
      <c r="J578" s="137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9">
        <v>46256</v>
      </c>
      <c r="B579" s="32">
        <f t="shared" si="149"/>
        <v>0.74999999999999956</v>
      </c>
      <c r="C579" s="33"/>
      <c r="D579" s="62"/>
      <c r="E579" s="110"/>
      <c r="F579" s="135" t="str">
        <f>IFERROR(IF($D579="","",VLOOKUP($D579,Cadastro!$C$4:$E$7,3,FALSE)),"")</f>
        <v/>
      </c>
      <c r="G579" s="106"/>
      <c r="H579" s="135" t="str">
        <f>IFERROR(IF($G579="","",$G579*$S$581/$G$581/Cadastro!$E$33),"")</f>
        <v/>
      </c>
      <c r="I579" s="136" t="str">
        <f>IFERROR(IF($D579="","",VLOOKUP($D579,Cadastro!$C$4:$G$7,5,FALSE)),"")</f>
        <v/>
      </c>
      <c r="J579" s="137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8">
        <v>46256</v>
      </c>
      <c r="B580" s="25">
        <f t="shared" si="149"/>
        <v>0.79166666666666619</v>
      </c>
      <c r="C580" s="33"/>
      <c r="D580" s="62"/>
      <c r="E580" s="110"/>
      <c r="F580" s="138" t="str">
        <f>IFERROR(IF($D580="","",VLOOKUP($D580,Cadastro!$C$4:$E$7,3,FALSE)),"")</f>
        <v/>
      </c>
      <c r="G580" s="106"/>
      <c r="H580" s="138" t="str">
        <f>IFERROR(IF($G580="","",$G580*$S$581/$G$581/Cadastro!$E$33),"")</f>
        <v/>
      </c>
      <c r="I580" s="139" t="str">
        <f>IFERROR(IF($D580="","",VLOOKUP($D580,Cadastro!$C$4:$G$7,5,FALSE)),"")</f>
        <v/>
      </c>
      <c r="J580" s="140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2" t="s">
        <v>241</v>
      </c>
      <c r="B581" s="153"/>
      <c r="C581" s="153"/>
      <c r="D581" s="153"/>
      <c r="E581" s="153">
        <f>SUM(E569:E580)</f>
        <v>0</v>
      </c>
      <c r="F581" s="111"/>
      <c r="G581" s="81">
        <f>SUM(G569:G580)</f>
        <v>0</v>
      </c>
      <c r="H581" s="111">
        <f>IFERROR(SUM(H569:H580),"")</f>
        <v>0</v>
      </c>
      <c r="I581" s="115"/>
      <c r="J581" s="124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20">
        <f>IFERROR(J581,"")</f>
        <v>0</v>
      </c>
    </row>
    <row r="582" spans="1:20" ht="15" customHeight="1">
      <c r="A582" s="68">
        <v>46256</v>
      </c>
      <c r="B582" s="25">
        <v>0.83333333333333304</v>
      </c>
      <c r="C582" s="26"/>
      <c r="D582" s="59"/>
      <c r="E582" s="109"/>
      <c r="F582" s="141" t="str">
        <f>IFERROR(IF($D582="","",VLOOKUP($D582,Cadastro!$C$4:$E$7,3,FALSE)),"")</f>
        <v/>
      </c>
      <c r="G582" s="106"/>
      <c r="H582" s="141" t="str">
        <f>IFERROR(IF($G582="","",$G582*$S$594/$G$594/Cadastro!$E$33),"")</f>
        <v/>
      </c>
      <c r="I582" s="142" t="str">
        <f>IFERROR(IF($D582="","",VLOOKUP($D582,Cadastro!$C$4:$G$7,5,FALSE)),"")</f>
        <v/>
      </c>
      <c r="J582" s="143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9">
        <v>46256</v>
      </c>
      <c r="B583" s="32">
        <f t="shared" ref="B583:B593" si="153">B582+TIME(0,60,0)</f>
        <v>0.87499999999999967</v>
      </c>
      <c r="C583" s="26"/>
      <c r="D583" s="59"/>
      <c r="E583" s="109"/>
      <c r="F583" s="135" t="str">
        <f>IFERROR(IF($D583="","",VLOOKUP($D583,Cadastro!$C$4:$E$7,3,FALSE)),"")</f>
        <v/>
      </c>
      <c r="G583" s="106"/>
      <c r="H583" s="135" t="str">
        <f>IFERROR(IF($G583="","",$G583*$S$594/$G$594/Cadastro!$E$33),"")</f>
        <v/>
      </c>
      <c r="I583" s="136" t="str">
        <f>IFERROR(IF($D583="","",VLOOKUP($D583,Cadastro!$C$4:$G$7,5,FALSE)),"")</f>
        <v/>
      </c>
      <c r="J583" s="137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8">
        <v>46256</v>
      </c>
      <c r="B584" s="25">
        <f t="shared" si="153"/>
        <v>0.9166666666666663</v>
      </c>
      <c r="C584" s="26"/>
      <c r="D584" s="59"/>
      <c r="E584" s="109"/>
      <c r="F584" s="135" t="str">
        <f>IFERROR(IF($D584="","",VLOOKUP($D584,Cadastro!$C$4:$E$7,3,FALSE)),"")</f>
        <v/>
      </c>
      <c r="G584" s="106"/>
      <c r="H584" s="135" t="str">
        <f>IFERROR(IF($G584="","",$G584*$S$594/$G$594/Cadastro!$E$33),"")</f>
        <v/>
      </c>
      <c r="I584" s="136" t="str">
        <f>IFERROR(IF($D584="","",VLOOKUP($D584,Cadastro!$C$4:$G$7,5,FALSE)),"")</f>
        <v/>
      </c>
      <c r="J584" s="137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9">
        <v>46256</v>
      </c>
      <c r="B585" s="32">
        <f t="shared" si="153"/>
        <v>0.95833333333333293</v>
      </c>
      <c r="C585" s="26"/>
      <c r="D585" s="59"/>
      <c r="E585" s="109"/>
      <c r="F585" s="135" t="str">
        <f>IFERROR(IF($D585="","",VLOOKUP($D585,Cadastro!$C$4:$E$7,3,FALSE)),"")</f>
        <v/>
      </c>
      <c r="G585" s="106"/>
      <c r="H585" s="135" t="str">
        <f>IFERROR(IF($G585="","",$G585*$S$594/$G$594/Cadastro!$E$33),"")</f>
        <v/>
      </c>
      <c r="I585" s="136" t="str">
        <f>IFERROR(IF($D585="","",VLOOKUP($D585,Cadastro!$C$4:$G$7,5,FALSE)),"")</f>
        <v/>
      </c>
      <c r="J585" s="137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8">
        <v>46256</v>
      </c>
      <c r="B586" s="25">
        <f t="shared" si="153"/>
        <v>0.99999999999999956</v>
      </c>
      <c r="C586" s="26"/>
      <c r="D586" s="59"/>
      <c r="E586" s="109"/>
      <c r="F586" s="135" t="str">
        <f>IFERROR(IF($D586="","",VLOOKUP($D586,Cadastro!$C$4:$E$7,3,FALSE)),"")</f>
        <v/>
      </c>
      <c r="G586" s="106"/>
      <c r="H586" s="135" t="str">
        <f>IFERROR(IF($G586="","",$G586*$S$594/$G$594/Cadastro!$E$33),"")</f>
        <v/>
      </c>
      <c r="I586" s="136" t="str">
        <f>IFERROR(IF($D586="","",VLOOKUP($D586,Cadastro!$C$4:$G$7,5,FALSE)),"")</f>
        <v/>
      </c>
      <c r="J586" s="137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9">
        <v>46256</v>
      </c>
      <c r="B587" s="32">
        <f t="shared" si="153"/>
        <v>1.0416666666666663</v>
      </c>
      <c r="C587" s="26"/>
      <c r="D587" s="59"/>
      <c r="E587" s="109"/>
      <c r="F587" s="135" t="str">
        <f>IFERROR(IF($D587="","",VLOOKUP($D587,Cadastro!$C$4:$E$7,3,FALSE)),"")</f>
        <v/>
      </c>
      <c r="G587" s="106"/>
      <c r="H587" s="135" t="str">
        <f>IFERROR(IF($G587="","",$G587*$S$594/$G$594/Cadastro!$E$33),"")</f>
        <v/>
      </c>
      <c r="I587" s="136" t="str">
        <f>IFERROR(IF($D587="","",VLOOKUP($D587,Cadastro!$C$4:$G$7,5,FALSE)),"")</f>
        <v/>
      </c>
      <c r="J587" s="137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8">
        <v>46256</v>
      </c>
      <c r="B588" s="25">
        <f t="shared" si="153"/>
        <v>1.083333333333333</v>
      </c>
      <c r="C588" s="26"/>
      <c r="D588" s="59"/>
      <c r="E588" s="109"/>
      <c r="F588" s="135" t="str">
        <f>IFERROR(IF($D588="","",VLOOKUP($D588,Cadastro!$C$4:$E$7,3,FALSE)),"")</f>
        <v/>
      </c>
      <c r="G588" s="106"/>
      <c r="H588" s="135" t="str">
        <f>IFERROR(IF($G588="","",$G588*$S$594/$G$594/Cadastro!$E$33),"")</f>
        <v/>
      </c>
      <c r="I588" s="136" t="str">
        <f>IFERROR(IF($D588="","",VLOOKUP($D588,Cadastro!$C$4:$G$7,5,FALSE)),"")</f>
        <v/>
      </c>
      <c r="J588" s="137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9">
        <v>46256</v>
      </c>
      <c r="B589" s="32">
        <f t="shared" si="153"/>
        <v>1.1249999999999998</v>
      </c>
      <c r="C589" s="26"/>
      <c r="D589" s="59"/>
      <c r="E589" s="109"/>
      <c r="F589" s="135" t="str">
        <f>IFERROR(IF($D589="","",VLOOKUP($D589,Cadastro!$C$4:$E$7,3,FALSE)),"")</f>
        <v/>
      </c>
      <c r="G589" s="106"/>
      <c r="H589" s="135" t="str">
        <f>IFERROR(IF($G589="","",$G589*$S$594/$G$594/Cadastro!$E$33),"")</f>
        <v/>
      </c>
      <c r="I589" s="136" t="str">
        <f>IFERROR(IF($D589="","",VLOOKUP($D589,Cadastro!$C$4:$G$7,5,FALSE)),"")</f>
        <v/>
      </c>
      <c r="J589" s="137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8">
        <v>46256</v>
      </c>
      <c r="B590" s="25">
        <f t="shared" si="153"/>
        <v>1.1666666666666665</v>
      </c>
      <c r="C590" s="26"/>
      <c r="D590" s="59"/>
      <c r="E590" s="109"/>
      <c r="F590" s="135" t="str">
        <f>IFERROR(IF($D590="","",VLOOKUP($D590,Cadastro!$C$4:$E$7,3,FALSE)),"")</f>
        <v/>
      </c>
      <c r="G590" s="106"/>
      <c r="H590" s="135" t="str">
        <f>IFERROR(IF($G590="","",$G590*$S$594/$G$594/Cadastro!$E$33),"")</f>
        <v/>
      </c>
      <c r="I590" s="136" t="str">
        <f>IFERROR(IF($D590="","",VLOOKUP($D590,Cadastro!$C$4:$G$7,5,FALSE)),"")</f>
        <v/>
      </c>
      <c r="J590" s="137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9">
        <v>46256</v>
      </c>
      <c r="B591" s="32">
        <f t="shared" si="153"/>
        <v>1.2083333333333333</v>
      </c>
      <c r="C591" s="26"/>
      <c r="D591" s="59"/>
      <c r="E591" s="109"/>
      <c r="F591" s="135" t="str">
        <f>IFERROR(IF($D591="","",VLOOKUP($D591,Cadastro!$C$4:$E$7,3,FALSE)),"")</f>
        <v/>
      </c>
      <c r="G591" s="106"/>
      <c r="H591" s="135" t="str">
        <f>IFERROR(IF($G591="","",$G591*$S$594/$G$594/Cadastro!$E$33),"")</f>
        <v/>
      </c>
      <c r="I591" s="136" t="str">
        <f>IFERROR(IF($D591="","",VLOOKUP($D591,Cadastro!$C$4:$G$7,5,FALSE)),"")</f>
        <v/>
      </c>
      <c r="J591" s="137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8">
        <v>46256</v>
      </c>
      <c r="B592" s="25">
        <f t="shared" si="153"/>
        <v>1.25</v>
      </c>
      <c r="C592" s="26"/>
      <c r="D592" s="59"/>
      <c r="E592" s="109"/>
      <c r="F592" s="135" t="str">
        <f>IFERROR(IF($D592="","",VLOOKUP($D592,Cadastro!$C$4:$E$7,3,FALSE)),"")</f>
        <v/>
      </c>
      <c r="G592" s="106"/>
      <c r="H592" s="135" t="str">
        <f>IFERROR(IF($G592="","",$G592*$S$594/$G$594/Cadastro!$E$33),"")</f>
        <v/>
      </c>
      <c r="I592" s="136" t="str">
        <f>IFERROR(IF($D592="","",VLOOKUP($D592,Cadastro!$C$4:$G$7,5,FALSE)),"")</f>
        <v/>
      </c>
      <c r="J592" s="137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9">
        <v>46256</v>
      </c>
      <c r="B593" s="32">
        <f t="shared" si="153"/>
        <v>1.2916666666666667</v>
      </c>
      <c r="C593" s="26"/>
      <c r="D593" s="59"/>
      <c r="E593" s="109"/>
      <c r="F593" s="138" t="str">
        <f>IFERROR(IF($D593="","",VLOOKUP($D593,Cadastro!$C$4:$E$7,3,FALSE)),"")</f>
        <v/>
      </c>
      <c r="G593" s="106"/>
      <c r="H593" s="138" t="str">
        <f>IFERROR(IF($G593="","",$G593*$S$594/$G$594/Cadastro!$E$33),"")</f>
        <v/>
      </c>
      <c r="I593" s="139" t="str">
        <f>IFERROR(IF($D593="","",VLOOKUP($D593,Cadastro!$C$4:$G$7,5,FALSE)),"")</f>
        <v/>
      </c>
      <c r="J593" s="140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2" t="s">
        <v>244</v>
      </c>
      <c r="B594" s="153"/>
      <c r="C594" s="153"/>
      <c r="D594" s="153"/>
      <c r="E594" s="153">
        <f>SUM(E582:E593)</f>
        <v>0</v>
      </c>
      <c r="F594" s="112"/>
      <c r="G594" s="81">
        <f>SUM(G582:G593)</f>
        <v>0</v>
      </c>
      <c r="H594" s="112">
        <f>IFERROR(SUM(H582:H593),"")</f>
        <v>0</v>
      </c>
      <c r="I594" s="116"/>
      <c r="J594" s="125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20">
        <f>IFERROR(J594,"")</f>
        <v>0</v>
      </c>
    </row>
    <row r="595" spans="1:20" ht="18" customHeight="1">
      <c r="A595" s="150" t="s">
        <v>245</v>
      </c>
      <c r="B595" s="151"/>
      <c r="C595" s="151"/>
      <c r="D595" s="151"/>
      <c r="E595" s="151">
        <f>E581+E594</f>
        <v>0</v>
      </c>
      <c r="F595" s="113"/>
      <c r="G595" s="92">
        <f>G581+G594</f>
        <v>0</v>
      </c>
      <c r="H595" s="113">
        <f>IFERROR(H581+H594,"")</f>
        <v>0</v>
      </c>
      <c r="I595" s="117"/>
      <c r="J595" s="126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2">
        <f>IFERROR(J595,"")</f>
        <v>0</v>
      </c>
    </row>
    <row r="596" spans="1:20" ht="15" customHeight="1">
      <c r="A596" s="68">
        <v>46257</v>
      </c>
      <c r="B596" s="25">
        <v>0.33333333333333298</v>
      </c>
      <c r="C596" s="26"/>
      <c r="D596" s="59"/>
      <c r="E596" s="109"/>
      <c r="F596" s="141" t="str">
        <f>IFERROR(IF($D596="","",VLOOKUP($D596,Cadastro!$C$4:$E$7,3,FALSE)),"")</f>
        <v/>
      </c>
      <c r="G596" s="106"/>
      <c r="H596" s="141" t="str">
        <f>IFERROR(IF($G596="","",$G596*$S$608/$G$608/Cadastro!$E$33),"")</f>
        <v/>
      </c>
      <c r="I596" s="142" t="str">
        <f>IFERROR(IF($D596="","",VLOOKUP($D596,Cadastro!$C$4:$G$7,5,FALSE)),"")</f>
        <v/>
      </c>
      <c r="J596" s="143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9">
        <v>46257</v>
      </c>
      <c r="B597" s="32">
        <f t="shared" ref="B597:B607" si="157">B596+TIME(0,60,0)</f>
        <v>0.37499999999999967</v>
      </c>
      <c r="C597" s="26"/>
      <c r="D597" s="59"/>
      <c r="E597" s="109"/>
      <c r="F597" s="135" t="str">
        <f>IFERROR(IF($D597="","",VLOOKUP($D597,Cadastro!$C$4:$E$7,3,FALSE)),"")</f>
        <v/>
      </c>
      <c r="G597" s="106"/>
      <c r="H597" s="135" t="str">
        <f>IFERROR(IF($G597="","",$G597*$S$608/$G$608/Cadastro!$E$33),"")</f>
        <v/>
      </c>
      <c r="I597" s="136" t="str">
        <f>IFERROR(IF($D597="","",VLOOKUP($D597,Cadastro!$C$4:$G$7,5,FALSE)),"")</f>
        <v/>
      </c>
      <c r="J597" s="137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8">
        <v>46257</v>
      </c>
      <c r="B598" s="25">
        <f t="shared" si="157"/>
        <v>0.41666666666666635</v>
      </c>
      <c r="C598" s="26"/>
      <c r="D598" s="59"/>
      <c r="E598" s="109"/>
      <c r="F598" s="135" t="str">
        <f>IFERROR(IF($D598="","",VLOOKUP($D598,Cadastro!$C$4:$E$7,3,FALSE)),"")</f>
        <v/>
      </c>
      <c r="G598" s="106"/>
      <c r="H598" s="135" t="str">
        <f>IFERROR(IF($G598="","",$G598*$S$608/$G$608/Cadastro!$E$33),"")</f>
        <v/>
      </c>
      <c r="I598" s="136" t="str">
        <f>IFERROR(IF($D598="","",VLOOKUP($D598,Cadastro!$C$4:$G$7,5,FALSE)),"")</f>
        <v/>
      </c>
      <c r="J598" s="137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9">
        <v>46257</v>
      </c>
      <c r="B599" s="32">
        <f t="shared" si="157"/>
        <v>0.45833333333333304</v>
      </c>
      <c r="C599" s="26"/>
      <c r="D599" s="59"/>
      <c r="E599" s="109"/>
      <c r="F599" s="135" t="str">
        <f>IFERROR(IF($D599="","",VLOOKUP($D599,Cadastro!$C$4:$E$7,3,FALSE)),"")</f>
        <v/>
      </c>
      <c r="G599" s="106"/>
      <c r="H599" s="135" t="str">
        <f>IFERROR(IF($G599="","",$G599*$S$608/$G$608/Cadastro!$E$33),"")</f>
        <v/>
      </c>
      <c r="I599" s="136" t="str">
        <f>IFERROR(IF($D599="","",VLOOKUP($D599,Cadastro!$C$4:$G$7,5,FALSE)),"")</f>
        <v/>
      </c>
      <c r="J599" s="137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8">
        <v>46257</v>
      </c>
      <c r="B600" s="25">
        <f t="shared" si="157"/>
        <v>0.49999999999999972</v>
      </c>
      <c r="C600" s="26"/>
      <c r="D600" s="59"/>
      <c r="E600" s="109"/>
      <c r="F600" s="135" t="str">
        <f>IFERROR(IF($D600="","",VLOOKUP($D600,Cadastro!$C$4:$E$7,3,FALSE)),"")</f>
        <v/>
      </c>
      <c r="G600" s="106"/>
      <c r="H600" s="135" t="str">
        <f>IFERROR(IF($G600="","",$G600*$S$608/$G$608/Cadastro!$E$33),"")</f>
        <v/>
      </c>
      <c r="I600" s="136" t="str">
        <f>IFERROR(IF($D600="","",VLOOKUP($D600,Cadastro!$C$4:$G$7,5,FALSE)),"")</f>
        <v/>
      </c>
      <c r="J600" s="137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9">
        <v>46257</v>
      </c>
      <c r="B601" s="32">
        <f t="shared" si="157"/>
        <v>0.54166666666666641</v>
      </c>
      <c r="C601" s="26"/>
      <c r="D601" s="59"/>
      <c r="E601" s="109"/>
      <c r="F601" s="135" t="str">
        <f>IFERROR(IF($D601="","",VLOOKUP($D601,Cadastro!$C$4:$E$7,3,FALSE)),"")</f>
        <v/>
      </c>
      <c r="G601" s="106"/>
      <c r="H601" s="135" t="str">
        <f>IFERROR(IF($G601="","",$G601*$S$608/$G$608/Cadastro!$E$33),"")</f>
        <v/>
      </c>
      <c r="I601" s="136" t="str">
        <f>IFERROR(IF($D601="","",VLOOKUP($D601,Cadastro!$C$4:$G$7,5,FALSE)),"")</f>
        <v/>
      </c>
      <c r="J601" s="137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8">
        <v>46257</v>
      </c>
      <c r="B602" s="25">
        <f t="shared" si="157"/>
        <v>0.58333333333333304</v>
      </c>
      <c r="C602" s="26"/>
      <c r="D602" s="59"/>
      <c r="E602" s="109"/>
      <c r="F602" s="135" t="str">
        <f>IFERROR(IF($D602="","",VLOOKUP($D602,Cadastro!$C$4:$E$7,3,FALSE)),"")</f>
        <v/>
      </c>
      <c r="G602" s="106"/>
      <c r="H602" s="135" t="str">
        <f>IFERROR(IF($G602="","",$G602*$S$608/$G$608/Cadastro!$E$33),"")</f>
        <v/>
      </c>
      <c r="I602" s="136" t="str">
        <f>IFERROR(IF($D602="","",VLOOKUP($D602,Cadastro!$C$4:$G$7,5,FALSE)),"")</f>
        <v/>
      </c>
      <c r="J602" s="137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9">
        <v>46257</v>
      </c>
      <c r="B603" s="32">
        <f t="shared" si="157"/>
        <v>0.62499999999999967</v>
      </c>
      <c r="C603" s="26"/>
      <c r="D603" s="59"/>
      <c r="E603" s="109"/>
      <c r="F603" s="135" t="str">
        <f>IFERROR(IF($D603="","",VLOOKUP($D603,Cadastro!$C$4:$E$7,3,FALSE)),"")</f>
        <v/>
      </c>
      <c r="G603" s="106"/>
      <c r="H603" s="135" t="str">
        <f>IFERROR(IF($G603="","",$G603*$S$608/$G$608/Cadastro!$E$33),"")</f>
        <v/>
      </c>
      <c r="I603" s="136" t="str">
        <f>IFERROR(IF($D603="","",VLOOKUP($D603,Cadastro!$C$4:$G$7,5,FALSE)),"")</f>
        <v/>
      </c>
      <c r="J603" s="137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8">
        <v>46257</v>
      </c>
      <c r="B604" s="25">
        <f t="shared" si="157"/>
        <v>0.6666666666666663</v>
      </c>
      <c r="C604" s="26"/>
      <c r="D604" s="59"/>
      <c r="E604" s="109"/>
      <c r="F604" s="135" t="str">
        <f>IFERROR(IF($D604="","",VLOOKUP($D604,Cadastro!$C$4:$E$7,3,FALSE)),"")</f>
        <v/>
      </c>
      <c r="G604" s="106"/>
      <c r="H604" s="135" t="str">
        <f>IFERROR(IF($G604="","",$G604*$S$608/$G$608/Cadastro!$E$33),"")</f>
        <v/>
      </c>
      <c r="I604" s="136" t="str">
        <f>IFERROR(IF($D604="","",VLOOKUP($D604,Cadastro!$C$4:$G$7,5,FALSE)),"")</f>
        <v/>
      </c>
      <c r="J604" s="137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9">
        <v>46257</v>
      </c>
      <c r="B605" s="32">
        <f t="shared" si="157"/>
        <v>0.70833333333333293</v>
      </c>
      <c r="C605" s="26"/>
      <c r="D605" s="59"/>
      <c r="E605" s="109"/>
      <c r="F605" s="135" t="str">
        <f>IFERROR(IF($D605="","",VLOOKUP($D605,Cadastro!$C$4:$E$7,3,FALSE)),"")</f>
        <v/>
      </c>
      <c r="G605" s="106"/>
      <c r="H605" s="135" t="str">
        <f>IFERROR(IF($G605="","",$G605*$S$608/$G$608/Cadastro!$E$33),"")</f>
        <v/>
      </c>
      <c r="I605" s="136" t="str">
        <f>IFERROR(IF($D605="","",VLOOKUP($D605,Cadastro!$C$4:$G$7,5,FALSE)),"")</f>
        <v/>
      </c>
      <c r="J605" s="137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8">
        <v>46257</v>
      </c>
      <c r="B606" s="25">
        <f t="shared" si="157"/>
        <v>0.74999999999999956</v>
      </c>
      <c r="C606" s="26"/>
      <c r="D606" s="59"/>
      <c r="E606" s="109"/>
      <c r="F606" s="135" t="str">
        <f>IFERROR(IF($D606="","",VLOOKUP($D606,Cadastro!$C$4:$E$7,3,FALSE)),"")</f>
        <v/>
      </c>
      <c r="G606" s="106"/>
      <c r="H606" s="135" t="str">
        <f>IFERROR(IF($G606="","",$G606*$S$608/$G$608/Cadastro!$E$33),"")</f>
        <v/>
      </c>
      <c r="I606" s="136" t="str">
        <f>IFERROR(IF($D606="","",VLOOKUP($D606,Cadastro!$C$4:$G$7,5,FALSE)),"")</f>
        <v/>
      </c>
      <c r="J606" s="137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9">
        <v>46257</v>
      </c>
      <c r="B607" s="32">
        <f t="shared" si="157"/>
        <v>0.79166666666666619</v>
      </c>
      <c r="C607" s="26"/>
      <c r="D607" s="59"/>
      <c r="E607" s="109"/>
      <c r="F607" s="138" t="str">
        <f>IFERROR(IF($D607="","",VLOOKUP($D607,Cadastro!$C$4:$E$7,3,FALSE)),"")</f>
        <v/>
      </c>
      <c r="G607" s="106"/>
      <c r="H607" s="138" t="str">
        <f>IFERROR(IF($G607="","",$G607*$S$608/$G$608/Cadastro!$E$33),"")</f>
        <v/>
      </c>
      <c r="I607" s="139" t="str">
        <f>IFERROR(IF($D607="","",VLOOKUP($D607,Cadastro!$C$4:$G$7,5,FALSE)),"")</f>
        <v/>
      </c>
      <c r="J607" s="140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2" t="s">
        <v>241</v>
      </c>
      <c r="B608" s="153"/>
      <c r="C608" s="153"/>
      <c r="D608" s="153"/>
      <c r="E608" s="153">
        <f>SUM(E596:E607)</f>
        <v>0</v>
      </c>
      <c r="F608" s="111"/>
      <c r="G608" s="81">
        <f>SUM(G596:G607)</f>
        <v>0</v>
      </c>
      <c r="H608" s="111">
        <f>IFERROR(SUM(H596:H607),"")</f>
        <v>0</v>
      </c>
      <c r="I608" s="115"/>
      <c r="J608" s="124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20">
        <f>IFERROR(J608,"")</f>
        <v>0</v>
      </c>
    </row>
    <row r="609" spans="1:20" ht="15" customHeight="1">
      <c r="A609" s="69">
        <v>46257</v>
      </c>
      <c r="B609" s="32">
        <v>0.83333333333333304</v>
      </c>
      <c r="C609" s="33"/>
      <c r="D609" s="62"/>
      <c r="E609" s="110"/>
      <c r="F609" s="141" t="str">
        <f>IFERROR(IF($D609="","",VLOOKUP($D609,Cadastro!$C$4:$E$7,3,FALSE)),"")</f>
        <v/>
      </c>
      <c r="G609" s="106"/>
      <c r="H609" s="141" t="str">
        <f>IFERROR(IF($G609="","",$G609*$S$621/$G$621/Cadastro!$E$33),"")</f>
        <v/>
      </c>
      <c r="I609" s="142" t="str">
        <f>IFERROR(IF($D609="","",VLOOKUP($D609,Cadastro!$C$4:$G$7,5,FALSE)),"")</f>
        <v/>
      </c>
      <c r="J609" s="143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8">
        <v>46257</v>
      </c>
      <c r="B610" s="25">
        <f t="shared" ref="B610:B620" si="161">B609+TIME(0,60,0)</f>
        <v>0.87499999999999967</v>
      </c>
      <c r="C610" s="33"/>
      <c r="D610" s="62"/>
      <c r="E610" s="110"/>
      <c r="F610" s="135" t="str">
        <f>IFERROR(IF($D610="","",VLOOKUP($D610,Cadastro!$C$4:$E$7,3,FALSE)),"")</f>
        <v/>
      </c>
      <c r="G610" s="106"/>
      <c r="H610" s="135" t="str">
        <f>IFERROR(IF($G610="","",$G610*$S$621/$G$621/Cadastro!$E$33),"")</f>
        <v/>
      </c>
      <c r="I610" s="136" t="str">
        <f>IFERROR(IF($D610="","",VLOOKUP($D610,Cadastro!$C$4:$G$7,5,FALSE)),"")</f>
        <v/>
      </c>
      <c r="J610" s="137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9">
        <v>46257</v>
      </c>
      <c r="B611" s="32">
        <f t="shared" si="161"/>
        <v>0.9166666666666663</v>
      </c>
      <c r="C611" s="33"/>
      <c r="D611" s="62"/>
      <c r="E611" s="110"/>
      <c r="F611" s="135" t="str">
        <f>IFERROR(IF($D611="","",VLOOKUP($D611,Cadastro!$C$4:$E$7,3,FALSE)),"")</f>
        <v/>
      </c>
      <c r="G611" s="106"/>
      <c r="H611" s="135" t="str">
        <f>IFERROR(IF($G611="","",$G611*$S$621/$G$621/Cadastro!$E$33),"")</f>
        <v/>
      </c>
      <c r="I611" s="136" t="str">
        <f>IFERROR(IF($D611="","",VLOOKUP($D611,Cadastro!$C$4:$G$7,5,FALSE)),"")</f>
        <v/>
      </c>
      <c r="J611" s="137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8">
        <v>46257</v>
      </c>
      <c r="B612" s="25">
        <f t="shared" si="161"/>
        <v>0.95833333333333293</v>
      </c>
      <c r="C612" s="33"/>
      <c r="D612" s="62"/>
      <c r="E612" s="110"/>
      <c r="F612" s="135" t="str">
        <f>IFERROR(IF($D612="","",VLOOKUP($D612,Cadastro!$C$4:$E$7,3,FALSE)),"")</f>
        <v/>
      </c>
      <c r="G612" s="106"/>
      <c r="H612" s="135" t="str">
        <f>IFERROR(IF($G612="","",$G612*$S$621/$G$621/Cadastro!$E$33),"")</f>
        <v/>
      </c>
      <c r="I612" s="136" t="str">
        <f>IFERROR(IF($D612="","",VLOOKUP($D612,Cadastro!$C$4:$G$7,5,FALSE)),"")</f>
        <v/>
      </c>
      <c r="J612" s="137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9">
        <v>46257</v>
      </c>
      <c r="B613" s="32">
        <f t="shared" si="161"/>
        <v>0.99999999999999956</v>
      </c>
      <c r="C613" s="33"/>
      <c r="D613" s="62"/>
      <c r="E613" s="110"/>
      <c r="F613" s="135" t="str">
        <f>IFERROR(IF($D613="","",VLOOKUP($D613,Cadastro!$C$4:$E$7,3,FALSE)),"")</f>
        <v/>
      </c>
      <c r="G613" s="106"/>
      <c r="H613" s="135" t="str">
        <f>IFERROR(IF($G613="","",$G613*$S$621/$G$621/Cadastro!$E$33),"")</f>
        <v/>
      </c>
      <c r="I613" s="136" t="str">
        <f>IFERROR(IF($D613="","",VLOOKUP($D613,Cadastro!$C$4:$G$7,5,FALSE)),"")</f>
        <v/>
      </c>
      <c r="J613" s="137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8">
        <v>46257</v>
      </c>
      <c r="B614" s="25">
        <f t="shared" si="161"/>
        <v>1.0416666666666663</v>
      </c>
      <c r="C614" s="33"/>
      <c r="D614" s="62"/>
      <c r="E614" s="110"/>
      <c r="F614" s="135" t="str">
        <f>IFERROR(IF($D614="","",VLOOKUP($D614,Cadastro!$C$4:$E$7,3,FALSE)),"")</f>
        <v/>
      </c>
      <c r="G614" s="106"/>
      <c r="H614" s="135" t="str">
        <f>IFERROR(IF($G614="","",$G614*$S$621/$G$621/Cadastro!$E$33),"")</f>
        <v/>
      </c>
      <c r="I614" s="136" t="str">
        <f>IFERROR(IF($D614="","",VLOOKUP($D614,Cadastro!$C$4:$G$7,5,FALSE)),"")</f>
        <v/>
      </c>
      <c r="J614" s="137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9">
        <v>46257</v>
      </c>
      <c r="B615" s="32">
        <f t="shared" si="161"/>
        <v>1.083333333333333</v>
      </c>
      <c r="C615" s="33"/>
      <c r="D615" s="62"/>
      <c r="E615" s="110"/>
      <c r="F615" s="135" t="str">
        <f>IFERROR(IF($D615="","",VLOOKUP($D615,Cadastro!$C$4:$E$7,3,FALSE)),"")</f>
        <v/>
      </c>
      <c r="G615" s="106"/>
      <c r="H615" s="135" t="str">
        <f>IFERROR(IF($G615="","",$G615*$S$621/$G$621/Cadastro!$E$33),"")</f>
        <v/>
      </c>
      <c r="I615" s="136" t="str">
        <f>IFERROR(IF($D615="","",VLOOKUP($D615,Cadastro!$C$4:$G$7,5,FALSE)),"")</f>
        <v/>
      </c>
      <c r="J615" s="137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8">
        <v>46257</v>
      </c>
      <c r="B616" s="25">
        <f t="shared" si="161"/>
        <v>1.1249999999999998</v>
      </c>
      <c r="C616" s="33"/>
      <c r="D616" s="62"/>
      <c r="E616" s="110"/>
      <c r="F616" s="135" t="str">
        <f>IFERROR(IF($D616="","",VLOOKUP($D616,Cadastro!$C$4:$E$7,3,FALSE)),"")</f>
        <v/>
      </c>
      <c r="G616" s="106"/>
      <c r="H616" s="135" t="str">
        <f>IFERROR(IF($G616="","",$G616*$S$621/$G$621/Cadastro!$E$33),"")</f>
        <v/>
      </c>
      <c r="I616" s="136" t="str">
        <f>IFERROR(IF($D616="","",VLOOKUP($D616,Cadastro!$C$4:$G$7,5,FALSE)),"")</f>
        <v/>
      </c>
      <c r="J616" s="137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9">
        <v>46257</v>
      </c>
      <c r="B617" s="32">
        <f t="shared" si="161"/>
        <v>1.1666666666666665</v>
      </c>
      <c r="C617" s="33"/>
      <c r="D617" s="62"/>
      <c r="E617" s="110"/>
      <c r="F617" s="135" t="str">
        <f>IFERROR(IF($D617="","",VLOOKUP($D617,Cadastro!$C$4:$E$7,3,FALSE)),"")</f>
        <v/>
      </c>
      <c r="G617" s="106"/>
      <c r="H617" s="135" t="str">
        <f>IFERROR(IF($G617="","",$G617*$S$621/$G$621/Cadastro!$E$33),"")</f>
        <v/>
      </c>
      <c r="I617" s="136" t="str">
        <f>IFERROR(IF($D617="","",VLOOKUP($D617,Cadastro!$C$4:$G$7,5,FALSE)),"")</f>
        <v/>
      </c>
      <c r="J617" s="137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8">
        <v>46257</v>
      </c>
      <c r="B618" s="25">
        <f t="shared" si="161"/>
        <v>1.2083333333333333</v>
      </c>
      <c r="C618" s="33"/>
      <c r="D618" s="62"/>
      <c r="E618" s="110"/>
      <c r="F618" s="135" t="str">
        <f>IFERROR(IF($D618="","",VLOOKUP($D618,Cadastro!$C$4:$E$7,3,FALSE)),"")</f>
        <v/>
      </c>
      <c r="G618" s="106"/>
      <c r="H618" s="135" t="str">
        <f>IFERROR(IF($G618="","",$G618*$S$621/$G$621/Cadastro!$E$33),"")</f>
        <v/>
      </c>
      <c r="I618" s="136" t="str">
        <f>IFERROR(IF($D618="","",VLOOKUP($D618,Cadastro!$C$4:$G$7,5,FALSE)),"")</f>
        <v/>
      </c>
      <c r="J618" s="137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9">
        <v>46257</v>
      </c>
      <c r="B619" s="32">
        <f t="shared" si="161"/>
        <v>1.25</v>
      </c>
      <c r="C619" s="33"/>
      <c r="D619" s="62"/>
      <c r="E619" s="110"/>
      <c r="F619" s="135" t="str">
        <f>IFERROR(IF($D619="","",VLOOKUP($D619,Cadastro!$C$4:$E$7,3,FALSE)),"")</f>
        <v/>
      </c>
      <c r="G619" s="106"/>
      <c r="H619" s="135" t="str">
        <f>IFERROR(IF($G619="","",$G619*$S$621/$G$621/Cadastro!$E$33),"")</f>
        <v/>
      </c>
      <c r="I619" s="136" t="str">
        <f>IFERROR(IF($D619="","",VLOOKUP($D619,Cadastro!$C$4:$G$7,5,FALSE)),"")</f>
        <v/>
      </c>
      <c r="J619" s="137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8">
        <v>46257</v>
      </c>
      <c r="B620" s="25">
        <f t="shared" si="161"/>
        <v>1.2916666666666667</v>
      </c>
      <c r="C620" s="33"/>
      <c r="D620" s="62"/>
      <c r="E620" s="110"/>
      <c r="F620" s="138" t="str">
        <f>IFERROR(IF($D620="","",VLOOKUP($D620,Cadastro!$C$4:$E$7,3,FALSE)),"")</f>
        <v/>
      </c>
      <c r="G620" s="106"/>
      <c r="H620" s="138" t="str">
        <f>IFERROR(IF($G620="","",$G620*$S$621/$G$621/Cadastro!$E$33),"")</f>
        <v/>
      </c>
      <c r="I620" s="139" t="str">
        <f>IFERROR(IF($D620="","",VLOOKUP($D620,Cadastro!$C$4:$G$7,5,FALSE)),"")</f>
        <v/>
      </c>
      <c r="J620" s="140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2" t="s">
        <v>244</v>
      </c>
      <c r="B621" s="153"/>
      <c r="C621" s="153"/>
      <c r="D621" s="153"/>
      <c r="E621" s="153">
        <f>SUM(E609:E620)</f>
        <v>0</v>
      </c>
      <c r="F621" s="112"/>
      <c r="G621" s="81">
        <f>SUM(G609:G620)</f>
        <v>0</v>
      </c>
      <c r="H621" s="112">
        <f>IFERROR(SUM(H609:H620),"")</f>
        <v>0</v>
      </c>
      <c r="I621" s="116"/>
      <c r="J621" s="125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20">
        <f>IFERROR(J621,"")</f>
        <v>0</v>
      </c>
    </row>
    <row r="622" spans="1:20" ht="18" customHeight="1">
      <c r="A622" s="150" t="s">
        <v>245</v>
      </c>
      <c r="B622" s="151"/>
      <c r="C622" s="151"/>
      <c r="D622" s="151"/>
      <c r="E622" s="151">
        <f>E608+E621</f>
        <v>0</v>
      </c>
      <c r="F622" s="113"/>
      <c r="G622" s="92">
        <f>G608+G621</f>
        <v>0</v>
      </c>
      <c r="H622" s="113">
        <f>IFERROR(H608+H621,"")</f>
        <v>0</v>
      </c>
      <c r="I622" s="117"/>
      <c r="J622" s="126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2">
        <f>IFERROR(J622,"")</f>
        <v>0</v>
      </c>
    </row>
    <row r="623" spans="1:20" ht="15" customHeight="1">
      <c r="A623" s="69">
        <v>46258</v>
      </c>
      <c r="B623" s="32">
        <v>0.33333333333333298</v>
      </c>
      <c r="C623" s="33"/>
      <c r="D623" s="62"/>
      <c r="E623" s="110"/>
      <c r="F623" s="141" t="str">
        <f>IFERROR(IF($D623="","",VLOOKUP($D623,Cadastro!$C$4:$E$7,3,FALSE)),"")</f>
        <v/>
      </c>
      <c r="G623" s="106"/>
      <c r="H623" s="141" t="str">
        <f>IFERROR(IF($G623="","",$G623*$S$635/$G$635/Cadastro!$E$33),"")</f>
        <v/>
      </c>
      <c r="I623" s="142" t="str">
        <f>IFERROR(IF($D623="","",VLOOKUP($D623,Cadastro!$C$4:$G$7,5,FALSE)),"")</f>
        <v/>
      </c>
      <c r="J623" s="143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8">
        <v>46258</v>
      </c>
      <c r="B624" s="25">
        <f t="shared" ref="B624:B634" si="165">B623+TIME(0,60,0)</f>
        <v>0.37499999999999967</v>
      </c>
      <c r="C624" s="33"/>
      <c r="D624" s="62"/>
      <c r="E624" s="110"/>
      <c r="F624" s="135" t="str">
        <f>IFERROR(IF($D624="","",VLOOKUP($D624,Cadastro!$C$4:$E$7,3,FALSE)),"")</f>
        <v/>
      </c>
      <c r="G624" s="106"/>
      <c r="H624" s="135" t="str">
        <f>IFERROR(IF($G624="","",$G624*$S$635/$G$635/Cadastro!$E$33),"")</f>
        <v/>
      </c>
      <c r="I624" s="136" t="str">
        <f>IFERROR(IF($D624="","",VLOOKUP($D624,Cadastro!$C$4:$G$7,5,FALSE)),"")</f>
        <v/>
      </c>
      <c r="J624" s="137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9">
        <v>46258</v>
      </c>
      <c r="B625" s="32">
        <f t="shared" si="165"/>
        <v>0.41666666666666635</v>
      </c>
      <c r="C625" s="33"/>
      <c r="D625" s="62"/>
      <c r="E625" s="110"/>
      <c r="F625" s="135" t="str">
        <f>IFERROR(IF($D625="","",VLOOKUP($D625,Cadastro!$C$4:$E$7,3,FALSE)),"")</f>
        <v/>
      </c>
      <c r="G625" s="106"/>
      <c r="H625" s="135" t="str">
        <f>IFERROR(IF($G625="","",$G625*$S$635/$G$635/Cadastro!$E$33),"")</f>
        <v/>
      </c>
      <c r="I625" s="136" t="str">
        <f>IFERROR(IF($D625="","",VLOOKUP($D625,Cadastro!$C$4:$G$7,5,FALSE)),"")</f>
        <v/>
      </c>
      <c r="J625" s="137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8">
        <v>46258</v>
      </c>
      <c r="B626" s="25">
        <f t="shared" si="165"/>
        <v>0.45833333333333304</v>
      </c>
      <c r="C626" s="33"/>
      <c r="D626" s="62"/>
      <c r="E626" s="110"/>
      <c r="F626" s="135" t="str">
        <f>IFERROR(IF($D626="","",VLOOKUP($D626,Cadastro!$C$4:$E$7,3,FALSE)),"")</f>
        <v/>
      </c>
      <c r="G626" s="106"/>
      <c r="H626" s="135" t="str">
        <f>IFERROR(IF($G626="","",$G626*$S$635/$G$635/Cadastro!$E$33),"")</f>
        <v/>
      </c>
      <c r="I626" s="136" t="str">
        <f>IFERROR(IF($D626="","",VLOOKUP($D626,Cadastro!$C$4:$G$7,5,FALSE)),"")</f>
        <v/>
      </c>
      <c r="J626" s="137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9">
        <v>46258</v>
      </c>
      <c r="B627" s="32">
        <f t="shared" si="165"/>
        <v>0.49999999999999972</v>
      </c>
      <c r="C627" s="33"/>
      <c r="D627" s="62"/>
      <c r="E627" s="110"/>
      <c r="F627" s="135" t="str">
        <f>IFERROR(IF($D627="","",VLOOKUP($D627,Cadastro!$C$4:$E$7,3,FALSE)),"")</f>
        <v/>
      </c>
      <c r="G627" s="106"/>
      <c r="H627" s="135" t="str">
        <f>IFERROR(IF($G627="","",$G627*$S$635/$G$635/Cadastro!$E$33),"")</f>
        <v/>
      </c>
      <c r="I627" s="136" t="str">
        <f>IFERROR(IF($D627="","",VLOOKUP($D627,Cadastro!$C$4:$G$7,5,FALSE)),"")</f>
        <v/>
      </c>
      <c r="J627" s="137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8">
        <v>46258</v>
      </c>
      <c r="B628" s="25">
        <f t="shared" si="165"/>
        <v>0.54166666666666641</v>
      </c>
      <c r="C628" s="33"/>
      <c r="D628" s="62"/>
      <c r="E628" s="110"/>
      <c r="F628" s="135" t="str">
        <f>IFERROR(IF($D628="","",VLOOKUP($D628,Cadastro!$C$4:$E$7,3,FALSE)),"")</f>
        <v/>
      </c>
      <c r="G628" s="106"/>
      <c r="H628" s="135" t="str">
        <f>IFERROR(IF($G628="","",$G628*$S$635/$G$635/Cadastro!$E$33),"")</f>
        <v/>
      </c>
      <c r="I628" s="136" t="str">
        <f>IFERROR(IF($D628="","",VLOOKUP($D628,Cadastro!$C$4:$G$7,5,FALSE)),"")</f>
        <v/>
      </c>
      <c r="J628" s="137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9">
        <v>46258</v>
      </c>
      <c r="B629" s="32">
        <f t="shared" si="165"/>
        <v>0.58333333333333304</v>
      </c>
      <c r="C629" s="33"/>
      <c r="D629" s="62"/>
      <c r="E629" s="110"/>
      <c r="F629" s="135" t="str">
        <f>IFERROR(IF($D629="","",VLOOKUP($D629,Cadastro!$C$4:$E$7,3,FALSE)),"")</f>
        <v/>
      </c>
      <c r="G629" s="106"/>
      <c r="H629" s="135" t="str">
        <f>IFERROR(IF($G629="","",$G629*$S$635/$G$635/Cadastro!$E$33),"")</f>
        <v/>
      </c>
      <c r="I629" s="136" t="str">
        <f>IFERROR(IF($D629="","",VLOOKUP($D629,Cadastro!$C$4:$G$7,5,FALSE)),"")</f>
        <v/>
      </c>
      <c r="J629" s="137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8">
        <v>46258</v>
      </c>
      <c r="B630" s="25">
        <f t="shared" si="165"/>
        <v>0.62499999999999967</v>
      </c>
      <c r="C630" s="33"/>
      <c r="D630" s="62"/>
      <c r="E630" s="110"/>
      <c r="F630" s="135" t="str">
        <f>IFERROR(IF($D630="","",VLOOKUP($D630,Cadastro!$C$4:$E$7,3,FALSE)),"")</f>
        <v/>
      </c>
      <c r="G630" s="106"/>
      <c r="H630" s="135" t="str">
        <f>IFERROR(IF($G630="","",$G630*$S$635/$G$635/Cadastro!$E$33),"")</f>
        <v/>
      </c>
      <c r="I630" s="136" t="str">
        <f>IFERROR(IF($D630="","",VLOOKUP($D630,Cadastro!$C$4:$G$7,5,FALSE)),"")</f>
        <v/>
      </c>
      <c r="J630" s="137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9">
        <v>46258</v>
      </c>
      <c r="B631" s="32">
        <f t="shared" si="165"/>
        <v>0.6666666666666663</v>
      </c>
      <c r="C631" s="33"/>
      <c r="D631" s="62"/>
      <c r="E631" s="110"/>
      <c r="F631" s="135" t="str">
        <f>IFERROR(IF($D631="","",VLOOKUP($D631,Cadastro!$C$4:$E$7,3,FALSE)),"")</f>
        <v/>
      </c>
      <c r="G631" s="106"/>
      <c r="H631" s="135" t="str">
        <f>IFERROR(IF($G631="","",$G631*$S$635/$G$635/Cadastro!$E$33),"")</f>
        <v/>
      </c>
      <c r="I631" s="136" t="str">
        <f>IFERROR(IF($D631="","",VLOOKUP($D631,Cadastro!$C$4:$G$7,5,FALSE)),"")</f>
        <v/>
      </c>
      <c r="J631" s="137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8">
        <v>46258</v>
      </c>
      <c r="B632" s="25">
        <f t="shared" si="165"/>
        <v>0.70833333333333293</v>
      </c>
      <c r="C632" s="33"/>
      <c r="D632" s="62"/>
      <c r="E632" s="110"/>
      <c r="F632" s="135" t="str">
        <f>IFERROR(IF($D632="","",VLOOKUP($D632,Cadastro!$C$4:$E$7,3,FALSE)),"")</f>
        <v/>
      </c>
      <c r="G632" s="106"/>
      <c r="H632" s="135" t="str">
        <f>IFERROR(IF($G632="","",$G632*$S$635/$G$635/Cadastro!$E$33),"")</f>
        <v/>
      </c>
      <c r="I632" s="136" t="str">
        <f>IFERROR(IF($D632="","",VLOOKUP($D632,Cadastro!$C$4:$G$7,5,FALSE)),"")</f>
        <v/>
      </c>
      <c r="J632" s="137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9">
        <v>46258</v>
      </c>
      <c r="B633" s="32">
        <f t="shared" si="165"/>
        <v>0.74999999999999956</v>
      </c>
      <c r="C633" s="33"/>
      <c r="D633" s="62"/>
      <c r="E633" s="110"/>
      <c r="F633" s="135" t="str">
        <f>IFERROR(IF($D633="","",VLOOKUP($D633,Cadastro!$C$4:$E$7,3,FALSE)),"")</f>
        <v/>
      </c>
      <c r="G633" s="106"/>
      <c r="H633" s="135" t="str">
        <f>IFERROR(IF($G633="","",$G633*$S$635/$G$635/Cadastro!$E$33),"")</f>
        <v/>
      </c>
      <c r="I633" s="136" t="str">
        <f>IFERROR(IF($D633="","",VLOOKUP($D633,Cadastro!$C$4:$G$7,5,FALSE)),"")</f>
        <v/>
      </c>
      <c r="J633" s="137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8">
        <v>46258</v>
      </c>
      <c r="B634" s="25">
        <f t="shared" si="165"/>
        <v>0.79166666666666619</v>
      </c>
      <c r="C634" s="33"/>
      <c r="D634" s="62"/>
      <c r="E634" s="110"/>
      <c r="F634" s="138" t="str">
        <f>IFERROR(IF($D634="","",VLOOKUP($D634,Cadastro!$C$4:$E$7,3,FALSE)),"")</f>
        <v/>
      </c>
      <c r="G634" s="106"/>
      <c r="H634" s="138" t="str">
        <f>IFERROR(IF($G634="","",$G634*$S$635/$G$635/Cadastro!$E$33),"")</f>
        <v/>
      </c>
      <c r="I634" s="139" t="str">
        <f>IFERROR(IF($D634="","",VLOOKUP($D634,Cadastro!$C$4:$G$7,5,FALSE)),"")</f>
        <v/>
      </c>
      <c r="J634" s="140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2" t="s">
        <v>241</v>
      </c>
      <c r="B635" s="153"/>
      <c r="C635" s="153"/>
      <c r="D635" s="153"/>
      <c r="E635" s="153">
        <f>SUM(E623:E634)</f>
        <v>0</v>
      </c>
      <c r="F635" s="111"/>
      <c r="G635" s="81">
        <f>SUM(G623:G634)</f>
        <v>0</v>
      </c>
      <c r="H635" s="111">
        <f>IFERROR(SUM(H623:H634),"")</f>
        <v>0</v>
      </c>
      <c r="I635" s="115"/>
      <c r="J635" s="124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20">
        <f>IFERROR(J635,"")</f>
        <v>0</v>
      </c>
    </row>
    <row r="636" spans="1:20" ht="15" customHeight="1">
      <c r="A636" s="68">
        <v>46258</v>
      </c>
      <c r="B636" s="25">
        <v>0.83333333333333304</v>
      </c>
      <c r="C636" s="26"/>
      <c r="D636" s="59"/>
      <c r="E636" s="109"/>
      <c r="F636" s="141" t="str">
        <f>IFERROR(IF($D636="","",VLOOKUP($D636,Cadastro!$C$4:$E$7,3,FALSE)),"")</f>
        <v/>
      </c>
      <c r="G636" s="106"/>
      <c r="H636" s="141" t="str">
        <f>IFERROR(IF($G636="","",$G636*$S$648/$G$648/Cadastro!$E$33),"")</f>
        <v/>
      </c>
      <c r="I636" s="142" t="str">
        <f>IFERROR(IF($D636="","",VLOOKUP($D636,Cadastro!$C$4:$G$7,5,FALSE)),"")</f>
        <v/>
      </c>
      <c r="J636" s="143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9">
        <v>46258</v>
      </c>
      <c r="B637" s="32">
        <f t="shared" ref="B637:B647" si="169">B636+TIME(0,60,0)</f>
        <v>0.87499999999999967</v>
      </c>
      <c r="C637" s="26"/>
      <c r="D637" s="59"/>
      <c r="E637" s="109"/>
      <c r="F637" s="135" t="str">
        <f>IFERROR(IF($D637="","",VLOOKUP($D637,Cadastro!$C$4:$E$7,3,FALSE)),"")</f>
        <v/>
      </c>
      <c r="G637" s="106"/>
      <c r="H637" s="135" t="str">
        <f>IFERROR(IF($G637="","",$G637*$S$648/$G$648/Cadastro!$E$33),"")</f>
        <v/>
      </c>
      <c r="I637" s="136" t="str">
        <f>IFERROR(IF($D637="","",VLOOKUP($D637,Cadastro!$C$4:$G$7,5,FALSE)),"")</f>
        <v/>
      </c>
      <c r="J637" s="137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8">
        <v>46258</v>
      </c>
      <c r="B638" s="25">
        <f t="shared" si="169"/>
        <v>0.9166666666666663</v>
      </c>
      <c r="C638" s="26"/>
      <c r="D638" s="59"/>
      <c r="E638" s="109"/>
      <c r="F638" s="135" t="str">
        <f>IFERROR(IF($D638="","",VLOOKUP($D638,Cadastro!$C$4:$E$7,3,FALSE)),"")</f>
        <v/>
      </c>
      <c r="G638" s="106"/>
      <c r="H638" s="135" t="str">
        <f>IFERROR(IF($G638="","",$G638*$S$648/$G$648/Cadastro!$E$33),"")</f>
        <v/>
      </c>
      <c r="I638" s="136" t="str">
        <f>IFERROR(IF($D638="","",VLOOKUP($D638,Cadastro!$C$4:$G$7,5,FALSE)),"")</f>
        <v/>
      </c>
      <c r="J638" s="137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9">
        <v>46258</v>
      </c>
      <c r="B639" s="32">
        <f t="shared" si="169"/>
        <v>0.95833333333333293</v>
      </c>
      <c r="C639" s="26"/>
      <c r="D639" s="59"/>
      <c r="E639" s="109"/>
      <c r="F639" s="135" t="str">
        <f>IFERROR(IF($D639="","",VLOOKUP($D639,Cadastro!$C$4:$E$7,3,FALSE)),"")</f>
        <v/>
      </c>
      <c r="G639" s="106"/>
      <c r="H639" s="135" t="str">
        <f>IFERROR(IF($G639="","",$G639*$S$648/$G$648/Cadastro!$E$33),"")</f>
        <v/>
      </c>
      <c r="I639" s="136" t="str">
        <f>IFERROR(IF($D639="","",VLOOKUP($D639,Cadastro!$C$4:$G$7,5,FALSE)),"")</f>
        <v/>
      </c>
      <c r="J639" s="137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8">
        <v>46258</v>
      </c>
      <c r="B640" s="25">
        <f t="shared" si="169"/>
        <v>0.99999999999999956</v>
      </c>
      <c r="C640" s="26"/>
      <c r="D640" s="59"/>
      <c r="E640" s="109"/>
      <c r="F640" s="135" t="str">
        <f>IFERROR(IF($D640="","",VLOOKUP($D640,Cadastro!$C$4:$E$7,3,FALSE)),"")</f>
        <v/>
      </c>
      <c r="G640" s="106"/>
      <c r="H640" s="135" t="str">
        <f>IFERROR(IF($G640="","",$G640*$S$648/$G$648/Cadastro!$E$33),"")</f>
        <v/>
      </c>
      <c r="I640" s="136" t="str">
        <f>IFERROR(IF($D640="","",VLOOKUP($D640,Cadastro!$C$4:$G$7,5,FALSE)),"")</f>
        <v/>
      </c>
      <c r="J640" s="137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9">
        <v>46258</v>
      </c>
      <c r="B641" s="32">
        <f t="shared" si="169"/>
        <v>1.0416666666666663</v>
      </c>
      <c r="C641" s="26"/>
      <c r="D641" s="59"/>
      <c r="E641" s="109"/>
      <c r="F641" s="135" t="str">
        <f>IFERROR(IF($D641="","",VLOOKUP($D641,Cadastro!$C$4:$E$7,3,FALSE)),"")</f>
        <v/>
      </c>
      <c r="G641" s="106"/>
      <c r="H641" s="135" t="str">
        <f>IFERROR(IF($G641="","",$G641*$S$648/$G$648/Cadastro!$E$33),"")</f>
        <v/>
      </c>
      <c r="I641" s="136" t="str">
        <f>IFERROR(IF($D641="","",VLOOKUP($D641,Cadastro!$C$4:$G$7,5,FALSE)),"")</f>
        <v/>
      </c>
      <c r="J641" s="137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8">
        <v>46258</v>
      </c>
      <c r="B642" s="25">
        <f t="shared" si="169"/>
        <v>1.083333333333333</v>
      </c>
      <c r="C642" s="26"/>
      <c r="D642" s="59"/>
      <c r="E642" s="109"/>
      <c r="F642" s="135" t="str">
        <f>IFERROR(IF($D642="","",VLOOKUP($D642,Cadastro!$C$4:$E$7,3,FALSE)),"")</f>
        <v/>
      </c>
      <c r="G642" s="106"/>
      <c r="H642" s="135" t="str">
        <f>IFERROR(IF($G642="","",$G642*$S$648/$G$648/Cadastro!$E$33),"")</f>
        <v/>
      </c>
      <c r="I642" s="136" t="str">
        <f>IFERROR(IF($D642="","",VLOOKUP($D642,Cadastro!$C$4:$G$7,5,FALSE)),"")</f>
        <v/>
      </c>
      <c r="J642" s="137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9">
        <v>46258</v>
      </c>
      <c r="B643" s="32">
        <f t="shared" si="169"/>
        <v>1.1249999999999998</v>
      </c>
      <c r="C643" s="26"/>
      <c r="D643" s="59"/>
      <c r="E643" s="109"/>
      <c r="F643" s="135" t="str">
        <f>IFERROR(IF($D643="","",VLOOKUP($D643,Cadastro!$C$4:$E$7,3,FALSE)),"")</f>
        <v/>
      </c>
      <c r="G643" s="106"/>
      <c r="H643" s="135" t="str">
        <f>IFERROR(IF($G643="","",$G643*$S$648/$G$648/Cadastro!$E$33),"")</f>
        <v/>
      </c>
      <c r="I643" s="136" t="str">
        <f>IFERROR(IF($D643="","",VLOOKUP($D643,Cadastro!$C$4:$G$7,5,FALSE)),"")</f>
        <v/>
      </c>
      <c r="J643" s="137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8">
        <v>46258</v>
      </c>
      <c r="B644" s="25">
        <f t="shared" si="169"/>
        <v>1.1666666666666665</v>
      </c>
      <c r="C644" s="26"/>
      <c r="D644" s="59"/>
      <c r="E644" s="109"/>
      <c r="F644" s="135" t="str">
        <f>IFERROR(IF($D644="","",VLOOKUP($D644,Cadastro!$C$4:$E$7,3,FALSE)),"")</f>
        <v/>
      </c>
      <c r="G644" s="106"/>
      <c r="H644" s="135" t="str">
        <f>IFERROR(IF($G644="","",$G644*$S$648/$G$648/Cadastro!$E$33),"")</f>
        <v/>
      </c>
      <c r="I644" s="136" t="str">
        <f>IFERROR(IF($D644="","",VLOOKUP($D644,Cadastro!$C$4:$G$7,5,FALSE)),"")</f>
        <v/>
      </c>
      <c r="J644" s="137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9">
        <v>46258</v>
      </c>
      <c r="B645" s="32">
        <f t="shared" si="169"/>
        <v>1.2083333333333333</v>
      </c>
      <c r="C645" s="26"/>
      <c r="D645" s="59"/>
      <c r="E645" s="109"/>
      <c r="F645" s="135" t="str">
        <f>IFERROR(IF($D645="","",VLOOKUP($D645,Cadastro!$C$4:$E$7,3,FALSE)),"")</f>
        <v/>
      </c>
      <c r="G645" s="106"/>
      <c r="H645" s="135" t="str">
        <f>IFERROR(IF($G645="","",$G645*$S$648/$G$648/Cadastro!$E$33),"")</f>
        <v/>
      </c>
      <c r="I645" s="136" t="str">
        <f>IFERROR(IF($D645="","",VLOOKUP($D645,Cadastro!$C$4:$G$7,5,FALSE)),"")</f>
        <v/>
      </c>
      <c r="J645" s="137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8">
        <v>46258</v>
      </c>
      <c r="B646" s="25">
        <f t="shared" si="169"/>
        <v>1.25</v>
      </c>
      <c r="C646" s="26"/>
      <c r="D646" s="59"/>
      <c r="E646" s="109"/>
      <c r="F646" s="135" t="str">
        <f>IFERROR(IF($D646="","",VLOOKUP($D646,Cadastro!$C$4:$E$7,3,FALSE)),"")</f>
        <v/>
      </c>
      <c r="G646" s="106"/>
      <c r="H646" s="135" t="str">
        <f>IFERROR(IF($G646="","",$G646*$S$648/$G$648/Cadastro!$E$33),"")</f>
        <v/>
      </c>
      <c r="I646" s="136" t="str">
        <f>IFERROR(IF($D646="","",VLOOKUP($D646,Cadastro!$C$4:$G$7,5,FALSE)),"")</f>
        <v/>
      </c>
      <c r="J646" s="137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9">
        <v>46258</v>
      </c>
      <c r="B647" s="32">
        <f t="shared" si="169"/>
        <v>1.2916666666666667</v>
      </c>
      <c r="C647" s="26"/>
      <c r="D647" s="59"/>
      <c r="E647" s="109"/>
      <c r="F647" s="138" t="str">
        <f>IFERROR(IF($D647="","",VLOOKUP($D647,Cadastro!$C$4:$E$7,3,FALSE)),"")</f>
        <v/>
      </c>
      <c r="G647" s="106"/>
      <c r="H647" s="138" t="str">
        <f>IFERROR(IF($G647="","",$G647*$S$648/$G$648/Cadastro!$E$33),"")</f>
        <v/>
      </c>
      <c r="I647" s="139" t="str">
        <f>IFERROR(IF($D647="","",VLOOKUP($D647,Cadastro!$C$4:$G$7,5,FALSE)),"")</f>
        <v/>
      </c>
      <c r="J647" s="140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2" t="s">
        <v>244</v>
      </c>
      <c r="B648" s="153"/>
      <c r="C648" s="153"/>
      <c r="D648" s="153"/>
      <c r="E648" s="153">
        <f>SUM(E636:E647)</f>
        <v>0</v>
      </c>
      <c r="F648" s="112"/>
      <c r="G648" s="81">
        <f>SUM(G636:G647)</f>
        <v>0</v>
      </c>
      <c r="H648" s="112">
        <f>IFERROR(SUM(H636:H647),"")</f>
        <v>0</v>
      </c>
      <c r="I648" s="116"/>
      <c r="J648" s="125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20">
        <f>IFERROR(J648,"")</f>
        <v>0</v>
      </c>
    </row>
    <row r="649" spans="1:20" ht="18" customHeight="1">
      <c r="A649" s="150" t="s">
        <v>245</v>
      </c>
      <c r="B649" s="151"/>
      <c r="C649" s="151"/>
      <c r="D649" s="151"/>
      <c r="E649" s="151">
        <f>E635+E648</f>
        <v>0</v>
      </c>
      <c r="F649" s="113"/>
      <c r="G649" s="92">
        <f>G635+G648</f>
        <v>0</v>
      </c>
      <c r="H649" s="113">
        <f>IFERROR(H635+H648,"")</f>
        <v>0</v>
      </c>
      <c r="I649" s="117"/>
      <c r="J649" s="126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2">
        <f>IFERROR(J649,"")</f>
        <v>0</v>
      </c>
    </row>
    <row r="650" spans="1:20" ht="15" customHeight="1">
      <c r="A650" s="68">
        <v>46259</v>
      </c>
      <c r="B650" s="25">
        <v>0.33333333333333298</v>
      </c>
      <c r="C650" s="26"/>
      <c r="D650" s="59"/>
      <c r="E650" s="109"/>
      <c r="F650" s="141" t="str">
        <f>IFERROR(IF($D650="","",VLOOKUP($D650,Cadastro!$C$4:$E$7,3,FALSE)),"")</f>
        <v/>
      </c>
      <c r="G650" s="106"/>
      <c r="H650" s="141" t="str">
        <f>IFERROR(IF($G650="","",$G650*$S$662/$G$662/Cadastro!$E$33),"")</f>
        <v/>
      </c>
      <c r="I650" s="142" t="str">
        <f>IFERROR(IF($D650="","",VLOOKUP($D650,Cadastro!$C$4:$G$7,5,FALSE)),"")</f>
        <v/>
      </c>
      <c r="J650" s="143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9">
        <v>46259</v>
      </c>
      <c r="B651" s="32">
        <f t="shared" ref="B651:B661" si="173">B650+TIME(0,60,0)</f>
        <v>0.37499999999999967</v>
      </c>
      <c r="C651" s="26"/>
      <c r="D651" s="59"/>
      <c r="E651" s="109"/>
      <c r="F651" s="135" t="str">
        <f>IFERROR(IF($D651="","",VLOOKUP($D651,Cadastro!$C$4:$E$7,3,FALSE)),"")</f>
        <v/>
      </c>
      <c r="G651" s="106"/>
      <c r="H651" s="135" t="str">
        <f>IFERROR(IF($G651="","",$G651*$S$662/$G$662/Cadastro!$E$33),"")</f>
        <v/>
      </c>
      <c r="I651" s="136" t="str">
        <f>IFERROR(IF($D651="","",VLOOKUP($D651,Cadastro!$C$4:$G$7,5,FALSE)),"")</f>
        <v/>
      </c>
      <c r="J651" s="137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8">
        <v>46259</v>
      </c>
      <c r="B652" s="25">
        <f t="shared" si="173"/>
        <v>0.41666666666666635</v>
      </c>
      <c r="C652" s="26"/>
      <c r="D652" s="59"/>
      <c r="E652" s="109"/>
      <c r="F652" s="135" t="str">
        <f>IFERROR(IF($D652="","",VLOOKUP($D652,Cadastro!$C$4:$E$7,3,FALSE)),"")</f>
        <v/>
      </c>
      <c r="G652" s="106"/>
      <c r="H652" s="135" t="str">
        <f>IFERROR(IF($G652="","",$G652*$S$662/$G$662/Cadastro!$E$33),"")</f>
        <v/>
      </c>
      <c r="I652" s="136" t="str">
        <f>IFERROR(IF($D652="","",VLOOKUP($D652,Cadastro!$C$4:$G$7,5,FALSE)),"")</f>
        <v/>
      </c>
      <c r="J652" s="137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9">
        <v>46259</v>
      </c>
      <c r="B653" s="32">
        <f t="shared" si="173"/>
        <v>0.45833333333333304</v>
      </c>
      <c r="C653" s="26"/>
      <c r="D653" s="59"/>
      <c r="E653" s="109"/>
      <c r="F653" s="135" t="str">
        <f>IFERROR(IF($D653="","",VLOOKUP($D653,Cadastro!$C$4:$E$7,3,FALSE)),"")</f>
        <v/>
      </c>
      <c r="G653" s="106"/>
      <c r="H653" s="135" t="str">
        <f>IFERROR(IF($G653="","",$G653*$S$662/$G$662/Cadastro!$E$33),"")</f>
        <v/>
      </c>
      <c r="I653" s="136" t="str">
        <f>IFERROR(IF($D653="","",VLOOKUP($D653,Cadastro!$C$4:$G$7,5,FALSE)),"")</f>
        <v/>
      </c>
      <c r="J653" s="137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8">
        <v>46259</v>
      </c>
      <c r="B654" s="25">
        <f t="shared" si="173"/>
        <v>0.49999999999999972</v>
      </c>
      <c r="C654" s="26"/>
      <c r="D654" s="59"/>
      <c r="E654" s="109"/>
      <c r="F654" s="135" t="str">
        <f>IFERROR(IF($D654="","",VLOOKUP($D654,Cadastro!$C$4:$E$7,3,FALSE)),"")</f>
        <v/>
      </c>
      <c r="G654" s="106"/>
      <c r="H654" s="135" t="str">
        <f>IFERROR(IF($G654="","",$G654*$S$662/$G$662/Cadastro!$E$33),"")</f>
        <v/>
      </c>
      <c r="I654" s="136" t="str">
        <f>IFERROR(IF($D654="","",VLOOKUP($D654,Cadastro!$C$4:$G$7,5,FALSE)),"")</f>
        <v/>
      </c>
      <c r="J654" s="137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9">
        <v>46259</v>
      </c>
      <c r="B655" s="32">
        <f t="shared" si="173"/>
        <v>0.54166666666666641</v>
      </c>
      <c r="C655" s="26"/>
      <c r="D655" s="59"/>
      <c r="E655" s="109"/>
      <c r="F655" s="135" t="str">
        <f>IFERROR(IF($D655="","",VLOOKUP($D655,Cadastro!$C$4:$E$7,3,FALSE)),"")</f>
        <v/>
      </c>
      <c r="G655" s="106"/>
      <c r="H655" s="135" t="str">
        <f>IFERROR(IF($G655="","",$G655*$S$662/$G$662/Cadastro!$E$33),"")</f>
        <v/>
      </c>
      <c r="I655" s="136" t="str">
        <f>IFERROR(IF($D655="","",VLOOKUP($D655,Cadastro!$C$4:$G$7,5,FALSE)),"")</f>
        <v/>
      </c>
      <c r="J655" s="137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8">
        <v>46259</v>
      </c>
      <c r="B656" s="25">
        <f t="shared" si="173"/>
        <v>0.58333333333333304</v>
      </c>
      <c r="C656" s="26"/>
      <c r="D656" s="59"/>
      <c r="E656" s="109"/>
      <c r="F656" s="135" t="str">
        <f>IFERROR(IF($D656="","",VLOOKUP($D656,Cadastro!$C$4:$E$7,3,FALSE)),"")</f>
        <v/>
      </c>
      <c r="G656" s="106"/>
      <c r="H656" s="135" t="str">
        <f>IFERROR(IF($G656="","",$G656*$S$662/$G$662/Cadastro!$E$33),"")</f>
        <v/>
      </c>
      <c r="I656" s="136" t="str">
        <f>IFERROR(IF($D656="","",VLOOKUP($D656,Cadastro!$C$4:$G$7,5,FALSE)),"")</f>
        <v/>
      </c>
      <c r="J656" s="137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9">
        <v>46259</v>
      </c>
      <c r="B657" s="32">
        <f t="shared" si="173"/>
        <v>0.62499999999999967</v>
      </c>
      <c r="C657" s="26"/>
      <c r="D657" s="59"/>
      <c r="E657" s="109"/>
      <c r="F657" s="135" t="str">
        <f>IFERROR(IF($D657="","",VLOOKUP($D657,Cadastro!$C$4:$E$7,3,FALSE)),"")</f>
        <v/>
      </c>
      <c r="G657" s="106"/>
      <c r="H657" s="135" t="str">
        <f>IFERROR(IF($G657="","",$G657*$S$662/$G$662/Cadastro!$E$33),"")</f>
        <v/>
      </c>
      <c r="I657" s="136" t="str">
        <f>IFERROR(IF($D657="","",VLOOKUP($D657,Cadastro!$C$4:$G$7,5,FALSE)),"")</f>
        <v/>
      </c>
      <c r="J657" s="137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8">
        <v>46259</v>
      </c>
      <c r="B658" s="25">
        <f t="shared" si="173"/>
        <v>0.6666666666666663</v>
      </c>
      <c r="C658" s="26"/>
      <c r="D658" s="59"/>
      <c r="E658" s="109"/>
      <c r="F658" s="135" t="str">
        <f>IFERROR(IF($D658="","",VLOOKUP($D658,Cadastro!$C$4:$E$7,3,FALSE)),"")</f>
        <v/>
      </c>
      <c r="G658" s="106"/>
      <c r="H658" s="135" t="str">
        <f>IFERROR(IF($G658="","",$G658*$S$662/$G$662/Cadastro!$E$33),"")</f>
        <v/>
      </c>
      <c r="I658" s="136" t="str">
        <f>IFERROR(IF($D658="","",VLOOKUP($D658,Cadastro!$C$4:$G$7,5,FALSE)),"")</f>
        <v/>
      </c>
      <c r="J658" s="137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9">
        <v>46259</v>
      </c>
      <c r="B659" s="32">
        <f t="shared" si="173"/>
        <v>0.70833333333333293</v>
      </c>
      <c r="C659" s="26"/>
      <c r="D659" s="59"/>
      <c r="E659" s="109"/>
      <c r="F659" s="135" t="str">
        <f>IFERROR(IF($D659="","",VLOOKUP($D659,Cadastro!$C$4:$E$7,3,FALSE)),"")</f>
        <v/>
      </c>
      <c r="G659" s="106"/>
      <c r="H659" s="135" t="str">
        <f>IFERROR(IF($G659="","",$G659*$S$662/$G$662/Cadastro!$E$33),"")</f>
        <v/>
      </c>
      <c r="I659" s="136" t="str">
        <f>IFERROR(IF($D659="","",VLOOKUP($D659,Cadastro!$C$4:$G$7,5,FALSE)),"")</f>
        <v/>
      </c>
      <c r="J659" s="137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8">
        <v>46259</v>
      </c>
      <c r="B660" s="25">
        <f t="shared" si="173"/>
        <v>0.74999999999999956</v>
      </c>
      <c r="C660" s="26"/>
      <c r="D660" s="59"/>
      <c r="E660" s="109"/>
      <c r="F660" s="135" t="str">
        <f>IFERROR(IF($D660="","",VLOOKUP($D660,Cadastro!$C$4:$E$7,3,FALSE)),"")</f>
        <v/>
      </c>
      <c r="G660" s="106"/>
      <c r="H660" s="135" t="str">
        <f>IFERROR(IF($G660="","",$G660*$S$662/$G$662/Cadastro!$E$33),"")</f>
        <v/>
      </c>
      <c r="I660" s="136" t="str">
        <f>IFERROR(IF($D660="","",VLOOKUP($D660,Cadastro!$C$4:$G$7,5,FALSE)),"")</f>
        <v/>
      </c>
      <c r="J660" s="137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9">
        <v>46259</v>
      </c>
      <c r="B661" s="32">
        <f t="shared" si="173"/>
        <v>0.79166666666666619</v>
      </c>
      <c r="C661" s="26"/>
      <c r="D661" s="59"/>
      <c r="E661" s="109"/>
      <c r="F661" s="138" t="str">
        <f>IFERROR(IF($D661="","",VLOOKUP($D661,Cadastro!$C$4:$E$7,3,FALSE)),"")</f>
        <v/>
      </c>
      <c r="G661" s="106"/>
      <c r="H661" s="138" t="str">
        <f>IFERROR(IF($G661="","",$G661*$S$662/$G$662/Cadastro!$E$33),"")</f>
        <v/>
      </c>
      <c r="I661" s="139" t="str">
        <f>IFERROR(IF($D661="","",VLOOKUP($D661,Cadastro!$C$4:$G$7,5,FALSE)),"")</f>
        <v/>
      </c>
      <c r="J661" s="140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2" t="s">
        <v>241</v>
      </c>
      <c r="B662" s="153"/>
      <c r="C662" s="153"/>
      <c r="D662" s="153"/>
      <c r="E662" s="153">
        <f>SUM(E650:E661)</f>
        <v>0</v>
      </c>
      <c r="F662" s="111"/>
      <c r="G662" s="81">
        <f>SUM(G650:G661)</f>
        <v>0</v>
      </c>
      <c r="H662" s="111">
        <f>IFERROR(SUM(H650:H661),"")</f>
        <v>0</v>
      </c>
      <c r="I662" s="115"/>
      <c r="J662" s="124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20">
        <f>IFERROR(J662,"")</f>
        <v>0</v>
      </c>
    </row>
    <row r="663" spans="1:20" ht="15" customHeight="1">
      <c r="A663" s="69">
        <v>46259</v>
      </c>
      <c r="B663" s="32">
        <v>0.83333333333333304</v>
      </c>
      <c r="C663" s="33"/>
      <c r="D663" s="62"/>
      <c r="E663" s="110"/>
      <c r="F663" s="141" t="str">
        <f>IFERROR(IF($D663="","",VLOOKUP($D663,Cadastro!$C$4:$E$7,3,FALSE)),"")</f>
        <v/>
      </c>
      <c r="G663" s="106"/>
      <c r="H663" s="141" t="str">
        <f>IFERROR(IF($G663="","",$G663*$S$675/$G$675/Cadastro!$E$33),"")</f>
        <v/>
      </c>
      <c r="I663" s="142" t="str">
        <f>IFERROR(IF($D663="","",VLOOKUP($D663,Cadastro!$C$4:$G$7,5,FALSE)),"")</f>
        <v/>
      </c>
      <c r="J663" s="143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8">
        <v>46259</v>
      </c>
      <c r="B664" s="25">
        <f t="shared" ref="B664:B674" si="177">B663+TIME(0,60,0)</f>
        <v>0.87499999999999967</v>
      </c>
      <c r="C664" s="33"/>
      <c r="D664" s="62"/>
      <c r="E664" s="110"/>
      <c r="F664" s="135" t="str">
        <f>IFERROR(IF($D664="","",VLOOKUP($D664,Cadastro!$C$4:$E$7,3,FALSE)),"")</f>
        <v/>
      </c>
      <c r="G664" s="106"/>
      <c r="H664" s="135" t="str">
        <f>IFERROR(IF($G664="","",$G664*$S$675/$G$675/Cadastro!$E$33),"")</f>
        <v/>
      </c>
      <c r="I664" s="136" t="str">
        <f>IFERROR(IF($D664="","",VLOOKUP($D664,Cadastro!$C$4:$G$7,5,FALSE)),"")</f>
        <v/>
      </c>
      <c r="J664" s="137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9">
        <v>46259</v>
      </c>
      <c r="B665" s="32">
        <f t="shared" si="177"/>
        <v>0.9166666666666663</v>
      </c>
      <c r="C665" s="33"/>
      <c r="D665" s="62"/>
      <c r="E665" s="110"/>
      <c r="F665" s="135" t="str">
        <f>IFERROR(IF($D665="","",VLOOKUP($D665,Cadastro!$C$4:$E$7,3,FALSE)),"")</f>
        <v/>
      </c>
      <c r="G665" s="106"/>
      <c r="H665" s="135" t="str">
        <f>IFERROR(IF($G665="","",$G665*$S$675/$G$675/Cadastro!$E$33),"")</f>
        <v/>
      </c>
      <c r="I665" s="136" t="str">
        <f>IFERROR(IF($D665="","",VLOOKUP($D665,Cadastro!$C$4:$G$7,5,FALSE)),"")</f>
        <v/>
      </c>
      <c r="J665" s="137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8">
        <v>46259</v>
      </c>
      <c r="B666" s="25">
        <f t="shared" si="177"/>
        <v>0.95833333333333293</v>
      </c>
      <c r="C666" s="33"/>
      <c r="D666" s="62"/>
      <c r="E666" s="110"/>
      <c r="F666" s="135" t="str">
        <f>IFERROR(IF($D666="","",VLOOKUP($D666,Cadastro!$C$4:$E$7,3,FALSE)),"")</f>
        <v/>
      </c>
      <c r="G666" s="106"/>
      <c r="H666" s="135" t="str">
        <f>IFERROR(IF($G666="","",$G666*$S$675/$G$675/Cadastro!$E$33),"")</f>
        <v/>
      </c>
      <c r="I666" s="136" t="str">
        <f>IFERROR(IF($D666="","",VLOOKUP($D666,Cadastro!$C$4:$G$7,5,FALSE)),"")</f>
        <v/>
      </c>
      <c r="J666" s="137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9">
        <v>46259</v>
      </c>
      <c r="B667" s="32">
        <f t="shared" si="177"/>
        <v>0.99999999999999956</v>
      </c>
      <c r="C667" s="33"/>
      <c r="D667" s="62"/>
      <c r="E667" s="110"/>
      <c r="F667" s="135" t="str">
        <f>IFERROR(IF($D667="","",VLOOKUP($D667,Cadastro!$C$4:$E$7,3,FALSE)),"")</f>
        <v/>
      </c>
      <c r="G667" s="106"/>
      <c r="H667" s="135" t="str">
        <f>IFERROR(IF($G667="","",$G667*$S$675/$G$675/Cadastro!$E$33),"")</f>
        <v/>
      </c>
      <c r="I667" s="136" t="str">
        <f>IFERROR(IF($D667="","",VLOOKUP($D667,Cadastro!$C$4:$G$7,5,FALSE)),"")</f>
        <v/>
      </c>
      <c r="J667" s="137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8">
        <v>46259</v>
      </c>
      <c r="B668" s="25">
        <f t="shared" si="177"/>
        <v>1.0416666666666663</v>
      </c>
      <c r="C668" s="33"/>
      <c r="D668" s="62"/>
      <c r="E668" s="110"/>
      <c r="F668" s="135" t="str">
        <f>IFERROR(IF($D668="","",VLOOKUP($D668,Cadastro!$C$4:$E$7,3,FALSE)),"")</f>
        <v/>
      </c>
      <c r="G668" s="106"/>
      <c r="H668" s="135" t="str">
        <f>IFERROR(IF($G668="","",$G668*$S$675/$G$675/Cadastro!$E$33),"")</f>
        <v/>
      </c>
      <c r="I668" s="136" t="str">
        <f>IFERROR(IF($D668="","",VLOOKUP($D668,Cadastro!$C$4:$G$7,5,FALSE)),"")</f>
        <v/>
      </c>
      <c r="J668" s="137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9">
        <v>46259</v>
      </c>
      <c r="B669" s="32">
        <f t="shared" si="177"/>
        <v>1.083333333333333</v>
      </c>
      <c r="C669" s="33"/>
      <c r="D669" s="62"/>
      <c r="E669" s="110"/>
      <c r="F669" s="135" t="str">
        <f>IFERROR(IF($D669="","",VLOOKUP($D669,Cadastro!$C$4:$E$7,3,FALSE)),"")</f>
        <v/>
      </c>
      <c r="G669" s="106"/>
      <c r="H669" s="135" t="str">
        <f>IFERROR(IF($G669="","",$G669*$S$675/$G$675/Cadastro!$E$33),"")</f>
        <v/>
      </c>
      <c r="I669" s="136" t="str">
        <f>IFERROR(IF($D669="","",VLOOKUP($D669,Cadastro!$C$4:$G$7,5,FALSE)),"")</f>
        <v/>
      </c>
      <c r="J669" s="137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8">
        <v>46259</v>
      </c>
      <c r="B670" s="25">
        <f t="shared" si="177"/>
        <v>1.1249999999999998</v>
      </c>
      <c r="C670" s="33"/>
      <c r="D670" s="62"/>
      <c r="E670" s="110"/>
      <c r="F670" s="135" t="str">
        <f>IFERROR(IF($D670="","",VLOOKUP($D670,Cadastro!$C$4:$E$7,3,FALSE)),"")</f>
        <v/>
      </c>
      <c r="G670" s="106"/>
      <c r="H670" s="135" t="str">
        <f>IFERROR(IF($G670="","",$G670*$S$675/$G$675/Cadastro!$E$33),"")</f>
        <v/>
      </c>
      <c r="I670" s="136" t="str">
        <f>IFERROR(IF($D670="","",VLOOKUP($D670,Cadastro!$C$4:$G$7,5,FALSE)),"")</f>
        <v/>
      </c>
      <c r="J670" s="137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9">
        <v>46259</v>
      </c>
      <c r="B671" s="32">
        <f t="shared" si="177"/>
        <v>1.1666666666666665</v>
      </c>
      <c r="C671" s="33"/>
      <c r="D671" s="62"/>
      <c r="E671" s="110"/>
      <c r="F671" s="135" t="str">
        <f>IFERROR(IF($D671="","",VLOOKUP($D671,Cadastro!$C$4:$E$7,3,FALSE)),"")</f>
        <v/>
      </c>
      <c r="G671" s="106"/>
      <c r="H671" s="135" t="str">
        <f>IFERROR(IF($G671="","",$G671*$S$675/$G$675/Cadastro!$E$33),"")</f>
        <v/>
      </c>
      <c r="I671" s="136" t="str">
        <f>IFERROR(IF($D671="","",VLOOKUP($D671,Cadastro!$C$4:$G$7,5,FALSE)),"")</f>
        <v/>
      </c>
      <c r="J671" s="137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8">
        <v>46259</v>
      </c>
      <c r="B672" s="25">
        <f t="shared" si="177"/>
        <v>1.2083333333333333</v>
      </c>
      <c r="C672" s="33"/>
      <c r="D672" s="62"/>
      <c r="E672" s="110"/>
      <c r="F672" s="135" t="str">
        <f>IFERROR(IF($D672="","",VLOOKUP($D672,Cadastro!$C$4:$E$7,3,FALSE)),"")</f>
        <v/>
      </c>
      <c r="G672" s="106"/>
      <c r="H672" s="135" t="str">
        <f>IFERROR(IF($G672="","",$G672*$S$675/$G$675/Cadastro!$E$33),"")</f>
        <v/>
      </c>
      <c r="I672" s="136" t="str">
        <f>IFERROR(IF($D672="","",VLOOKUP($D672,Cadastro!$C$4:$G$7,5,FALSE)),"")</f>
        <v/>
      </c>
      <c r="J672" s="137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9">
        <v>46259</v>
      </c>
      <c r="B673" s="32">
        <f t="shared" si="177"/>
        <v>1.25</v>
      </c>
      <c r="C673" s="33"/>
      <c r="D673" s="62"/>
      <c r="E673" s="110"/>
      <c r="F673" s="135" t="str">
        <f>IFERROR(IF($D673="","",VLOOKUP($D673,Cadastro!$C$4:$E$7,3,FALSE)),"")</f>
        <v/>
      </c>
      <c r="G673" s="106"/>
      <c r="H673" s="135" t="str">
        <f>IFERROR(IF($G673="","",$G673*$S$675/$G$675/Cadastro!$E$33),"")</f>
        <v/>
      </c>
      <c r="I673" s="136" t="str">
        <f>IFERROR(IF($D673="","",VLOOKUP($D673,Cadastro!$C$4:$G$7,5,FALSE)),"")</f>
        <v/>
      </c>
      <c r="J673" s="137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8">
        <v>46259</v>
      </c>
      <c r="B674" s="25">
        <f t="shared" si="177"/>
        <v>1.2916666666666667</v>
      </c>
      <c r="C674" s="26"/>
      <c r="D674" s="59"/>
      <c r="E674" s="109"/>
      <c r="F674" s="138" t="str">
        <f>IFERROR(IF($D674="","",VLOOKUP($D674,Cadastro!$C$4:$E$7,3,FALSE)),"")</f>
        <v/>
      </c>
      <c r="G674" s="106"/>
      <c r="H674" s="138" t="str">
        <f>IFERROR(IF($G674="","",$G674*$S$675/$G$675/Cadastro!$E$33),"")</f>
        <v/>
      </c>
      <c r="I674" s="139" t="str">
        <f>IFERROR(IF($D674="","",VLOOKUP($D674,Cadastro!$C$4:$G$7,5,FALSE)),"")</f>
        <v/>
      </c>
      <c r="J674" s="140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2" t="s">
        <v>244</v>
      </c>
      <c r="B675" s="153"/>
      <c r="C675" s="153"/>
      <c r="D675" s="153"/>
      <c r="E675" s="153">
        <f>SUM(E663:E674)</f>
        <v>0</v>
      </c>
      <c r="F675" s="112"/>
      <c r="G675" s="81">
        <f>SUM(G663:G674)</f>
        <v>0</v>
      </c>
      <c r="H675" s="112">
        <f>IFERROR(SUM(H663:H674),"")</f>
        <v>0</v>
      </c>
      <c r="I675" s="116"/>
      <c r="J675" s="125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20">
        <f>IFERROR(J675,"")</f>
        <v>0</v>
      </c>
    </row>
    <row r="676" spans="1:20" ht="18" customHeight="1">
      <c r="A676" s="150" t="s">
        <v>245</v>
      </c>
      <c r="B676" s="151"/>
      <c r="C676" s="151"/>
      <c r="D676" s="151"/>
      <c r="E676" s="151">
        <f>E662+E675</f>
        <v>0</v>
      </c>
      <c r="F676" s="113"/>
      <c r="G676" s="92">
        <f>G662+G675</f>
        <v>0</v>
      </c>
      <c r="H676" s="113">
        <f>IFERROR(H662+H675,"")</f>
        <v>0</v>
      </c>
      <c r="I676" s="117"/>
      <c r="J676" s="126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2">
        <f>IFERROR(J676,"")</f>
        <v>0</v>
      </c>
    </row>
    <row r="677" spans="1:20" ht="15" customHeight="1">
      <c r="A677" s="69">
        <v>46260</v>
      </c>
      <c r="B677" s="32">
        <v>0.33333333333333298</v>
      </c>
      <c r="C677" s="33"/>
      <c r="D677" s="62"/>
      <c r="E677" s="110"/>
      <c r="F677" s="141" t="str">
        <f>IFERROR(IF($D677="","",VLOOKUP($D677,Cadastro!$C$4:$E$7,3,FALSE)),"")</f>
        <v/>
      </c>
      <c r="G677" s="106"/>
      <c r="H677" s="141" t="str">
        <f>IFERROR(IF($G677="","",$G677*$S$689/$G$689/Cadastro!$E$33),"")</f>
        <v/>
      </c>
      <c r="I677" s="142" t="str">
        <f>IFERROR(IF($D677="","",VLOOKUP($D677,Cadastro!$C$4:$G$7,5,FALSE)),"")</f>
        <v/>
      </c>
      <c r="J677" s="143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8">
        <v>46260</v>
      </c>
      <c r="B678" s="25">
        <f t="shared" ref="B678:B688" si="181">B677+TIME(0,60,0)</f>
        <v>0.37499999999999967</v>
      </c>
      <c r="C678" s="33"/>
      <c r="D678" s="62"/>
      <c r="E678" s="110"/>
      <c r="F678" s="135" t="str">
        <f>IFERROR(IF($D678="","",VLOOKUP($D678,Cadastro!$C$4:$E$7,3,FALSE)),"")</f>
        <v/>
      </c>
      <c r="G678" s="106"/>
      <c r="H678" s="135" t="str">
        <f>IFERROR(IF($G678="","",$G678*$S$689/$G$689/Cadastro!$E$33),"")</f>
        <v/>
      </c>
      <c r="I678" s="136" t="str">
        <f>IFERROR(IF($D678="","",VLOOKUP($D678,Cadastro!$C$4:$G$7,5,FALSE)),"")</f>
        <v/>
      </c>
      <c r="J678" s="137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9">
        <v>46260</v>
      </c>
      <c r="B679" s="32">
        <f t="shared" si="181"/>
        <v>0.41666666666666635</v>
      </c>
      <c r="C679" s="33"/>
      <c r="D679" s="62"/>
      <c r="E679" s="110"/>
      <c r="F679" s="135" t="str">
        <f>IFERROR(IF($D679="","",VLOOKUP($D679,Cadastro!$C$4:$E$7,3,FALSE)),"")</f>
        <v/>
      </c>
      <c r="G679" s="106"/>
      <c r="H679" s="135" t="str">
        <f>IFERROR(IF($G679="","",$G679*$S$689/$G$689/Cadastro!$E$33),"")</f>
        <v/>
      </c>
      <c r="I679" s="136" t="str">
        <f>IFERROR(IF($D679="","",VLOOKUP($D679,Cadastro!$C$4:$G$7,5,FALSE)),"")</f>
        <v/>
      </c>
      <c r="J679" s="137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8">
        <v>46260</v>
      </c>
      <c r="B680" s="25">
        <f t="shared" si="181"/>
        <v>0.45833333333333304</v>
      </c>
      <c r="C680" s="33"/>
      <c r="D680" s="62"/>
      <c r="E680" s="110"/>
      <c r="F680" s="135" t="str">
        <f>IFERROR(IF($D680="","",VLOOKUP($D680,Cadastro!$C$4:$E$7,3,FALSE)),"")</f>
        <v/>
      </c>
      <c r="G680" s="106"/>
      <c r="H680" s="135" t="str">
        <f>IFERROR(IF($G680="","",$G680*$S$689/$G$689/Cadastro!$E$33),"")</f>
        <v/>
      </c>
      <c r="I680" s="136" t="str">
        <f>IFERROR(IF($D680="","",VLOOKUP($D680,Cadastro!$C$4:$G$7,5,FALSE)),"")</f>
        <v/>
      </c>
      <c r="J680" s="137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9">
        <v>46260</v>
      </c>
      <c r="B681" s="32">
        <f t="shared" si="181"/>
        <v>0.49999999999999972</v>
      </c>
      <c r="C681" s="33"/>
      <c r="D681" s="62"/>
      <c r="E681" s="110"/>
      <c r="F681" s="135" t="str">
        <f>IFERROR(IF($D681="","",VLOOKUP($D681,Cadastro!$C$4:$E$7,3,FALSE)),"")</f>
        <v/>
      </c>
      <c r="G681" s="106"/>
      <c r="H681" s="135" t="str">
        <f>IFERROR(IF($G681="","",$G681*$S$689/$G$689/Cadastro!$E$33),"")</f>
        <v/>
      </c>
      <c r="I681" s="136" t="str">
        <f>IFERROR(IF($D681="","",VLOOKUP($D681,Cadastro!$C$4:$G$7,5,FALSE)),"")</f>
        <v/>
      </c>
      <c r="J681" s="137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8">
        <v>46260</v>
      </c>
      <c r="B682" s="25">
        <f t="shared" si="181"/>
        <v>0.54166666666666641</v>
      </c>
      <c r="C682" s="33"/>
      <c r="D682" s="62"/>
      <c r="E682" s="110"/>
      <c r="F682" s="135" t="str">
        <f>IFERROR(IF($D682="","",VLOOKUP($D682,Cadastro!$C$4:$E$7,3,FALSE)),"")</f>
        <v/>
      </c>
      <c r="G682" s="106"/>
      <c r="H682" s="135" t="str">
        <f>IFERROR(IF($G682="","",$G682*$S$689/$G$689/Cadastro!$E$33),"")</f>
        <v/>
      </c>
      <c r="I682" s="136" t="str">
        <f>IFERROR(IF($D682="","",VLOOKUP($D682,Cadastro!$C$4:$G$7,5,FALSE)),"")</f>
        <v/>
      </c>
      <c r="J682" s="137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9">
        <v>46260</v>
      </c>
      <c r="B683" s="32">
        <f t="shared" si="181"/>
        <v>0.58333333333333304</v>
      </c>
      <c r="C683" s="33"/>
      <c r="D683" s="62"/>
      <c r="E683" s="110"/>
      <c r="F683" s="135" t="str">
        <f>IFERROR(IF($D683="","",VLOOKUP($D683,Cadastro!$C$4:$E$7,3,FALSE)),"")</f>
        <v/>
      </c>
      <c r="G683" s="106"/>
      <c r="H683" s="135" t="str">
        <f>IFERROR(IF($G683="","",$G683*$S$689/$G$689/Cadastro!$E$33),"")</f>
        <v/>
      </c>
      <c r="I683" s="136" t="str">
        <f>IFERROR(IF($D683="","",VLOOKUP($D683,Cadastro!$C$4:$G$7,5,FALSE)),"")</f>
        <v/>
      </c>
      <c r="J683" s="137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8">
        <v>46260</v>
      </c>
      <c r="B684" s="25">
        <f t="shared" si="181"/>
        <v>0.62499999999999967</v>
      </c>
      <c r="C684" s="33"/>
      <c r="D684" s="62"/>
      <c r="E684" s="110"/>
      <c r="F684" s="135" t="str">
        <f>IFERROR(IF($D684="","",VLOOKUP($D684,Cadastro!$C$4:$E$7,3,FALSE)),"")</f>
        <v/>
      </c>
      <c r="G684" s="106"/>
      <c r="H684" s="135" t="str">
        <f>IFERROR(IF($G684="","",$G684*$S$689/$G$689/Cadastro!$E$33),"")</f>
        <v/>
      </c>
      <c r="I684" s="136" t="str">
        <f>IFERROR(IF($D684="","",VLOOKUP($D684,Cadastro!$C$4:$G$7,5,FALSE)),"")</f>
        <v/>
      </c>
      <c r="J684" s="137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9">
        <v>46260</v>
      </c>
      <c r="B685" s="32">
        <f t="shared" si="181"/>
        <v>0.6666666666666663</v>
      </c>
      <c r="C685" s="33"/>
      <c r="D685" s="62"/>
      <c r="E685" s="110"/>
      <c r="F685" s="135" t="str">
        <f>IFERROR(IF($D685="","",VLOOKUP($D685,Cadastro!$C$4:$E$7,3,FALSE)),"")</f>
        <v/>
      </c>
      <c r="G685" s="106"/>
      <c r="H685" s="135" t="str">
        <f>IFERROR(IF($G685="","",$G685*$S$689/$G$689/Cadastro!$E$33),"")</f>
        <v/>
      </c>
      <c r="I685" s="136" t="str">
        <f>IFERROR(IF($D685="","",VLOOKUP($D685,Cadastro!$C$4:$G$7,5,FALSE)),"")</f>
        <v/>
      </c>
      <c r="J685" s="137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8">
        <v>46260</v>
      </c>
      <c r="B686" s="25">
        <f t="shared" si="181"/>
        <v>0.70833333333333293</v>
      </c>
      <c r="C686" s="33"/>
      <c r="D686" s="62"/>
      <c r="E686" s="110"/>
      <c r="F686" s="135" t="str">
        <f>IFERROR(IF($D686="","",VLOOKUP($D686,Cadastro!$C$4:$E$7,3,FALSE)),"")</f>
        <v/>
      </c>
      <c r="G686" s="106"/>
      <c r="H686" s="135" t="str">
        <f>IFERROR(IF($G686="","",$G686*$S$689/$G$689/Cadastro!$E$33),"")</f>
        <v/>
      </c>
      <c r="I686" s="136" t="str">
        <f>IFERROR(IF($D686="","",VLOOKUP($D686,Cadastro!$C$4:$G$7,5,FALSE)),"")</f>
        <v/>
      </c>
      <c r="J686" s="137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9">
        <v>46260</v>
      </c>
      <c r="B687" s="32">
        <f t="shared" si="181"/>
        <v>0.74999999999999956</v>
      </c>
      <c r="C687" s="33"/>
      <c r="D687" s="62"/>
      <c r="E687" s="110"/>
      <c r="F687" s="135" t="str">
        <f>IFERROR(IF($D687="","",VLOOKUP($D687,Cadastro!$C$4:$E$7,3,FALSE)),"")</f>
        <v/>
      </c>
      <c r="G687" s="106"/>
      <c r="H687" s="135" t="str">
        <f>IFERROR(IF($G687="","",$G687*$S$689/$G$689/Cadastro!$E$33),"")</f>
        <v/>
      </c>
      <c r="I687" s="136" t="str">
        <f>IFERROR(IF($D687="","",VLOOKUP($D687,Cadastro!$C$4:$G$7,5,FALSE)),"")</f>
        <v/>
      </c>
      <c r="J687" s="137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8">
        <v>46260</v>
      </c>
      <c r="B688" s="25">
        <f t="shared" si="181"/>
        <v>0.79166666666666619</v>
      </c>
      <c r="C688" s="33"/>
      <c r="D688" s="62"/>
      <c r="E688" s="110"/>
      <c r="F688" s="138" t="str">
        <f>IFERROR(IF($D688="","",VLOOKUP($D688,Cadastro!$C$4:$E$7,3,FALSE)),"")</f>
        <v/>
      </c>
      <c r="G688" s="106"/>
      <c r="H688" s="138" t="str">
        <f>IFERROR(IF($G688="","",$G688*$S$689/$G$689/Cadastro!$E$33),"")</f>
        <v/>
      </c>
      <c r="I688" s="139" t="str">
        <f>IFERROR(IF($D688="","",VLOOKUP($D688,Cadastro!$C$4:$G$7,5,FALSE)),"")</f>
        <v/>
      </c>
      <c r="J688" s="140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2" t="s">
        <v>241</v>
      </c>
      <c r="B689" s="153"/>
      <c r="C689" s="153"/>
      <c r="D689" s="153"/>
      <c r="E689" s="153">
        <f>SUM(E677:E688)</f>
        <v>0</v>
      </c>
      <c r="F689" s="111"/>
      <c r="G689" s="81">
        <f>SUM(G677:G688)</f>
        <v>0</v>
      </c>
      <c r="H689" s="111">
        <f>IFERROR(SUM(H677:H688),"")</f>
        <v>0</v>
      </c>
      <c r="I689" s="115"/>
      <c r="J689" s="124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20">
        <f>IFERROR(J689,"")</f>
        <v>0</v>
      </c>
    </row>
    <row r="690" spans="1:20" ht="15" customHeight="1">
      <c r="A690" s="68">
        <v>46260</v>
      </c>
      <c r="B690" s="25">
        <v>0.83333333333333304</v>
      </c>
      <c r="C690" s="26"/>
      <c r="D690" s="59"/>
      <c r="E690" s="109"/>
      <c r="F690" s="141" t="str">
        <f>IFERROR(IF($D690="","",VLOOKUP($D690,Cadastro!$C$4:$E$7,3,FALSE)),"")</f>
        <v/>
      </c>
      <c r="G690" s="106"/>
      <c r="H690" s="141" t="str">
        <f>IFERROR(IF($G690="","",$G690*$S$702/$G$702/Cadastro!$E$33),"")</f>
        <v/>
      </c>
      <c r="I690" s="142" t="str">
        <f>IFERROR(IF($D690="","",VLOOKUP($D690,Cadastro!$C$4:$G$7,5,FALSE)),"")</f>
        <v/>
      </c>
      <c r="J690" s="143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9">
        <v>46260</v>
      </c>
      <c r="B691" s="32">
        <f t="shared" ref="B691:B701" si="185">B690+TIME(0,60,0)</f>
        <v>0.87499999999999967</v>
      </c>
      <c r="C691" s="26"/>
      <c r="D691" s="59"/>
      <c r="E691" s="109"/>
      <c r="F691" s="135" t="str">
        <f>IFERROR(IF($D691="","",VLOOKUP($D691,Cadastro!$C$4:$E$7,3,FALSE)),"")</f>
        <v/>
      </c>
      <c r="G691" s="106"/>
      <c r="H691" s="135" t="str">
        <f>IFERROR(IF($G691="","",$G691*$S$702/$G$702/Cadastro!$E$33),"")</f>
        <v/>
      </c>
      <c r="I691" s="136" t="str">
        <f>IFERROR(IF($D691="","",VLOOKUP($D691,Cadastro!$C$4:$G$7,5,FALSE)),"")</f>
        <v/>
      </c>
      <c r="J691" s="137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8">
        <v>46260</v>
      </c>
      <c r="B692" s="25">
        <f t="shared" si="185"/>
        <v>0.9166666666666663</v>
      </c>
      <c r="C692" s="26"/>
      <c r="D692" s="59"/>
      <c r="E692" s="109"/>
      <c r="F692" s="135" t="str">
        <f>IFERROR(IF($D692="","",VLOOKUP($D692,Cadastro!$C$4:$E$7,3,FALSE)),"")</f>
        <v/>
      </c>
      <c r="G692" s="106"/>
      <c r="H692" s="135" t="str">
        <f>IFERROR(IF($G692="","",$G692*$S$702/$G$702/Cadastro!$E$33),"")</f>
        <v/>
      </c>
      <c r="I692" s="136" t="str">
        <f>IFERROR(IF($D692="","",VLOOKUP($D692,Cadastro!$C$4:$G$7,5,FALSE)),"")</f>
        <v/>
      </c>
      <c r="J692" s="137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9">
        <v>46260</v>
      </c>
      <c r="B693" s="32">
        <f t="shared" si="185"/>
        <v>0.95833333333333293</v>
      </c>
      <c r="C693" s="26"/>
      <c r="D693" s="59"/>
      <c r="E693" s="109"/>
      <c r="F693" s="135" t="str">
        <f>IFERROR(IF($D693="","",VLOOKUP($D693,Cadastro!$C$4:$E$7,3,FALSE)),"")</f>
        <v/>
      </c>
      <c r="G693" s="106"/>
      <c r="H693" s="135" t="str">
        <f>IFERROR(IF($G693="","",$G693*$S$702/$G$702/Cadastro!$E$33),"")</f>
        <v/>
      </c>
      <c r="I693" s="136" t="str">
        <f>IFERROR(IF($D693="","",VLOOKUP($D693,Cadastro!$C$4:$G$7,5,FALSE)),"")</f>
        <v/>
      </c>
      <c r="J693" s="137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8">
        <v>46260</v>
      </c>
      <c r="B694" s="25">
        <f t="shared" si="185"/>
        <v>0.99999999999999956</v>
      </c>
      <c r="C694" s="26"/>
      <c r="D694" s="59"/>
      <c r="E694" s="109"/>
      <c r="F694" s="135" t="str">
        <f>IFERROR(IF($D694="","",VLOOKUP($D694,Cadastro!$C$4:$E$7,3,FALSE)),"")</f>
        <v/>
      </c>
      <c r="G694" s="106"/>
      <c r="H694" s="135" t="str">
        <f>IFERROR(IF($G694="","",$G694*$S$702/$G$702/Cadastro!$E$33),"")</f>
        <v/>
      </c>
      <c r="I694" s="136" t="str">
        <f>IFERROR(IF($D694="","",VLOOKUP($D694,Cadastro!$C$4:$G$7,5,FALSE)),"")</f>
        <v/>
      </c>
      <c r="J694" s="137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9">
        <v>46260</v>
      </c>
      <c r="B695" s="32">
        <f t="shared" si="185"/>
        <v>1.0416666666666663</v>
      </c>
      <c r="C695" s="26"/>
      <c r="D695" s="59"/>
      <c r="E695" s="109"/>
      <c r="F695" s="135" t="str">
        <f>IFERROR(IF($D695="","",VLOOKUP($D695,Cadastro!$C$4:$E$7,3,FALSE)),"")</f>
        <v/>
      </c>
      <c r="G695" s="106"/>
      <c r="H695" s="135" t="str">
        <f>IFERROR(IF($G695="","",$G695*$S$702/$G$702/Cadastro!$E$33),"")</f>
        <v/>
      </c>
      <c r="I695" s="136" t="str">
        <f>IFERROR(IF($D695="","",VLOOKUP($D695,Cadastro!$C$4:$G$7,5,FALSE)),"")</f>
        <v/>
      </c>
      <c r="J695" s="137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8">
        <v>46260</v>
      </c>
      <c r="B696" s="25">
        <f t="shared" si="185"/>
        <v>1.083333333333333</v>
      </c>
      <c r="C696" s="26"/>
      <c r="D696" s="59"/>
      <c r="E696" s="109"/>
      <c r="F696" s="135" t="str">
        <f>IFERROR(IF($D696="","",VLOOKUP($D696,Cadastro!$C$4:$E$7,3,FALSE)),"")</f>
        <v/>
      </c>
      <c r="G696" s="106"/>
      <c r="H696" s="135" t="str">
        <f>IFERROR(IF($G696="","",$G696*$S$702/$G$702/Cadastro!$E$33),"")</f>
        <v/>
      </c>
      <c r="I696" s="136" t="str">
        <f>IFERROR(IF($D696="","",VLOOKUP($D696,Cadastro!$C$4:$G$7,5,FALSE)),"")</f>
        <v/>
      </c>
      <c r="J696" s="137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9">
        <v>46260</v>
      </c>
      <c r="B697" s="32">
        <f t="shared" si="185"/>
        <v>1.1249999999999998</v>
      </c>
      <c r="C697" s="26"/>
      <c r="D697" s="59"/>
      <c r="E697" s="109"/>
      <c r="F697" s="135" t="str">
        <f>IFERROR(IF($D697="","",VLOOKUP($D697,Cadastro!$C$4:$E$7,3,FALSE)),"")</f>
        <v/>
      </c>
      <c r="G697" s="106"/>
      <c r="H697" s="135" t="str">
        <f>IFERROR(IF($G697="","",$G697*$S$702/$G$702/Cadastro!$E$33),"")</f>
        <v/>
      </c>
      <c r="I697" s="136" t="str">
        <f>IFERROR(IF($D697="","",VLOOKUP($D697,Cadastro!$C$4:$G$7,5,FALSE)),"")</f>
        <v/>
      </c>
      <c r="J697" s="137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8">
        <v>46260</v>
      </c>
      <c r="B698" s="25">
        <f t="shared" si="185"/>
        <v>1.1666666666666665</v>
      </c>
      <c r="C698" s="26"/>
      <c r="D698" s="59"/>
      <c r="E698" s="109"/>
      <c r="F698" s="135" t="str">
        <f>IFERROR(IF($D698="","",VLOOKUP($D698,Cadastro!$C$4:$E$7,3,FALSE)),"")</f>
        <v/>
      </c>
      <c r="G698" s="106"/>
      <c r="H698" s="135" t="str">
        <f>IFERROR(IF($G698="","",$G698*$S$702/$G$702/Cadastro!$E$33),"")</f>
        <v/>
      </c>
      <c r="I698" s="136" t="str">
        <f>IFERROR(IF($D698="","",VLOOKUP($D698,Cadastro!$C$4:$G$7,5,FALSE)),"")</f>
        <v/>
      </c>
      <c r="J698" s="137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9">
        <v>46260</v>
      </c>
      <c r="B699" s="32">
        <f t="shared" si="185"/>
        <v>1.2083333333333333</v>
      </c>
      <c r="C699" s="26"/>
      <c r="D699" s="59"/>
      <c r="E699" s="109"/>
      <c r="F699" s="135" t="str">
        <f>IFERROR(IF($D699="","",VLOOKUP($D699,Cadastro!$C$4:$E$7,3,FALSE)),"")</f>
        <v/>
      </c>
      <c r="G699" s="106"/>
      <c r="H699" s="135" t="str">
        <f>IFERROR(IF($G699="","",$G699*$S$702/$G$702/Cadastro!$E$33),"")</f>
        <v/>
      </c>
      <c r="I699" s="136" t="str">
        <f>IFERROR(IF($D699="","",VLOOKUP($D699,Cadastro!$C$4:$G$7,5,FALSE)),"")</f>
        <v/>
      </c>
      <c r="J699" s="137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8">
        <v>46260</v>
      </c>
      <c r="B700" s="25">
        <f t="shared" si="185"/>
        <v>1.25</v>
      </c>
      <c r="C700" s="26"/>
      <c r="D700" s="59"/>
      <c r="E700" s="109"/>
      <c r="F700" s="135" t="str">
        <f>IFERROR(IF($D700="","",VLOOKUP($D700,Cadastro!$C$4:$E$7,3,FALSE)),"")</f>
        <v/>
      </c>
      <c r="G700" s="106"/>
      <c r="H700" s="135" t="str">
        <f>IFERROR(IF($G700="","",$G700*$S$702/$G$702/Cadastro!$E$33),"")</f>
        <v/>
      </c>
      <c r="I700" s="136" t="str">
        <f>IFERROR(IF($D700="","",VLOOKUP($D700,Cadastro!$C$4:$G$7,5,FALSE)),"")</f>
        <v/>
      </c>
      <c r="J700" s="137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9">
        <v>46260</v>
      </c>
      <c r="B701" s="32">
        <f t="shared" si="185"/>
        <v>1.2916666666666667</v>
      </c>
      <c r="C701" s="26"/>
      <c r="D701" s="59"/>
      <c r="E701" s="109"/>
      <c r="F701" s="138" t="str">
        <f>IFERROR(IF($D701="","",VLOOKUP($D701,Cadastro!$C$4:$E$7,3,FALSE)),"")</f>
        <v/>
      </c>
      <c r="G701" s="106"/>
      <c r="H701" s="138" t="str">
        <f>IFERROR(IF($G701="","",$G701*$S$702/$G$702/Cadastro!$E$33),"")</f>
        <v/>
      </c>
      <c r="I701" s="139" t="str">
        <f>IFERROR(IF($D701="","",VLOOKUP($D701,Cadastro!$C$4:$G$7,5,FALSE)),"")</f>
        <v/>
      </c>
      <c r="J701" s="140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2" t="s">
        <v>244</v>
      </c>
      <c r="B702" s="153"/>
      <c r="C702" s="153"/>
      <c r="D702" s="153"/>
      <c r="E702" s="153">
        <f>SUM(E690:E701)</f>
        <v>0</v>
      </c>
      <c r="F702" s="112"/>
      <c r="G702" s="81">
        <f>SUM(G690:G701)</f>
        <v>0</v>
      </c>
      <c r="H702" s="112">
        <f>IFERROR(SUM(H690:H701),"")</f>
        <v>0</v>
      </c>
      <c r="I702" s="116"/>
      <c r="J702" s="125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20">
        <f>IFERROR(J702,"")</f>
        <v>0</v>
      </c>
    </row>
    <row r="703" spans="1:20" ht="18" customHeight="1">
      <c r="A703" s="150" t="s">
        <v>245</v>
      </c>
      <c r="B703" s="151"/>
      <c r="C703" s="151"/>
      <c r="D703" s="151"/>
      <c r="E703" s="151">
        <f>E689+E702</f>
        <v>0</v>
      </c>
      <c r="F703" s="113"/>
      <c r="G703" s="92">
        <f>G689+G702</f>
        <v>0</v>
      </c>
      <c r="H703" s="113">
        <f>IFERROR(H689+H702,"")</f>
        <v>0</v>
      </c>
      <c r="I703" s="117"/>
      <c r="J703" s="126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2">
        <f>IFERROR(J703,"")</f>
        <v>0</v>
      </c>
    </row>
    <row r="704" spans="1:20" ht="15" customHeight="1">
      <c r="A704" s="68">
        <v>46261</v>
      </c>
      <c r="B704" s="25">
        <v>0.33333333333333298</v>
      </c>
      <c r="C704" s="26"/>
      <c r="D704" s="59"/>
      <c r="E704" s="109"/>
      <c r="F704" s="141" t="str">
        <f>IFERROR(IF($D704="","",VLOOKUP($D704,Cadastro!$C$4:$E$7,3,FALSE)),"")</f>
        <v/>
      </c>
      <c r="G704" s="106"/>
      <c r="H704" s="141" t="str">
        <f>IFERROR(IF($G704="","",$G704*$S$716/$G$716/Cadastro!$E$33),"")</f>
        <v/>
      </c>
      <c r="I704" s="142" t="str">
        <f>IFERROR(IF($D704="","",VLOOKUP($D704,Cadastro!$C$4:$G$7,5,FALSE)),"")</f>
        <v/>
      </c>
      <c r="J704" s="143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9">
        <v>46261</v>
      </c>
      <c r="B705" s="32">
        <f t="shared" ref="B705:B715" si="189">B704+TIME(0,60,0)</f>
        <v>0.37499999999999967</v>
      </c>
      <c r="C705" s="26"/>
      <c r="D705" s="59"/>
      <c r="E705" s="109"/>
      <c r="F705" s="135" t="str">
        <f>IFERROR(IF($D705="","",VLOOKUP($D705,Cadastro!$C$4:$E$7,3,FALSE)),"")</f>
        <v/>
      </c>
      <c r="G705" s="106"/>
      <c r="H705" s="135" t="str">
        <f>IFERROR(IF($G705="","",$G705*$S$716/$G$716/Cadastro!$E$33),"")</f>
        <v/>
      </c>
      <c r="I705" s="136" t="str">
        <f>IFERROR(IF($D705="","",VLOOKUP($D705,Cadastro!$C$4:$G$7,5,FALSE)),"")</f>
        <v/>
      </c>
      <c r="J705" s="137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8">
        <v>46261</v>
      </c>
      <c r="B706" s="25">
        <f t="shared" si="189"/>
        <v>0.41666666666666635</v>
      </c>
      <c r="C706" s="26"/>
      <c r="D706" s="59"/>
      <c r="E706" s="109"/>
      <c r="F706" s="135" t="str">
        <f>IFERROR(IF($D706="","",VLOOKUP($D706,Cadastro!$C$4:$E$7,3,FALSE)),"")</f>
        <v/>
      </c>
      <c r="G706" s="106"/>
      <c r="H706" s="135" t="str">
        <f>IFERROR(IF($G706="","",$G706*$S$716/$G$716/Cadastro!$E$33),"")</f>
        <v/>
      </c>
      <c r="I706" s="136" t="str">
        <f>IFERROR(IF($D706="","",VLOOKUP($D706,Cadastro!$C$4:$G$7,5,FALSE)),"")</f>
        <v/>
      </c>
      <c r="J706" s="137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9">
        <v>46261</v>
      </c>
      <c r="B707" s="32">
        <f t="shared" si="189"/>
        <v>0.45833333333333304</v>
      </c>
      <c r="C707" s="26"/>
      <c r="D707" s="59"/>
      <c r="E707" s="109"/>
      <c r="F707" s="135" t="str">
        <f>IFERROR(IF($D707="","",VLOOKUP($D707,Cadastro!$C$4:$E$7,3,FALSE)),"")</f>
        <v/>
      </c>
      <c r="G707" s="106"/>
      <c r="H707" s="135" t="str">
        <f>IFERROR(IF($G707="","",$G707*$S$716/$G$716/Cadastro!$E$33),"")</f>
        <v/>
      </c>
      <c r="I707" s="136" t="str">
        <f>IFERROR(IF($D707="","",VLOOKUP($D707,Cadastro!$C$4:$G$7,5,FALSE)),"")</f>
        <v/>
      </c>
      <c r="J707" s="137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8">
        <v>46261</v>
      </c>
      <c r="B708" s="25">
        <f t="shared" si="189"/>
        <v>0.49999999999999972</v>
      </c>
      <c r="C708" s="26"/>
      <c r="D708" s="59"/>
      <c r="E708" s="109"/>
      <c r="F708" s="135" t="str">
        <f>IFERROR(IF($D708="","",VLOOKUP($D708,Cadastro!$C$4:$E$7,3,FALSE)),"")</f>
        <v/>
      </c>
      <c r="G708" s="106"/>
      <c r="H708" s="135" t="str">
        <f>IFERROR(IF($G708="","",$G708*$S$716/$G$716/Cadastro!$E$33),"")</f>
        <v/>
      </c>
      <c r="I708" s="136" t="str">
        <f>IFERROR(IF($D708="","",VLOOKUP($D708,Cadastro!$C$4:$G$7,5,FALSE)),"")</f>
        <v/>
      </c>
      <c r="J708" s="137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9">
        <v>46261</v>
      </c>
      <c r="B709" s="32">
        <f t="shared" si="189"/>
        <v>0.54166666666666641</v>
      </c>
      <c r="C709" s="26"/>
      <c r="D709" s="59"/>
      <c r="E709" s="109"/>
      <c r="F709" s="135" t="str">
        <f>IFERROR(IF($D709="","",VLOOKUP($D709,Cadastro!$C$4:$E$7,3,FALSE)),"")</f>
        <v/>
      </c>
      <c r="G709" s="106"/>
      <c r="H709" s="135" t="str">
        <f>IFERROR(IF($G709="","",$G709*$S$716/$G$716/Cadastro!$E$33),"")</f>
        <v/>
      </c>
      <c r="I709" s="136" t="str">
        <f>IFERROR(IF($D709="","",VLOOKUP($D709,Cadastro!$C$4:$G$7,5,FALSE)),"")</f>
        <v/>
      </c>
      <c r="J709" s="137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8">
        <v>46261</v>
      </c>
      <c r="B710" s="25">
        <f t="shared" si="189"/>
        <v>0.58333333333333304</v>
      </c>
      <c r="C710" s="26"/>
      <c r="D710" s="59"/>
      <c r="E710" s="109"/>
      <c r="F710" s="135" t="str">
        <f>IFERROR(IF($D710="","",VLOOKUP($D710,Cadastro!$C$4:$E$7,3,FALSE)),"")</f>
        <v/>
      </c>
      <c r="G710" s="106"/>
      <c r="H710" s="135" t="str">
        <f>IFERROR(IF($G710="","",$G710*$S$716/$G$716/Cadastro!$E$33),"")</f>
        <v/>
      </c>
      <c r="I710" s="136" t="str">
        <f>IFERROR(IF($D710="","",VLOOKUP($D710,Cadastro!$C$4:$G$7,5,FALSE)),"")</f>
        <v/>
      </c>
      <c r="J710" s="137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9">
        <v>46261</v>
      </c>
      <c r="B711" s="32">
        <f t="shared" si="189"/>
        <v>0.62499999999999967</v>
      </c>
      <c r="C711" s="26"/>
      <c r="D711" s="59"/>
      <c r="E711" s="109"/>
      <c r="F711" s="135" t="str">
        <f>IFERROR(IF($D711="","",VLOOKUP($D711,Cadastro!$C$4:$E$7,3,FALSE)),"")</f>
        <v/>
      </c>
      <c r="G711" s="106"/>
      <c r="H711" s="135" t="str">
        <f>IFERROR(IF($G711="","",$G711*$S$716/$G$716/Cadastro!$E$33),"")</f>
        <v/>
      </c>
      <c r="I711" s="136" t="str">
        <f>IFERROR(IF($D711="","",VLOOKUP($D711,Cadastro!$C$4:$G$7,5,FALSE)),"")</f>
        <v/>
      </c>
      <c r="J711" s="137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8">
        <v>46261</v>
      </c>
      <c r="B712" s="25">
        <f t="shared" si="189"/>
        <v>0.6666666666666663</v>
      </c>
      <c r="C712" s="26"/>
      <c r="D712" s="59"/>
      <c r="E712" s="109"/>
      <c r="F712" s="135" t="str">
        <f>IFERROR(IF($D712="","",VLOOKUP($D712,Cadastro!$C$4:$E$7,3,FALSE)),"")</f>
        <v/>
      </c>
      <c r="G712" s="106"/>
      <c r="H712" s="135" t="str">
        <f>IFERROR(IF($G712="","",$G712*$S$716/$G$716/Cadastro!$E$33),"")</f>
        <v/>
      </c>
      <c r="I712" s="136" t="str">
        <f>IFERROR(IF($D712="","",VLOOKUP($D712,Cadastro!$C$4:$G$7,5,FALSE)),"")</f>
        <v/>
      </c>
      <c r="J712" s="137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9">
        <v>46261</v>
      </c>
      <c r="B713" s="32">
        <f t="shared" si="189"/>
        <v>0.70833333333333293</v>
      </c>
      <c r="C713" s="26"/>
      <c r="D713" s="59"/>
      <c r="E713" s="109"/>
      <c r="F713" s="135" t="str">
        <f>IFERROR(IF($D713="","",VLOOKUP($D713,Cadastro!$C$4:$E$7,3,FALSE)),"")</f>
        <v/>
      </c>
      <c r="G713" s="106"/>
      <c r="H713" s="135" t="str">
        <f>IFERROR(IF($G713="","",$G713*$S$716/$G$716/Cadastro!$E$33),"")</f>
        <v/>
      </c>
      <c r="I713" s="136" t="str">
        <f>IFERROR(IF($D713="","",VLOOKUP($D713,Cadastro!$C$4:$G$7,5,FALSE)),"")</f>
        <v/>
      </c>
      <c r="J713" s="137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8">
        <v>46261</v>
      </c>
      <c r="B714" s="25">
        <f t="shared" si="189"/>
        <v>0.74999999999999956</v>
      </c>
      <c r="C714" s="26"/>
      <c r="D714" s="59"/>
      <c r="E714" s="109"/>
      <c r="F714" s="135" t="str">
        <f>IFERROR(IF($D714="","",VLOOKUP($D714,Cadastro!$C$4:$E$7,3,FALSE)),"")</f>
        <v/>
      </c>
      <c r="G714" s="106"/>
      <c r="H714" s="135" t="str">
        <f>IFERROR(IF($G714="","",$G714*$S$716/$G$716/Cadastro!$E$33),"")</f>
        <v/>
      </c>
      <c r="I714" s="136" t="str">
        <f>IFERROR(IF($D714="","",VLOOKUP($D714,Cadastro!$C$4:$G$7,5,FALSE)),"")</f>
        <v/>
      </c>
      <c r="J714" s="137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9">
        <v>46261</v>
      </c>
      <c r="B715" s="32">
        <f t="shared" si="189"/>
        <v>0.79166666666666619</v>
      </c>
      <c r="C715" s="26"/>
      <c r="D715" s="59"/>
      <c r="E715" s="109"/>
      <c r="F715" s="138" t="str">
        <f>IFERROR(IF($D715="","",VLOOKUP($D715,Cadastro!$C$4:$E$7,3,FALSE)),"")</f>
        <v/>
      </c>
      <c r="G715" s="106"/>
      <c r="H715" s="138" t="str">
        <f>IFERROR(IF($G715="","",$G715*$S$716/$G$716/Cadastro!$E$33),"")</f>
        <v/>
      </c>
      <c r="I715" s="139" t="str">
        <f>IFERROR(IF($D715="","",VLOOKUP($D715,Cadastro!$C$4:$G$7,5,FALSE)),"")</f>
        <v/>
      </c>
      <c r="J715" s="140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2" t="s">
        <v>241</v>
      </c>
      <c r="B716" s="153"/>
      <c r="C716" s="153"/>
      <c r="D716" s="153"/>
      <c r="E716" s="153">
        <f>SUM(E704:E715)</f>
        <v>0</v>
      </c>
      <c r="F716" s="111"/>
      <c r="G716" s="81">
        <f>SUM(G704:G715)</f>
        <v>0</v>
      </c>
      <c r="H716" s="111">
        <f>IFERROR(SUM(H704:H715),"")</f>
        <v>0</v>
      </c>
      <c r="I716" s="115"/>
      <c r="J716" s="124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20">
        <f>IFERROR(J716,"")</f>
        <v>0</v>
      </c>
    </row>
    <row r="717" spans="1:20" ht="15" customHeight="1">
      <c r="A717" s="69">
        <v>46261</v>
      </c>
      <c r="B717" s="32">
        <v>0.83333333333333304</v>
      </c>
      <c r="C717" s="33"/>
      <c r="D717" s="62"/>
      <c r="E717" s="110"/>
      <c r="F717" s="141" t="str">
        <f>IFERROR(IF($D717="","",VLOOKUP($D717,Cadastro!$C$4:$E$7,3,FALSE)),"")</f>
        <v/>
      </c>
      <c r="G717" s="106"/>
      <c r="H717" s="141" t="str">
        <f>IFERROR(IF($G717="","",$G717*$S$729/$G$729/Cadastro!$E$33),"")</f>
        <v/>
      </c>
      <c r="I717" s="142" t="str">
        <f>IFERROR(IF($D717="","",VLOOKUP($D717,Cadastro!$C$4:$G$7,5,FALSE)),"")</f>
        <v/>
      </c>
      <c r="J717" s="143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8">
        <v>46261</v>
      </c>
      <c r="B718" s="25">
        <f t="shared" ref="B718:B728" si="193">B717+TIME(0,60,0)</f>
        <v>0.87499999999999967</v>
      </c>
      <c r="C718" s="26"/>
      <c r="D718" s="59"/>
      <c r="E718" s="109"/>
      <c r="F718" s="135" t="str">
        <f>IFERROR(IF($D718="","",VLOOKUP($D718,Cadastro!$C$4:$E$7,3,FALSE)),"")</f>
        <v/>
      </c>
      <c r="G718" s="106"/>
      <c r="H718" s="135" t="str">
        <f>IFERROR(IF($G718="","",$G718*$S$729/$G$729/Cadastro!$E$33),"")</f>
        <v/>
      </c>
      <c r="I718" s="136" t="str">
        <f>IFERROR(IF($D718="","",VLOOKUP($D718,Cadastro!$C$4:$G$7,5,FALSE)),"")</f>
        <v/>
      </c>
      <c r="J718" s="137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9">
        <v>46261</v>
      </c>
      <c r="B719" s="32">
        <f t="shared" si="193"/>
        <v>0.9166666666666663</v>
      </c>
      <c r="C719" s="33"/>
      <c r="D719" s="62"/>
      <c r="E719" s="110"/>
      <c r="F719" s="135" t="str">
        <f>IFERROR(IF($D719="","",VLOOKUP($D719,Cadastro!$C$4:$E$7,3,FALSE)),"")</f>
        <v/>
      </c>
      <c r="G719" s="106"/>
      <c r="H719" s="135" t="str">
        <f>IFERROR(IF($G719="","",$G719*$S$729/$G$729/Cadastro!$E$33),"")</f>
        <v/>
      </c>
      <c r="I719" s="136" t="str">
        <f>IFERROR(IF($D719="","",VLOOKUP($D719,Cadastro!$C$4:$G$7,5,FALSE)),"")</f>
        <v/>
      </c>
      <c r="J719" s="137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8">
        <v>46261</v>
      </c>
      <c r="B720" s="25">
        <f t="shared" si="193"/>
        <v>0.95833333333333293</v>
      </c>
      <c r="C720" s="26"/>
      <c r="D720" s="59"/>
      <c r="E720" s="109"/>
      <c r="F720" s="135" t="str">
        <f>IFERROR(IF($D720="","",VLOOKUP($D720,Cadastro!$C$4:$E$7,3,FALSE)),"")</f>
        <v/>
      </c>
      <c r="G720" s="106"/>
      <c r="H720" s="135" t="str">
        <f>IFERROR(IF($G720="","",$G720*$S$729/$G$729/Cadastro!$E$33),"")</f>
        <v/>
      </c>
      <c r="I720" s="136" t="str">
        <f>IFERROR(IF($D720="","",VLOOKUP($D720,Cadastro!$C$4:$G$7,5,FALSE)),"")</f>
        <v/>
      </c>
      <c r="J720" s="137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9">
        <v>46261</v>
      </c>
      <c r="B721" s="32">
        <f t="shared" si="193"/>
        <v>0.99999999999999956</v>
      </c>
      <c r="C721" s="33"/>
      <c r="D721" s="62"/>
      <c r="E721" s="110"/>
      <c r="F721" s="135" t="str">
        <f>IFERROR(IF($D721="","",VLOOKUP($D721,Cadastro!$C$4:$E$7,3,FALSE)),"")</f>
        <v/>
      </c>
      <c r="G721" s="106"/>
      <c r="H721" s="135" t="str">
        <f>IFERROR(IF($G721="","",$G721*$S$729/$G$729/Cadastro!$E$33),"")</f>
        <v/>
      </c>
      <c r="I721" s="136" t="str">
        <f>IFERROR(IF($D721="","",VLOOKUP($D721,Cadastro!$C$4:$G$7,5,FALSE)),"")</f>
        <v/>
      </c>
      <c r="J721" s="137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8">
        <v>46261</v>
      </c>
      <c r="B722" s="25">
        <f t="shared" si="193"/>
        <v>1.0416666666666663</v>
      </c>
      <c r="C722" s="26"/>
      <c r="D722" s="59"/>
      <c r="E722" s="109"/>
      <c r="F722" s="135" t="str">
        <f>IFERROR(IF($D722="","",VLOOKUP($D722,Cadastro!$C$4:$E$7,3,FALSE)),"")</f>
        <v/>
      </c>
      <c r="G722" s="106"/>
      <c r="H722" s="135" t="str">
        <f>IFERROR(IF($G722="","",$G722*$S$729/$G$729/Cadastro!$E$33),"")</f>
        <v/>
      </c>
      <c r="I722" s="136" t="str">
        <f>IFERROR(IF($D722="","",VLOOKUP($D722,Cadastro!$C$4:$G$7,5,FALSE)),"")</f>
        <v/>
      </c>
      <c r="J722" s="137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9">
        <v>46261</v>
      </c>
      <c r="B723" s="32">
        <f t="shared" si="193"/>
        <v>1.083333333333333</v>
      </c>
      <c r="C723" s="33"/>
      <c r="D723" s="62"/>
      <c r="E723" s="110"/>
      <c r="F723" s="135" t="str">
        <f>IFERROR(IF($D723="","",VLOOKUP($D723,Cadastro!$C$4:$E$7,3,FALSE)),"")</f>
        <v/>
      </c>
      <c r="G723" s="106"/>
      <c r="H723" s="135" t="str">
        <f>IFERROR(IF($G723="","",$G723*$S$729/$G$729/Cadastro!$E$33),"")</f>
        <v/>
      </c>
      <c r="I723" s="136" t="str">
        <f>IFERROR(IF($D723="","",VLOOKUP($D723,Cadastro!$C$4:$G$7,5,FALSE)),"")</f>
        <v/>
      </c>
      <c r="J723" s="137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8">
        <v>46261</v>
      </c>
      <c r="B724" s="25">
        <f t="shared" si="193"/>
        <v>1.1249999999999998</v>
      </c>
      <c r="C724" s="26"/>
      <c r="D724" s="59"/>
      <c r="E724" s="109"/>
      <c r="F724" s="135" t="str">
        <f>IFERROR(IF($D724="","",VLOOKUP($D724,Cadastro!$C$4:$E$7,3,FALSE)),"")</f>
        <v/>
      </c>
      <c r="G724" s="106"/>
      <c r="H724" s="135" t="str">
        <f>IFERROR(IF($G724="","",$G724*$S$729/$G$729/Cadastro!$E$33),"")</f>
        <v/>
      </c>
      <c r="I724" s="136" t="str">
        <f>IFERROR(IF($D724="","",VLOOKUP($D724,Cadastro!$C$4:$G$7,5,FALSE)),"")</f>
        <v/>
      </c>
      <c r="J724" s="137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9">
        <v>46261</v>
      </c>
      <c r="B725" s="32">
        <f t="shared" si="193"/>
        <v>1.1666666666666665</v>
      </c>
      <c r="C725" s="33"/>
      <c r="D725" s="62"/>
      <c r="E725" s="110"/>
      <c r="F725" s="135" t="str">
        <f>IFERROR(IF($D725="","",VLOOKUP($D725,Cadastro!$C$4:$E$7,3,FALSE)),"")</f>
        <v/>
      </c>
      <c r="G725" s="106"/>
      <c r="H725" s="135" t="str">
        <f>IFERROR(IF($G725="","",$G725*$S$729/$G$729/Cadastro!$E$33),"")</f>
        <v/>
      </c>
      <c r="I725" s="136" t="str">
        <f>IFERROR(IF($D725="","",VLOOKUP($D725,Cadastro!$C$4:$G$7,5,FALSE)),"")</f>
        <v/>
      </c>
      <c r="J725" s="137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8">
        <v>46261</v>
      </c>
      <c r="B726" s="25">
        <f t="shared" si="193"/>
        <v>1.2083333333333333</v>
      </c>
      <c r="C726" s="26"/>
      <c r="D726" s="59"/>
      <c r="E726" s="109"/>
      <c r="F726" s="135" t="str">
        <f>IFERROR(IF($D726="","",VLOOKUP($D726,Cadastro!$C$4:$E$7,3,FALSE)),"")</f>
        <v/>
      </c>
      <c r="G726" s="106"/>
      <c r="H726" s="135" t="str">
        <f>IFERROR(IF($G726="","",$G726*$S$729/$G$729/Cadastro!$E$33),"")</f>
        <v/>
      </c>
      <c r="I726" s="136" t="str">
        <f>IFERROR(IF($D726="","",VLOOKUP($D726,Cadastro!$C$4:$G$7,5,FALSE)),"")</f>
        <v/>
      </c>
      <c r="J726" s="137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9">
        <v>46261</v>
      </c>
      <c r="B727" s="32">
        <f t="shared" si="193"/>
        <v>1.25</v>
      </c>
      <c r="C727" s="33"/>
      <c r="D727" s="62"/>
      <c r="E727" s="110"/>
      <c r="F727" s="135" t="str">
        <f>IFERROR(IF($D727="","",VLOOKUP($D727,Cadastro!$C$4:$E$7,3,FALSE)),"")</f>
        <v/>
      </c>
      <c r="G727" s="106"/>
      <c r="H727" s="135" t="str">
        <f>IFERROR(IF($G727="","",$G727*$S$729/$G$729/Cadastro!$E$33),"")</f>
        <v/>
      </c>
      <c r="I727" s="136" t="str">
        <f>IFERROR(IF($D727="","",VLOOKUP($D727,Cadastro!$C$4:$G$7,5,FALSE)),"")</f>
        <v/>
      </c>
      <c r="J727" s="137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8">
        <v>46261</v>
      </c>
      <c r="B728" s="25">
        <f t="shared" si="193"/>
        <v>1.2916666666666667</v>
      </c>
      <c r="C728" s="26"/>
      <c r="D728" s="59"/>
      <c r="E728" s="109"/>
      <c r="F728" s="138" t="str">
        <f>IFERROR(IF($D728="","",VLOOKUP($D728,Cadastro!$C$4:$E$7,3,FALSE)),"")</f>
        <v/>
      </c>
      <c r="G728" s="106"/>
      <c r="H728" s="138" t="str">
        <f>IFERROR(IF($G728="","",$G728*$S$729/$G$729/Cadastro!$E$33),"")</f>
        <v/>
      </c>
      <c r="I728" s="139" t="str">
        <f>IFERROR(IF($D728="","",VLOOKUP($D728,Cadastro!$C$4:$G$7,5,FALSE)),"")</f>
        <v/>
      </c>
      <c r="J728" s="140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2" t="s">
        <v>244</v>
      </c>
      <c r="B729" s="153"/>
      <c r="C729" s="153"/>
      <c r="D729" s="153"/>
      <c r="E729" s="153">
        <f>SUM(E717:E728)</f>
        <v>0</v>
      </c>
      <c r="F729" s="112"/>
      <c r="G729" s="81">
        <f>SUM(G717:G728)</f>
        <v>0</v>
      </c>
      <c r="H729" s="112">
        <f>IFERROR(SUM(H717:H728),"")</f>
        <v>0</v>
      </c>
      <c r="I729" s="116"/>
      <c r="J729" s="125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20">
        <f>IFERROR(J729,"")</f>
        <v>0</v>
      </c>
    </row>
    <row r="730" spans="1:20" ht="18" customHeight="1">
      <c r="A730" s="150" t="s">
        <v>245</v>
      </c>
      <c r="B730" s="151"/>
      <c r="C730" s="151"/>
      <c r="D730" s="151"/>
      <c r="E730" s="151">
        <f>E716+E729</f>
        <v>0</v>
      </c>
      <c r="F730" s="113"/>
      <c r="G730" s="92">
        <f>G716+G729</f>
        <v>0</v>
      </c>
      <c r="H730" s="113">
        <f>IFERROR(H716+H729,"")</f>
        <v>0</v>
      </c>
      <c r="I730" s="117"/>
      <c r="J730" s="126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2">
        <f>IFERROR(J730,"")</f>
        <v>0</v>
      </c>
    </row>
    <row r="731" spans="1:20" ht="15" customHeight="1">
      <c r="A731" s="69">
        <v>46262</v>
      </c>
      <c r="B731" s="32">
        <v>0.33333333333333298</v>
      </c>
      <c r="C731" s="33"/>
      <c r="D731" s="62"/>
      <c r="E731" s="110"/>
      <c r="F731" s="141" t="str">
        <f>IFERROR(IF($D731="","",VLOOKUP($D731,Cadastro!$C$4:$E$7,3,FALSE)),"")</f>
        <v/>
      </c>
      <c r="G731" s="106"/>
      <c r="H731" s="141" t="str">
        <f>IFERROR(IF($G731="","",$G731*$S$743/$G$743/Cadastro!$E$33),"")</f>
        <v/>
      </c>
      <c r="I731" s="142" t="str">
        <f>IFERROR(IF($D731="","",VLOOKUP($D731,Cadastro!$C$4:$G$7,5,FALSE)),"")</f>
        <v/>
      </c>
      <c r="J731" s="143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8">
        <v>46262</v>
      </c>
      <c r="B732" s="25">
        <f t="shared" ref="B732:B742" si="197">B731+TIME(0,60,0)</f>
        <v>0.37499999999999967</v>
      </c>
      <c r="C732" s="26"/>
      <c r="D732" s="59"/>
      <c r="E732" s="109"/>
      <c r="F732" s="135" t="str">
        <f>IFERROR(IF($D732="","",VLOOKUP($D732,Cadastro!$C$4:$E$7,3,FALSE)),"")</f>
        <v/>
      </c>
      <c r="G732" s="106"/>
      <c r="H732" s="135" t="str">
        <f>IFERROR(IF($G732="","",$G732*$S$743/$G$743/Cadastro!$E$33),"")</f>
        <v/>
      </c>
      <c r="I732" s="136" t="str">
        <f>IFERROR(IF($D732="","",VLOOKUP($D732,Cadastro!$C$4:$G$7,5,FALSE)),"")</f>
        <v/>
      </c>
      <c r="J732" s="137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9">
        <v>46262</v>
      </c>
      <c r="B733" s="32">
        <f t="shared" si="197"/>
        <v>0.41666666666666635</v>
      </c>
      <c r="C733" s="33"/>
      <c r="D733" s="62"/>
      <c r="E733" s="110"/>
      <c r="F733" s="135" t="str">
        <f>IFERROR(IF($D733="","",VLOOKUP($D733,Cadastro!$C$4:$E$7,3,FALSE)),"")</f>
        <v/>
      </c>
      <c r="G733" s="106"/>
      <c r="H733" s="135" t="str">
        <f>IFERROR(IF($G733="","",$G733*$S$743/$G$743/Cadastro!$E$33),"")</f>
        <v/>
      </c>
      <c r="I733" s="136" t="str">
        <f>IFERROR(IF($D733="","",VLOOKUP($D733,Cadastro!$C$4:$G$7,5,FALSE)),"")</f>
        <v/>
      </c>
      <c r="J733" s="137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8">
        <v>46262</v>
      </c>
      <c r="B734" s="25">
        <f t="shared" si="197"/>
        <v>0.45833333333333304</v>
      </c>
      <c r="C734" s="26"/>
      <c r="D734" s="59"/>
      <c r="E734" s="109"/>
      <c r="F734" s="135" t="str">
        <f>IFERROR(IF($D734="","",VLOOKUP($D734,Cadastro!$C$4:$E$7,3,FALSE)),"")</f>
        <v/>
      </c>
      <c r="G734" s="106"/>
      <c r="H734" s="135" t="str">
        <f>IFERROR(IF($G734="","",$G734*$S$743/$G$743/Cadastro!$E$33),"")</f>
        <v/>
      </c>
      <c r="I734" s="136" t="str">
        <f>IFERROR(IF($D734="","",VLOOKUP($D734,Cadastro!$C$4:$G$7,5,FALSE)),"")</f>
        <v/>
      </c>
      <c r="J734" s="137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9">
        <v>46262</v>
      </c>
      <c r="B735" s="32">
        <f t="shared" si="197"/>
        <v>0.49999999999999972</v>
      </c>
      <c r="C735" s="33"/>
      <c r="D735" s="62"/>
      <c r="E735" s="110"/>
      <c r="F735" s="135" t="str">
        <f>IFERROR(IF($D735="","",VLOOKUP($D735,Cadastro!$C$4:$E$7,3,FALSE)),"")</f>
        <v/>
      </c>
      <c r="G735" s="106"/>
      <c r="H735" s="135" t="str">
        <f>IFERROR(IF($G735="","",$G735*$S$743/$G$743/Cadastro!$E$33),"")</f>
        <v/>
      </c>
      <c r="I735" s="136" t="str">
        <f>IFERROR(IF($D735="","",VLOOKUP($D735,Cadastro!$C$4:$G$7,5,FALSE)),"")</f>
        <v/>
      </c>
      <c r="J735" s="137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8">
        <v>46262</v>
      </c>
      <c r="B736" s="25">
        <f t="shared" si="197"/>
        <v>0.54166666666666641</v>
      </c>
      <c r="C736" s="26"/>
      <c r="D736" s="59"/>
      <c r="E736" s="109"/>
      <c r="F736" s="135" t="str">
        <f>IFERROR(IF($D736="","",VLOOKUP($D736,Cadastro!$C$4:$E$7,3,FALSE)),"")</f>
        <v/>
      </c>
      <c r="G736" s="106"/>
      <c r="H736" s="135" t="str">
        <f>IFERROR(IF($G736="","",$G736*$S$743/$G$743/Cadastro!$E$33),"")</f>
        <v/>
      </c>
      <c r="I736" s="136" t="str">
        <f>IFERROR(IF($D736="","",VLOOKUP($D736,Cadastro!$C$4:$G$7,5,FALSE)),"")</f>
        <v/>
      </c>
      <c r="J736" s="137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9">
        <v>46262</v>
      </c>
      <c r="B737" s="32">
        <f t="shared" si="197"/>
        <v>0.58333333333333304</v>
      </c>
      <c r="C737" s="33"/>
      <c r="D737" s="62"/>
      <c r="E737" s="110"/>
      <c r="F737" s="135" t="str">
        <f>IFERROR(IF($D737="","",VLOOKUP($D737,Cadastro!$C$4:$E$7,3,FALSE)),"")</f>
        <v/>
      </c>
      <c r="G737" s="106"/>
      <c r="H737" s="135" t="str">
        <f>IFERROR(IF($G737="","",$G737*$S$743/$G$743/Cadastro!$E$33),"")</f>
        <v/>
      </c>
      <c r="I737" s="136" t="str">
        <f>IFERROR(IF($D737="","",VLOOKUP($D737,Cadastro!$C$4:$G$7,5,FALSE)),"")</f>
        <v/>
      </c>
      <c r="J737" s="137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8">
        <v>46262</v>
      </c>
      <c r="B738" s="25">
        <f t="shared" si="197"/>
        <v>0.62499999999999967</v>
      </c>
      <c r="C738" s="26"/>
      <c r="D738" s="59"/>
      <c r="E738" s="109"/>
      <c r="F738" s="135" t="str">
        <f>IFERROR(IF($D738="","",VLOOKUP($D738,Cadastro!$C$4:$E$7,3,FALSE)),"")</f>
        <v/>
      </c>
      <c r="G738" s="106"/>
      <c r="H738" s="135" t="str">
        <f>IFERROR(IF($G738="","",$G738*$S$743/$G$743/Cadastro!$E$33),"")</f>
        <v/>
      </c>
      <c r="I738" s="136" t="str">
        <f>IFERROR(IF($D738="","",VLOOKUP($D738,Cadastro!$C$4:$G$7,5,FALSE)),"")</f>
        <v/>
      </c>
      <c r="J738" s="137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9">
        <v>46262</v>
      </c>
      <c r="B739" s="32">
        <f t="shared" si="197"/>
        <v>0.6666666666666663</v>
      </c>
      <c r="C739" s="33"/>
      <c r="D739" s="62"/>
      <c r="E739" s="110"/>
      <c r="F739" s="135" t="str">
        <f>IFERROR(IF($D739="","",VLOOKUP($D739,Cadastro!$C$4:$E$7,3,FALSE)),"")</f>
        <v/>
      </c>
      <c r="G739" s="106"/>
      <c r="H739" s="135" t="str">
        <f>IFERROR(IF($G739="","",$G739*$S$743/$G$743/Cadastro!$E$33),"")</f>
        <v/>
      </c>
      <c r="I739" s="136" t="str">
        <f>IFERROR(IF($D739="","",VLOOKUP($D739,Cadastro!$C$4:$G$7,5,FALSE)),"")</f>
        <v/>
      </c>
      <c r="J739" s="137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8">
        <v>46262</v>
      </c>
      <c r="B740" s="25">
        <f t="shared" si="197"/>
        <v>0.70833333333333293</v>
      </c>
      <c r="C740" s="26"/>
      <c r="D740" s="59"/>
      <c r="E740" s="109"/>
      <c r="F740" s="135" t="str">
        <f>IFERROR(IF($D740="","",VLOOKUP($D740,Cadastro!$C$4:$E$7,3,FALSE)),"")</f>
        <v/>
      </c>
      <c r="G740" s="106"/>
      <c r="H740" s="135" t="str">
        <f>IFERROR(IF($G740="","",$G740*$S$743/$G$743/Cadastro!$E$33),"")</f>
        <v/>
      </c>
      <c r="I740" s="136" t="str">
        <f>IFERROR(IF($D740="","",VLOOKUP($D740,Cadastro!$C$4:$G$7,5,FALSE)),"")</f>
        <v/>
      </c>
      <c r="J740" s="137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9">
        <v>46262</v>
      </c>
      <c r="B741" s="32">
        <f t="shared" si="197"/>
        <v>0.74999999999999956</v>
      </c>
      <c r="C741" s="33"/>
      <c r="D741" s="62"/>
      <c r="E741" s="110"/>
      <c r="F741" s="135" t="str">
        <f>IFERROR(IF($D741="","",VLOOKUP($D741,Cadastro!$C$4:$E$7,3,FALSE)),"")</f>
        <v/>
      </c>
      <c r="G741" s="106"/>
      <c r="H741" s="135" t="str">
        <f>IFERROR(IF($G741="","",$G741*$S$743/$G$743/Cadastro!$E$33),"")</f>
        <v/>
      </c>
      <c r="I741" s="136" t="str">
        <f>IFERROR(IF($D741="","",VLOOKUP($D741,Cadastro!$C$4:$G$7,5,FALSE)),"")</f>
        <v/>
      </c>
      <c r="J741" s="137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8">
        <v>46262</v>
      </c>
      <c r="B742" s="25">
        <f t="shared" si="197"/>
        <v>0.79166666666666619</v>
      </c>
      <c r="C742" s="26"/>
      <c r="D742" s="59"/>
      <c r="E742" s="109"/>
      <c r="F742" s="138" t="str">
        <f>IFERROR(IF($D742="","",VLOOKUP($D742,Cadastro!$C$4:$E$7,3,FALSE)),"")</f>
        <v/>
      </c>
      <c r="G742" s="106"/>
      <c r="H742" s="138" t="str">
        <f>IFERROR(IF($G742="","",$G742*$S$743/$G$743/Cadastro!$E$33),"")</f>
        <v/>
      </c>
      <c r="I742" s="139" t="str">
        <f>IFERROR(IF($D742="","",VLOOKUP($D742,Cadastro!$C$4:$G$7,5,FALSE)),"")</f>
        <v/>
      </c>
      <c r="J742" s="140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2" t="s">
        <v>241</v>
      </c>
      <c r="B743" s="153"/>
      <c r="C743" s="153"/>
      <c r="D743" s="153"/>
      <c r="E743" s="153">
        <f>SUM(E731:E742)</f>
        <v>0</v>
      </c>
      <c r="F743" s="111"/>
      <c r="G743" s="81">
        <f>SUM(G731:G742)</f>
        <v>0</v>
      </c>
      <c r="H743" s="111">
        <f>IFERROR(SUM(H731:H742),"")</f>
        <v>0</v>
      </c>
      <c r="I743" s="115"/>
      <c r="J743" s="124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20">
        <f>IFERROR(J743,"")</f>
        <v>0</v>
      </c>
    </row>
    <row r="744" spans="1:20" ht="15" customHeight="1">
      <c r="A744" s="68">
        <v>46262</v>
      </c>
      <c r="B744" s="25">
        <v>0.83333333333333304</v>
      </c>
      <c r="C744" s="26"/>
      <c r="D744" s="59"/>
      <c r="E744" s="109"/>
      <c r="F744" s="141" t="str">
        <f>IFERROR(IF($D744="","",VLOOKUP($D744,Cadastro!$C$4:$E$7,3,FALSE)),"")</f>
        <v/>
      </c>
      <c r="G744" s="106"/>
      <c r="H744" s="141" t="str">
        <f>IFERROR(IF($G744="","",$G744*$S$756/$G$756/Cadastro!$E$33),"")</f>
        <v/>
      </c>
      <c r="I744" s="142" t="str">
        <f>IFERROR(IF($D744="","",VLOOKUP($D744,Cadastro!$C$4:$G$7,5,FALSE)),"")</f>
        <v/>
      </c>
      <c r="J744" s="143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9">
        <v>46262</v>
      </c>
      <c r="B745" s="32">
        <f t="shared" ref="B745:B755" si="201">B744+TIME(0,60,0)</f>
        <v>0.87499999999999967</v>
      </c>
      <c r="C745" s="33"/>
      <c r="D745" s="62"/>
      <c r="E745" s="110"/>
      <c r="F745" s="135" t="str">
        <f>IFERROR(IF($D745="","",VLOOKUP($D745,Cadastro!$C$4:$E$7,3,FALSE)),"")</f>
        <v/>
      </c>
      <c r="G745" s="106"/>
      <c r="H745" s="135" t="str">
        <f>IFERROR(IF($G745="","",$G745*$S$756/$G$756/Cadastro!$E$33),"")</f>
        <v/>
      </c>
      <c r="I745" s="136" t="str">
        <f>IFERROR(IF($D745="","",VLOOKUP($D745,Cadastro!$C$4:$G$7,5,FALSE)),"")</f>
        <v/>
      </c>
      <c r="J745" s="137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8">
        <v>46262</v>
      </c>
      <c r="B746" s="25">
        <f t="shared" si="201"/>
        <v>0.9166666666666663</v>
      </c>
      <c r="C746" s="26"/>
      <c r="D746" s="59"/>
      <c r="E746" s="109"/>
      <c r="F746" s="135" t="str">
        <f>IFERROR(IF($D746="","",VLOOKUP($D746,Cadastro!$C$4:$E$7,3,FALSE)),"")</f>
        <v/>
      </c>
      <c r="G746" s="106"/>
      <c r="H746" s="135" t="str">
        <f>IFERROR(IF($G746="","",$G746*$S$756/$G$756/Cadastro!$E$33),"")</f>
        <v/>
      </c>
      <c r="I746" s="136" t="str">
        <f>IFERROR(IF($D746="","",VLOOKUP($D746,Cadastro!$C$4:$G$7,5,FALSE)),"")</f>
        <v/>
      </c>
      <c r="J746" s="137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9">
        <v>46262</v>
      </c>
      <c r="B747" s="32">
        <f t="shared" si="201"/>
        <v>0.95833333333333293</v>
      </c>
      <c r="C747" s="33"/>
      <c r="D747" s="62"/>
      <c r="E747" s="110"/>
      <c r="F747" s="135" t="str">
        <f>IFERROR(IF($D747="","",VLOOKUP($D747,Cadastro!$C$4:$E$7,3,FALSE)),"")</f>
        <v/>
      </c>
      <c r="G747" s="106"/>
      <c r="H747" s="135" t="str">
        <f>IFERROR(IF($G747="","",$G747*$S$756/$G$756/Cadastro!$E$33),"")</f>
        <v/>
      </c>
      <c r="I747" s="136" t="str">
        <f>IFERROR(IF($D747="","",VLOOKUP($D747,Cadastro!$C$4:$G$7,5,FALSE)),"")</f>
        <v/>
      </c>
      <c r="J747" s="137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8">
        <v>46262</v>
      </c>
      <c r="B748" s="25">
        <f t="shared" si="201"/>
        <v>0.99999999999999956</v>
      </c>
      <c r="C748" s="26"/>
      <c r="D748" s="59"/>
      <c r="E748" s="109"/>
      <c r="F748" s="135" t="str">
        <f>IFERROR(IF($D748="","",VLOOKUP($D748,Cadastro!$C$4:$E$7,3,FALSE)),"")</f>
        <v/>
      </c>
      <c r="G748" s="106"/>
      <c r="H748" s="135" t="str">
        <f>IFERROR(IF($G748="","",$G748*$S$756/$G$756/Cadastro!$E$33),"")</f>
        <v/>
      </c>
      <c r="I748" s="136" t="str">
        <f>IFERROR(IF($D748="","",VLOOKUP($D748,Cadastro!$C$4:$G$7,5,FALSE)),"")</f>
        <v/>
      </c>
      <c r="J748" s="137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9">
        <v>46262</v>
      </c>
      <c r="B749" s="32">
        <f t="shared" si="201"/>
        <v>1.0416666666666663</v>
      </c>
      <c r="C749" s="33"/>
      <c r="D749" s="62"/>
      <c r="E749" s="110"/>
      <c r="F749" s="135" t="str">
        <f>IFERROR(IF($D749="","",VLOOKUP($D749,Cadastro!$C$4:$E$7,3,FALSE)),"")</f>
        <v/>
      </c>
      <c r="G749" s="106"/>
      <c r="H749" s="135" t="str">
        <f>IFERROR(IF($G749="","",$G749*$S$756/$G$756/Cadastro!$E$33),"")</f>
        <v/>
      </c>
      <c r="I749" s="136" t="str">
        <f>IFERROR(IF($D749="","",VLOOKUP($D749,Cadastro!$C$4:$G$7,5,FALSE)),"")</f>
        <v/>
      </c>
      <c r="J749" s="137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8">
        <v>46262</v>
      </c>
      <c r="B750" s="25">
        <f t="shared" si="201"/>
        <v>1.083333333333333</v>
      </c>
      <c r="C750" s="26"/>
      <c r="D750" s="59"/>
      <c r="E750" s="109"/>
      <c r="F750" s="135" t="str">
        <f>IFERROR(IF($D750="","",VLOOKUP($D750,Cadastro!$C$4:$E$7,3,FALSE)),"")</f>
        <v/>
      </c>
      <c r="G750" s="106"/>
      <c r="H750" s="135" t="str">
        <f>IFERROR(IF($G750="","",$G750*$S$756/$G$756/Cadastro!$E$33),"")</f>
        <v/>
      </c>
      <c r="I750" s="136" t="str">
        <f>IFERROR(IF($D750="","",VLOOKUP($D750,Cadastro!$C$4:$G$7,5,FALSE)),"")</f>
        <v/>
      </c>
      <c r="J750" s="137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9">
        <v>46262</v>
      </c>
      <c r="B751" s="32">
        <f t="shared" si="201"/>
        <v>1.1249999999999998</v>
      </c>
      <c r="C751" s="33"/>
      <c r="D751" s="62"/>
      <c r="E751" s="110"/>
      <c r="F751" s="135" t="str">
        <f>IFERROR(IF($D751="","",VLOOKUP($D751,Cadastro!$C$4:$E$7,3,FALSE)),"")</f>
        <v/>
      </c>
      <c r="G751" s="106"/>
      <c r="H751" s="135" t="str">
        <f>IFERROR(IF($G751="","",$G751*$S$756/$G$756/Cadastro!$E$33),"")</f>
        <v/>
      </c>
      <c r="I751" s="136" t="str">
        <f>IFERROR(IF($D751="","",VLOOKUP($D751,Cadastro!$C$4:$G$7,5,FALSE)),"")</f>
        <v/>
      </c>
      <c r="J751" s="137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8">
        <v>46262</v>
      </c>
      <c r="B752" s="25">
        <f t="shared" si="201"/>
        <v>1.1666666666666665</v>
      </c>
      <c r="C752" s="26"/>
      <c r="D752" s="59"/>
      <c r="E752" s="109"/>
      <c r="F752" s="135" t="str">
        <f>IFERROR(IF($D752="","",VLOOKUP($D752,Cadastro!$C$4:$E$7,3,FALSE)),"")</f>
        <v/>
      </c>
      <c r="G752" s="106"/>
      <c r="H752" s="135" t="str">
        <f>IFERROR(IF($G752="","",$G752*$S$756/$G$756/Cadastro!$E$33),"")</f>
        <v/>
      </c>
      <c r="I752" s="136" t="str">
        <f>IFERROR(IF($D752="","",VLOOKUP($D752,Cadastro!$C$4:$G$7,5,FALSE)),"")</f>
        <v/>
      </c>
      <c r="J752" s="137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9">
        <v>46262</v>
      </c>
      <c r="B753" s="32">
        <f t="shared" si="201"/>
        <v>1.2083333333333333</v>
      </c>
      <c r="C753" s="33"/>
      <c r="D753" s="62"/>
      <c r="E753" s="110"/>
      <c r="F753" s="135" t="str">
        <f>IFERROR(IF($D753="","",VLOOKUP($D753,Cadastro!$C$4:$E$7,3,FALSE)),"")</f>
        <v/>
      </c>
      <c r="G753" s="106"/>
      <c r="H753" s="135" t="str">
        <f>IFERROR(IF($G753="","",$G753*$S$756/$G$756/Cadastro!$E$33),"")</f>
        <v/>
      </c>
      <c r="I753" s="136" t="str">
        <f>IFERROR(IF($D753="","",VLOOKUP($D753,Cadastro!$C$4:$G$7,5,FALSE)),"")</f>
        <v/>
      </c>
      <c r="J753" s="137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8">
        <v>46262</v>
      </c>
      <c r="B754" s="25">
        <f t="shared" si="201"/>
        <v>1.25</v>
      </c>
      <c r="C754" s="26"/>
      <c r="D754" s="59"/>
      <c r="E754" s="109"/>
      <c r="F754" s="135" t="str">
        <f>IFERROR(IF($D754="","",VLOOKUP($D754,Cadastro!$C$4:$E$7,3,FALSE)),"")</f>
        <v/>
      </c>
      <c r="G754" s="106"/>
      <c r="H754" s="135" t="str">
        <f>IFERROR(IF($G754="","",$G754*$S$756/$G$756/Cadastro!$E$33),"")</f>
        <v/>
      </c>
      <c r="I754" s="136" t="str">
        <f>IFERROR(IF($D754="","",VLOOKUP($D754,Cadastro!$C$4:$G$7,5,FALSE)),"")</f>
        <v/>
      </c>
      <c r="J754" s="137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9">
        <v>46262</v>
      </c>
      <c r="B755" s="32">
        <f t="shared" si="201"/>
        <v>1.2916666666666667</v>
      </c>
      <c r="C755" s="33"/>
      <c r="D755" s="62"/>
      <c r="E755" s="110"/>
      <c r="F755" s="138" t="str">
        <f>IFERROR(IF($D755="","",VLOOKUP($D755,Cadastro!$C$4:$E$7,3,FALSE)),"")</f>
        <v/>
      </c>
      <c r="G755" s="106"/>
      <c r="H755" s="138" t="str">
        <f>IFERROR(IF($G755="","",$G755*$S$756/$G$756/Cadastro!$E$33),"")</f>
        <v/>
      </c>
      <c r="I755" s="139" t="str">
        <f>IFERROR(IF($D755="","",VLOOKUP($D755,Cadastro!$C$4:$G$7,5,FALSE)),"")</f>
        <v/>
      </c>
      <c r="J755" s="140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2" t="s">
        <v>244</v>
      </c>
      <c r="B756" s="153"/>
      <c r="C756" s="153"/>
      <c r="D756" s="153"/>
      <c r="E756" s="153">
        <f>SUM(E744:E755)</f>
        <v>0</v>
      </c>
      <c r="F756" s="112"/>
      <c r="G756" s="81">
        <f>SUM(G744:G755)</f>
        <v>0</v>
      </c>
      <c r="H756" s="112">
        <f>IFERROR(SUM(H744:H755),"")</f>
        <v>0</v>
      </c>
      <c r="I756" s="116"/>
      <c r="J756" s="125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20">
        <f>IFERROR(J756,"")</f>
        <v>0</v>
      </c>
    </row>
    <row r="757" spans="1:20" ht="18" customHeight="1">
      <c r="A757" s="150" t="s">
        <v>245</v>
      </c>
      <c r="B757" s="151"/>
      <c r="C757" s="151"/>
      <c r="D757" s="151"/>
      <c r="E757" s="151">
        <f>E743+E756</f>
        <v>0</v>
      </c>
      <c r="F757" s="113"/>
      <c r="G757" s="92">
        <f>G743+G756</f>
        <v>0</v>
      </c>
      <c r="H757" s="113">
        <f>IFERROR(H743+H756,"")</f>
        <v>0</v>
      </c>
      <c r="I757" s="117"/>
      <c r="J757" s="126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2">
        <f>IFERROR(J757,"")</f>
        <v>0</v>
      </c>
    </row>
    <row r="758" spans="1:20" ht="15" customHeight="1">
      <c r="A758" s="68">
        <v>46263</v>
      </c>
      <c r="B758" s="25">
        <v>0.33333333333333298</v>
      </c>
      <c r="C758" s="26"/>
      <c r="D758" s="59"/>
      <c r="E758" s="109"/>
      <c r="F758" s="141" t="str">
        <f>IFERROR(IF($D758="","",VLOOKUP($D758,Cadastro!$C$4:$E$7,3,FALSE)),"")</f>
        <v/>
      </c>
      <c r="G758" s="106"/>
      <c r="H758" s="141" t="str">
        <f>IFERROR(IF($G758="","",$G758*$S$770/$G$770/Cadastro!$E$33),"")</f>
        <v/>
      </c>
      <c r="I758" s="142" t="str">
        <f>IFERROR(IF($D758="","",VLOOKUP($D758,Cadastro!$C$4:$G$7,5,FALSE)),"")</f>
        <v/>
      </c>
      <c r="J758" s="143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9">
        <v>46263</v>
      </c>
      <c r="B759" s="32">
        <f t="shared" ref="B759:B769" si="205">B758+TIME(0,60,0)</f>
        <v>0.37499999999999967</v>
      </c>
      <c r="C759" s="33"/>
      <c r="D759" s="62"/>
      <c r="E759" s="110"/>
      <c r="F759" s="135" t="str">
        <f>IFERROR(IF($D759="","",VLOOKUP($D759,Cadastro!$C$4:$E$7,3,FALSE)),"")</f>
        <v/>
      </c>
      <c r="G759" s="106"/>
      <c r="H759" s="135" t="str">
        <f>IFERROR(IF($G759="","",$G759*$S$770/$G$770/Cadastro!$E$33),"")</f>
        <v/>
      </c>
      <c r="I759" s="136" t="str">
        <f>IFERROR(IF($D759="","",VLOOKUP($D759,Cadastro!$C$4:$G$7,5,FALSE)),"")</f>
        <v/>
      </c>
      <c r="J759" s="137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8">
        <v>46263</v>
      </c>
      <c r="B760" s="25">
        <f t="shared" si="205"/>
        <v>0.41666666666666635</v>
      </c>
      <c r="C760" s="26"/>
      <c r="D760" s="59"/>
      <c r="E760" s="109"/>
      <c r="F760" s="135" t="str">
        <f>IFERROR(IF($D760="","",VLOOKUP($D760,Cadastro!$C$4:$E$7,3,FALSE)),"")</f>
        <v/>
      </c>
      <c r="G760" s="106"/>
      <c r="H760" s="135" t="str">
        <f>IFERROR(IF($G760="","",$G760*$S$770/$G$770/Cadastro!$E$33),"")</f>
        <v/>
      </c>
      <c r="I760" s="136" t="str">
        <f>IFERROR(IF($D760="","",VLOOKUP($D760,Cadastro!$C$4:$G$7,5,FALSE)),"")</f>
        <v/>
      </c>
      <c r="J760" s="137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9">
        <v>46263</v>
      </c>
      <c r="B761" s="32">
        <f t="shared" si="205"/>
        <v>0.45833333333333304</v>
      </c>
      <c r="C761" s="33"/>
      <c r="D761" s="62"/>
      <c r="E761" s="110"/>
      <c r="F761" s="135" t="str">
        <f>IFERROR(IF($D761="","",VLOOKUP($D761,Cadastro!$C$4:$E$7,3,FALSE)),"")</f>
        <v/>
      </c>
      <c r="G761" s="106"/>
      <c r="H761" s="135" t="str">
        <f>IFERROR(IF($G761="","",$G761*$S$770/$G$770/Cadastro!$E$33),"")</f>
        <v/>
      </c>
      <c r="I761" s="136" t="str">
        <f>IFERROR(IF($D761="","",VLOOKUP($D761,Cadastro!$C$4:$G$7,5,FALSE)),"")</f>
        <v/>
      </c>
      <c r="J761" s="137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8">
        <v>46263</v>
      </c>
      <c r="B762" s="25">
        <f t="shared" si="205"/>
        <v>0.49999999999999972</v>
      </c>
      <c r="C762" s="26"/>
      <c r="D762" s="59"/>
      <c r="E762" s="109"/>
      <c r="F762" s="135" t="str">
        <f>IFERROR(IF($D762="","",VLOOKUP($D762,Cadastro!$C$4:$E$7,3,FALSE)),"")</f>
        <v/>
      </c>
      <c r="G762" s="106"/>
      <c r="H762" s="135" t="str">
        <f>IFERROR(IF($G762="","",$G762*$S$770/$G$770/Cadastro!$E$33),"")</f>
        <v/>
      </c>
      <c r="I762" s="136" t="str">
        <f>IFERROR(IF($D762="","",VLOOKUP($D762,Cadastro!$C$4:$G$7,5,FALSE)),"")</f>
        <v/>
      </c>
      <c r="J762" s="137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9">
        <v>46263</v>
      </c>
      <c r="B763" s="32">
        <f t="shared" si="205"/>
        <v>0.54166666666666641</v>
      </c>
      <c r="C763" s="33"/>
      <c r="D763" s="62"/>
      <c r="E763" s="110"/>
      <c r="F763" s="135" t="str">
        <f>IFERROR(IF($D763="","",VLOOKUP($D763,Cadastro!$C$4:$E$7,3,FALSE)),"")</f>
        <v/>
      </c>
      <c r="G763" s="106"/>
      <c r="H763" s="135" t="str">
        <f>IFERROR(IF($G763="","",$G763*$S$770/$G$770/Cadastro!$E$33),"")</f>
        <v/>
      </c>
      <c r="I763" s="136" t="str">
        <f>IFERROR(IF($D763="","",VLOOKUP($D763,Cadastro!$C$4:$G$7,5,FALSE)),"")</f>
        <v/>
      </c>
      <c r="J763" s="137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8">
        <v>46263</v>
      </c>
      <c r="B764" s="25">
        <f t="shared" si="205"/>
        <v>0.58333333333333304</v>
      </c>
      <c r="C764" s="26"/>
      <c r="D764" s="59"/>
      <c r="E764" s="109"/>
      <c r="F764" s="135" t="str">
        <f>IFERROR(IF($D764="","",VLOOKUP($D764,Cadastro!$C$4:$E$7,3,FALSE)),"")</f>
        <v/>
      </c>
      <c r="G764" s="106"/>
      <c r="H764" s="135" t="str">
        <f>IFERROR(IF($G764="","",$G764*$S$770/$G$770/Cadastro!$E$33),"")</f>
        <v/>
      </c>
      <c r="I764" s="136" t="str">
        <f>IFERROR(IF($D764="","",VLOOKUP($D764,Cadastro!$C$4:$G$7,5,FALSE)),"")</f>
        <v/>
      </c>
      <c r="J764" s="137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9">
        <v>46263</v>
      </c>
      <c r="B765" s="32">
        <f t="shared" si="205"/>
        <v>0.62499999999999967</v>
      </c>
      <c r="C765" s="33"/>
      <c r="D765" s="62"/>
      <c r="E765" s="110"/>
      <c r="F765" s="135" t="str">
        <f>IFERROR(IF($D765="","",VLOOKUP($D765,Cadastro!$C$4:$E$7,3,FALSE)),"")</f>
        <v/>
      </c>
      <c r="G765" s="106"/>
      <c r="H765" s="135" t="str">
        <f>IFERROR(IF($G765="","",$G765*$S$770/$G$770/Cadastro!$E$33),"")</f>
        <v/>
      </c>
      <c r="I765" s="136" t="str">
        <f>IFERROR(IF($D765="","",VLOOKUP($D765,Cadastro!$C$4:$G$7,5,FALSE)),"")</f>
        <v/>
      </c>
      <c r="J765" s="137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8">
        <v>46263</v>
      </c>
      <c r="B766" s="25">
        <f t="shared" si="205"/>
        <v>0.6666666666666663</v>
      </c>
      <c r="C766" s="26"/>
      <c r="D766" s="59"/>
      <c r="E766" s="109"/>
      <c r="F766" s="135" t="str">
        <f>IFERROR(IF($D766="","",VLOOKUP($D766,Cadastro!$C$4:$E$7,3,FALSE)),"")</f>
        <v/>
      </c>
      <c r="G766" s="106"/>
      <c r="H766" s="135" t="str">
        <f>IFERROR(IF($G766="","",$G766*$S$770/$G$770/Cadastro!$E$33),"")</f>
        <v/>
      </c>
      <c r="I766" s="136" t="str">
        <f>IFERROR(IF($D766="","",VLOOKUP($D766,Cadastro!$C$4:$G$7,5,FALSE)),"")</f>
        <v/>
      </c>
      <c r="J766" s="137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9">
        <v>46263</v>
      </c>
      <c r="B767" s="32">
        <f t="shared" si="205"/>
        <v>0.70833333333333293</v>
      </c>
      <c r="C767" s="33"/>
      <c r="D767" s="62"/>
      <c r="E767" s="110"/>
      <c r="F767" s="135" t="str">
        <f>IFERROR(IF($D767="","",VLOOKUP($D767,Cadastro!$C$4:$E$7,3,FALSE)),"")</f>
        <v/>
      </c>
      <c r="G767" s="106"/>
      <c r="H767" s="135" t="str">
        <f>IFERROR(IF($G767="","",$G767*$S$770/$G$770/Cadastro!$E$33),"")</f>
        <v/>
      </c>
      <c r="I767" s="136" t="str">
        <f>IFERROR(IF($D767="","",VLOOKUP($D767,Cadastro!$C$4:$G$7,5,FALSE)),"")</f>
        <v/>
      </c>
      <c r="J767" s="137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8">
        <v>46263</v>
      </c>
      <c r="B768" s="25">
        <f t="shared" si="205"/>
        <v>0.74999999999999956</v>
      </c>
      <c r="C768" s="26"/>
      <c r="D768" s="59"/>
      <c r="E768" s="109"/>
      <c r="F768" s="135" t="str">
        <f>IFERROR(IF($D768="","",VLOOKUP($D768,Cadastro!$C$4:$E$7,3,FALSE)),"")</f>
        <v/>
      </c>
      <c r="G768" s="106"/>
      <c r="H768" s="135" t="str">
        <f>IFERROR(IF($G768="","",$G768*$S$770/$G$770/Cadastro!$E$33),"")</f>
        <v/>
      </c>
      <c r="I768" s="136" t="str">
        <f>IFERROR(IF($D768="","",VLOOKUP($D768,Cadastro!$C$4:$G$7,5,FALSE)),"")</f>
        <v/>
      </c>
      <c r="J768" s="137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9">
        <v>46263</v>
      </c>
      <c r="B769" s="32">
        <f t="shared" si="205"/>
        <v>0.79166666666666619</v>
      </c>
      <c r="C769" s="33"/>
      <c r="D769" s="62"/>
      <c r="E769" s="110"/>
      <c r="F769" s="138" t="str">
        <f>IFERROR(IF($D769="","",VLOOKUP($D769,Cadastro!$C$4:$E$7,3,FALSE)),"")</f>
        <v/>
      </c>
      <c r="G769" s="106"/>
      <c r="H769" s="138" t="str">
        <f>IFERROR(IF($G769="","",$G769*$S$770/$G$770/Cadastro!$E$33),"")</f>
        <v/>
      </c>
      <c r="I769" s="139" t="str">
        <f>IFERROR(IF($D769="","",VLOOKUP($D769,Cadastro!$C$4:$G$7,5,FALSE)),"")</f>
        <v/>
      </c>
      <c r="J769" s="140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2" t="s">
        <v>241</v>
      </c>
      <c r="B770" s="153"/>
      <c r="C770" s="153"/>
      <c r="D770" s="153"/>
      <c r="E770" s="153">
        <f>SUM(E758:E769)</f>
        <v>0</v>
      </c>
      <c r="F770" s="111"/>
      <c r="G770" s="81">
        <f>SUM(G758:G769)</f>
        <v>0</v>
      </c>
      <c r="H770" s="111">
        <f>IFERROR(SUM(H758:H769),"")</f>
        <v>0</v>
      </c>
      <c r="I770" s="115"/>
      <c r="J770" s="124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20">
        <f>IFERROR(J770,"")</f>
        <v>0</v>
      </c>
    </row>
    <row r="771" spans="1:20" ht="15" customHeight="1">
      <c r="A771" s="69">
        <v>46263</v>
      </c>
      <c r="B771" s="32">
        <v>0.83333333333333304</v>
      </c>
      <c r="C771" s="33"/>
      <c r="D771" s="62"/>
      <c r="E771" s="110"/>
      <c r="F771" s="141" t="str">
        <f>IFERROR(IF($D771="","",VLOOKUP($D771,Cadastro!$C$4:$E$7,3,FALSE)),"")</f>
        <v/>
      </c>
      <c r="G771" s="106"/>
      <c r="H771" s="141" t="str">
        <f>IFERROR(IF($G771="","",$G771*$S$783/$G$783/Cadastro!$E$33),"")</f>
        <v/>
      </c>
      <c r="I771" s="142" t="str">
        <f>IFERROR(IF($D771="","",VLOOKUP($D771,Cadastro!$C$4:$G$7,5,FALSE)),"")</f>
        <v/>
      </c>
      <c r="J771" s="143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8">
        <v>46263</v>
      </c>
      <c r="B772" s="25">
        <f t="shared" ref="B772:B782" si="209">B771+TIME(0,60,0)</f>
        <v>0.87499999999999967</v>
      </c>
      <c r="C772" s="26"/>
      <c r="D772" s="59"/>
      <c r="E772" s="109"/>
      <c r="F772" s="135" t="str">
        <f>IFERROR(IF($D772="","",VLOOKUP($D772,Cadastro!$C$4:$E$7,3,FALSE)),"")</f>
        <v/>
      </c>
      <c r="G772" s="106"/>
      <c r="H772" s="135" t="str">
        <f>IFERROR(IF($G772="","",$G772*$S$783/$G$783/Cadastro!$E$33),"")</f>
        <v/>
      </c>
      <c r="I772" s="136" t="str">
        <f>IFERROR(IF($D772="","",VLOOKUP($D772,Cadastro!$C$4:$G$7,5,FALSE)),"")</f>
        <v/>
      </c>
      <c r="J772" s="137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9">
        <v>46263</v>
      </c>
      <c r="B773" s="32">
        <f t="shared" si="209"/>
        <v>0.9166666666666663</v>
      </c>
      <c r="C773" s="33"/>
      <c r="D773" s="62"/>
      <c r="E773" s="110"/>
      <c r="F773" s="135" t="str">
        <f>IFERROR(IF($D773="","",VLOOKUP($D773,Cadastro!$C$4:$E$7,3,FALSE)),"")</f>
        <v/>
      </c>
      <c r="G773" s="106"/>
      <c r="H773" s="135" t="str">
        <f>IFERROR(IF($G773="","",$G773*$S$783/$G$783/Cadastro!$E$33),"")</f>
        <v/>
      </c>
      <c r="I773" s="136" t="str">
        <f>IFERROR(IF($D773="","",VLOOKUP($D773,Cadastro!$C$4:$G$7,5,FALSE)),"")</f>
        <v/>
      </c>
      <c r="J773" s="137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8">
        <v>46263</v>
      </c>
      <c r="B774" s="25">
        <f t="shared" si="209"/>
        <v>0.95833333333333293</v>
      </c>
      <c r="C774" s="26"/>
      <c r="D774" s="59"/>
      <c r="E774" s="109"/>
      <c r="F774" s="135" t="str">
        <f>IFERROR(IF($D774="","",VLOOKUP($D774,Cadastro!$C$4:$E$7,3,FALSE)),"")</f>
        <v/>
      </c>
      <c r="G774" s="106"/>
      <c r="H774" s="135" t="str">
        <f>IFERROR(IF($G774="","",$G774*$S$783/$G$783/Cadastro!$E$33),"")</f>
        <v/>
      </c>
      <c r="I774" s="136" t="str">
        <f>IFERROR(IF($D774="","",VLOOKUP($D774,Cadastro!$C$4:$G$7,5,FALSE)),"")</f>
        <v/>
      </c>
      <c r="J774" s="137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9">
        <v>46263</v>
      </c>
      <c r="B775" s="32">
        <f t="shared" si="209"/>
        <v>0.99999999999999956</v>
      </c>
      <c r="C775" s="33"/>
      <c r="D775" s="62"/>
      <c r="E775" s="110"/>
      <c r="F775" s="135" t="str">
        <f>IFERROR(IF($D775="","",VLOOKUP($D775,Cadastro!$C$4:$E$7,3,FALSE)),"")</f>
        <v/>
      </c>
      <c r="G775" s="106"/>
      <c r="H775" s="135" t="str">
        <f>IFERROR(IF($G775="","",$G775*$S$783/$G$783/Cadastro!$E$33),"")</f>
        <v/>
      </c>
      <c r="I775" s="136" t="str">
        <f>IFERROR(IF($D775="","",VLOOKUP($D775,Cadastro!$C$4:$G$7,5,FALSE)),"")</f>
        <v/>
      </c>
      <c r="J775" s="137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8">
        <v>46263</v>
      </c>
      <c r="B776" s="25">
        <f t="shared" si="209"/>
        <v>1.0416666666666663</v>
      </c>
      <c r="C776" s="26"/>
      <c r="D776" s="59"/>
      <c r="E776" s="109"/>
      <c r="F776" s="135" t="str">
        <f>IFERROR(IF($D776="","",VLOOKUP($D776,Cadastro!$C$4:$E$7,3,FALSE)),"")</f>
        <v/>
      </c>
      <c r="G776" s="106"/>
      <c r="H776" s="135" t="str">
        <f>IFERROR(IF($G776="","",$G776*$S$783/$G$783/Cadastro!$E$33),"")</f>
        <v/>
      </c>
      <c r="I776" s="136" t="str">
        <f>IFERROR(IF($D776="","",VLOOKUP($D776,Cadastro!$C$4:$G$7,5,FALSE)),"")</f>
        <v/>
      </c>
      <c r="J776" s="137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9">
        <v>46263</v>
      </c>
      <c r="B777" s="32">
        <f t="shared" si="209"/>
        <v>1.083333333333333</v>
      </c>
      <c r="C777" s="33"/>
      <c r="D777" s="62"/>
      <c r="E777" s="110"/>
      <c r="F777" s="135" t="str">
        <f>IFERROR(IF($D777="","",VLOOKUP($D777,Cadastro!$C$4:$E$7,3,FALSE)),"")</f>
        <v/>
      </c>
      <c r="G777" s="106"/>
      <c r="H777" s="135" t="str">
        <f>IFERROR(IF($G777="","",$G777*$S$783/$G$783/Cadastro!$E$33),"")</f>
        <v/>
      </c>
      <c r="I777" s="136" t="str">
        <f>IFERROR(IF($D777="","",VLOOKUP($D777,Cadastro!$C$4:$G$7,5,FALSE)),"")</f>
        <v/>
      </c>
      <c r="J777" s="137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8">
        <v>46263</v>
      </c>
      <c r="B778" s="25">
        <f t="shared" si="209"/>
        <v>1.1249999999999998</v>
      </c>
      <c r="C778" s="26"/>
      <c r="D778" s="59"/>
      <c r="E778" s="109"/>
      <c r="F778" s="135" t="str">
        <f>IFERROR(IF($D778="","",VLOOKUP($D778,Cadastro!$C$4:$E$7,3,FALSE)),"")</f>
        <v/>
      </c>
      <c r="G778" s="106"/>
      <c r="H778" s="135" t="str">
        <f>IFERROR(IF($G778="","",$G778*$S$783/$G$783/Cadastro!$E$33),"")</f>
        <v/>
      </c>
      <c r="I778" s="136" t="str">
        <f>IFERROR(IF($D778="","",VLOOKUP($D778,Cadastro!$C$4:$G$7,5,FALSE)),"")</f>
        <v/>
      </c>
      <c r="J778" s="137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9">
        <v>46263</v>
      </c>
      <c r="B779" s="32">
        <f t="shared" si="209"/>
        <v>1.1666666666666665</v>
      </c>
      <c r="C779" s="33"/>
      <c r="D779" s="62"/>
      <c r="E779" s="110"/>
      <c r="F779" s="135" t="str">
        <f>IFERROR(IF($D779="","",VLOOKUP($D779,Cadastro!$C$4:$E$7,3,FALSE)),"")</f>
        <v/>
      </c>
      <c r="G779" s="106"/>
      <c r="H779" s="135" t="str">
        <f>IFERROR(IF($G779="","",$G779*$S$783/$G$783/Cadastro!$E$33),"")</f>
        <v/>
      </c>
      <c r="I779" s="136" t="str">
        <f>IFERROR(IF($D779="","",VLOOKUP($D779,Cadastro!$C$4:$G$7,5,FALSE)),"")</f>
        <v/>
      </c>
      <c r="J779" s="137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8">
        <v>46263</v>
      </c>
      <c r="B780" s="25">
        <f t="shared" si="209"/>
        <v>1.2083333333333333</v>
      </c>
      <c r="C780" s="26"/>
      <c r="D780" s="59"/>
      <c r="E780" s="109"/>
      <c r="F780" s="135" t="str">
        <f>IFERROR(IF($D780="","",VLOOKUP($D780,Cadastro!$C$4:$E$7,3,FALSE)),"")</f>
        <v/>
      </c>
      <c r="G780" s="106"/>
      <c r="H780" s="135" t="str">
        <f>IFERROR(IF($G780="","",$G780*$S$783/$G$783/Cadastro!$E$33),"")</f>
        <v/>
      </c>
      <c r="I780" s="136" t="str">
        <f>IFERROR(IF($D780="","",VLOOKUP($D780,Cadastro!$C$4:$G$7,5,FALSE)),"")</f>
        <v/>
      </c>
      <c r="J780" s="137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9">
        <v>46263</v>
      </c>
      <c r="B781" s="32">
        <f t="shared" si="209"/>
        <v>1.25</v>
      </c>
      <c r="C781" s="33"/>
      <c r="D781" s="62"/>
      <c r="E781" s="110"/>
      <c r="F781" s="135" t="str">
        <f>IFERROR(IF($D781="","",VLOOKUP($D781,Cadastro!$C$4:$E$7,3,FALSE)),"")</f>
        <v/>
      </c>
      <c r="G781" s="106"/>
      <c r="H781" s="135" t="str">
        <f>IFERROR(IF($G781="","",$G781*$S$783/$G$783/Cadastro!$E$33),"")</f>
        <v/>
      </c>
      <c r="I781" s="136" t="str">
        <f>IFERROR(IF($D781="","",VLOOKUP($D781,Cadastro!$C$4:$G$7,5,FALSE)),"")</f>
        <v/>
      </c>
      <c r="J781" s="137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8">
        <v>46263</v>
      </c>
      <c r="B782" s="25">
        <f t="shared" si="209"/>
        <v>1.2916666666666667</v>
      </c>
      <c r="C782" s="26"/>
      <c r="D782" s="59"/>
      <c r="E782" s="109"/>
      <c r="F782" s="138" t="str">
        <f>IFERROR(IF($D782="","",VLOOKUP($D782,Cadastro!$C$4:$E$7,3,FALSE)),"")</f>
        <v/>
      </c>
      <c r="G782" s="106"/>
      <c r="H782" s="138" t="str">
        <f>IFERROR(IF($G782="","",$G782*$S$783/$G$783/Cadastro!$E$33),"")</f>
        <v/>
      </c>
      <c r="I782" s="139" t="str">
        <f>IFERROR(IF($D782="","",VLOOKUP($D782,Cadastro!$C$4:$G$7,5,FALSE)),"")</f>
        <v/>
      </c>
      <c r="J782" s="140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2" t="s">
        <v>244</v>
      </c>
      <c r="B783" s="153"/>
      <c r="C783" s="153"/>
      <c r="D783" s="153"/>
      <c r="E783" s="153">
        <f>SUM(E771:E782)</f>
        <v>0</v>
      </c>
      <c r="F783" s="112"/>
      <c r="G783" s="81">
        <f>SUM(G771:G782)</f>
        <v>0</v>
      </c>
      <c r="H783" s="112">
        <f>IFERROR(SUM(H771:H782),"")</f>
        <v>0</v>
      </c>
      <c r="I783" s="116"/>
      <c r="J783" s="125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20">
        <f>IFERROR(J783,"")</f>
        <v>0</v>
      </c>
    </row>
    <row r="784" spans="1:20" ht="18" customHeight="1">
      <c r="A784" s="150" t="s">
        <v>245</v>
      </c>
      <c r="B784" s="151"/>
      <c r="C784" s="151"/>
      <c r="D784" s="151"/>
      <c r="E784" s="151">
        <f>E770+E783</f>
        <v>0</v>
      </c>
      <c r="F784" s="113"/>
      <c r="G784" s="92">
        <f>G770+G783</f>
        <v>0</v>
      </c>
      <c r="H784" s="113">
        <f>IFERROR(H770+H783,"")</f>
        <v>0</v>
      </c>
      <c r="I784" s="117"/>
      <c r="J784" s="126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2">
        <f>IFERROR(J784,"")</f>
        <v>0</v>
      </c>
    </row>
    <row r="785" spans="1:20" ht="15" customHeight="1">
      <c r="A785" s="69">
        <v>46264</v>
      </c>
      <c r="B785" s="32">
        <v>0.33333333333333298</v>
      </c>
      <c r="C785" s="33"/>
      <c r="D785" s="62"/>
      <c r="E785" s="110"/>
      <c r="F785" s="141" t="str">
        <f>IFERROR(IF($D785="","",VLOOKUP($D785,Cadastro!$C$4:$E$7,3,FALSE)),"")</f>
        <v/>
      </c>
      <c r="G785" s="106"/>
      <c r="H785" s="141" t="str">
        <f>IFERROR(IF($G785="","",$G785*$S$797/$G$797/Cadastro!$E$33),"")</f>
        <v/>
      </c>
      <c r="I785" s="142" t="str">
        <f>IFERROR(IF($D785="","",VLOOKUP($D785,Cadastro!$C$4:$G$7,5,FALSE)),"")</f>
        <v/>
      </c>
      <c r="J785" s="143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8">
        <v>46264</v>
      </c>
      <c r="B786" s="25">
        <f t="shared" ref="B786:B796" si="212">B785+TIME(0,60,0)</f>
        <v>0.37499999999999967</v>
      </c>
      <c r="C786" s="26"/>
      <c r="D786" s="59"/>
      <c r="E786" s="109"/>
      <c r="F786" s="135" t="str">
        <f>IFERROR(IF($D786="","",VLOOKUP($D786,Cadastro!$C$4:$E$7,3,FALSE)),"")</f>
        <v/>
      </c>
      <c r="G786" s="106"/>
      <c r="H786" s="135" t="str">
        <f>IFERROR(IF($G786="","",$G786*$S$797/$G$797/Cadastro!$E$33),"")</f>
        <v/>
      </c>
      <c r="I786" s="136" t="str">
        <f>IFERROR(IF($D786="","",VLOOKUP($D786,Cadastro!$C$4:$G$7,5,FALSE)),"")</f>
        <v/>
      </c>
      <c r="J786" s="137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9">
        <v>46264</v>
      </c>
      <c r="B787" s="32">
        <f t="shared" si="212"/>
        <v>0.41666666666666635</v>
      </c>
      <c r="C787" s="33"/>
      <c r="D787" s="62"/>
      <c r="E787" s="110"/>
      <c r="F787" s="135" t="str">
        <f>IFERROR(IF($D787="","",VLOOKUP($D787,Cadastro!$C$4:$E$7,3,FALSE)),"")</f>
        <v/>
      </c>
      <c r="G787" s="106"/>
      <c r="H787" s="135" t="str">
        <f>IFERROR(IF($G787="","",$G787*$S$797/$G$797/Cadastro!$E$33),"")</f>
        <v/>
      </c>
      <c r="I787" s="136" t="str">
        <f>IFERROR(IF($D787="","",VLOOKUP($D787,Cadastro!$C$4:$G$7,5,FALSE)),"")</f>
        <v/>
      </c>
      <c r="J787" s="137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8">
        <v>46264</v>
      </c>
      <c r="B788" s="25">
        <f t="shared" si="212"/>
        <v>0.45833333333333304</v>
      </c>
      <c r="C788" s="26"/>
      <c r="D788" s="59"/>
      <c r="E788" s="109"/>
      <c r="F788" s="135" t="str">
        <f>IFERROR(IF($D788="","",VLOOKUP($D788,Cadastro!$C$4:$E$7,3,FALSE)),"")</f>
        <v/>
      </c>
      <c r="G788" s="106"/>
      <c r="H788" s="135" t="str">
        <f>IFERROR(IF($G788="","",$G788*$S$797/$G$797/Cadastro!$E$33),"")</f>
        <v/>
      </c>
      <c r="I788" s="136" t="str">
        <f>IFERROR(IF($D788="","",VLOOKUP($D788,Cadastro!$C$4:$G$7,5,FALSE)),"")</f>
        <v/>
      </c>
      <c r="J788" s="137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9">
        <v>46264</v>
      </c>
      <c r="B789" s="32">
        <f t="shared" si="212"/>
        <v>0.49999999999999972</v>
      </c>
      <c r="C789" s="33"/>
      <c r="D789" s="62"/>
      <c r="E789" s="110"/>
      <c r="F789" s="135" t="str">
        <f>IFERROR(IF($D789="","",VLOOKUP($D789,Cadastro!$C$4:$E$7,3,FALSE)),"")</f>
        <v/>
      </c>
      <c r="G789" s="106"/>
      <c r="H789" s="135" t="str">
        <f>IFERROR(IF($G789="","",$G789*$S$797/$G$797/Cadastro!$E$33),"")</f>
        <v/>
      </c>
      <c r="I789" s="136" t="str">
        <f>IFERROR(IF($D789="","",VLOOKUP($D789,Cadastro!$C$4:$G$7,5,FALSE)),"")</f>
        <v/>
      </c>
      <c r="J789" s="137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8">
        <v>46264</v>
      </c>
      <c r="B790" s="25">
        <f t="shared" si="212"/>
        <v>0.54166666666666641</v>
      </c>
      <c r="C790" s="26"/>
      <c r="D790" s="59"/>
      <c r="E790" s="109"/>
      <c r="F790" s="135" t="str">
        <f>IFERROR(IF($D790="","",VLOOKUP($D790,Cadastro!$C$4:$E$7,3,FALSE)),"")</f>
        <v/>
      </c>
      <c r="G790" s="106"/>
      <c r="H790" s="135" t="str">
        <f>IFERROR(IF($G790="","",$G790*$S$797/$G$797/Cadastro!$E$33),"")</f>
        <v/>
      </c>
      <c r="I790" s="136" t="str">
        <f>IFERROR(IF($D790="","",VLOOKUP($D790,Cadastro!$C$4:$G$7,5,FALSE)),"")</f>
        <v/>
      </c>
      <c r="J790" s="137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9">
        <v>46264</v>
      </c>
      <c r="B791" s="32">
        <f t="shared" si="212"/>
        <v>0.58333333333333304</v>
      </c>
      <c r="C791" s="33"/>
      <c r="D791" s="62"/>
      <c r="E791" s="110"/>
      <c r="F791" s="135" t="str">
        <f>IFERROR(IF($D791="","",VLOOKUP($D791,Cadastro!$C$4:$E$7,3,FALSE)),"")</f>
        <v/>
      </c>
      <c r="G791" s="106"/>
      <c r="H791" s="135" t="str">
        <f>IFERROR(IF($G791="","",$G791*$S$797/$G$797/Cadastro!$E$33),"")</f>
        <v/>
      </c>
      <c r="I791" s="136" t="str">
        <f>IFERROR(IF($D791="","",VLOOKUP($D791,Cadastro!$C$4:$G$7,5,FALSE)),"")</f>
        <v/>
      </c>
      <c r="J791" s="137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8">
        <v>46264</v>
      </c>
      <c r="B792" s="25">
        <f t="shared" si="212"/>
        <v>0.62499999999999967</v>
      </c>
      <c r="C792" s="26"/>
      <c r="D792" s="59"/>
      <c r="E792" s="109"/>
      <c r="F792" s="135" t="str">
        <f>IFERROR(IF($D792="","",VLOOKUP($D792,Cadastro!$C$4:$E$7,3,FALSE)),"")</f>
        <v/>
      </c>
      <c r="G792" s="106"/>
      <c r="H792" s="135" t="str">
        <f>IFERROR(IF($G792="","",$G792*$S$797/$G$797/Cadastro!$E$33),"")</f>
        <v/>
      </c>
      <c r="I792" s="136" t="str">
        <f>IFERROR(IF($D792="","",VLOOKUP($D792,Cadastro!$C$4:$G$7,5,FALSE)),"")</f>
        <v/>
      </c>
      <c r="J792" s="137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9">
        <v>46264</v>
      </c>
      <c r="B793" s="32">
        <f t="shared" si="212"/>
        <v>0.6666666666666663</v>
      </c>
      <c r="C793" s="33"/>
      <c r="D793" s="62"/>
      <c r="E793" s="110"/>
      <c r="F793" s="135" t="str">
        <f>IFERROR(IF($D793="","",VLOOKUP($D793,Cadastro!$C$4:$E$7,3,FALSE)),"")</f>
        <v/>
      </c>
      <c r="G793" s="106"/>
      <c r="H793" s="135" t="str">
        <f>IFERROR(IF($G793="","",$G793*$S$797/$G$797/Cadastro!$E$33),"")</f>
        <v/>
      </c>
      <c r="I793" s="136" t="str">
        <f>IFERROR(IF($D793="","",VLOOKUP($D793,Cadastro!$C$4:$G$7,5,FALSE)),"")</f>
        <v/>
      </c>
      <c r="J793" s="137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8">
        <v>46264</v>
      </c>
      <c r="B794" s="25">
        <f t="shared" si="212"/>
        <v>0.70833333333333293</v>
      </c>
      <c r="C794" s="26"/>
      <c r="D794" s="59"/>
      <c r="E794" s="109"/>
      <c r="F794" s="135" t="str">
        <f>IFERROR(IF($D794="","",VLOOKUP($D794,Cadastro!$C$4:$E$7,3,FALSE)),"")</f>
        <v/>
      </c>
      <c r="G794" s="106"/>
      <c r="H794" s="135" t="str">
        <f>IFERROR(IF($G794="","",$G794*$S$797/$G$797/Cadastro!$E$33),"")</f>
        <v/>
      </c>
      <c r="I794" s="136" t="str">
        <f>IFERROR(IF($D794="","",VLOOKUP($D794,Cadastro!$C$4:$G$7,5,FALSE)),"")</f>
        <v/>
      </c>
      <c r="J794" s="137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9">
        <v>46264</v>
      </c>
      <c r="B795" s="32">
        <f t="shared" si="212"/>
        <v>0.74999999999999956</v>
      </c>
      <c r="C795" s="33"/>
      <c r="D795" s="62"/>
      <c r="E795" s="110"/>
      <c r="F795" s="135" t="str">
        <f>IFERROR(IF($D795="","",VLOOKUP($D795,Cadastro!$C$4:$E$7,3,FALSE)),"")</f>
        <v/>
      </c>
      <c r="G795" s="106"/>
      <c r="H795" s="135" t="str">
        <f>IFERROR(IF($G795="","",$G795*$S$797/$G$797/Cadastro!$E$33),"")</f>
        <v/>
      </c>
      <c r="I795" s="136" t="str">
        <f>IFERROR(IF($D795="","",VLOOKUP($D795,Cadastro!$C$4:$G$7,5,FALSE)),"")</f>
        <v/>
      </c>
      <c r="J795" s="137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8">
        <v>46264</v>
      </c>
      <c r="B796" s="25">
        <f t="shared" si="212"/>
        <v>0.79166666666666619</v>
      </c>
      <c r="C796" s="26"/>
      <c r="D796" s="59"/>
      <c r="E796" s="109"/>
      <c r="F796" s="138" t="str">
        <f>IFERROR(IF($D796="","",VLOOKUP($D796,Cadastro!$C$4:$E$7,3,FALSE)),"")</f>
        <v/>
      </c>
      <c r="G796" s="106"/>
      <c r="H796" s="138" t="str">
        <f>IFERROR(IF($G796="","",$G796*$S$797/$G$797/Cadastro!$E$33),"")</f>
        <v/>
      </c>
      <c r="I796" s="139" t="str">
        <f>IFERROR(IF($D796="","",VLOOKUP($D796,Cadastro!$C$4:$G$7,5,FALSE)),"")</f>
        <v/>
      </c>
      <c r="J796" s="140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2" t="s">
        <v>241</v>
      </c>
      <c r="B797" s="153"/>
      <c r="C797" s="153"/>
      <c r="D797" s="153"/>
      <c r="E797" s="153">
        <f>SUM(E785:E796)</f>
        <v>0</v>
      </c>
      <c r="F797" s="111"/>
      <c r="G797" s="81">
        <f>SUM(G785:G796)</f>
        <v>0</v>
      </c>
      <c r="H797" s="111">
        <f>IFERROR(SUM(H785:H796),"")</f>
        <v>0</v>
      </c>
      <c r="I797" s="115"/>
      <c r="J797" s="124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20">
        <f>IFERROR(J797,"")</f>
        <v>0</v>
      </c>
    </row>
    <row r="798" spans="1:20" ht="15" customHeight="1">
      <c r="A798" s="68">
        <v>46264</v>
      </c>
      <c r="B798" s="25">
        <v>0.83333333333333304</v>
      </c>
      <c r="C798" s="26"/>
      <c r="D798" s="59"/>
      <c r="E798" s="109"/>
      <c r="F798" s="141" t="str">
        <f>IFERROR(IF($D798="","",VLOOKUP($D798,Cadastro!$C$4:$E$7,3,FALSE)),"")</f>
        <v/>
      </c>
      <c r="G798" s="106"/>
      <c r="H798" s="141" t="str">
        <f>IFERROR(IF($G798="","",$G798*$S$810/$G$810/Cadastro!$E$33),"")</f>
        <v/>
      </c>
      <c r="I798" s="142" t="str">
        <f>IFERROR(IF($D798="","",VLOOKUP($D798,Cadastro!$C$4:$G$7,5,FALSE)),"")</f>
        <v/>
      </c>
      <c r="J798" s="143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9">
        <v>46264</v>
      </c>
      <c r="B799" s="32">
        <f t="shared" ref="B799:B809" si="215">B798+TIME(0,60,0)</f>
        <v>0.87499999999999967</v>
      </c>
      <c r="C799" s="33"/>
      <c r="D799" s="62"/>
      <c r="E799" s="110"/>
      <c r="F799" s="135" t="str">
        <f>IFERROR(IF($D799="","",VLOOKUP($D799,Cadastro!$C$4:$E$7,3,FALSE)),"")</f>
        <v/>
      </c>
      <c r="G799" s="106"/>
      <c r="H799" s="135" t="str">
        <f>IFERROR(IF($G799="","",$G799*$S$810/$G$810/Cadastro!$E$33),"")</f>
        <v/>
      </c>
      <c r="I799" s="136" t="str">
        <f>IFERROR(IF($D799="","",VLOOKUP($D799,Cadastro!$C$4:$G$7,5,FALSE)),"")</f>
        <v/>
      </c>
      <c r="J799" s="137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8">
        <v>46264</v>
      </c>
      <c r="B800" s="25">
        <f t="shared" si="215"/>
        <v>0.9166666666666663</v>
      </c>
      <c r="C800" s="26"/>
      <c r="D800" s="59"/>
      <c r="E800" s="109"/>
      <c r="F800" s="135" t="str">
        <f>IFERROR(IF($D800="","",VLOOKUP($D800,Cadastro!$C$4:$E$7,3,FALSE)),"")</f>
        <v/>
      </c>
      <c r="G800" s="106"/>
      <c r="H800" s="135" t="str">
        <f>IFERROR(IF($G800="","",$G800*$S$810/$G$810/Cadastro!$E$33),"")</f>
        <v/>
      </c>
      <c r="I800" s="136" t="str">
        <f>IFERROR(IF($D800="","",VLOOKUP($D800,Cadastro!$C$4:$G$7,5,FALSE)),"")</f>
        <v/>
      </c>
      <c r="J800" s="137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9">
        <v>46264</v>
      </c>
      <c r="B801" s="32">
        <f t="shared" si="215"/>
        <v>0.95833333333333293</v>
      </c>
      <c r="C801" s="33"/>
      <c r="D801" s="62"/>
      <c r="E801" s="110"/>
      <c r="F801" s="135" t="str">
        <f>IFERROR(IF($D801="","",VLOOKUP($D801,Cadastro!$C$4:$E$7,3,FALSE)),"")</f>
        <v/>
      </c>
      <c r="G801" s="106"/>
      <c r="H801" s="135" t="str">
        <f>IFERROR(IF($G801="","",$G801*$S$810/$G$810/Cadastro!$E$33),"")</f>
        <v/>
      </c>
      <c r="I801" s="136" t="str">
        <f>IFERROR(IF($D801="","",VLOOKUP($D801,Cadastro!$C$4:$G$7,5,FALSE)),"")</f>
        <v/>
      </c>
      <c r="J801" s="137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8">
        <v>46264</v>
      </c>
      <c r="B802" s="25">
        <f t="shared" si="215"/>
        <v>0.99999999999999956</v>
      </c>
      <c r="C802" s="26"/>
      <c r="D802" s="59"/>
      <c r="E802" s="109"/>
      <c r="F802" s="135" t="str">
        <f>IFERROR(IF($D802="","",VLOOKUP($D802,Cadastro!$C$4:$E$7,3,FALSE)),"")</f>
        <v/>
      </c>
      <c r="G802" s="106"/>
      <c r="H802" s="135" t="str">
        <f>IFERROR(IF($G802="","",$G802*$S$810/$G$810/Cadastro!$E$33),"")</f>
        <v/>
      </c>
      <c r="I802" s="136" t="str">
        <f>IFERROR(IF($D802="","",VLOOKUP($D802,Cadastro!$C$4:$G$7,5,FALSE)),"")</f>
        <v/>
      </c>
      <c r="J802" s="137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9">
        <v>46264</v>
      </c>
      <c r="B803" s="32">
        <f t="shared" si="215"/>
        <v>1.0416666666666663</v>
      </c>
      <c r="C803" s="33"/>
      <c r="D803" s="62"/>
      <c r="E803" s="110"/>
      <c r="F803" s="135" t="str">
        <f>IFERROR(IF($D803="","",VLOOKUP($D803,Cadastro!$C$4:$E$7,3,FALSE)),"")</f>
        <v/>
      </c>
      <c r="G803" s="106"/>
      <c r="H803" s="135" t="str">
        <f>IFERROR(IF($G803="","",$G803*$S$810/$G$810/Cadastro!$E$33),"")</f>
        <v/>
      </c>
      <c r="I803" s="136" t="str">
        <f>IFERROR(IF($D803="","",VLOOKUP($D803,Cadastro!$C$4:$G$7,5,FALSE)),"")</f>
        <v/>
      </c>
      <c r="J803" s="137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8">
        <v>46264</v>
      </c>
      <c r="B804" s="25">
        <f t="shared" si="215"/>
        <v>1.083333333333333</v>
      </c>
      <c r="C804" s="26"/>
      <c r="D804" s="59"/>
      <c r="E804" s="109"/>
      <c r="F804" s="135" t="str">
        <f>IFERROR(IF($D804="","",VLOOKUP($D804,Cadastro!$C$4:$E$7,3,FALSE)),"")</f>
        <v/>
      </c>
      <c r="G804" s="106"/>
      <c r="H804" s="135" t="str">
        <f>IFERROR(IF($G804="","",$G804*$S$810/$G$810/Cadastro!$E$33),"")</f>
        <v/>
      </c>
      <c r="I804" s="136" t="str">
        <f>IFERROR(IF($D804="","",VLOOKUP($D804,Cadastro!$C$4:$G$7,5,FALSE)),"")</f>
        <v/>
      </c>
      <c r="J804" s="137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9">
        <v>46264</v>
      </c>
      <c r="B805" s="32">
        <f t="shared" si="215"/>
        <v>1.1249999999999998</v>
      </c>
      <c r="C805" s="33"/>
      <c r="D805" s="62"/>
      <c r="E805" s="110"/>
      <c r="F805" s="135" t="str">
        <f>IFERROR(IF($D805="","",VLOOKUP($D805,Cadastro!$C$4:$E$7,3,FALSE)),"")</f>
        <v/>
      </c>
      <c r="G805" s="106"/>
      <c r="H805" s="135" t="str">
        <f>IFERROR(IF($G805="","",$G805*$S$810/$G$810/Cadastro!$E$33),"")</f>
        <v/>
      </c>
      <c r="I805" s="136" t="str">
        <f>IFERROR(IF($D805="","",VLOOKUP($D805,Cadastro!$C$4:$G$7,5,FALSE)),"")</f>
        <v/>
      </c>
      <c r="J805" s="137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8">
        <v>46264</v>
      </c>
      <c r="B806" s="25">
        <f t="shared" si="215"/>
        <v>1.1666666666666665</v>
      </c>
      <c r="C806" s="26"/>
      <c r="D806" s="59"/>
      <c r="E806" s="109"/>
      <c r="F806" s="135" t="str">
        <f>IFERROR(IF($D806="","",VLOOKUP($D806,Cadastro!$C$4:$E$7,3,FALSE)),"")</f>
        <v/>
      </c>
      <c r="G806" s="106"/>
      <c r="H806" s="135" t="str">
        <f>IFERROR(IF($G806="","",$G806*$S$810/$G$810/Cadastro!$E$33),"")</f>
        <v/>
      </c>
      <c r="I806" s="136" t="str">
        <f>IFERROR(IF($D806="","",VLOOKUP($D806,Cadastro!$C$4:$G$7,5,FALSE)),"")</f>
        <v/>
      </c>
      <c r="J806" s="137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9">
        <v>46264</v>
      </c>
      <c r="B807" s="32">
        <f t="shared" si="215"/>
        <v>1.2083333333333333</v>
      </c>
      <c r="C807" s="33"/>
      <c r="D807" s="62"/>
      <c r="E807" s="110"/>
      <c r="F807" s="135" t="str">
        <f>IFERROR(IF($D807="","",VLOOKUP($D807,Cadastro!$C$4:$E$7,3,FALSE)),"")</f>
        <v/>
      </c>
      <c r="G807" s="106"/>
      <c r="H807" s="135" t="str">
        <f>IFERROR(IF($G807="","",$G807*$S$810/$G$810/Cadastro!$E$33),"")</f>
        <v/>
      </c>
      <c r="I807" s="136" t="str">
        <f>IFERROR(IF($D807="","",VLOOKUP($D807,Cadastro!$C$4:$G$7,5,FALSE)),"")</f>
        <v/>
      </c>
      <c r="J807" s="137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8">
        <v>46264</v>
      </c>
      <c r="B808" s="25">
        <f t="shared" si="215"/>
        <v>1.25</v>
      </c>
      <c r="C808" s="26"/>
      <c r="D808" s="59"/>
      <c r="E808" s="109"/>
      <c r="F808" s="135" t="str">
        <f>IFERROR(IF($D808="","",VLOOKUP($D808,Cadastro!$C$4:$E$7,3,FALSE)),"")</f>
        <v/>
      </c>
      <c r="G808" s="106"/>
      <c r="H808" s="135" t="str">
        <f>IFERROR(IF($G808="","",$G808*$S$810/$G$810/Cadastro!$E$33),"")</f>
        <v/>
      </c>
      <c r="I808" s="136" t="str">
        <f>IFERROR(IF($D808="","",VLOOKUP($D808,Cadastro!$C$4:$G$7,5,FALSE)),"")</f>
        <v/>
      </c>
      <c r="J808" s="137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9">
        <v>46264</v>
      </c>
      <c r="B809" s="32">
        <f t="shared" si="215"/>
        <v>1.2916666666666667</v>
      </c>
      <c r="C809" s="33"/>
      <c r="D809" s="62"/>
      <c r="E809" s="110"/>
      <c r="F809" s="138" t="str">
        <f>IFERROR(IF($D809="","",VLOOKUP($D809,Cadastro!$C$4:$E$7,3,FALSE)),"")</f>
        <v/>
      </c>
      <c r="G809" s="106"/>
      <c r="H809" s="138" t="str">
        <f>IFERROR(IF($G809="","",$G809*$S$810/$G$810/Cadastro!$E$33),"")</f>
        <v/>
      </c>
      <c r="I809" s="139" t="str">
        <f>IFERROR(IF($D809="","",VLOOKUP($D809,Cadastro!$C$4:$G$7,5,FALSE)),"")</f>
        <v/>
      </c>
      <c r="J809" s="140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2" t="s">
        <v>244</v>
      </c>
      <c r="B810" s="153"/>
      <c r="C810" s="153"/>
      <c r="D810" s="153"/>
      <c r="E810" s="153">
        <f>SUM(E798:E809)</f>
        <v>0</v>
      </c>
      <c r="F810" s="112"/>
      <c r="G810" s="81">
        <f>SUM(G798:G809)</f>
        <v>0</v>
      </c>
      <c r="H810" s="112">
        <f>IFERROR(SUM(H798:H809),"")</f>
        <v>0</v>
      </c>
      <c r="I810" s="116"/>
      <c r="J810" s="125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20">
        <f>IFERROR(J810,"")</f>
        <v>0</v>
      </c>
    </row>
    <row r="811" spans="1:20" ht="18" customHeight="1">
      <c r="A811" s="150" t="s">
        <v>245</v>
      </c>
      <c r="B811" s="151"/>
      <c r="C811" s="151"/>
      <c r="D811" s="151"/>
      <c r="E811" s="151">
        <f>E797+E810</f>
        <v>0</v>
      </c>
      <c r="F811" s="113"/>
      <c r="G811" s="92">
        <f>G797+G810</f>
        <v>0</v>
      </c>
      <c r="H811" s="113">
        <f>IFERROR(H797+H810,"")</f>
        <v>0</v>
      </c>
      <c r="I811" s="117"/>
      <c r="J811" s="126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1">
        <f>IFERROR(J811,"")</f>
        <v>0</v>
      </c>
    </row>
    <row r="812" spans="1:20" ht="15" customHeight="1">
      <c r="A812" s="68">
        <v>46265</v>
      </c>
      <c r="B812" s="25">
        <v>0.33333333333333298</v>
      </c>
      <c r="C812" s="26"/>
      <c r="D812" s="59"/>
      <c r="E812" s="109"/>
      <c r="F812" s="141" t="str">
        <f>IFERROR(IF($D812="","",VLOOKUP($D812,Cadastro!$C$4:$E$7,3,FALSE)),"")</f>
        <v/>
      </c>
      <c r="G812" s="106"/>
      <c r="H812" s="141" t="str">
        <f>IFERROR(IF($G812="","",$G812*$S$824/$G$824/Cadastro!$E$33),"")</f>
        <v/>
      </c>
      <c r="I812" s="142" t="str">
        <f>IFERROR(IF($D812="","",VLOOKUP($D812,Cadastro!$C$4:$G$7,5,FALSE)),"")</f>
        <v/>
      </c>
      <c r="J812" s="143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9">
        <v>46265</v>
      </c>
      <c r="B813" s="32">
        <f t="shared" ref="B813:B823" si="220">B812+TIME(0,60,0)</f>
        <v>0.37499999999999967</v>
      </c>
      <c r="C813" s="26"/>
      <c r="D813" s="59"/>
      <c r="E813" s="109"/>
      <c r="F813" s="135" t="str">
        <f>IFERROR(IF($D813="","",VLOOKUP($D813,Cadastro!$C$4:$E$7,3,FALSE)),"")</f>
        <v/>
      </c>
      <c r="G813" s="106"/>
      <c r="H813" s="135" t="str">
        <f>IFERROR(IF($G813="","",$G813*$S$824/$G$824/Cadastro!$E$33),"")</f>
        <v/>
      </c>
      <c r="I813" s="136" t="str">
        <f>IFERROR(IF($D813="","",VLOOKUP($D813,Cadastro!$C$4:$G$7,5,FALSE)),"")</f>
        <v/>
      </c>
      <c r="J813" s="137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8">
        <v>46265</v>
      </c>
      <c r="B814" s="25">
        <f t="shared" si="220"/>
        <v>0.41666666666666635</v>
      </c>
      <c r="C814" s="26"/>
      <c r="D814" s="59"/>
      <c r="E814" s="109"/>
      <c r="F814" s="135" t="str">
        <f>IFERROR(IF($D814="","",VLOOKUP($D814,Cadastro!$C$4:$E$7,3,FALSE)),"")</f>
        <v/>
      </c>
      <c r="G814" s="106"/>
      <c r="H814" s="135" t="str">
        <f>IFERROR(IF($G814="","",$G814*$S$824/$G$824/Cadastro!$E$33),"")</f>
        <v/>
      </c>
      <c r="I814" s="136" t="str">
        <f>IFERROR(IF($D814="","",VLOOKUP($D814,Cadastro!$C$4:$G$7,5,FALSE)),"")</f>
        <v/>
      </c>
      <c r="J814" s="137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9">
        <v>46265</v>
      </c>
      <c r="B815" s="32">
        <f t="shared" si="220"/>
        <v>0.45833333333333304</v>
      </c>
      <c r="C815" s="26"/>
      <c r="D815" s="59"/>
      <c r="E815" s="109"/>
      <c r="F815" s="135" t="str">
        <f>IFERROR(IF($D815="","",VLOOKUP($D815,Cadastro!$C$4:$E$7,3,FALSE)),"")</f>
        <v/>
      </c>
      <c r="G815" s="106"/>
      <c r="H815" s="135" t="str">
        <f>IFERROR(IF($G815="","",$G815*$S$824/$G$824/Cadastro!$E$33),"")</f>
        <v/>
      </c>
      <c r="I815" s="136" t="str">
        <f>IFERROR(IF($D815="","",VLOOKUP($D815,Cadastro!$C$4:$G$7,5,FALSE)),"")</f>
        <v/>
      </c>
      <c r="J815" s="137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8">
        <v>46265</v>
      </c>
      <c r="B816" s="25">
        <f t="shared" si="220"/>
        <v>0.49999999999999972</v>
      </c>
      <c r="C816" s="26"/>
      <c r="D816" s="59"/>
      <c r="E816" s="109"/>
      <c r="F816" s="135" t="str">
        <f>IFERROR(IF($D816="","",VLOOKUP($D816,Cadastro!$C$4:$E$7,3,FALSE)),"")</f>
        <v/>
      </c>
      <c r="G816" s="106"/>
      <c r="H816" s="135" t="str">
        <f>IFERROR(IF($G816="","",$G816*$S$824/$G$824/Cadastro!$E$33),"")</f>
        <v/>
      </c>
      <c r="I816" s="136" t="str">
        <f>IFERROR(IF($D816="","",VLOOKUP($D816,Cadastro!$C$4:$G$7,5,FALSE)),"")</f>
        <v/>
      </c>
      <c r="J816" s="137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9">
        <v>46265</v>
      </c>
      <c r="B817" s="32">
        <f t="shared" si="220"/>
        <v>0.54166666666666641</v>
      </c>
      <c r="C817" s="26"/>
      <c r="D817" s="59"/>
      <c r="E817" s="109"/>
      <c r="F817" s="135" t="str">
        <f>IFERROR(IF($D817="","",VLOOKUP($D817,Cadastro!$C$4:$E$7,3,FALSE)),"")</f>
        <v/>
      </c>
      <c r="G817" s="106"/>
      <c r="H817" s="135" t="str">
        <f>IFERROR(IF($G817="","",$G817*$S$824/$G$824/Cadastro!$E$33),"")</f>
        <v/>
      </c>
      <c r="I817" s="136" t="str">
        <f>IFERROR(IF($D817="","",VLOOKUP($D817,Cadastro!$C$4:$G$7,5,FALSE)),"")</f>
        <v/>
      </c>
      <c r="J817" s="137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8">
        <v>46265</v>
      </c>
      <c r="B818" s="25">
        <f t="shared" si="220"/>
        <v>0.58333333333333304</v>
      </c>
      <c r="C818" s="26"/>
      <c r="D818" s="59"/>
      <c r="E818" s="109"/>
      <c r="F818" s="135" t="str">
        <f>IFERROR(IF($D818="","",VLOOKUP($D818,Cadastro!$C$4:$E$7,3,FALSE)),"")</f>
        <v/>
      </c>
      <c r="G818" s="106"/>
      <c r="H818" s="135" t="str">
        <f>IFERROR(IF($G818="","",$G818*$S$824/$G$824/Cadastro!$E$33),"")</f>
        <v/>
      </c>
      <c r="I818" s="136" t="str">
        <f>IFERROR(IF($D818="","",VLOOKUP($D818,Cadastro!$C$4:$G$7,5,FALSE)),"")</f>
        <v/>
      </c>
      <c r="J818" s="137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9">
        <v>46265</v>
      </c>
      <c r="B819" s="32">
        <f t="shared" si="220"/>
        <v>0.62499999999999967</v>
      </c>
      <c r="C819" s="26"/>
      <c r="D819" s="59"/>
      <c r="E819" s="109"/>
      <c r="F819" s="135" t="str">
        <f>IFERROR(IF($D819="","",VLOOKUP($D819,Cadastro!$C$4:$E$7,3,FALSE)),"")</f>
        <v/>
      </c>
      <c r="G819" s="106"/>
      <c r="H819" s="135" t="str">
        <f>IFERROR(IF($G819="","",$G819*$S$824/$G$824/Cadastro!$E$33),"")</f>
        <v/>
      </c>
      <c r="I819" s="136" t="str">
        <f>IFERROR(IF($D819="","",VLOOKUP($D819,Cadastro!$C$4:$G$7,5,FALSE)),"")</f>
        <v/>
      </c>
      <c r="J819" s="137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8">
        <v>46265</v>
      </c>
      <c r="B820" s="25">
        <f t="shared" si="220"/>
        <v>0.6666666666666663</v>
      </c>
      <c r="C820" s="26"/>
      <c r="D820" s="59"/>
      <c r="E820" s="109"/>
      <c r="F820" s="135" t="str">
        <f>IFERROR(IF($D820="","",VLOOKUP($D820,Cadastro!$C$4:$E$7,3,FALSE)),"")</f>
        <v/>
      </c>
      <c r="G820" s="106"/>
      <c r="H820" s="135" t="str">
        <f>IFERROR(IF($G820="","",$G820*$S$824/$G$824/Cadastro!$E$33),"")</f>
        <v/>
      </c>
      <c r="I820" s="136" t="str">
        <f>IFERROR(IF($D820="","",VLOOKUP($D820,Cadastro!$C$4:$G$7,5,FALSE)),"")</f>
        <v/>
      </c>
      <c r="J820" s="137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9">
        <v>46265</v>
      </c>
      <c r="B821" s="32">
        <f t="shared" si="220"/>
        <v>0.70833333333333293</v>
      </c>
      <c r="C821" s="26"/>
      <c r="D821" s="59"/>
      <c r="E821" s="109"/>
      <c r="F821" s="135" t="str">
        <f>IFERROR(IF($D821="","",VLOOKUP($D821,Cadastro!$C$4:$E$7,3,FALSE)),"")</f>
        <v/>
      </c>
      <c r="G821" s="106"/>
      <c r="H821" s="135" t="str">
        <f>IFERROR(IF($G821="","",$G821*$S$824/$G$824/Cadastro!$E$33),"")</f>
        <v/>
      </c>
      <c r="I821" s="136" t="str">
        <f>IFERROR(IF($D821="","",VLOOKUP($D821,Cadastro!$C$4:$G$7,5,FALSE)),"")</f>
        <v/>
      </c>
      <c r="J821" s="137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8">
        <v>46265</v>
      </c>
      <c r="B822" s="25">
        <f t="shared" si="220"/>
        <v>0.74999999999999956</v>
      </c>
      <c r="C822" s="26"/>
      <c r="D822" s="59"/>
      <c r="E822" s="109"/>
      <c r="F822" s="135" t="str">
        <f>IFERROR(IF($D822="","",VLOOKUP($D822,Cadastro!$C$4:$E$7,3,FALSE)),"")</f>
        <v/>
      </c>
      <c r="G822" s="106"/>
      <c r="H822" s="135" t="str">
        <f>IFERROR(IF($G822="","",$G822*$S$824/$G$824/Cadastro!$E$33),"")</f>
        <v/>
      </c>
      <c r="I822" s="136" t="str">
        <f>IFERROR(IF($D822="","",VLOOKUP($D822,Cadastro!$C$4:$G$7,5,FALSE)),"")</f>
        <v/>
      </c>
      <c r="J822" s="137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9">
        <v>46265</v>
      </c>
      <c r="B823" s="32">
        <f t="shared" si="220"/>
        <v>0.79166666666666619</v>
      </c>
      <c r="C823" s="26"/>
      <c r="D823" s="59"/>
      <c r="E823" s="109"/>
      <c r="F823" s="138" t="str">
        <f>IFERROR(IF($D823="","",VLOOKUP($D823,Cadastro!$C$4:$E$7,3,FALSE)),"")</f>
        <v/>
      </c>
      <c r="G823" s="106"/>
      <c r="H823" s="138" t="str">
        <f>IFERROR(IF($G823="","",$G823*$S$824/$G$824/Cadastro!$E$33),"")</f>
        <v/>
      </c>
      <c r="I823" s="139" t="str">
        <f>IFERROR(IF($D823="","",VLOOKUP($D823,Cadastro!$C$4:$G$7,5,FALSE)),"")</f>
        <v/>
      </c>
      <c r="J823" s="140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2" t="s">
        <v>241</v>
      </c>
      <c r="B824" s="153"/>
      <c r="C824" s="153"/>
      <c r="D824" s="153"/>
      <c r="E824" s="153">
        <f>SUM(E812:E823)</f>
        <v>0</v>
      </c>
      <c r="F824" s="111"/>
      <c r="G824" s="81">
        <f>SUM(G812:G823)</f>
        <v>0</v>
      </c>
      <c r="H824" s="111">
        <f>IFERROR(SUM(H812:H823),"")</f>
        <v>0</v>
      </c>
      <c r="I824" s="115"/>
      <c r="J824" s="124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20">
        <f>IFERROR(J824,"")</f>
        <v>0</v>
      </c>
    </row>
    <row r="825" spans="1:20" ht="15" customHeight="1">
      <c r="A825" s="69">
        <v>46265</v>
      </c>
      <c r="B825" s="32">
        <v>0.83333333333333304</v>
      </c>
      <c r="C825" s="33"/>
      <c r="D825" s="62"/>
      <c r="E825" s="110"/>
      <c r="F825" s="141" t="str">
        <f>IFERROR(IF($D825="","",VLOOKUP($D825,Cadastro!$C$4:$E$7,3,FALSE)),"")</f>
        <v/>
      </c>
      <c r="G825" s="106"/>
      <c r="H825" s="141" t="str">
        <f>IFERROR(IF($G825="","",$G825*$S$837/$G$837/Cadastro!$E$33),"")</f>
        <v/>
      </c>
      <c r="I825" s="142" t="str">
        <f>IFERROR(IF($D825="","",VLOOKUP($D825,Cadastro!$C$4:$G$7,5,FALSE)),"")</f>
        <v/>
      </c>
      <c r="J825" s="143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8">
        <v>46265</v>
      </c>
      <c r="B826" s="25">
        <f t="shared" ref="B826:B836" si="224">B825+TIME(0,60,0)</f>
        <v>0.87499999999999967</v>
      </c>
      <c r="C826" s="33"/>
      <c r="D826" s="62"/>
      <c r="E826" s="110"/>
      <c r="F826" s="135" t="str">
        <f>IFERROR(IF($D826="","",VLOOKUP($D826,Cadastro!$C$4:$E$7,3,FALSE)),"")</f>
        <v/>
      </c>
      <c r="G826" s="106"/>
      <c r="H826" s="135" t="str">
        <f>IFERROR(IF($G826="","",$G826*$S$837/$G$837/Cadastro!$E$33),"")</f>
        <v/>
      </c>
      <c r="I826" s="136" t="str">
        <f>IFERROR(IF($D826="","",VLOOKUP($D826,Cadastro!$C$4:$G$7,5,FALSE)),"")</f>
        <v/>
      </c>
      <c r="J826" s="137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9">
        <v>46265</v>
      </c>
      <c r="B827" s="32">
        <f t="shared" si="224"/>
        <v>0.9166666666666663</v>
      </c>
      <c r="C827" s="33"/>
      <c r="D827" s="62"/>
      <c r="E827" s="110"/>
      <c r="F827" s="135" t="str">
        <f>IFERROR(IF($D827="","",VLOOKUP($D827,Cadastro!$C$4:$E$7,3,FALSE)),"")</f>
        <v/>
      </c>
      <c r="G827" s="106"/>
      <c r="H827" s="135" t="str">
        <f>IFERROR(IF($G827="","",$G827*$S$837/$G$837/Cadastro!$E$33),"")</f>
        <v/>
      </c>
      <c r="I827" s="136" t="str">
        <f>IFERROR(IF($D827="","",VLOOKUP($D827,Cadastro!$C$4:$G$7,5,FALSE)),"")</f>
        <v/>
      </c>
      <c r="J827" s="137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8">
        <v>46265</v>
      </c>
      <c r="B828" s="25">
        <f t="shared" si="224"/>
        <v>0.95833333333333293</v>
      </c>
      <c r="C828" s="33"/>
      <c r="D828" s="62"/>
      <c r="E828" s="110"/>
      <c r="F828" s="135" t="str">
        <f>IFERROR(IF($D828="","",VLOOKUP($D828,Cadastro!$C$4:$E$7,3,FALSE)),"")</f>
        <v/>
      </c>
      <c r="G828" s="106"/>
      <c r="H828" s="135" t="str">
        <f>IFERROR(IF($G828="","",$G828*$S$837/$G$837/Cadastro!$E$33),"")</f>
        <v/>
      </c>
      <c r="I828" s="136" t="str">
        <f>IFERROR(IF($D828="","",VLOOKUP($D828,Cadastro!$C$4:$G$7,5,FALSE)),"")</f>
        <v/>
      </c>
      <c r="J828" s="137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9">
        <v>46265</v>
      </c>
      <c r="B829" s="32">
        <f t="shared" si="224"/>
        <v>0.99999999999999956</v>
      </c>
      <c r="C829" s="33"/>
      <c r="D829" s="62"/>
      <c r="E829" s="110"/>
      <c r="F829" s="135" t="str">
        <f>IFERROR(IF($D829="","",VLOOKUP($D829,Cadastro!$C$4:$E$7,3,FALSE)),"")</f>
        <v/>
      </c>
      <c r="G829" s="106"/>
      <c r="H829" s="135" t="str">
        <f>IFERROR(IF($G829="","",$G829*$S$837/$G$837/Cadastro!$E$33),"")</f>
        <v/>
      </c>
      <c r="I829" s="136" t="str">
        <f>IFERROR(IF($D829="","",VLOOKUP($D829,Cadastro!$C$4:$G$7,5,FALSE)),"")</f>
        <v/>
      </c>
      <c r="J829" s="137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8">
        <v>46265</v>
      </c>
      <c r="B830" s="25">
        <f t="shared" si="224"/>
        <v>1.0416666666666663</v>
      </c>
      <c r="C830" s="33"/>
      <c r="D830" s="62"/>
      <c r="E830" s="110"/>
      <c r="F830" s="135" t="str">
        <f>IFERROR(IF($D830="","",VLOOKUP($D830,Cadastro!$C$4:$E$7,3,FALSE)),"")</f>
        <v/>
      </c>
      <c r="G830" s="106"/>
      <c r="H830" s="135" t="str">
        <f>IFERROR(IF($G830="","",$G830*$S$837/$G$837/Cadastro!$E$33),"")</f>
        <v/>
      </c>
      <c r="I830" s="136" t="str">
        <f>IFERROR(IF($D830="","",VLOOKUP($D830,Cadastro!$C$4:$G$7,5,FALSE)),"")</f>
        <v/>
      </c>
      <c r="J830" s="137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9">
        <v>46265</v>
      </c>
      <c r="B831" s="32">
        <f t="shared" si="224"/>
        <v>1.083333333333333</v>
      </c>
      <c r="C831" s="33"/>
      <c r="D831" s="62"/>
      <c r="E831" s="110"/>
      <c r="F831" s="135" t="str">
        <f>IFERROR(IF($D831="","",VLOOKUP($D831,Cadastro!$C$4:$E$7,3,FALSE)),"")</f>
        <v/>
      </c>
      <c r="G831" s="106"/>
      <c r="H831" s="135" t="str">
        <f>IFERROR(IF($G831="","",$G831*$S$837/$G$837/Cadastro!$E$33),"")</f>
        <v/>
      </c>
      <c r="I831" s="136" t="str">
        <f>IFERROR(IF($D831="","",VLOOKUP($D831,Cadastro!$C$4:$G$7,5,FALSE)),"")</f>
        <v/>
      </c>
      <c r="J831" s="137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8">
        <v>46265</v>
      </c>
      <c r="B832" s="25">
        <f t="shared" si="224"/>
        <v>1.1249999999999998</v>
      </c>
      <c r="C832" s="33"/>
      <c r="D832" s="62"/>
      <c r="E832" s="110"/>
      <c r="F832" s="135" t="str">
        <f>IFERROR(IF($D832="","",VLOOKUP($D832,Cadastro!$C$4:$E$7,3,FALSE)),"")</f>
        <v/>
      </c>
      <c r="G832" s="106"/>
      <c r="H832" s="135" t="str">
        <f>IFERROR(IF($G832="","",$G832*$S$837/$G$837/Cadastro!$E$33),"")</f>
        <v/>
      </c>
      <c r="I832" s="136" t="str">
        <f>IFERROR(IF($D832="","",VLOOKUP($D832,Cadastro!$C$4:$G$7,5,FALSE)),"")</f>
        <v/>
      </c>
      <c r="J832" s="137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9">
        <v>46265</v>
      </c>
      <c r="B833" s="32">
        <f t="shared" si="224"/>
        <v>1.1666666666666665</v>
      </c>
      <c r="C833" s="33"/>
      <c r="D833" s="62"/>
      <c r="E833" s="110"/>
      <c r="F833" s="135" t="str">
        <f>IFERROR(IF($D833="","",VLOOKUP($D833,Cadastro!$C$4:$E$7,3,FALSE)),"")</f>
        <v/>
      </c>
      <c r="G833" s="106"/>
      <c r="H833" s="135" t="str">
        <f>IFERROR(IF($G833="","",$G833*$S$837/$G$837/Cadastro!$E$33),"")</f>
        <v/>
      </c>
      <c r="I833" s="136" t="str">
        <f>IFERROR(IF($D833="","",VLOOKUP($D833,Cadastro!$C$4:$G$7,5,FALSE)),"")</f>
        <v/>
      </c>
      <c r="J833" s="137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8">
        <v>46265</v>
      </c>
      <c r="B834" s="25">
        <f t="shared" si="224"/>
        <v>1.2083333333333333</v>
      </c>
      <c r="C834" s="33"/>
      <c r="D834" s="62"/>
      <c r="E834" s="110"/>
      <c r="F834" s="135" t="str">
        <f>IFERROR(IF($D834="","",VLOOKUP($D834,Cadastro!$C$4:$E$7,3,FALSE)),"")</f>
        <v/>
      </c>
      <c r="G834" s="106"/>
      <c r="H834" s="135" t="str">
        <f>IFERROR(IF($G834="","",$G834*$S$837/$G$837/Cadastro!$E$33),"")</f>
        <v/>
      </c>
      <c r="I834" s="136" t="str">
        <f>IFERROR(IF($D834="","",VLOOKUP($D834,Cadastro!$C$4:$G$7,5,FALSE)),"")</f>
        <v/>
      </c>
      <c r="J834" s="137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9">
        <v>46265</v>
      </c>
      <c r="B835" s="32">
        <f t="shared" si="224"/>
        <v>1.25</v>
      </c>
      <c r="C835" s="33"/>
      <c r="D835" s="62"/>
      <c r="E835" s="110"/>
      <c r="F835" s="135" t="str">
        <f>IFERROR(IF($D835="","",VLOOKUP($D835,Cadastro!$C$4:$E$7,3,FALSE)),"")</f>
        <v/>
      </c>
      <c r="G835" s="106"/>
      <c r="H835" s="135" t="str">
        <f>IFERROR(IF($G835="","",$G835*$S$837/$G$837/Cadastro!$E$33),"")</f>
        <v/>
      </c>
      <c r="I835" s="136" t="str">
        <f>IFERROR(IF($D835="","",VLOOKUP($D835,Cadastro!$C$4:$G$7,5,FALSE)),"")</f>
        <v/>
      </c>
      <c r="J835" s="137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8">
        <v>46265</v>
      </c>
      <c r="B836" s="25">
        <f t="shared" si="224"/>
        <v>1.2916666666666667</v>
      </c>
      <c r="C836" s="33"/>
      <c r="D836" s="62"/>
      <c r="E836" s="110"/>
      <c r="F836" s="138" t="str">
        <f>IFERROR(IF($D836="","",VLOOKUP($D836,Cadastro!$C$4:$E$7,3,FALSE)),"")</f>
        <v/>
      </c>
      <c r="G836" s="106"/>
      <c r="H836" s="138" t="str">
        <f>IFERROR(IF($G836="","",$G836*$S$837/$G$837/Cadastro!$E$33),"")</f>
        <v/>
      </c>
      <c r="I836" s="139" t="str">
        <f>IFERROR(IF($D836="","",VLOOKUP($D836,Cadastro!$C$4:$G$7,5,FALSE)),"")</f>
        <v/>
      </c>
      <c r="J836" s="140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2" t="s">
        <v>244</v>
      </c>
      <c r="B837" s="153"/>
      <c r="C837" s="153"/>
      <c r="D837" s="153"/>
      <c r="E837" s="153">
        <f>SUM(E825:E836)</f>
        <v>0</v>
      </c>
      <c r="F837" s="112"/>
      <c r="G837" s="81">
        <f>SUM(G825:G836)</f>
        <v>0</v>
      </c>
      <c r="H837" s="112">
        <f>IFERROR(SUM(H825:H836),"")</f>
        <v>0</v>
      </c>
      <c r="I837" s="116"/>
      <c r="J837" s="125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20">
        <f>IFERROR(J837,"")</f>
        <v>0</v>
      </c>
    </row>
    <row r="838" spans="1:20" ht="18" customHeight="1">
      <c r="A838" s="150" t="s">
        <v>245</v>
      </c>
      <c r="B838" s="151"/>
      <c r="C838" s="151"/>
      <c r="D838" s="151"/>
      <c r="E838" s="151">
        <f>E824+E837</f>
        <v>0</v>
      </c>
      <c r="F838" s="113"/>
      <c r="G838" s="92">
        <f>G824+G837</f>
        <v>0</v>
      </c>
      <c r="H838" s="113">
        <f>IFERROR(H824+H837,"")</f>
        <v>0</v>
      </c>
      <c r="I838" s="117"/>
      <c r="J838" s="126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2">
        <f>IFERROR(J838,"")</f>
        <v>0</v>
      </c>
    </row>
  </sheetData>
  <sheetProtection algorithmName="SHA-512" hashValue="kNI0vtsWENkED8ynyPFeU5cq3PhldIr8miORSe2S3GHTqvILAycX2aWbEhzRcVS0a6a97lodvNVJN25rh0rekA==" saltValue="BrDjiHcZOISX2sElizRNuQ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42:F325 E326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M206:M900 M2:M204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2026-08-13T11:21:36Z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