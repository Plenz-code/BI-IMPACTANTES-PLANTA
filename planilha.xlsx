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733" documentId="8_{AF585B22-221D-4780-BB9C-493D365A6A02}" xr6:coauthVersionLast="47" xr6:coauthVersionMax="47" xr10:uidLastSave="{3663595D-722A-4B65-BFDE-21FFAEF7A843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<sst xmlns="http://schemas.openxmlformats.org/spreadsheetml/2006/main" count="6760" uniqueCount="331">
  <si>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</si>
  <si>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</si>
  <si>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</si>
  <si>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</si>
  <si>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</si>
  <si>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</si>
  <si>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</si>
  <si>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</si>
  <si>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</si>
  <si>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</si>
  <si>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</si>
  <si>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</si>
  <si>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</si>
  <si>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</si>
  <si>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</si>
  <si>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</si>
  <si>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</si>
  <si>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</si>
  <si>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</si>
  <si>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</si>
  <si>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</si>
  <si>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</si>
  <si>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</si>
  <si>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</si>
  <si>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</si>
  <si>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</si>
  <si>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</si>
  <si>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</si>
  <si>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</si>
  <si>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</si>
  <si>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</si>
  <si>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</si>
  <si>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</si>
  <si>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</si>
  <si>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</si>
  <si>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</si>
  <si>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</si>
  <si>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</si>
  <si>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</si>
  <si>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</si>
  <si>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</si>
  <si>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</si>
  <si>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</si>
  <si>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</si>
  <si>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</si>
  <si>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</si>
  <si>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</si>
  <si>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</si>
  <si>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</si>
  <si>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</si>
  <si>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</si>
  <si>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</si>
  <si>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</si>
  <si>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</si>
  <si>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</si>
  <si>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</si>
  <si>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</si>
  <si>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</si>
  <si>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</si>
  <si>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</si>
  <si>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</si>
  <si>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</si>
  <si>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</si>
  <si>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</si>
  <si>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</si>
  <si>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</si>
  <si>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</si>
  <si>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</si>
  <si>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</si>
  <si>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</si>
  <si>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</si>
  <si>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</si>
  <si>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</si>
  <si>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</si>
  <si>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</si>
  <si>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</si>
  <si>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</si>
  <si>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</si>
  <si>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</si>
  <si>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</si>
  <si>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</si>
  <si>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</si>
  <si>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</si>
  <si>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</si>
  <si>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</si>
  <si>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</si>
  <si>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</si>
  <si>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</si>
  <si>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</si>
  <si>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</si>
  <si>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</si>
  <si>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</si>
  <si>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</si>
  <si>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</si>
  <si>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</si>
  <si>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</si>
  <si>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</si>
  <si>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</si>
  <si>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</si>
  <si>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</si>
  <si>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</si>
  <si>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</si>
  <si>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</si>
  <si>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</si>
  <si>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</si>
  <si>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</si>
  <si>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</si>
  <si>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</si>
  <si>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</si>
  <si>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</si>
  <si>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</si>
  <si>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</si>
  <si>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</si>
  <si>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</si>
  <si>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</si>
  <si>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</si>
  <si>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</si>
  <si>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</si>
  <si>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</si>
  <si>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</si>
  <si>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</si>
  <si>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</si>
  <si>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</si>
  <si>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</si>
  <si>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</si>
  <si>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</si>
  <si>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</si>
  <si>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</si>
  <si>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</si>
  <si>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</si>
  <si>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</si>
  <si>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</si>
  <si>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</si>
  <si>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</si>
  <si>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</si>
  <si>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</si>
  <si>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</si>
  <si>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</si>
  <si>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</si>
  <si>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</si>
  <si>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</si>
  <si>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</si>
  <si>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</si>
  <si>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</si>
  <si>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</si>
  <si>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</si>
  <si>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</si>
  <si>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</si>
  <si>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</si>
  <si>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</si>
  <si>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</si>
  <si>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</si>
  <si>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</si>
  <si>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</si>
  <si>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</si>
  <si>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</si>
  <si>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</si>
  <si>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</si>
  <si>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</si>
  <si>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</si>
  <si>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</si>
  <si>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</si>
  <si>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</si>
  <si>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</si>
  <si>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</si>
  <si>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</si>
  <si>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</si>
  <si>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</si>
  <si>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</si>
  <si>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</si>
  <si>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</si>
  <si>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</si>
  <si>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</si>
  <si>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</si>
  <si>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</si>
  <si>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</si>
  <si>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</si>
  <si>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</si>
  <si>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</si>
  <si>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</si>
  <si>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</si>
  <si>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</si>
  <si>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</si>
  <si>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</si>
  <si>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</si>
  <si>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</si>
  <si>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</si>
  <si>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</si>
  <si>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</si>
  <si>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</si>
  <si>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</si>
  <si>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</si>
  <si>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</si>
  <si>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</si>
  <si>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</si>
  <si>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</si>
  <si>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</si>
  <si>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</si>
  <si>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</si>
  <si>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</si>
  <si>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</si>
  <si>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</si>
  <si>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</si>
  <si>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</si>
  <si>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</si>
  <si>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</si>
  <si>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</si>
  <si>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</si>
  <si>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</si>
  <si>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</si>
  <si>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</si>
  <si>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</si>
  <si>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</si>
  <si>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</si>
  <si>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</si>
  <si>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</si>
  <si>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</si>
  <si>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</si>
  <si>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</si>
  <si>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</si>
  <si>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</si>
  <si>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</si>
  <si>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</si>
  <si>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</si>
  <si>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</si>
  <si>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</si>
  <si>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</si>
  <si>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</si>
  <si>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</si>
  <si>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</si>
  <si>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</si>
  <si>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</si>
  <si>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</si>
  <si>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</si>
  <si>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</si>
  <si>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</si>
  <si>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</si>
  <si>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</si>
  <si>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</si>
  <si>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</si>
  <si>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</si>
  <si>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</si>
  <si>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</si>
  <si>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</si>
  <si>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jogado 2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</si>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</sst>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23" sqref="K23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44921362</v>
      </c>
      <c r="D35" s="13">
        <f>IFERROR(SUM(D4:D34),"")</f>
        <v>16580590</v>
      </c>
      <c r="E35" s="13">
        <f>IFERROR(SUM(E4:E34),"")</f>
        <v>11207280</v>
      </c>
      <c r="F35" s="13">
        <f>IFERROR(SUM(F4:F34),"")</f>
        <v>20941020</v>
      </c>
      <c r="G35" s="13">
        <f>IFERROR(SUM(G4:G34),"")</f>
        <v>48728890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1" activePane="bottomLeft" state="frozen"/>
      <selection pane="bottomLeft" activeCell="G416" sqref="G41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243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>
        <v>35</v>
      </c>
      <c r="G409" s="34">
        <f t="shared" si="90"/>
        <v>175</v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244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207</v>
      </c>
      <c r="G419" s="36">
        <f>SUM(G407:G418)</f>
        <v>1035</v>
      </c>
      <c r="H419" s="37"/>
      <c r="I419" s="37"/>
      <c r="J419" s="37"/>
      <c r="K419" s="37"/>
      <c r="L419" s="37"/>
      <c r="M419" s="38">
        <f ca="1">IFERROR(SUM(M407:M418),"")</f>
        <v>2.0138888888888873E-2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207</v>
      </c>
      <c r="G433" s="40">
        <f>G419+G432</f>
        <v>1035</v>
      </c>
      <c r="H433" s="41"/>
      <c r="I433" s="41"/>
      <c r="J433" s="41"/>
      <c r="K433" s="41"/>
      <c r="L433" s="41"/>
      <c r="M433" s="42">
        <f ca="1">IFERROR(M419+M432,"")</f>
        <v>2.0138888888888873E-2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87" activePane="bottomLeft" state="frozen"/>
      <selection pane="bottomLeft" activeCell="E416" sqref="E41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0.47035960647917818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0.62799849536806707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0.73772071759028923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260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277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278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245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245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104</v>
      </c>
      <c r="G419" s="36">
        <f>SUM(G407:G418)</f>
        <v>449.6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104</v>
      </c>
      <c r="G433" s="40">
        <f>G419+G432</f>
        <v>449.6</v>
      </c>
      <c r="H433" s="41"/>
      <c r="I433" s="41"/>
      <c r="J433" s="41"/>
      <c r="K433" s="41"/>
      <c r="L433" s="41"/>
      <c r="M433" s="42">
        <f ca="1">IFERROR(M419+M432,"")</f>
        <v>0.14513888888888887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0" zoomScale="50" zoomScaleNormal="50" workbookViewId="0">
      <selection activeCell="F416" sqref="F416:F41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259</v>
      </c>
      <c r="K141" s="29">
        <v>0.71597222222222223</v>
      </c>
      <c r="L141" s="29" t="s">
        <v>286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288</v>
      </c>
      <c r="N166" s="27" t="s">
        <v>289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291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292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295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296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245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245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50</v>
      </c>
      <c r="G419" s="36">
        <f>SUM(G407:G418)</f>
        <v>214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50</v>
      </c>
      <c r="G433" s="40">
        <f>G419+G432</f>
        <v>214</v>
      </c>
      <c r="H433" s="41"/>
      <c r="I433" s="41"/>
      <c r="J433" s="41"/>
      <c r="K433" s="41"/>
      <c r="L433" s="41"/>
      <c r="M433" s="42">
        <f ca="1">IFERROR(M419+M432,"")</f>
        <v>9.1666666666666674E-2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8" activePane="bottomLeft" state="frozen"/>
      <selection pane="bottomLeft" activeCell="F417" sqref="F41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303</v>
      </c>
      <c r="L58" s="29">
        <v>0.54097222222222219</v>
      </c>
      <c r="M58" s="30" t="str">
        <f t="shared" ca="1" si="13"/>
        <v/>
      </c>
      <c r="N58" s="27" t="s">
        <v>304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0.46063738426164491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0.65994293981720054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1.0273040509283116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324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283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326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328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315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329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330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245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245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94</v>
      </c>
      <c r="G419" s="36">
        <f>SUM(G407:G418)</f>
        <v>394.8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94</v>
      </c>
      <c r="G433" s="40">
        <f>G419+G432</f>
        <v>394.8</v>
      </c>
      <c r="H433" s="41"/>
      <c r="I433" s="41"/>
      <c r="J433" s="41"/>
      <c r="K433" s="63"/>
      <c r="L433" s="63"/>
      <c r="M433" s="42">
        <f ca="1">IFERROR(M419+M432,"")</f>
        <v>0.23402777777777778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2026-07-16T21:04:11Z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