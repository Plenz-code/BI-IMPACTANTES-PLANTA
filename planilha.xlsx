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323" documentId="8_{AF585B22-221D-4780-BB9C-493D365A6A02}" xr6:coauthVersionLast="47" xr6:coauthVersionMax="47" xr10:uidLastSave="{2350AC10-E805-47ED-BBCA-BF0E59183AB6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2" i="1" l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<sst xmlns="http://schemas.openxmlformats.org/spreadsheetml/2006/main" count="11340" uniqueCount="416">
  <si>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</si>
  <si>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</si>
  <si>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</si>
  <si>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</si>
  <si>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</si>
  <si>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</si>
  <si>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</si>
  <si>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</si>
  <si>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</si>
  <si>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</si>
  <si>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</si>
  <si>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</si>
  <si>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</si>
  <si>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</si>
  <si>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</si>
  <si>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</si>
  <si>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</si>
  <si>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</si>
  <si>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</si>
  <si>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</si>
  <si>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</si>
  <si>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</si>
  <si>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</si>
  <si>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</si>
  <si>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</si>
  <si>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</si>
  <si>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</si>
  <si>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</si>
  <si>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</si>
  <si>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</si>
  <si>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</si>
  <si>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</si>
  <si>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</si>
  <si>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</si>
  <si>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</si>
  <si>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</si>
  <si>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</si>
  <si>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</si>
  <si>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</si>
  <si>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</si>
  <si>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</si>
  <si>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</si>
  <si>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</si>
  <si>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</si>
  <si>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</si>
  <si>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</si>
  <si>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</si>
  <si>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</si>
  <si>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</si>
  <si>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</si>
  <si>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</si>
  <si>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</si>
  <si>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</si>
  <si>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</si>
  <si>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</si>
  <si>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</si>
  <si>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</si>
  <si>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</si>
  <si>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</si>
  <si>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</si>
  <si>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</si>
  <si>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</si>
  <si>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</si>
  <si>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</si>
  <si>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</si>
  <si>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</si>
  <si>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</si>
  <si>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</si>
  <si>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</si>
  <si>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</si>
  <si>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</si>
  <si>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</si>
  <si>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</si>
  <si>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</si>
  <si>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</si>
  <si>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</si>
  <si>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</si>
  <si>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</si>
  <si>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</si>
  <si>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</si>
  <si>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</si>
  <si>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</si>
  <si>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</si>
  <si>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</si>
  <si>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</si>
  <si>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</si>
  <si>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</si>
  <si>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</si>
  <si>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</si>
  <si>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</si>
  <si>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</si>
  <si>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</si>
  <si>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</si>
  <si>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</si>
  <si>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</si>
  <si>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</si>
  <si>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</si>
  <si>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</si>
  <si>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</si>
  <si>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</si>
  <si>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</si>
  <si>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</si>
  <si>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</si>
  <si>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</si>
  <si>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</si>
  <si>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</si>
  <si>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</si>
  <si>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</si>
  <si>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</si>
  <si>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</si>
  <si>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</si>
  <si>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</si>
  <si>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</si>
  <si>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</si>
  <si>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</si>
  <si>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</si>
  <si>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</si>
  <si>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</si>
  <si>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</si>
  <si>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</si>
  <si>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</si>
  <si>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</si>
  <si>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</si>
  <si>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</si>
  <si>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</si>
  <si>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</si>
  <si>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</si>
  <si>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</si>
  <si>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</si>
  <si>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</si>
  <si>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</si>
  <si>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</si>
  <si>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</si>
  <si>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</si>
  <si>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</si>
  <si>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</si>
  <si>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</si>
  <si>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</si>
  <si>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</si>
  <si>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</si>
  <si>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</si>
  <si>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</si>
  <si>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</si>
  <si>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</si>
  <si>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</si>
  <si>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</si>
  <si>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</si>
  <si>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</si>
  <si>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</si>
  <si>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</si>
  <si>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</si>
  <si>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</si>
  <si>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</si>
  <si>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</si>
  <si>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</si>
  <si>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</si>
  <si>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</si>
  <si>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</si>
  <si>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</si>
  <si>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</si>
  <si>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</si>
  <si>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</si>
  <si>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</si>
  <si>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</si>
  <si>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</si>
  <si>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</si>
  <si>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</si>
  <si>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</si>
  <si>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</si>
  <si>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</si>
  <si>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</si>
  <si>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</si>
  <si>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</si>
  <si>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</si>
  <si>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</si>
  <si>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</si>
  <si>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</si>
  <si>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</si>
  <si>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</si>
  <si>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</si>
  <si>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</si>
  <si>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</si>
  <si>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</si>
  <si>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</si>
  <si>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</si>
  <si>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</si>
  <si>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</si>
  <si>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</si>
  <si>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</si>
  <si>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</si>
  <si>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</si>
  <si>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</si>
  <si>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</si>
  <si>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</si>
  <si>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</si>
  <si>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</si>
  <si>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</si>
  <si>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</si>
  <si>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</si>
  <si>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</si>
  <si>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</si>
  <si>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</si>
  <si>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</si>
  <si>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</si>
  <si>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</si>
  <si>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</si>
  <si>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</si>
  <si>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</si>
  <si>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</si>
  <si>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</si>
  <si>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</si>
  <si>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</si>
  <si>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</si>
  <si>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</si>
  <si>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</si>
  <si>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</si>
  <si>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</si>
  <si>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</si>
  <si>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</si>
  <si>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</si>
  <si>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</si>
  <si>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</si>
  <si>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</si>
  <si>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</si>
  <si>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</si>
  <si>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</si>
  <si>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</si>
  <si>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</si>
  <si>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</si>
  <si>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</si>
  <si>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</si>
  <si>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</si>
  <si>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</si>
  <si>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</si>
  <si>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</si>
  <si>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</si>
  <si>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</si>
  <si>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</si>
  <si>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</si>
  <si>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</si>
  <si>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</si>
  <si>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</si>
  <si>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</si>
  <si>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</si>
  <si>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</si>
  <si>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</si>
  <si>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</si>
  <si>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</si>
  <si>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</si>
  <si>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</si>
  <si>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</si>
  <si>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</si>
  <si>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</si>
  <si>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</si>
  <si>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</si>
  <si>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</si>
  <si>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</si>
  <si>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</si>
  <si>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</si>
  <si>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</si>
  <si>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</si>
  <si>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</si>
  <si>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</si>
  <si>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</si>
  <si>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</si>
  <si>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</si>
  <si>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</si>
  <si>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</si>
  <si>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</si>
  <si>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</si>
  <si>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</si>
  <si>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</si>
  <si>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</si>
  <si>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</si>
  <si>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</si>
  <si>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</si>
  <si>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</si>
  <si>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</si>
  <si>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</si>
  <si>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</si>
  <si>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</si>
  <si>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</si>
  <si>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</si>
  <si>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</si>
  <si>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</si>
  <si>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</si>
  <si>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</si>
  <si>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</si>
  <si>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</si>
  <si>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</si>
  <si>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</si>
  <si>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</si>
  <si>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</si>
  <si>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</si>
  <si>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</si>
  <si>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</si>
  <si>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</si>
  <si>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</si>
  <si>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</si>
  <si>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</si>
  <si>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</si>
  <si>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</si>
  <si>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</si>
  <si>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</si>
  <si>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</si>
  <si>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</si>
  <si>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</si>
  <si>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</si>
  <si>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</si>
  <si>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</si>
  <si>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</si>
  <si>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</si>
  <si>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</si>
  <si>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</si>
  <si>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</si>
  <si>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</si>
  <si>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</si>
  <si>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</si>
  <si>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</si>
  <si>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</si>
  <si>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</si>
  <si>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</si>
  <si>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</si>
  <si>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</si>
  <si>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</si>
  <si>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</si>
  <si>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</si>
  <si>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</si>
  <si>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</si>
  <si>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</si>
  <si>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</si>
  <si>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</si>
  <si>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</si>
  <si>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</si>
  <si>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</si>
  <si>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</si>
  <si>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</si>
  <si>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</si>
  <si>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</si>
  <si>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</si>
  <si>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</si>
  <si>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</si>
  <si>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</si>
  <si>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</si>
  <si>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</si>
  <si>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</si>
  <si>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</si>
  <si>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</si>
  <si>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</si>
  <si>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</si>
  <si>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</si>
  <si>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</si>
  <si>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</si>
  <si>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</si>
  <si>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</si>
  <si>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</si>
  <si>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</si>
  <si>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</si>
  <si>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</si>
  <si>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</si>
  <si>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</si>
  <si>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</si>
  <si>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</si>
  <si>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</si>
  <si>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</si>
  <si>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</si>
  <si>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</si>
  <si>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</si>
  <si>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</si>
  <si>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</si>
  <si>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</si>
  <si>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</si>
  <si>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</si>
  <si>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</si>
  <si>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</si>
  <si>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</si>
  <si>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</si>
  <si>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</si>
  <si>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</si>
  <si>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</si>
  <si>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</si>
  <si>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</si>
  <si>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</si>
  <si>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</si>
  <si>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</si>
  <si>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</si>
  <si>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</si>
  <si>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</si>
  <si>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</si>
  <si>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</si>
  <si>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</si>
  <si>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</si>
  <si>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</si>
  <si>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</si>
  <si>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</si>
  <si>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</si>
  <si>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</si>
  <si>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</si>
  <si>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</si>
  <si>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</si>
  <si>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</si>
  <si>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</si>
  <si>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</si>
  <si>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</si>
  <si>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</si>
  <si>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</si>
  <si>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</si>
  <si>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</si>
  <si>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</si>
  <si>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</si>
  <si>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</si>
  <si>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</si>
  <si>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</si>
  <si>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</si>
  <si>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</si>
  <si>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21;20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</si>
</sst>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2" sqref="G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1888710</v>
      </c>
      <c r="D31" s="11">
        <f>IFERROR('Linha 1'!O757,"")</f>
        <v>658990</v>
      </c>
      <c r="E31" s="11">
        <f>IFERROR('Linha 2'!O757,"")</f>
        <v>176540</v>
      </c>
      <c r="F31" s="11">
        <f>IFERROR('Linha 3'!O757,"")</f>
        <v>635080</v>
      </c>
      <c r="G31" s="12">
        <f t="shared" si="0"/>
        <v>1470610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84131518</v>
      </c>
      <c r="D35" s="13">
        <f>IFERROR(SUM(D4:D34),"")</f>
        <v>33994380</v>
      </c>
      <c r="E35" s="13">
        <f>IFERROR(SUM(E4:E34),"")</f>
        <v>19455040</v>
      </c>
      <c r="F35" s="13">
        <f>IFERROR(SUM(F4:F34),"")</f>
        <v>35457290</v>
      </c>
      <c r="G35" s="13">
        <f>IFERROR(SUM(G4:G34),"")</f>
        <v>88906710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/>
    </row>
    <row r="58" spans="1:13" ht="15" customHeight="1">
      <c r="H58" s="116"/>
      <c r="I58" s="16"/>
      <c r="J58" s="16"/>
      <c r="K58" s="16" t="s">
        <v>205</v>
      </c>
      <c r="L58" s="16"/>
      <c r="M58" s="16"/>
    </row>
    <row r="59" spans="1:13" ht="15" customHeight="1">
      <c r="H59" s="116"/>
      <c r="I59" s="17"/>
      <c r="J59" s="17"/>
      <c r="K59" s="17" t="s">
        <v>206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207</v>
      </c>
      <c r="L61" s="17"/>
      <c r="M61" s="17"/>
    </row>
    <row r="62" spans="1:13" ht="15" customHeight="1">
      <c r="H62" s="116"/>
      <c r="I62" s="16"/>
      <c r="J62" s="16"/>
      <c r="K62" s="16" t="s">
        <v>208</v>
      </c>
      <c r="L62" s="16"/>
      <c r="M62" s="16"/>
    </row>
    <row r="63" spans="1:13" ht="15" customHeight="1">
      <c r="H63" s="116"/>
      <c r="I63" s="17"/>
      <c r="J63" s="17"/>
      <c r="K63" s="17" t="s">
        <v>209</v>
      </c>
      <c r="L63" s="17"/>
      <c r="M63" s="17"/>
    </row>
    <row r="64" spans="1:13" ht="15" customHeight="1">
      <c r="H64" s="116"/>
      <c r="I64" s="16"/>
      <c r="J64" s="16"/>
      <c r="K64" s="16" t="s">
        <v>210</v>
      </c>
      <c r="L64" s="16"/>
      <c r="M64" s="16"/>
    </row>
    <row r="65" spans="8:13" ht="15" customHeight="1">
      <c r="H65" s="116"/>
      <c r="I65" s="17"/>
      <c r="J65" s="17"/>
      <c r="K65" s="17" t="s">
        <v>211</v>
      </c>
      <c r="L65" s="17"/>
      <c r="M65" s="17"/>
    </row>
    <row r="66" spans="8:13" ht="15" customHeight="1">
      <c r="H66" s="116"/>
      <c r="I66" s="16"/>
      <c r="J66" s="16"/>
      <c r="K66" s="16" t="s">
        <v>212</v>
      </c>
      <c r="L66" s="16"/>
      <c r="M66" s="16"/>
    </row>
    <row r="67" spans="8:13" ht="15" customHeight="1">
      <c r="H67" s="116"/>
      <c r="I67" s="17"/>
      <c r="J67" s="17"/>
      <c r="K67" s="17" t="s">
        <v>213</v>
      </c>
      <c r="L67" s="17"/>
      <c r="M67" s="17"/>
    </row>
    <row r="68" spans="8:13" ht="15" customHeight="1">
      <c r="H68" s="116"/>
      <c r="I68" s="16"/>
      <c r="J68" s="16"/>
      <c r="K68" s="16" t="s">
        <v>214</v>
      </c>
      <c r="L68" s="16"/>
      <c r="M68" s="16"/>
    </row>
    <row r="69" spans="8:13" ht="15" customHeight="1">
      <c r="H69" s="116"/>
      <c r="I69" s="17"/>
      <c r="J69" s="17"/>
      <c r="K69" s="17" t="s">
        <v>215</v>
      </c>
      <c r="L69" s="17"/>
      <c r="M69" s="17"/>
    </row>
    <row r="70" spans="8:13" ht="15" customHeight="1">
      <c r="H70" s="116"/>
      <c r="I70" s="16"/>
      <c r="J70" s="16"/>
      <c r="K70" s="16" t="s">
        <v>216</v>
      </c>
      <c r="L70" s="16"/>
      <c r="M70" s="16"/>
    </row>
    <row r="71" spans="8:13" ht="15" customHeight="1">
      <c r="H71" s="116"/>
      <c r="I71" s="17"/>
      <c r="J71" s="17"/>
      <c r="K71" s="17" t="s">
        <v>217</v>
      </c>
      <c r="L71" s="17"/>
      <c r="M71" s="17"/>
    </row>
    <row r="72" spans="8:13" ht="15" customHeight="1">
      <c r="H72" s="116"/>
      <c r="I72" s="16"/>
      <c r="J72" s="16"/>
      <c r="K72" s="16" t="s">
        <v>218</v>
      </c>
      <c r="L72" s="16"/>
      <c r="M72" s="16"/>
    </row>
    <row r="73" spans="8:13" ht="15" customHeight="1">
      <c r="H73" s="116"/>
      <c r="I73" s="17"/>
      <c r="J73" s="17"/>
      <c r="K73" s="17" t="s">
        <v>219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33" activePane="bottomLeft" state="frozen"/>
      <selection pane="bottomLeft" activeCell="F746" sqref="F74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269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231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231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231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231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231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231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231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231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231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231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231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36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231</v>
      </c>
      <c r="F744" s="27">
        <v>30</v>
      </c>
      <c r="G744" s="28">
        <f t="shared" ref="G744:G755" si="165">IF(F744="","",IF(E744="PC 17",F744*4.2,IF(E744="PC 19",F744*5,"")))</f>
        <v>150</v>
      </c>
      <c r="H744" s="26"/>
      <c r="I744" s="26"/>
      <c r="J744" s="26"/>
      <c r="K744" s="29">
        <v>0.875</v>
      </c>
      <c r="L744" s="29"/>
      <c r="M744" s="30">
        <f t="shared" ref="M744:M755" ca="1" si="166">IFERROR(IF(K744="","",IF(L744="",MOD(NOW()-K744,1),IF(L744&gt;=K744,L744-K744,L744+1-K744))),"")</f>
        <v>4.455127314577112E-2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231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231</v>
      </c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231</v>
      </c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231</v>
      </c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231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231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231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231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231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231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231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44</v>
      </c>
      <c r="G756" s="36">
        <f>SUM(G744:G755)</f>
        <v>220</v>
      </c>
      <c r="H756" s="37"/>
      <c r="I756" s="37"/>
      <c r="J756" s="37"/>
      <c r="K756" s="37"/>
      <c r="L756" s="37"/>
      <c r="M756" s="38">
        <f ca="1">IFERROR(SUM(M744:M755),"")</f>
        <v>4.455127314577112E-2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457</v>
      </c>
      <c r="G757" s="40">
        <f>G743+G756</f>
        <v>2260</v>
      </c>
      <c r="H757" s="41"/>
      <c r="I757" s="41"/>
      <c r="J757" s="41"/>
      <c r="K757" s="41"/>
      <c r="L757" s="41"/>
      <c r="M757" s="42">
        <f ca="1">IFERROR(M743+M756,"")</f>
        <v>4.455127314577112E-2</v>
      </c>
      <c r="N757" s="40" t="s">
        <v>237</v>
      </c>
      <c r="O757" s="48">
        <f>IFERROR(O743+O756,"")</f>
        <v>1888710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24" activePane="bottomLeft" state="frozen"/>
      <selection pane="bottomLeft" activeCell="F747" sqref="F74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271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272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273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274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275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276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277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278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279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280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282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286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287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288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289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290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284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291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292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293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295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296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299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300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0.67996793981001247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0.83760682869890135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0.94732905092112352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284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301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302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0.6584401620348217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0.82927349536815509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0.97441238425704402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305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306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307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308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309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310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311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312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313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314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315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317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320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321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322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323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233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324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325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326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327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328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330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331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332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234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258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/>
      <c r="M744" s="30">
        <f t="shared" ref="M744:M755" ca="1" si="166">IFERROR(IF(K744="","",IF(L744="",MOD(NOW()-K744,1),IF(L744&gt;=K744,L744-K744,L744+1-K744))),"")</f>
        <v>3.0662384255265351E-2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258</v>
      </c>
      <c r="F745" s="27">
        <v>11</v>
      </c>
      <c r="G745" s="34">
        <f t="shared" si="165"/>
        <v>46.2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258</v>
      </c>
      <c r="F746" s="27">
        <v>10</v>
      </c>
      <c r="G746" s="28">
        <f t="shared" si="165"/>
        <v>42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258</v>
      </c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258</v>
      </c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258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258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258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258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258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258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258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45</v>
      </c>
      <c r="G756" s="36">
        <f>SUM(G744:G755)</f>
        <v>189</v>
      </c>
      <c r="H756" s="37"/>
      <c r="I756" s="37"/>
      <c r="J756" s="37"/>
      <c r="K756" s="37"/>
      <c r="L756" s="37"/>
      <c r="M756" s="38">
        <f ca="1">IFERROR(SUM(M744:M755),"")</f>
        <v>3.0662384255265351E-2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180</v>
      </c>
      <c r="G757" s="40">
        <f>G743+G756</f>
        <v>756</v>
      </c>
      <c r="H757" s="41"/>
      <c r="I757" s="41"/>
      <c r="J757" s="41"/>
      <c r="K757" s="41"/>
      <c r="L757" s="41"/>
      <c r="M757" s="42">
        <f ca="1">IFERROR(M743+M756,"")</f>
        <v>0.10080127314415421</v>
      </c>
      <c r="N757" s="40" t="s">
        <v>237</v>
      </c>
      <c r="O757" s="83">
        <f>IFERROR(O743+O756,"")</f>
        <v>658990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28" zoomScale="50" zoomScaleNormal="50" workbookViewId="0">
      <selection activeCell="F747" sqref="F74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333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335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306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336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283</v>
      </c>
      <c r="K141" s="29">
        <v>0.71597222222222223</v>
      </c>
      <c r="L141" s="29" t="s">
        <v>338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340</v>
      </c>
      <c r="N166" s="27" t="s">
        <v>341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342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343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344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348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352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353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354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355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356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357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358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322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361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306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258</v>
      </c>
      <c r="F731" s="27">
        <v>1</v>
      </c>
      <c r="G731" s="34">
        <f t="shared" ref="G731:G740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258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258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258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258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320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258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258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258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258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258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258</v>
      </c>
      <c r="F741" s="27">
        <v>6</v>
      </c>
      <c r="G741" s="34">
        <f>IF(F741="","",IF(E742="PC 17",F741*4.2,IF(E742="PC 19",F741*5,"")))</f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258</v>
      </c>
      <c r="F742" s="27">
        <v>6</v>
      </c>
      <c r="G742" s="28" t="e">
        <f>IF(F742="","",IF(#REF!="PC 17",F742*4.2,IF(#REF!="PC 19",F742*5,"")))</f>
        <v>#REF!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 t="e">
        <f>SUM(G731:G742)</f>
        <v>#REF!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234</v>
      </c>
      <c r="O743" s="39">
        <v>176540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258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/>
      <c r="M744" s="30">
        <f t="shared" ref="M744:M755" ca="1" si="166">IFERROR(IF(K744="","",IF(L744="",MOD(NOW()-K744,1),IF(L744&gt;=K744,L744-K744,L744+1-K744))),"")</f>
        <v>3.0662384255265351E-2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258</v>
      </c>
      <c r="F745" s="27">
        <v>2</v>
      </c>
      <c r="G745" s="34">
        <f t="shared" si="165"/>
        <v>8.4</v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258</v>
      </c>
      <c r="F746" s="27">
        <v>4</v>
      </c>
      <c r="G746" s="28">
        <f t="shared" si="165"/>
        <v>16.8</v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258</v>
      </c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258</v>
      </c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258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258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258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258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258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258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258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11</v>
      </c>
      <c r="G756" s="36">
        <f>SUM(G744:G755)</f>
        <v>46.2</v>
      </c>
      <c r="H756" s="37"/>
      <c r="I756" s="37"/>
      <c r="J756" s="37"/>
      <c r="K756" s="37"/>
      <c r="L756" s="37"/>
      <c r="M756" s="38">
        <f ca="1">IFERROR(SUM(M744:M755),"")</f>
        <v>3.0662384255265351E-2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76</v>
      </c>
      <c r="G757" s="40" t="e">
        <f>G743+G756</f>
        <v>#REF!</v>
      </c>
      <c r="H757" s="41"/>
      <c r="I757" s="41"/>
      <c r="J757" s="41"/>
      <c r="K757" s="41"/>
      <c r="L757" s="41"/>
      <c r="M757" s="42">
        <f ca="1">IFERROR(M743+M756,"")</f>
        <v>9.5245717588598622E-2</v>
      </c>
      <c r="N757" s="40" t="s">
        <v>237</v>
      </c>
      <c r="O757" s="48">
        <f>IFERROR(O743+O756,"")</f>
        <v>176540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42" activePane="bottomLeft" state="frozen"/>
      <selection pane="bottomLeft" activeCell="G752" sqref="G75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306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366</v>
      </c>
      <c r="L58" s="29">
        <v>0.54097222222222219</v>
      </c>
      <c r="M58" s="30" t="str">
        <f t="shared" ca="1" si="13"/>
        <v/>
      </c>
      <c r="N58" s="27" t="s">
        <v>367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0.6702457175924792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281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0.86955127314803482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1.2369123842591458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278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306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317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400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401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402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403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404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405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406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407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408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409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410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411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278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320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412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413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414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234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258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 t="s">
        <v>415</v>
      </c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258</v>
      </c>
      <c r="F745" s="27">
        <v>17</v>
      </c>
      <c r="G745" s="34">
        <f t="shared" si="165"/>
        <v>71.400000000000006</v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258</v>
      </c>
      <c r="F746" s="27">
        <v>9</v>
      </c>
      <c r="G746" s="28">
        <f t="shared" si="165"/>
        <v>37.800000000000004</v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258</v>
      </c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258</v>
      </c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258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258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258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258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258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258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258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50</v>
      </c>
      <c r="G756" s="36">
        <f>SUM(G744:G755)</f>
        <v>210.00000000000003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207</v>
      </c>
      <c r="G757" s="40">
        <f>G743+G756</f>
        <v>869.4</v>
      </c>
      <c r="H757" s="41"/>
      <c r="I757" s="41"/>
      <c r="J757" s="41"/>
      <c r="K757" s="63"/>
      <c r="L757" s="63"/>
      <c r="M757" s="42">
        <f ca="1">IFERROR(M743+M756,"")</f>
        <v>1.1083333333333334</v>
      </c>
      <c r="N757" s="40" t="s">
        <v>237</v>
      </c>
      <c r="O757" s="48">
        <f>IFERROR(O743+O756,"")</f>
        <v>635080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2026-07-29T02:04:39Z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