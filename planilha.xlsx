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79" documentId="13_ncr:1_{0A10D8D4-8450-4366-8075-B53B08E6B7EA}" xr6:coauthVersionLast="47" xr6:coauthVersionMax="47" xr10:uidLastSave="{05ED3337-594D-4279-B55C-80327D393A66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9" i="6"/>
  <c r="J369" i="6" s="1"/>
  <c r="H370" i="6"/>
  <c r="J370" i="6" s="1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9" i="5"/>
  <c r="J369" i="5" s="1"/>
  <c r="H370" i="5"/>
  <c r="J370" i="5" s="1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9" i="4"/>
  <c r="J369" i="4" s="1"/>
  <c r="H370" i="4"/>
  <c r="J370" i="4" s="1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68" i="6" s="1"/>
  <c r="J368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68" i="5" s="1"/>
  <c r="J368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68" i="4" s="1"/>
  <c r="J368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6" i="5" l="1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<sst xmlns="http://schemas.openxmlformats.org/spreadsheetml/2006/main" count="6529" uniqueCount="348">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</sst>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K367" sqref="K36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/>
      <c r="I366" s="26"/>
      <c r="J366" s="26"/>
      <c r="K366" s="29">
        <v>0.90625</v>
      </c>
      <c r="L366" s="29"/>
      <c r="M366" s="30">
        <f t="shared" ref="M366:M377" ca="1" si="77">IFERROR(IF(K366="","",IF(L366="",MOD(NOW()-K366,1),IF(L366&gt;=K366,L366-K366,L366+1-K366))),"")</f>
        <v>2.1978240743919741E-2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85</v>
      </c>
      <c r="G378" s="36">
        <f>SUM(G366:G377)</f>
        <v>425</v>
      </c>
      <c r="H378" s="37"/>
      <c r="I378" s="37"/>
      <c r="J378" s="37"/>
      <c r="K378" s="37"/>
      <c r="L378" s="37"/>
      <c r="M378" s="38">
        <f ca="1">IFERROR(SUM(M366:M377),"")</f>
        <v>2.1978240743919741E-2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485</v>
      </c>
      <c r="G379" s="40">
        <f>G365+G378</f>
        <v>2391.4</v>
      </c>
      <c r="H379" s="41"/>
      <c r="I379" s="41"/>
      <c r="J379" s="41"/>
      <c r="K379" s="41"/>
      <c r="L379" s="41"/>
      <c r="M379" s="42">
        <f ca="1">IFERROR(M365+M378,"")</f>
        <v>6.9200462966141907E-2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66" sqref="G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0.8067004629629082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0.94558935185179704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1.0303115740740194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126</v>
      </c>
      <c r="L378" s="37"/>
      <c r="M378" s="37"/>
      <c r="N378" s="37"/>
      <c r="O378" s="37"/>
      <c r="P378" s="37"/>
      <c r="Q378" s="38">
        <f ca="1">IFERROR(SUM(Q366:Q377),"")</f>
        <v>5.4861111111111249E-2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138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579.6</v>
      </c>
      <c r="L379" s="41"/>
      <c r="M379" s="41"/>
      <c r="N379" s="41"/>
      <c r="O379" s="41"/>
      <c r="P379" s="41"/>
      <c r="Q379" s="42">
        <f ca="1">IFERROR(Q365+Q378,"")</f>
        <v>0.13819444444444451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P369" sqref="P36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3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12.600000000000001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93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390.60000000000014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O369" sqref="O36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/>
      <c r="M368" s="26"/>
      <c r="N368" s="26"/>
      <c r="O368" s="29">
        <v>0.9243055555555556</v>
      </c>
      <c r="P368" s="29"/>
      <c r="Q368" s="30">
        <f t="shared" ca="1" si="88"/>
        <v>3.922685187717434E-3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62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260.39999999999998</v>
      </c>
      <c r="L378" s="37"/>
      <c r="M378" s="37"/>
      <c r="N378" s="37"/>
      <c r="O378" s="61"/>
      <c r="P378" s="61"/>
      <c r="Q378" s="38">
        <f ca="1">IFERROR(SUM(Q366:Q377),"")</f>
        <v>4.420046296549518E-2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258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1083.5999999999999</v>
      </c>
      <c r="L379" s="41"/>
      <c r="M379" s="41"/>
      <c r="N379" s="41"/>
      <c r="O379" s="63"/>
      <c r="P379" s="63"/>
      <c r="Q379" s="42">
        <f ca="1">IFERROR(Q365+Q378,"")</f>
        <v>0.16225601852105087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2026-08-15T02:17:10Z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