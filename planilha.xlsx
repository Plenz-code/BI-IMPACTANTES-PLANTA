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67" documentId="8_{AF585B22-221D-4780-BB9C-493D365A6A02}" xr6:coauthVersionLast="47" xr6:coauthVersionMax="47" xr10:uidLastSave="{D8E8B33A-71DD-40B2-84D2-C1FEA8982A3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<sst xmlns="http://schemas.openxmlformats.org/spreadsheetml/2006/main" count="5322" uniqueCount="304">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</sst>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14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80.8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298.3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5.455856481421506E-2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9.1364120369770707E-2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0.24205856481421512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N312" sqref="N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39</v>
      </c>
      <c r="G324" s="36">
        <f>SUM(G312:G323)</f>
        <v>163.80000000000001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108</v>
      </c>
      <c r="G325" s="40">
        <f>G311+G324</f>
        <v>458.40000000000003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K319" sqref="K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0.71775300925946794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0.91705856481502357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1.2844196759261346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7.1225231477001216E-2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>
        <v>0.96736111111111112</v>
      </c>
      <c r="L318" s="29"/>
      <c r="M318" s="30">
        <f t="shared" ca="1" si="70"/>
        <v>0.99969745369890006</v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255.4</v>
      </c>
      <c r="H324" s="37"/>
      <c r="I324" s="37"/>
      <c r="J324" s="37"/>
      <c r="K324" s="61"/>
      <c r="L324" s="61"/>
      <c r="M324" s="38">
        <f ca="1">IFERROR(SUM(M312:M323),"")</f>
        <v>1.1112004629536791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87</v>
      </c>
      <c r="G325" s="40">
        <f>G311+G324</f>
        <v>381.4</v>
      </c>
      <c r="H325" s="41"/>
      <c r="I325" s="41"/>
      <c r="J325" s="41"/>
      <c r="K325" s="63"/>
      <c r="L325" s="63"/>
      <c r="M325" s="42">
        <f ca="1">IFERROR(M311+M324,"")</f>
        <v>1.5243949073981238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2026-07-13T03:12:57Z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