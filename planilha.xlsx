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059" documentId="13_ncr:1_{0A10D8D4-8450-4366-8075-B53B08E6B7EA}" xr6:coauthVersionLast="47" xr6:coauthVersionMax="47" xr10:uidLastSave="{167C645A-37FA-4E01-8EF0-8882FC8BDD14}"/>
  <bookViews>
    <workbookView xWindow="-28920" yWindow="-6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0" i="6" s="1"/>
  <c r="J360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9" i="5" l="1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<sst xmlns="http://schemas.openxmlformats.org/spreadsheetml/2006/main" count="6343" uniqueCount="346">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</sst>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4" activePane="bottomLeft" state="frozen"/>
      <selection pane="bottomLeft" activeCell="F361" sqref="F361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0</v>
      </c>
      <c r="G354" s="28">
        <f t="shared" si="73"/>
        <v>0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267</v>
      </c>
      <c r="G365" s="36">
        <f>SUM(G353:G364)</f>
        <v>1301.4000000000001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267</v>
      </c>
      <c r="G379" s="40">
        <f>G365+G378</f>
        <v>1301.4000000000001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36" activePane="bottomLeft" state="frozen"/>
      <selection pane="bottomLeft" activeCell="O357" sqref="O35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0.52287395833263872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0.66176284722152756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0.74648506944374993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79.8</v>
      </c>
      <c r="L356" s="26"/>
      <c r="M356" s="26"/>
      <c r="N356" s="26"/>
      <c r="O356" s="29">
        <v>0.64375000000000004</v>
      </c>
      <c r="P356" s="29"/>
      <c r="Q356" s="30">
        <f t="shared" ca="1" si="84"/>
        <v>6.5150462614838034E-4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58.800000000000004</v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88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369.6</v>
      </c>
      <c r="L365" s="37"/>
      <c r="M365" s="37"/>
      <c r="N365" s="37"/>
      <c r="O365" s="37"/>
      <c r="P365" s="37"/>
      <c r="Q365" s="38">
        <f ca="1">IFERROR(SUM(Q353:Q364),"")</f>
        <v>4.9957060181703872E-2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88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369.6</v>
      </c>
      <c r="L379" s="41"/>
      <c r="M379" s="41"/>
      <c r="N379" s="41"/>
      <c r="O379" s="41"/>
      <c r="P379" s="41"/>
      <c r="Q379" s="42">
        <f ca="1">IFERROR(Q365+Q378,"")</f>
        <v>4.9957060181703872E-2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G361" sqref="G36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0"/>
        <v>0</v>
      </c>
      <c r="K356" s="28">
        <f t="shared" si="81"/>
        <v>29.400000000000002</v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0"/>
        <v>0</v>
      </c>
      <c r="K357" s="34">
        <f t="shared" si="81"/>
        <v>37.800000000000004</v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0"/>
        <v>0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0"/>
        <v>0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0"/>
        <v>0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66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277.20000000000005</v>
      </c>
      <c r="L365" s="37"/>
      <c r="M365" s="37"/>
      <c r="N365" s="37"/>
      <c r="O365" s="37"/>
      <c r="P365" s="37"/>
      <c r="Q365" s="38">
        <f ca="1">IFERROR(SUM(Q353:Q364),"")</f>
        <v>4.7222222222222221E-2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66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277.20000000000005</v>
      </c>
      <c r="L379" s="41"/>
      <c r="M379" s="41"/>
      <c r="N379" s="41"/>
      <c r="O379" s="41"/>
      <c r="P379" s="41"/>
      <c r="Q379" s="42">
        <f ca="1">IFERROR(Q365+Q378,"")</f>
        <v>4.7222222222222221E-2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G361" sqref="G36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88.2</v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146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613.20000000000005</v>
      </c>
      <c r="L365" s="37"/>
      <c r="M365" s="37"/>
      <c r="N365" s="37"/>
      <c r="O365" s="61"/>
      <c r="P365" s="61"/>
      <c r="Q365" s="38">
        <f ca="1">IFERROR(SUM(Q353:Q364),"")</f>
        <v>0.10277777777777786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146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613.20000000000005</v>
      </c>
      <c r="L379" s="41"/>
      <c r="M379" s="41"/>
      <c r="N379" s="41"/>
      <c r="O379" s="63"/>
      <c r="P379" s="63"/>
      <c r="Q379" s="42">
        <f ca="1">IFERROR(Q365+Q378,"")</f>
        <v>0.10277777777777786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2026-08-14T19:29:57Z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