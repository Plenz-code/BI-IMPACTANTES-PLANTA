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73" documentId="13_ncr:1_{9DFDFEE8-78F7-4C04-B87C-99924EE6CC37}" xr6:coauthVersionLast="47" xr6:coauthVersionMax="47" xr10:uidLastSave="{FE11AE8E-4DAA-494E-A9A5-D613DD47CD3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<sst xmlns="http://schemas.openxmlformats.org/spreadsheetml/2006/main" count="6749" uniqueCount="2311">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</sst>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/>
      <c r="M15" s="86">
        <f t="shared" ref="M15:M26" ca="1" si="4">IFERROR(IF(K15="","",IF(L15="",MOD(NOW()-K15,1),IF(L15&gt;=K15,L15-K15,L15+1-K15))),"")</f>
        <v>0.12452314815163845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0.12452314815163845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0.19257870370719393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7" sqref="G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29</v>
      </c>
      <c r="M16" s="76"/>
      <c r="N16" s="76"/>
      <c r="O16" s="80">
        <v>0.90972222222222221</v>
      </c>
      <c r="P16" s="80"/>
      <c r="Q16" s="86">
        <f t="shared" ca="1" si="6"/>
        <v>6.4675925968913361E-3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</v>
      </c>
      <c r="L27" s="87"/>
      <c r="M27" s="87"/>
      <c r="N27" s="87"/>
      <c r="O27" s="87"/>
      <c r="P27" s="87"/>
      <c r="Q27" s="88">
        <f ca="1">IFERROR(SUM(Q15:Q26),"")</f>
        <v>0.10368981481911355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247.8</v>
      </c>
      <c r="L28" s="91"/>
      <c r="M28" s="91"/>
      <c r="N28" s="91"/>
      <c r="O28" s="91"/>
      <c r="P28" s="91"/>
      <c r="Q28" s="92">
        <f ca="1">IFERROR(Q14+Q27,"")</f>
        <v>0.34188425926355787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17" sqref="G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12.600000000000001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142.80000000000001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8" sqref="G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0.25091203703777865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0.38355092592666745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105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145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609</v>
      </c>
      <c r="L28" s="91"/>
      <c r="M28" s="91"/>
      <c r="N28" s="91"/>
      <c r="O28" s="155"/>
      <c r="P28" s="155"/>
      <c r="Q28" s="92">
        <f ca="1">IFERROR(Q14+Q27,"")</f>
        <v>0.41132870370444524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2026-09-02T01:59:28Z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