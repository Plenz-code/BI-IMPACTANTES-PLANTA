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18" documentId="13_ncr:1_{0A10D8D4-8450-4366-8075-B53B08E6B7EA}" xr6:coauthVersionLast="47" xr6:coauthVersionMax="47" xr10:uidLastSave="{03900D85-F7AE-4A6A-9808-A346D8EB8391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1" i="6"/>
  <c r="J421" i="6" s="1"/>
  <c r="H422" i="6"/>
  <c r="J422" i="6" s="1"/>
  <c r="H423" i="6"/>
  <c r="J423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1" i="5"/>
  <c r="J421" i="5" s="1"/>
  <c r="H422" i="5"/>
  <c r="J422" i="5" s="1"/>
  <c r="H423" i="5"/>
  <c r="J423" i="5" s="1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1" i="4"/>
  <c r="J421" i="4" s="1"/>
  <c r="H422" i="4"/>
  <c r="J422" i="4" s="1"/>
  <c r="H423" i="4"/>
  <c r="J423" i="4" s="1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0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0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0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20" i="6" l="1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<sst xmlns="http://schemas.openxmlformats.org/spreadsheetml/2006/main" count="7295" uniqueCount="356">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</sst>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8" activePane="bottomLeft" state="frozen"/>
      <selection pane="bottomLeft" activeCell="D431" sqref="D431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29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29</v>
      </c>
      <c r="E421" s="59" t="s">
        <v>243</v>
      </c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15</v>
      </c>
      <c r="G432" s="36">
        <f>SUM(G420:G431)</f>
        <v>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225</v>
      </c>
      <c r="G433" s="40">
        <f>G419+G432</f>
        <v>1125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G421" sqref="G42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0.74526168980810326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0.8841505786969921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0.96887280091921446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24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100.80000000000001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171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718.2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21" sqref="G421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6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25.200000000000003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127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533.40000000000009</v>
      </c>
      <c r="L433" s="41"/>
      <c r="M433" s="41"/>
      <c r="N433" s="41"/>
      <c r="O433" s="41"/>
      <c r="P433" s="41"/>
      <c r="Q433" s="42">
        <f ca="1">IFERROR(Q419+Q432,"")</f>
        <v>7.2916666666666741E-2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P422" sqref="P422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2"/>
        <v/>
      </c>
      <c r="K421" s="34" t="str">
        <f t="shared" si="103"/>
        <v/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88.2</v>
      </c>
      <c r="L432" s="37"/>
      <c r="M432" s="37"/>
      <c r="N432" s="37"/>
      <c r="O432" s="61"/>
      <c r="P432" s="61"/>
      <c r="Q432" s="38">
        <f ca="1">IFERROR(SUM(Q420:Q431),"")</f>
        <v>2.3611111111111249E-2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163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684.60000000000014</v>
      </c>
      <c r="L433" s="41"/>
      <c r="M433" s="41"/>
      <c r="N433" s="41"/>
      <c r="O433" s="63"/>
      <c r="P433" s="63"/>
      <c r="Q433" s="42">
        <f ca="1">IFERROR(Q419+Q432,"")</f>
        <v>0.13888888888888906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2026-08-17T00:48:34Z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