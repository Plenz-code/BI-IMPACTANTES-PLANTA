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987" documentId="8_{AF585B22-221D-4780-BB9C-493D365A6A02}" xr6:coauthVersionLast="47" xr6:coauthVersionMax="47" xr10:uidLastSave="{0610577E-C529-42CA-BA9E-2276074EA01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<sst xmlns="http://schemas.openxmlformats.org/spreadsheetml/2006/main" count="12548" uniqueCount="445">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</sst>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E836" sqref="E8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103</v>
      </c>
      <c r="G837" s="109">
        <f>SUM(G825:G836)</f>
        <v>515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236</v>
      </c>
      <c r="G838" s="111">
        <f>G824+G837</f>
        <v>515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8" activePane="bottomLeft" state="frozen"/>
      <selection pane="bottomLeft" activeCell="E832" sqref="E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0.73791354166314704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0.89555243055203593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1.0052746527742582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0.71638576388795627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0.88721909722128967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1.0323579861101786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82</v>
      </c>
      <c r="G837" s="109">
        <f>SUM(G825:G836)</f>
        <v>357.20000000000005</v>
      </c>
      <c r="H837" s="37"/>
      <c r="I837" s="37"/>
      <c r="J837" s="37"/>
      <c r="K837" s="37"/>
      <c r="L837" s="37"/>
      <c r="M837" s="110">
        <f ca="1">IFERROR(SUM(M825:M836),"")</f>
        <v>2.0833333333333259E-2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251</v>
      </c>
      <c r="G838" s="111">
        <f>G824+G837</f>
        <v>1067</v>
      </c>
      <c r="H838" s="41"/>
      <c r="I838" s="41"/>
      <c r="J838" s="41"/>
      <c r="K838" s="41"/>
      <c r="L838" s="41"/>
      <c r="M838" s="112">
        <f ca="1">IFERROR(M824+M837,"")</f>
        <v>0.12569444444444439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E830" sqref="E8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53</v>
      </c>
      <c r="G837" s="109">
        <f>SUM(G825:G836)</f>
        <v>231.4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148</v>
      </c>
      <c r="G838" s="111">
        <f>G824+G837</f>
        <v>630.4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E836" sqref="E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0.72819131944561377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0.9274968750011694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1.2948579861122804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/>
      <c r="G829" s="104" t="str">
        <f>IF(F829="","",IF(E829="PC 17",F829*4.2,IF(E829="PC 19",F829*5,"")))</f>
        <v/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39</v>
      </c>
      <c r="G837" s="109">
        <f>SUM(G825:G836)</f>
        <v>163.80000000000001</v>
      </c>
      <c r="H837" s="37"/>
      <c r="I837" s="37"/>
      <c r="J837" s="37"/>
      <c r="K837" s="37"/>
      <c r="L837" s="37"/>
      <c r="M837" s="110">
        <f ca="1">IFERROR(SUM(M825:M836),"")</f>
        <v>3.0555555555555558E-2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158</v>
      </c>
      <c r="G838" s="111">
        <f>G824+G837</f>
        <v>663.60000000000014</v>
      </c>
      <c r="H838" s="41"/>
      <c r="I838" s="41"/>
      <c r="J838" s="41"/>
      <c r="K838" s="41"/>
      <c r="L838" s="41"/>
      <c r="M838" s="112">
        <f ca="1">IFERROR(M824+M837,"")</f>
        <v>0.1465277777777777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2026-08-01T03:27:42Z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