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" documentId="11_8CA21ACF31E3AB7B5C886C6DCDDDBECA8A6B280C" xr6:coauthVersionLast="47" xr6:coauthVersionMax="47" xr10:uidLastSave="{4AB8A977-D0E3-4FB9-AA46-9DE281544AC8}"/>
  <bookViews>
    <workbookView xWindow="-108" yWindow="-108" windowWidth="23256" windowHeight="12456" tabRatio="500" xr2:uid="{00000000-000D-0000-FFFF-FFFF00000000}"/>
  </bookViews>
  <sheets>
    <sheet name="Dados" sheetId="1" r:id="rId1"/>
    <sheet name="Rejeito" sheetId="2" r:id="rId2"/>
    <sheet name="Resumo Diário" sheetId="3" r:id="rId3"/>
    <sheet name="Circuito" sheetId="4" r:id="rId4"/>
    <sheet name="Planilha1" sheetId="5" r:id="rId5"/>
    <sheet name="📋 Instruçõe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51" i="3" l="1"/>
  <c r="F151" i="3"/>
  <c r="E151" i="3"/>
  <c r="D151" i="3"/>
  <c r="C151" i="3"/>
  <c r="B151" i="3"/>
  <c r="H151" i="3" s="1"/>
  <c r="A151" i="3"/>
  <c r="G150" i="3"/>
  <c r="I150" i="3" s="1"/>
  <c r="E150" i="3"/>
  <c r="D150" i="3"/>
  <c r="H150" i="3" s="1"/>
  <c r="C150" i="3"/>
  <c r="B150" i="3"/>
  <c r="A150" i="3"/>
  <c r="G149" i="3"/>
  <c r="I149" i="3" s="1"/>
  <c r="E149" i="3"/>
  <c r="D149" i="3"/>
  <c r="C149" i="3"/>
  <c r="B149" i="3"/>
  <c r="H149" i="3" s="1"/>
  <c r="A149" i="3"/>
  <c r="E148" i="3"/>
  <c r="D148" i="3"/>
  <c r="G148" i="3" s="1"/>
  <c r="C148" i="3"/>
  <c r="B148" i="3"/>
  <c r="A148" i="3"/>
  <c r="M147" i="3"/>
  <c r="H147" i="3"/>
  <c r="G147" i="3"/>
  <c r="I147" i="3" s="1"/>
  <c r="E147" i="3"/>
  <c r="D147" i="3"/>
  <c r="C147" i="3"/>
  <c r="B147" i="3"/>
  <c r="A147" i="3"/>
  <c r="L146" i="3"/>
  <c r="E146" i="3"/>
  <c r="G146" i="3" s="1"/>
  <c r="D146" i="3"/>
  <c r="C146" i="3"/>
  <c r="B146" i="3"/>
  <c r="H146" i="3" s="1"/>
  <c r="A146" i="3"/>
  <c r="E145" i="3"/>
  <c r="D145" i="3"/>
  <c r="G145" i="3" s="1"/>
  <c r="C145" i="3"/>
  <c r="B145" i="3"/>
  <c r="H145" i="3" s="1"/>
  <c r="A145" i="3"/>
  <c r="E144" i="3"/>
  <c r="D144" i="3"/>
  <c r="C144" i="3"/>
  <c r="B144" i="3"/>
  <c r="A144" i="3"/>
  <c r="M143" i="3"/>
  <c r="G143" i="3"/>
  <c r="E143" i="3"/>
  <c r="D143" i="3"/>
  <c r="C143" i="3"/>
  <c r="B143" i="3"/>
  <c r="A143" i="3"/>
  <c r="E142" i="3"/>
  <c r="D142" i="3"/>
  <c r="C142" i="3"/>
  <c r="B142" i="3"/>
  <c r="H142" i="3" s="1"/>
  <c r="A142" i="3"/>
  <c r="G141" i="3"/>
  <c r="E141" i="3"/>
  <c r="D141" i="3"/>
  <c r="C141" i="3"/>
  <c r="B141" i="3"/>
  <c r="A141" i="3"/>
  <c r="G140" i="3"/>
  <c r="I140" i="3" s="1"/>
  <c r="E140" i="3"/>
  <c r="D140" i="3"/>
  <c r="C140" i="3"/>
  <c r="B140" i="3"/>
  <c r="H140" i="3" s="1"/>
  <c r="A140" i="3"/>
  <c r="E139" i="3"/>
  <c r="D139" i="3"/>
  <c r="H139" i="3" s="1"/>
  <c r="C139" i="3"/>
  <c r="B139" i="3"/>
  <c r="A139" i="3"/>
  <c r="E138" i="3"/>
  <c r="D138" i="3"/>
  <c r="C138" i="3"/>
  <c r="B138" i="3"/>
  <c r="A138" i="3"/>
  <c r="H137" i="3"/>
  <c r="E137" i="3"/>
  <c r="D137" i="3"/>
  <c r="C137" i="3"/>
  <c r="B137" i="3"/>
  <c r="A137" i="3"/>
  <c r="G136" i="3"/>
  <c r="I136" i="3" s="1"/>
  <c r="E136" i="3"/>
  <c r="D136" i="3"/>
  <c r="C136" i="3"/>
  <c r="B136" i="3"/>
  <c r="H136" i="3" s="1"/>
  <c r="A136" i="3"/>
  <c r="E135" i="3"/>
  <c r="D135" i="3"/>
  <c r="C135" i="3"/>
  <c r="B135" i="3"/>
  <c r="A135" i="3"/>
  <c r="N134" i="3"/>
  <c r="E134" i="3"/>
  <c r="D134" i="3"/>
  <c r="G134" i="3" s="1"/>
  <c r="C134" i="3"/>
  <c r="B134" i="3"/>
  <c r="A134" i="3"/>
  <c r="H133" i="3"/>
  <c r="E133" i="3"/>
  <c r="G133" i="3" s="1"/>
  <c r="I133" i="3" s="1"/>
  <c r="D133" i="3"/>
  <c r="C133" i="3"/>
  <c r="B133" i="3"/>
  <c r="A133" i="3"/>
  <c r="E132" i="3"/>
  <c r="D132" i="3"/>
  <c r="G132" i="3" s="1"/>
  <c r="C132" i="3"/>
  <c r="B132" i="3"/>
  <c r="H132" i="3" s="1"/>
  <c r="A132" i="3"/>
  <c r="E131" i="3"/>
  <c r="D131" i="3"/>
  <c r="C131" i="3"/>
  <c r="B131" i="3"/>
  <c r="H131" i="3" s="1"/>
  <c r="A131" i="3"/>
  <c r="E130" i="3"/>
  <c r="D130" i="3"/>
  <c r="G130" i="3" s="1"/>
  <c r="C130" i="3"/>
  <c r="B130" i="3"/>
  <c r="A130" i="3"/>
  <c r="H129" i="3"/>
  <c r="E129" i="3"/>
  <c r="D129" i="3"/>
  <c r="G129" i="3" s="1"/>
  <c r="C129" i="3"/>
  <c r="B129" i="3"/>
  <c r="A129" i="3"/>
  <c r="E128" i="3"/>
  <c r="D128" i="3"/>
  <c r="G128" i="3" s="1"/>
  <c r="C128" i="3"/>
  <c r="B128" i="3"/>
  <c r="H128" i="3" s="1"/>
  <c r="A128" i="3"/>
  <c r="G127" i="3"/>
  <c r="E127" i="3"/>
  <c r="D127" i="3"/>
  <c r="C127" i="3"/>
  <c r="B127" i="3"/>
  <c r="A127" i="3"/>
  <c r="H126" i="3"/>
  <c r="E126" i="3"/>
  <c r="D126" i="3"/>
  <c r="C126" i="3"/>
  <c r="B126" i="3"/>
  <c r="A126" i="3"/>
  <c r="H125" i="3"/>
  <c r="G125" i="3"/>
  <c r="E125" i="3"/>
  <c r="D125" i="3"/>
  <c r="C125" i="3"/>
  <c r="B125" i="3"/>
  <c r="A125" i="3"/>
  <c r="H124" i="3"/>
  <c r="G124" i="3"/>
  <c r="I124" i="3" s="1"/>
  <c r="E124" i="3"/>
  <c r="D124" i="3"/>
  <c r="C124" i="3"/>
  <c r="B124" i="3"/>
  <c r="A124" i="3"/>
  <c r="N123" i="3"/>
  <c r="M123" i="3"/>
  <c r="E123" i="3"/>
  <c r="D123" i="3"/>
  <c r="G123" i="3" s="1"/>
  <c r="C123" i="3"/>
  <c r="B123" i="3"/>
  <c r="A123" i="3"/>
  <c r="G122" i="3"/>
  <c r="E122" i="3"/>
  <c r="D122" i="3"/>
  <c r="H122" i="3" s="1"/>
  <c r="C122" i="3"/>
  <c r="B122" i="3"/>
  <c r="A122" i="3"/>
  <c r="E121" i="3"/>
  <c r="D121" i="3"/>
  <c r="C121" i="3"/>
  <c r="H121" i="3" s="1"/>
  <c r="B121" i="3"/>
  <c r="A121" i="3"/>
  <c r="E120" i="3"/>
  <c r="D120" i="3"/>
  <c r="G120" i="3" s="1"/>
  <c r="C120" i="3"/>
  <c r="B120" i="3"/>
  <c r="A120" i="3"/>
  <c r="M119" i="3"/>
  <c r="H119" i="3"/>
  <c r="I119" i="3" s="1"/>
  <c r="G119" i="3"/>
  <c r="E119" i="3"/>
  <c r="D119" i="3"/>
  <c r="C119" i="3"/>
  <c r="B119" i="3"/>
  <c r="A119" i="3"/>
  <c r="E118" i="3"/>
  <c r="D118" i="3"/>
  <c r="G118" i="3" s="1"/>
  <c r="C118" i="3"/>
  <c r="B118" i="3"/>
  <c r="A118" i="3"/>
  <c r="E117" i="3"/>
  <c r="D117" i="3"/>
  <c r="G117" i="3" s="1"/>
  <c r="I117" i="3" s="1"/>
  <c r="C117" i="3"/>
  <c r="B117" i="3"/>
  <c r="H117" i="3" s="1"/>
  <c r="A117" i="3"/>
  <c r="M116" i="3"/>
  <c r="H116" i="3"/>
  <c r="I116" i="3" s="1"/>
  <c r="G116" i="3"/>
  <c r="E116" i="3"/>
  <c r="D116" i="3"/>
  <c r="C116" i="3"/>
  <c r="B116" i="3"/>
  <c r="A116" i="3"/>
  <c r="E115" i="3"/>
  <c r="D115" i="3"/>
  <c r="C115" i="3"/>
  <c r="B115" i="3"/>
  <c r="H115" i="3" s="1"/>
  <c r="A115" i="3"/>
  <c r="H114" i="3"/>
  <c r="I114" i="3" s="1"/>
  <c r="E114" i="3"/>
  <c r="G114" i="3" s="1"/>
  <c r="D114" i="3"/>
  <c r="C114" i="3"/>
  <c r="B114" i="3"/>
  <c r="A114" i="3"/>
  <c r="G113" i="3"/>
  <c r="I113" i="3" s="1"/>
  <c r="E113" i="3"/>
  <c r="D113" i="3"/>
  <c r="C113" i="3"/>
  <c r="B113" i="3"/>
  <c r="H113" i="3" s="1"/>
  <c r="A113" i="3"/>
  <c r="H112" i="3"/>
  <c r="G112" i="3"/>
  <c r="E112" i="3"/>
  <c r="D112" i="3"/>
  <c r="C112" i="3"/>
  <c r="B112" i="3"/>
  <c r="A112" i="3"/>
  <c r="E111" i="3"/>
  <c r="G111" i="3" s="1"/>
  <c r="I111" i="3" s="1"/>
  <c r="D111" i="3"/>
  <c r="C111" i="3"/>
  <c r="H111" i="3" s="1"/>
  <c r="B111" i="3"/>
  <c r="A111" i="3"/>
  <c r="E110" i="3"/>
  <c r="D110" i="3"/>
  <c r="C110" i="3"/>
  <c r="B110" i="3"/>
  <c r="A110" i="3"/>
  <c r="E109" i="3"/>
  <c r="D109" i="3"/>
  <c r="G109" i="3" s="1"/>
  <c r="C109" i="3"/>
  <c r="B109" i="3"/>
  <c r="H109" i="3" s="1"/>
  <c r="A109" i="3"/>
  <c r="G108" i="3"/>
  <c r="I108" i="3" s="1"/>
  <c r="E108" i="3"/>
  <c r="D108" i="3"/>
  <c r="C108" i="3"/>
  <c r="B108" i="3"/>
  <c r="H108" i="3" s="1"/>
  <c r="A108" i="3"/>
  <c r="G107" i="3"/>
  <c r="I107" i="3" s="1"/>
  <c r="E107" i="3"/>
  <c r="D107" i="3"/>
  <c r="H107" i="3" s="1"/>
  <c r="C107" i="3"/>
  <c r="B107" i="3"/>
  <c r="A107" i="3"/>
  <c r="H106" i="3"/>
  <c r="G106" i="3"/>
  <c r="I106" i="3" s="1"/>
  <c r="E106" i="3"/>
  <c r="D106" i="3"/>
  <c r="C106" i="3"/>
  <c r="B106" i="3"/>
  <c r="A106" i="3"/>
  <c r="E105" i="3"/>
  <c r="D105" i="3"/>
  <c r="G105" i="3" s="1"/>
  <c r="C105" i="3"/>
  <c r="B105" i="3"/>
  <c r="A105" i="3"/>
  <c r="E104" i="3"/>
  <c r="D104" i="3"/>
  <c r="C104" i="3"/>
  <c r="B104" i="3"/>
  <c r="A104" i="3"/>
  <c r="G103" i="3"/>
  <c r="I103" i="3" s="1"/>
  <c r="E103" i="3"/>
  <c r="D103" i="3"/>
  <c r="C103" i="3"/>
  <c r="B103" i="3"/>
  <c r="H103" i="3" s="1"/>
  <c r="A103" i="3"/>
  <c r="E102" i="3"/>
  <c r="D102" i="3"/>
  <c r="C102" i="3"/>
  <c r="B102" i="3"/>
  <c r="A102" i="3"/>
  <c r="G101" i="3"/>
  <c r="I101" i="3" s="1"/>
  <c r="E101" i="3"/>
  <c r="D101" i="3"/>
  <c r="C101" i="3"/>
  <c r="B101" i="3"/>
  <c r="H101" i="3" s="1"/>
  <c r="A101" i="3"/>
  <c r="E100" i="3"/>
  <c r="D100" i="3"/>
  <c r="C100" i="3"/>
  <c r="B100" i="3"/>
  <c r="A100" i="3"/>
  <c r="E99" i="3"/>
  <c r="G99" i="3" s="1"/>
  <c r="D99" i="3"/>
  <c r="C99" i="3"/>
  <c r="B99" i="3"/>
  <c r="A99" i="3"/>
  <c r="N98" i="3"/>
  <c r="E98" i="3"/>
  <c r="D98" i="3"/>
  <c r="G98" i="3" s="1"/>
  <c r="C98" i="3"/>
  <c r="B98" i="3"/>
  <c r="A98" i="3"/>
  <c r="E97" i="3"/>
  <c r="D97" i="3"/>
  <c r="G97" i="3" s="1"/>
  <c r="C97" i="3"/>
  <c r="B97" i="3"/>
  <c r="H97" i="3" s="1"/>
  <c r="A97" i="3"/>
  <c r="E96" i="3"/>
  <c r="D96" i="3"/>
  <c r="C96" i="3"/>
  <c r="B96" i="3"/>
  <c r="A96" i="3"/>
  <c r="H95" i="3"/>
  <c r="E95" i="3"/>
  <c r="D95" i="3"/>
  <c r="G95" i="3" s="1"/>
  <c r="C95" i="3"/>
  <c r="B95" i="3"/>
  <c r="A95" i="3"/>
  <c r="H94" i="3"/>
  <c r="G94" i="3"/>
  <c r="I94" i="3" s="1"/>
  <c r="E94" i="3"/>
  <c r="D94" i="3"/>
  <c r="C94" i="3"/>
  <c r="B94" i="3"/>
  <c r="A94" i="3"/>
  <c r="I93" i="3"/>
  <c r="E93" i="3"/>
  <c r="D93" i="3"/>
  <c r="G93" i="3" s="1"/>
  <c r="C93" i="3"/>
  <c r="B93" i="3"/>
  <c r="H93" i="3" s="1"/>
  <c r="A93" i="3"/>
  <c r="H92" i="3"/>
  <c r="E92" i="3"/>
  <c r="G92" i="3" s="1"/>
  <c r="I92" i="3" s="1"/>
  <c r="D92" i="3"/>
  <c r="C92" i="3"/>
  <c r="B92" i="3"/>
  <c r="A92" i="3"/>
  <c r="F91" i="3"/>
  <c r="E91" i="3"/>
  <c r="G91" i="3" s="1"/>
  <c r="I91" i="3" s="1"/>
  <c r="D91" i="3"/>
  <c r="C91" i="3"/>
  <c r="B91" i="3"/>
  <c r="H91" i="3" s="1"/>
  <c r="A91" i="3"/>
  <c r="E90" i="3"/>
  <c r="D90" i="3"/>
  <c r="C90" i="3"/>
  <c r="B90" i="3"/>
  <c r="A90" i="3"/>
  <c r="G89" i="3"/>
  <c r="F89" i="3"/>
  <c r="E89" i="3"/>
  <c r="D89" i="3"/>
  <c r="H89" i="3" s="1"/>
  <c r="I89" i="3" s="1"/>
  <c r="C89" i="3"/>
  <c r="B89" i="3"/>
  <c r="A89" i="3"/>
  <c r="G88" i="3"/>
  <c r="E88" i="3"/>
  <c r="D88" i="3"/>
  <c r="C88" i="3"/>
  <c r="B88" i="3"/>
  <c r="H88" i="3" s="1"/>
  <c r="I88" i="3" s="1"/>
  <c r="A88" i="3"/>
  <c r="M87" i="3"/>
  <c r="E87" i="3"/>
  <c r="D87" i="3"/>
  <c r="G87" i="3" s="1"/>
  <c r="C87" i="3"/>
  <c r="B87" i="3"/>
  <c r="A87" i="3"/>
  <c r="E86" i="3"/>
  <c r="G86" i="3" s="1"/>
  <c r="I86" i="3" s="1"/>
  <c r="D86" i="3"/>
  <c r="C86" i="3"/>
  <c r="H86" i="3" s="1"/>
  <c r="B86" i="3"/>
  <c r="A86" i="3"/>
  <c r="H85" i="3"/>
  <c r="E85" i="3"/>
  <c r="G85" i="3" s="1"/>
  <c r="I85" i="3" s="1"/>
  <c r="D85" i="3"/>
  <c r="C85" i="3"/>
  <c r="B85" i="3"/>
  <c r="A85" i="3"/>
  <c r="E84" i="3"/>
  <c r="D84" i="3"/>
  <c r="G84" i="3" s="1"/>
  <c r="C84" i="3"/>
  <c r="B84" i="3"/>
  <c r="A84" i="3"/>
  <c r="H83" i="3"/>
  <c r="E83" i="3"/>
  <c r="G83" i="3" s="1"/>
  <c r="I83" i="3" s="1"/>
  <c r="D83" i="3"/>
  <c r="C83" i="3"/>
  <c r="B83" i="3"/>
  <c r="A83" i="3"/>
  <c r="C82" i="3"/>
  <c r="B82" i="3"/>
  <c r="A82" i="3"/>
  <c r="E81" i="3"/>
  <c r="C81" i="3"/>
  <c r="A81" i="3"/>
  <c r="H80" i="3"/>
  <c r="E80" i="3"/>
  <c r="D80" i="3"/>
  <c r="G80" i="3" s="1"/>
  <c r="C80" i="3"/>
  <c r="B80" i="3"/>
  <c r="A80" i="3"/>
  <c r="E79" i="3"/>
  <c r="D79" i="3"/>
  <c r="G79" i="3" s="1"/>
  <c r="C79" i="3"/>
  <c r="B79" i="3"/>
  <c r="A79" i="3"/>
  <c r="E78" i="3"/>
  <c r="D78" i="3"/>
  <c r="C78" i="3"/>
  <c r="H78" i="3" s="1"/>
  <c r="B78" i="3"/>
  <c r="A78" i="3"/>
  <c r="G77" i="3"/>
  <c r="I77" i="3" s="1"/>
  <c r="E77" i="3"/>
  <c r="D77" i="3"/>
  <c r="C77" i="3"/>
  <c r="B77" i="3"/>
  <c r="H77" i="3" s="1"/>
  <c r="A77" i="3"/>
  <c r="E76" i="3"/>
  <c r="D76" i="3"/>
  <c r="C76" i="3"/>
  <c r="B76" i="3"/>
  <c r="H76" i="3" s="1"/>
  <c r="A76" i="3"/>
  <c r="G75" i="3"/>
  <c r="I75" i="3" s="1"/>
  <c r="E75" i="3"/>
  <c r="D75" i="3"/>
  <c r="C75" i="3"/>
  <c r="B75" i="3"/>
  <c r="H75" i="3" s="1"/>
  <c r="A75" i="3"/>
  <c r="E74" i="3"/>
  <c r="D74" i="3"/>
  <c r="C74" i="3"/>
  <c r="B74" i="3"/>
  <c r="A74" i="3"/>
  <c r="E73" i="3"/>
  <c r="D73" i="3"/>
  <c r="G73" i="3" s="1"/>
  <c r="C73" i="3"/>
  <c r="B73" i="3"/>
  <c r="H73" i="3" s="1"/>
  <c r="A73" i="3"/>
  <c r="N72" i="3"/>
  <c r="H72" i="3"/>
  <c r="I72" i="3" s="1"/>
  <c r="F72" i="3"/>
  <c r="E72" i="3"/>
  <c r="D72" i="3"/>
  <c r="G72" i="3" s="1"/>
  <c r="C72" i="3"/>
  <c r="B72" i="3"/>
  <c r="A72" i="3"/>
  <c r="H71" i="3"/>
  <c r="E71" i="3"/>
  <c r="D71" i="3"/>
  <c r="C71" i="3"/>
  <c r="B71" i="3"/>
  <c r="A71" i="3"/>
  <c r="G70" i="3"/>
  <c r="E70" i="3"/>
  <c r="D70" i="3"/>
  <c r="C70" i="3"/>
  <c r="B70" i="3"/>
  <c r="H70" i="3" s="1"/>
  <c r="A70" i="3"/>
  <c r="E69" i="3"/>
  <c r="D69" i="3"/>
  <c r="G69" i="3" s="1"/>
  <c r="C69" i="3"/>
  <c r="B69" i="3"/>
  <c r="H69" i="3" s="1"/>
  <c r="A69" i="3"/>
  <c r="H68" i="3"/>
  <c r="E68" i="3"/>
  <c r="D68" i="3"/>
  <c r="G68" i="3" s="1"/>
  <c r="C68" i="3"/>
  <c r="B68" i="3"/>
  <c r="A68" i="3"/>
  <c r="E67" i="3"/>
  <c r="D67" i="3"/>
  <c r="C67" i="3"/>
  <c r="B67" i="3"/>
  <c r="A67" i="3"/>
  <c r="H66" i="3"/>
  <c r="G66" i="3"/>
  <c r="I66" i="3" s="1"/>
  <c r="E66" i="3"/>
  <c r="D66" i="3"/>
  <c r="C66" i="3"/>
  <c r="B66" i="3"/>
  <c r="A66" i="3"/>
  <c r="E65" i="3"/>
  <c r="D65" i="3"/>
  <c r="C65" i="3"/>
  <c r="B65" i="3"/>
  <c r="H65" i="3" s="1"/>
  <c r="A65" i="3"/>
  <c r="G64" i="3"/>
  <c r="I64" i="3" s="1"/>
  <c r="E64" i="3"/>
  <c r="D64" i="3"/>
  <c r="C64" i="3"/>
  <c r="B64" i="3"/>
  <c r="H64" i="3" s="1"/>
  <c r="A64" i="3"/>
  <c r="E63" i="3"/>
  <c r="D63" i="3"/>
  <c r="G63" i="3" s="1"/>
  <c r="C63" i="3"/>
  <c r="B63" i="3"/>
  <c r="A63" i="3"/>
  <c r="E62" i="3"/>
  <c r="D62" i="3"/>
  <c r="G62" i="3" s="1"/>
  <c r="C62" i="3"/>
  <c r="B62" i="3"/>
  <c r="H62" i="3" s="1"/>
  <c r="I62" i="3" s="1"/>
  <c r="A62" i="3"/>
  <c r="N61" i="3"/>
  <c r="G61" i="3"/>
  <c r="E61" i="3"/>
  <c r="D61" i="3"/>
  <c r="C61" i="3"/>
  <c r="B61" i="3"/>
  <c r="H61" i="3" s="1"/>
  <c r="I61" i="3" s="1"/>
  <c r="A61" i="3"/>
  <c r="H60" i="3"/>
  <c r="E60" i="3"/>
  <c r="D60" i="3"/>
  <c r="C60" i="3"/>
  <c r="B60" i="3"/>
  <c r="A60" i="3"/>
  <c r="H59" i="3"/>
  <c r="E59" i="3"/>
  <c r="G59" i="3" s="1"/>
  <c r="D59" i="3"/>
  <c r="C59" i="3"/>
  <c r="B59" i="3"/>
  <c r="A59" i="3"/>
  <c r="G58" i="3"/>
  <c r="I58" i="3" s="1"/>
  <c r="E58" i="3"/>
  <c r="D58" i="3"/>
  <c r="C58" i="3"/>
  <c r="B58" i="3"/>
  <c r="H58" i="3" s="1"/>
  <c r="A58" i="3"/>
  <c r="G57" i="3"/>
  <c r="I57" i="3" s="1"/>
  <c r="E57" i="3"/>
  <c r="D57" i="3"/>
  <c r="C57" i="3"/>
  <c r="B57" i="3"/>
  <c r="H57" i="3" s="1"/>
  <c r="A57" i="3"/>
  <c r="H56" i="3"/>
  <c r="E56" i="3"/>
  <c r="G56" i="3" s="1"/>
  <c r="I56" i="3" s="1"/>
  <c r="D56" i="3"/>
  <c r="C56" i="3"/>
  <c r="B56" i="3"/>
  <c r="A56" i="3"/>
  <c r="E55" i="3"/>
  <c r="D55" i="3"/>
  <c r="C55" i="3"/>
  <c r="B55" i="3"/>
  <c r="H55" i="3" s="1"/>
  <c r="A55" i="3"/>
  <c r="E54" i="3"/>
  <c r="D54" i="3"/>
  <c r="G54" i="3" s="1"/>
  <c r="C54" i="3"/>
  <c r="B54" i="3"/>
  <c r="H54" i="3" s="1"/>
  <c r="A54" i="3"/>
  <c r="E53" i="3"/>
  <c r="G53" i="3" s="1"/>
  <c r="I53" i="3" s="1"/>
  <c r="D53" i="3"/>
  <c r="H53" i="3" s="1"/>
  <c r="C53" i="3"/>
  <c r="B53" i="3"/>
  <c r="A53" i="3"/>
  <c r="E52" i="3"/>
  <c r="D52" i="3"/>
  <c r="C52" i="3"/>
  <c r="B52" i="3"/>
  <c r="A52" i="3"/>
  <c r="E51" i="3"/>
  <c r="D51" i="3"/>
  <c r="H51" i="3" s="1"/>
  <c r="C51" i="3"/>
  <c r="B51" i="3"/>
  <c r="A51" i="3"/>
  <c r="I50" i="3"/>
  <c r="E50" i="3"/>
  <c r="D50" i="3"/>
  <c r="G50" i="3" s="1"/>
  <c r="C50" i="3"/>
  <c r="B50" i="3"/>
  <c r="H50" i="3" s="1"/>
  <c r="A50" i="3"/>
  <c r="H49" i="3"/>
  <c r="I49" i="3" s="1"/>
  <c r="E49" i="3"/>
  <c r="D49" i="3"/>
  <c r="G49" i="3" s="1"/>
  <c r="C49" i="3"/>
  <c r="B49" i="3"/>
  <c r="A49" i="3"/>
  <c r="H48" i="3"/>
  <c r="G48" i="3"/>
  <c r="I48" i="3" s="1"/>
  <c r="E48" i="3"/>
  <c r="D48" i="3"/>
  <c r="C48" i="3"/>
  <c r="B48" i="3"/>
  <c r="A48" i="3"/>
  <c r="H47" i="3"/>
  <c r="I47" i="3" s="1"/>
  <c r="E47" i="3"/>
  <c r="D47" i="3"/>
  <c r="G47" i="3" s="1"/>
  <c r="C47" i="3"/>
  <c r="B47" i="3"/>
  <c r="A47" i="3"/>
  <c r="E46" i="3"/>
  <c r="D46" i="3"/>
  <c r="G46" i="3" s="1"/>
  <c r="C46" i="3"/>
  <c r="B46" i="3"/>
  <c r="A46" i="3"/>
  <c r="G45" i="3"/>
  <c r="I45" i="3" s="1"/>
  <c r="E45" i="3"/>
  <c r="D45" i="3"/>
  <c r="H45" i="3" s="1"/>
  <c r="C45" i="3"/>
  <c r="B45" i="3"/>
  <c r="A45" i="3"/>
  <c r="G44" i="3"/>
  <c r="I44" i="3" s="1"/>
  <c r="E44" i="3"/>
  <c r="D44" i="3"/>
  <c r="H44" i="3" s="1"/>
  <c r="C44" i="3"/>
  <c r="B44" i="3"/>
  <c r="A44" i="3"/>
  <c r="M43" i="3"/>
  <c r="E43" i="3"/>
  <c r="D43" i="3"/>
  <c r="G43" i="3" s="1"/>
  <c r="C43" i="3"/>
  <c r="B43" i="3"/>
  <c r="A43" i="3"/>
  <c r="I42" i="3"/>
  <c r="E42" i="3"/>
  <c r="D42" i="3"/>
  <c r="G42" i="3" s="1"/>
  <c r="C42" i="3"/>
  <c r="B42" i="3"/>
  <c r="H42" i="3" s="1"/>
  <c r="A42" i="3"/>
  <c r="E41" i="3"/>
  <c r="G41" i="3" s="1"/>
  <c r="D41" i="3"/>
  <c r="C41" i="3"/>
  <c r="B41" i="3"/>
  <c r="H41" i="3" s="1"/>
  <c r="A41" i="3"/>
  <c r="E40" i="3"/>
  <c r="D40" i="3"/>
  <c r="C40" i="3"/>
  <c r="B40" i="3"/>
  <c r="A40" i="3"/>
  <c r="E39" i="3"/>
  <c r="G39" i="3" s="1"/>
  <c r="I39" i="3" s="1"/>
  <c r="D39" i="3"/>
  <c r="C39" i="3"/>
  <c r="B39" i="3"/>
  <c r="H39" i="3" s="1"/>
  <c r="A39" i="3"/>
  <c r="H38" i="3"/>
  <c r="E38" i="3"/>
  <c r="D38" i="3"/>
  <c r="G38" i="3" s="1"/>
  <c r="C38" i="3"/>
  <c r="B38" i="3"/>
  <c r="A38" i="3"/>
  <c r="M37" i="3"/>
  <c r="G37" i="3"/>
  <c r="E37" i="3"/>
  <c r="D37" i="3"/>
  <c r="C37" i="3"/>
  <c r="B37" i="3"/>
  <c r="H37" i="3" s="1"/>
  <c r="A37" i="3"/>
  <c r="E36" i="3"/>
  <c r="G36" i="3" s="1"/>
  <c r="I36" i="3" s="1"/>
  <c r="D36" i="3"/>
  <c r="C36" i="3"/>
  <c r="B36" i="3"/>
  <c r="H36" i="3" s="1"/>
  <c r="A36" i="3"/>
  <c r="H35" i="3"/>
  <c r="E35" i="3"/>
  <c r="D35" i="3"/>
  <c r="G35" i="3" s="1"/>
  <c r="C35" i="3"/>
  <c r="B35" i="3"/>
  <c r="A35" i="3"/>
  <c r="G34" i="3"/>
  <c r="E34" i="3"/>
  <c r="D34" i="3"/>
  <c r="H34" i="3" s="1"/>
  <c r="I34" i="3" s="1"/>
  <c r="C34" i="3"/>
  <c r="B34" i="3"/>
  <c r="A34" i="3"/>
  <c r="G33" i="3"/>
  <c r="E33" i="3"/>
  <c r="D33" i="3"/>
  <c r="C33" i="3"/>
  <c r="B33" i="3"/>
  <c r="A33" i="3"/>
  <c r="L32" i="3"/>
  <c r="E32" i="3"/>
  <c r="D32" i="3"/>
  <c r="G32" i="3" s="1"/>
  <c r="C32" i="3"/>
  <c r="B32" i="3"/>
  <c r="A32" i="3"/>
  <c r="H31" i="3"/>
  <c r="G31" i="3"/>
  <c r="I31" i="3" s="1"/>
  <c r="E31" i="3"/>
  <c r="D31" i="3"/>
  <c r="C31" i="3"/>
  <c r="B31" i="3"/>
  <c r="A31" i="3"/>
  <c r="H30" i="3"/>
  <c r="E30" i="3"/>
  <c r="G30" i="3" s="1"/>
  <c r="D30" i="3"/>
  <c r="C30" i="3"/>
  <c r="B30" i="3"/>
  <c r="A30" i="3"/>
  <c r="E29" i="3"/>
  <c r="D29" i="3"/>
  <c r="G29" i="3" s="1"/>
  <c r="C29" i="3"/>
  <c r="B29" i="3"/>
  <c r="A29" i="3"/>
  <c r="N28" i="3"/>
  <c r="M28" i="3"/>
  <c r="G28" i="3"/>
  <c r="E28" i="3"/>
  <c r="D28" i="3"/>
  <c r="C28" i="3"/>
  <c r="B28" i="3"/>
  <c r="H28" i="3" s="1"/>
  <c r="A28" i="3"/>
  <c r="E27" i="3"/>
  <c r="D27" i="3"/>
  <c r="G27" i="3" s="1"/>
  <c r="C27" i="3"/>
  <c r="B27" i="3"/>
  <c r="A27" i="3"/>
  <c r="I26" i="3"/>
  <c r="E26" i="3"/>
  <c r="G26" i="3" s="1"/>
  <c r="D26" i="3"/>
  <c r="C26" i="3"/>
  <c r="B26" i="3"/>
  <c r="H26" i="3" s="1"/>
  <c r="A26" i="3"/>
  <c r="E25" i="3"/>
  <c r="G25" i="3" s="1"/>
  <c r="I25" i="3" s="1"/>
  <c r="D25" i="3"/>
  <c r="C25" i="3"/>
  <c r="B25" i="3"/>
  <c r="H25" i="3" s="1"/>
  <c r="A25" i="3"/>
  <c r="H24" i="3"/>
  <c r="I24" i="3" s="1"/>
  <c r="E24" i="3"/>
  <c r="D24" i="3"/>
  <c r="G24" i="3" s="1"/>
  <c r="C24" i="3"/>
  <c r="B24" i="3"/>
  <c r="A24" i="3"/>
  <c r="H23" i="3"/>
  <c r="E23" i="3"/>
  <c r="G23" i="3" s="1"/>
  <c r="I23" i="3" s="1"/>
  <c r="D23" i="3"/>
  <c r="C23" i="3"/>
  <c r="B23" i="3"/>
  <c r="A23" i="3"/>
  <c r="H22" i="3"/>
  <c r="E22" i="3"/>
  <c r="D22" i="3"/>
  <c r="C22" i="3"/>
  <c r="B22" i="3"/>
  <c r="A22" i="3"/>
  <c r="E21" i="3"/>
  <c r="D21" i="3"/>
  <c r="C21" i="3"/>
  <c r="B21" i="3"/>
  <c r="H21" i="3" s="1"/>
  <c r="A21" i="3"/>
  <c r="H20" i="3"/>
  <c r="G20" i="3"/>
  <c r="E20" i="3"/>
  <c r="D20" i="3"/>
  <c r="C20" i="3"/>
  <c r="B20" i="3"/>
  <c r="A20" i="3"/>
  <c r="E19" i="3"/>
  <c r="G19" i="3" s="1"/>
  <c r="D19" i="3"/>
  <c r="C19" i="3"/>
  <c r="B19" i="3"/>
  <c r="H19" i="3" s="1"/>
  <c r="A19" i="3"/>
  <c r="E18" i="3"/>
  <c r="D18" i="3"/>
  <c r="H18" i="3" s="1"/>
  <c r="C18" i="3"/>
  <c r="B18" i="3"/>
  <c r="A18" i="3"/>
  <c r="G17" i="3"/>
  <c r="E17" i="3"/>
  <c r="D17" i="3"/>
  <c r="C17" i="3"/>
  <c r="B17" i="3"/>
  <c r="H17" i="3" s="1"/>
  <c r="A17" i="3"/>
  <c r="E16" i="3"/>
  <c r="D16" i="3"/>
  <c r="C16" i="3"/>
  <c r="B16" i="3"/>
  <c r="A16" i="3"/>
  <c r="I15" i="3"/>
  <c r="H15" i="3"/>
  <c r="E15" i="3"/>
  <c r="G15" i="3" s="1"/>
  <c r="D15" i="3"/>
  <c r="C15" i="3"/>
  <c r="B15" i="3"/>
  <c r="A15" i="3"/>
  <c r="H14" i="3"/>
  <c r="E14" i="3"/>
  <c r="D14" i="3"/>
  <c r="G14" i="3" s="1"/>
  <c r="I14" i="3" s="1"/>
  <c r="C14" i="3"/>
  <c r="B14" i="3"/>
  <c r="A14" i="3"/>
  <c r="E13" i="3"/>
  <c r="D13" i="3"/>
  <c r="C13" i="3"/>
  <c r="B13" i="3"/>
  <c r="A13" i="3"/>
  <c r="H12" i="3"/>
  <c r="E12" i="3"/>
  <c r="G12" i="3" s="1"/>
  <c r="I12" i="3" s="1"/>
  <c r="D12" i="3"/>
  <c r="C12" i="3"/>
  <c r="B12" i="3"/>
  <c r="A12" i="3"/>
  <c r="M11" i="3"/>
  <c r="E11" i="3"/>
  <c r="D11" i="3"/>
  <c r="G11" i="3" s="1"/>
  <c r="C11" i="3"/>
  <c r="B11" i="3"/>
  <c r="H11" i="3" s="1"/>
  <c r="A11" i="3"/>
  <c r="L10" i="3"/>
  <c r="G10" i="3"/>
  <c r="I10" i="3" s="1"/>
  <c r="E10" i="3"/>
  <c r="D10" i="3"/>
  <c r="C10" i="3"/>
  <c r="B10" i="3"/>
  <c r="H10" i="3" s="1"/>
  <c r="A10" i="3"/>
  <c r="F9" i="3"/>
  <c r="E9" i="3"/>
  <c r="D9" i="3"/>
  <c r="G9" i="3" s="1"/>
  <c r="C9" i="3"/>
  <c r="B9" i="3"/>
  <c r="H9" i="3" s="1"/>
  <c r="A9" i="3"/>
  <c r="G8" i="3"/>
  <c r="I8" i="3" s="1"/>
  <c r="E8" i="3"/>
  <c r="D8" i="3"/>
  <c r="H8" i="3" s="1"/>
  <c r="C8" i="3"/>
  <c r="B8" i="3"/>
  <c r="A8" i="3"/>
  <c r="E7" i="3"/>
  <c r="G7" i="3" s="1"/>
  <c r="I7" i="3" s="1"/>
  <c r="D7" i="3"/>
  <c r="C7" i="3"/>
  <c r="B7" i="3"/>
  <c r="H7" i="3" s="1"/>
  <c r="A7" i="3"/>
  <c r="E6" i="3"/>
  <c r="D6" i="3"/>
  <c r="C6" i="3"/>
  <c r="B6" i="3"/>
  <c r="H6" i="3" s="1"/>
  <c r="A6" i="3"/>
  <c r="E5" i="3"/>
  <c r="G5" i="3" s="1"/>
  <c r="D5" i="3"/>
  <c r="C5" i="3"/>
  <c r="B5" i="3"/>
  <c r="A5" i="3"/>
  <c r="H4" i="3"/>
  <c r="G4" i="3"/>
  <c r="I4" i="3" s="1"/>
  <c r="E4" i="3"/>
  <c r="D4" i="3"/>
  <c r="C4" i="3"/>
  <c r="B4" i="3"/>
  <c r="A4" i="3"/>
  <c r="G3" i="3"/>
  <c r="I3" i="3" s="1"/>
  <c r="E3" i="3"/>
  <c r="D3" i="3"/>
  <c r="C3" i="3"/>
  <c r="B3" i="3"/>
  <c r="H3" i="3" s="1"/>
  <c r="A3" i="3"/>
  <c r="H2" i="3"/>
  <c r="G2" i="3"/>
  <c r="I2" i="3" s="1"/>
  <c r="E2" i="3"/>
  <c r="D2" i="3"/>
  <c r="C2" i="3"/>
  <c r="B2" i="3"/>
  <c r="A2" i="3"/>
  <c r="S71" i="2"/>
  <c r="Q71" i="2"/>
  <c r="T71" i="2" s="1"/>
  <c r="O71" i="2"/>
  <c r="R71" i="2" s="1"/>
  <c r="U71" i="2" s="1"/>
  <c r="N71" i="2"/>
  <c r="M71" i="2"/>
  <c r="P71" i="2" s="1"/>
  <c r="L71" i="2"/>
  <c r="K71" i="2"/>
  <c r="P70" i="2"/>
  <c r="S70" i="2" s="1"/>
  <c r="O70" i="2"/>
  <c r="R70" i="2" s="1"/>
  <c r="U70" i="2" s="1"/>
  <c r="N70" i="2"/>
  <c r="Q70" i="2" s="1"/>
  <c r="T70" i="2" s="1"/>
  <c r="M70" i="2"/>
  <c r="L70" i="2"/>
  <c r="K70" i="2"/>
  <c r="U69" i="2"/>
  <c r="T69" i="2"/>
  <c r="O69" i="2"/>
  <c r="R69" i="2" s="1"/>
  <c r="N69" i="2"/>
  <c r="Q69" i="2" s="1"/>
  <c r="M69" i="2"/>
  <c r="P69" i="2" s="1"/>
  <c r="S69" i="2" s="1"/>
  <c r="L69" i="2"/>
  <c r="K69" i="2"/>
  <c r="S68" i="2"/>
  <c r="Q68" i="2"/>
  <c r="T68" i="2" s="1"/>
  <c r="N68" i="2"/>
  <c r="M68" i="2"/>
  <c r="P68" i="2" s="1"/>
  <c r="L68" i="2"/>
  <c r="K68" i="2"/>
  <c r="O68" i="2" s="1"/>
  <c r="R68" i="2" s="1"/>
  <c r="U68" i="2" s="1"/>
  <c r="T67" i="2"/>
  <c r="R67" i="2"/>
  <c r="U67" i="2" s="1"/>
  <c r="Q67" i="2"/>
  <c r="O67" i="2"/>
  <c r="N67" i="2"/>
  <c r="M67" i="2"/>
  <c r="P67" i="2" s="1"/>
  <c r="S67" i="2" s="1"/>
  <c r="L67" i="2"/>
  <c r="K67" i="2"/>
  <c r="Q66" i="2"/>
  <c r="T66" i="2" s="1"/>
  <c r="P66" i="2"/>
  <c r="S66" i="2" s="1"/>
  <c r="N66" i="2"/>
  <c r="M66" i="2"/>
  <c r="L66" i="2"/>
  <c r="K66" i="2"/>
  <c r="O66" i="2" s="1"/>
  <c r="R66" i="2" s="1"/>
  <c r="U66" i="2" s="1"/>
  <c r="R65" i="2"/>
  <c r="O65" i="2"/>
  <c r="N65" i="2"/>
  <c r="Q65" i="2" s="1"/>
  <c r="T65" i="2" s="1"/>
  <c r="M65" i="2"/>
  <c r="P65" i="2" s="1"/>
  <c r="S65" i="2" s="1"/>
  <c r="L65" i="2"/>
  <c r="K65" i="2"/>
  <c r="P64" i="2"/>
  <c r="S64" i="2" s="1"/>
  <c r="O64" i="2"/>
  <c r="R64" i="2" s="1"/>
  <c r="N64" i="2"/>
  <c r="Q64" i="2" s="1"/>
  <c r="T64" i="2" s="1"/>
  <c r="M64" i="2"/>
  <c r="L64" i="2"/>
  <c r="K64" i="2"/>
  <c r="T63" i="2"/>
  <c r="S63" i="2"/>
  <c r="Q63" i="2"/>
  <c r="P63" i="2"/>
  <c r="N63" i="2"/>
  <c r="M63" i="2"/>
  <c r="L63" i="2"/>
  <c r="K63" i="2"/>
  <c r="O63" i="2" s="1"/>
  <c r="R63" i="2" s="1"/>
  <c r="U63" i="2" s="1"/>
  <c r="S62" i="2"/>
  <c r="R62" i="2"/>
  <c r="U62" i="2" s="1"/>
  <c r="V62" i="2" s="1"/>
  <c r="P62" i="2"/>
  <c r="O62" i="2"/>
  <c r="N62" i="2"/>
  <c r="Q62" i="2" s="1"/>
  <c r="T62" i="2" s="1"/>
  <c r="M62" i="2"/>
  <c r="L62" i="2"/>
  <c r="K62" i="2"/>
  <c r="Q61" i="2"/>
  <c r="T61" i="2" s="1"/>
  <c r="P61" i="2"/>
  <c r="S61" i="2" s="1"/>
  <c r="N61" i="2"/>
  <c r="M61" i="2"/>
  <c r="L61" i="2"/>
  <c r="K61" i="2"/>
  <c r="O61" i="2" s="1"/>
  <c r="R61" i="2" s="1"/>
  <c r="U61" i="2" s="1"/>
  <c r="S60" i="2"/>
  <c r="N60" i="2"/>
  <c r="Q60" i="2" s="1"/>
  <c r="T60" i="2" s="1"/>
  <c r="M60" i="2"/>
  <c r="P60" i="2" s="1"/>
  <c r="L60" i="2"/>
  <c r="O60" i="2" s="1"/>
  <c r="R60" i="2" s="1"/>
  <c r="U60" i="2" s="1"/>
  <c r="K60" i="2"/>
  <c r="U59" i="2"/>
  <c r="S59" i="2"/>
  <c r="R59" i="2"/>
  <c r="Q59" i="2"/>
  <c r="T59" i="2" s="1"/>
  <c r="N59" i="2"/>
  <c r="M59" i="2"/>
  <c r="P59" i="2" s="1"/>
  <c r="L59" i="2"/>
  <c r="O59" i="2" s="1"/>
  <c r="K59" i="2"/>
  <c r="T58" i="2"/>
  <c r="P58" i="2"/>
  <c r="S58" i="2" s="1"/>
  <c r="N58" i="2"/>
  <c r="Q58" i="2" s="1"/>
  <c r="M58" i="2"/>
  <c r="L58" i="2"/>
  <c r="K58" i="2"/>
  <c r="O58" i="2" s="1"/>
  <c r="R58" i="2" s="1"/>
  <c r="S57" i="2"/>
  <c r="Q57" i="2"/>
  <c r="T57" i="2" s="1"/>
  <c r="P57" i="2"/>
  <c r="O57" i="2"/>
  <c r="R57" i="2" s="1"/>
  <c r="N57" i="2"/>
  <c r="M57" i="2"/>
  <c r="L57" i="2"/>
  <c r="K57" i="2"/>
  <c r="Q56" i="2"/>
  <c r="T56" i="2" s="1"/>
  <c r="P56" i="2"/>
  <c r="S56" i="2" s="1"/>
  <c r="O56" i="2"/>
  <c r="R56" i="2" s="1"/>
  <c r="U56" i="2" s="1"/>
  <c r="N56" i="2"/>
  <c r="M56" i="2"/>
  <c r="L56" i="2"/>
  <c r="K56" i="2"/>
  <c r="N55" i="2"/>
  <c r="Q55" i="2" s="1"/>
  <c r="T55" i="2" s="1"/>
  <c r="M55" i="2"/>
  <c r="P55" i="2" s="1"/>
  <c r="S55" i="2" s="1"/>
  <c r="L55" i="2"/>
  <c r="K55" i="2"/>
  <c r="R54" i="2"/>
  <c r="Q54" i="2"/>
  <c r="T54" i="2" s="1"/>
  <c r="N54" i="2"/>
  <c r="M54" i="2"/>
  <c r="P54" i="2" s="1"/>
  <c r="S54" i="2" s="1"/>
  <c r="L54" i="2"/>
  <c r="K54" i="2"/>
  <c r="O54" i="2" s="1"/>
  <c r="T53" i="2"/>
  <c r="S53" i="2"/>
  <c r="Q53" i="2"/>
  <c r="P53" i="2"/>
  <c r="O53" i="2"/>
  <c r="R53" i="2" s="1"/>
  <c r="N53" i="2"/>
  <c r="M53" i="2"/>
  <c r="L53" i="2"/>
  <c r="K53" i="2"/>
  <c r="S52" i="2"/>
  <c r="P52" i="2"/>
  <c r="N52" i="2"/>
  <c r="Q52" i="2" s="1"/>
  <c r="T52" i="2" s="1"/>
  <c r="M52" i="2"/>
  <c r="L52" i="2"/>
  <c r="K52" i="2"/>
  <c r="O52" i="2" s="1"/>
  <c r="R52" i="2" s="1"/>
  <c r="U52" i="2" s="1"/>
  <c r="Q51" i="2"/>
  <c r="T51" i="2" s="1"/>
  <c r="O51" i="2"/>
  <c r="R51" i="2" s="1"/>
  <c r="N51" i="2"/>
  <c r="M51" i="2"/>
  <c r="P51" i="2" s="1"/>
  <c r="S51" i="2" s="1"/>
  <c r="U51" i="2" s="1"/>
  <c r="W51" i="2" s="1"/>
  <c r="L51" i="2"/>
  <c r="K51" i="2"/>
  <c r="T50" i="2"/>
  <c r="P50" i="2"/>
  <c r="S50" i="2" s="1"/>
  <c r="N50" i="2"/>
  <c r="Q50" i="2" s="1"/>
  <c r="M50" i="2"/>
  <c r="L50" i="2"/>
  <c r="O50" i="2" s="1"/>
  <c r="R50" i="2" s="1"/>
  <c r="K50" i="2"/>
  <c r="S49" i="2"/>
  <c r="R49" i="2"/>
  <c r="Q49" i="2"/>
  <c r="T49" i="2" s="1"/>
  <c r="U49" i="2" s="1"/>
  <c r="N49" i="2"/>
  <c r="M49" i="2"/>
  <c r="P49" i="2" s="1"/>
  <c r="L49" i="2"/>
  <c r="K49" i="2"/>
  <c r="O49" i="2" s="1"/>
  <c r="S48" i="2"/>
  <c r="Q48" i="2"/>
  <c r="T48" i="2" s="1"/>
  <c r="P48" i="2"/>
  <c r="N48" i="2"/>
  <c r="M48" i="2"/>
  <c r="L48" i="2"/>
  <c r="K48" i="2"/>
  <c r="O48" i="2" s="1"/>
  <c r="R48" i="2" s="1"/>
  <c r="U48" i="2" s="1"/>
  <c r="S47" i="2"/>
  <c r="N47" i="2"/>
  <c r="Q47" i="2" s="1"/>
  <c r="T47" i="2" s="1"/>
  <c r="M47" i="2"/>
  <c r="P47" i="2" s="1"/>
  <c r="L47" i="2"/>
  <c r="K47" i="2"/>
  <c r="T46" i="2"/>
  <c r="Q46" i="2"/>
  <c r="N46" i="2"/>
  <c r="M46" i="2"/>
  <c r="P46" i="2" s="1"/>
  <c r="S46" i="2" s="1"/>
  <c r="L46" i="2"/>
  <c r="K46" i="2"/>
  <c r="R45" i="2"/>
  <c r="P45" i="2"/>
  <c r="S45" i="2" s="1"/>
  <c r="N45" i="2"/>
  <c r="Q45" i="2" s="1"/>
  <c r="T45" i="2" s="1"/>
  <c r="M45" i="2"/>
  <c r="L45" i="2"/>
  <c r="O45" i="2" s="1"/>
  <c r="K45" i="2"/>
  <c r="S44" i="2"/>
  <c r="U44" i="2" s="1"/>
  <c r="R44" i="2"/>
  <c r="N44" i="2"/>
  <c r="Q44" i="2" s="1"/>
  <c r="T44" i="2" s="1"/>
  <c r="M44" i="2"/>
  <c r="P44" i="2" s="1"/>
  <c r="L44" i="2"/>
  <c r="O44" i="2" s="1"/>
  <c r="K44" i="2"/>
  <c r="R43" i="2"/>
  <c r="N43" i="2"/>
  <c r="Q43" i="2" s="1"/>
  <c r="T43" i="2" s="1"/>
  <c r="M43" i="2"/>
  <c r="P43" i="2" s="1"/>
  <c r="S43" i="2" s="1"/>
  <c r="U43" i="2" s="1"/>
  <c r="L43" i="2"/>
  <c r="K43" i="2"/>
  <c r="O43" i="2" s="1"/>
  <c r="T42" i="2"/>
  <c r="U42" i="2" s="1"/>
  <c r="S42" i="2"/>
  <c r="P42" i="2"/>
  <c r="N42" i="2"/>
  <c r="Q42" i="2" s="1"/>
  <c r="M42" i="2"/>
  <c r="L42" i="2"/>
  <c r="K42" i="2"/>
  <c r="O42" i="2" s="1"/>
  <c r="R42" i="2" s="1"/>
  <c r="Q41" i="2"/>
  <c r="T41" i="2" s="1"/>
  <c r="P41" i="2"/>
  <c r="S41" i="2" s="1"/>
  <c r="N41" i="2"/>
  <c r="M41" i="2"/>
  <c r="L41" i="2"/>
  <c r="K41" i="2"/>
  <c r="O41" i="2" s="1"/>
  <c r="R41" i="2" s="1"/>
  <c r="U41" i="2" s="1"/>
  <c r="S40" i="2"/>
  <c r="R40" i="2"/>
  <c r="U40" i="2" s="1"/>
  <c r="P40" i="2"/>
  <c r="N40" i="2"/>
  <c r="Q40" i="2" s="1"/>
  <c r="T40" i="2" s="1"/>
  <c r="M40" i="2"/>
  <c r="L40" i="2"/>
  <c r="K40" i="2"/>
  <c r="O40" i="2" s="1"/>
  <c r="U39" i="2"/>
  <c r="V39" i="2" s="1"/>
  <c r="O39" i="2"/>
  <c r="R39" i="2" s="1"/>
  <c r="N39" i="2"/>
  <c r="Q39" i="2" s="1"/>
  <c r="T39" i="2" s="1"/>
  <c r="M39" i="2"/>
  <c r="P39" i="2" s="1"/>
  <c r="S39" i="2" s="1"/>
  <c r="L39" i="2"/>
  <c r="K39" i="2"/>
  <c r="T38" i="2"/>
  <c r="P38" i="2"/>
  <c r="S38" i="2" s="1"/>
  <c r="N38" i="2"/>
  <c r="Q38" i="2" s="1"/>
  <c r="M38" i="2"/>
  <c r="L38" i="2"/>
  <c r="K38" i="2"/>
  <c r="O38" i="2" s="1"/>
  <c r="R38" i="2" s="1"/>
  <c r="O37" i="2"/>
  <c r="R37" i="2" s="1"/>
  <c r="N37" i="2"/>
  <c r="Q37" i="2" s="1"/>
  <c r="T37" i="2" s="1"/>
  <c r="M37" i="2"/>
  <c r="P37" i="2" s="1"/>
  <c r="S37" i="2" s="1"/>
  <c r="L37" i="2"/>
  <c r="K37" i="2"/>
  <c r="P36" i="2"/>
  <c r="S36" i="2" s="1"/>
  <c r="O36" i="2"/>
  <c r="R36" i="2" s="1"/>
  <c r="N36" i="2"/>
  <c r="Q36" i="2" s="1"/>
  <c r="T36" i="2" s="1"/>
  <c r="U36" i="2" s="1"/>
  <c r="M36" i="2"/>
  <c r="L36" i="2"/>
  <c r="K36" i="2"/>
  <c r="S35" i="2"/>
  <c r="N35" i="2"/>
  <c r="Q35" i="2" s="1"/>
  <c r="T35" i="2" s="1"/>
  <c r="M35" i="2"/>
  <c r="P35" i="2" s="1"/>
  <c r="L35" i="2"/>
  <c r="K35" i="2"/>
  <c r="O35" i="2" s="1"/>
  <c r="R35" i="2" s="1"/>
  <c r="T34" i="2"/>
  <c r="P34" i="2"/>
  <c r="S34" i="2" s="1"/>
  <c r="O34" i="2"/>
  <c r="R34" i="2" s="1"/>
  <c r="U34" i="2" s="1"/>
  <c r="W34" i="2" s="1"/>
  <c r="N34" i="2"/>
  <c r="Q34" i="2" s="1"/>
  <c r="M34" i="2"/>
  <c r="L34" i="2"/>
  <c r="K34" i="2"/>
  <c r="S33" i="2"/>
  <c r="P33" i="2"/>
  <c r="N33" i="2"/>
  <c r="Q33" i="2" s="1"/>
  <c r="T33" i="2" s="1"/>
  <c r="M33" i="2"/>
  <c r="L33" i="2"/>
  <c r="K33" i="2"/>
  <c r="O33" i="2" s="1"/>
  <c r="R33" i="2" s="1"/>
  <c r="U33" i="2" s="1"/>
  <c r="S32" i="2"/>
  <c r="Q32" i="2"/>
  <c r="T32" i="2" s="1"/>
  <c r="P32" i="2"/>
  <c r="O32" i="2"/>
  <c r="R32" i="2" s="1"/>
  <c r="N32" i="2"/>
  <c r="M32" i="2"/>
  <c r="L32" i="2"/>
  <c r="K32" i="2"/>
  <c r="P31" i="2"/>
  <c r="S31" i="2" s="1"/>
  <c r="N31" i="2"/>
  <c r="Q31" i="2" s="1"/>
  <c r="T31" i="2" s="1"/>
  <c r="M31" i="2"/>
  <c r="L31" i="2"/>
  <c r="K31" i="2"/>
  <c r="O31" i="2" s="1"/>
  <c r="R31" i="2" s="1"/>
  <c r="U31" i="2" s="1"/>
  <c r="X30" i="2"/>
  <c r="Q30" i="2"/>
  <c r="T30" i="2" s="1"/>
  <c r="P30" i="2"/>
  <c r="S30" i="2" s="1"/>
  <c r="O30" i="2"/>
  <c r="R30" i="2" s="1"/>
  <c r="U30" i="2" s="1"/>
  <c r="V30" i="2" s="1"/>
  <c r="N30" i="2"/>
  <c r="M30" i="2"/>
  <c r="L30" i="2"/>
  <c r="K30" i="2"/>
  <c r="O29" i="2"/>
  <c r="R29" i="2" s="1"/>
  <c r="N29" i="2"/>
  <c r="Q29" i="2" s="1"/>
  <c r="T29" i="2" s="1"/>
  <c r="M29" i="2"/>
  <c r="P29" i="2" s="1"/>
  <c r="S29" i="2" s="1"/>
  <c r="L29" i="2"/>
  <c r="K29" i="2"/>
  <c r="T28" i="2"/>
  <c r="U28" i="2" s="1"/>
  <c r="R28" i="2"/>
  <c r="N28" i="2"/>
  <c r="Q28" i="2" s="1"/>
  <c r="M28" i="2"/>
  <c r="P28" i="2" s="1"/>
  <c r="S28" i="2" s="1"/>
  <c r="L28" i="2"/>
  <c r="K28" i="2"/>
  <c r="O28" i="2" s="1"/>
  <c r="O27" i="2"/>
  <c r="R27" i="2" s="1"/>
  <c r="N27" i="2"/>
  <c r="Q27" i="2" s="1"/>
  <c r="T27" i="2" s="1"/>
  <c r="M27" i="2"/>
  <c r="P27" i="2" s="1"/>
  <c r="S27" i="2" s="1"/>
  <c r="L27" i="2"/>
  <c r="K27" i="2"/>
  <c r="P26" i="2"/>
  <c r="S26" i="2" s="1"/>
  <c r="O26" i="2"/>
  <c r="R26" i="2" s="1"/>
  <c r="N26" i="2"/>
  <c r="Q26" i="2" s="1"/>
  <c r="T26" i="2" s="1"/>
  <c r="M26" i="2"/>
  <c r="L26" i="2"/>
  <c r="K26" i="2"/>
  <c r="P25" i="2"/>
  <c r="S25" i="2" s="1"/>
  <c r="O25" i="2"/>
  <c r="R25" i="2" s="1"/>
  <c r="N25" i="2"/>
  <c r="Q25" i="2" s="1"/>
  <c r="T25" i="2" s="1"/>
  <c r="M25" i="2"/>
  <c r="L25" i="2"/>
  <c r="K25" i="2"/>
  <c r="U24" i="2"/>
  <c r="N24" i="2"/>
  <c r="Q24" i="2" s="1"/>
  <c r="T24" i="2" s="1"/>
  <c r="M24" i="2"/>
  <c r="P24" i="2" s="1"/>
  <c r="S24" i="2" s="1"/>
  <c r="L24" i="2"/>
  <c r="K24" i="2"/>
  <c r="O24" i="2" s="1"/>
  <c r="R24" i="2" s="1"/>
  <c r="T23" i="2"/>
  <c r="P23" i="2"/>
  <c r="S23" i="2" s="1"/>
  <c r="N23" i="2"/>
  <c r="Q23" i="2" s="1"/>
  <c r="M23" i="2"/>
  <c r="L23" i="2"/>
  <c r="K23" i="2"/>
  <c r="O23" i="2" s="1"/>
  <c r="R23" i="2" s="1"/>
  <c r="U23" i="2" s="1"/>
  <c r="N22" i="2"/>
  <c r="Q22" i="2" s="1"/>
  <c r="T22" i="2" s="1"/>
  <c r="M22" i="2"/>
  <c r="P22" i="2" s="1"/>
  <c r="S22" i="2" s="1"/>
  <c r="L22" i="2"/>
  <c r="K22" i="2"/>
  <c r="O22" i="2" s="1"/>
  <c r="R22" i="2" s="1"/>
  <c r="T21" i="2"/>
  <c r="S21" i="2"/>
  <c r="Q21" i="2"/>
  <c r="P21" i="2"/>
  <c r="N21" i="2"/>
  <c r="M21" i="2"/>
  <c r="L21" i="2"/>
  <c r="O21" i="2" s="1"/>
  <c r="R21" i="2" s="1"/>
  <c r="U21" i="2" s="1"/>
  <c r="K21" i="2"/>
  <c r="T20" i="2"/>
  <c r="Q20" i="2"/>
  <c r="P20" i="2"/>
  <c r="S20" i="2" s="1"/>
  <c r="U20" i="2" s="1"/>
  <c r="O20" i="2"/>
  <c r="R20" i="2" s="1"/>
  <c r="N20" i="2"/>
  <c r="M20" i="2"/>
  <c r="L20" i="2"/>
  <c r="K20" i="2"/>
  <c r="N19" i="2"/>
  <c r="Q19" i="2" s="1"/>
  <c r="T19" i="2" s="1"/>
  <c r="M19" i="2"/>
  <c r="P19" i="2" s="1"/>
  <c r="S19" i="2" s="1"/>
  <c r="L19" i="2"/>
  <c r="K19" i="2"/>
  <c r="T18" i="2"/>
  <c r="P18" i="2"/>
  <c r="S18" i="2" s="1"/>
  <c r="O18" i="2"/>
  <c r="R18" i="2" s="1"/>
  <c r="U18" i="2" s="1"/>
  <c r="N18" i="2"/>
  <c r="Q18" i="2" s="1"/>
  <c r="M18" i="2"/>
  <c r="L18" i="2"/>
  <c r="K18" i="2"/>
  <c r="R17" i="2"/>
  <c r="N17" i="2"/>
  <c r="Q17" i="2" s="1"/>
  <c r="T17" i="2" s="1"/>
  <c r="M17" i="2"/>
  <c r="P17" i="2" s="1"/>
  <c r="S17" i="2" s="1"/>
  <c r="L17" i="2"/>
  <c r="K17" i="2"/>
  <c r="O17" i="2" s="1"/>
  <c r="N16" i="2"/>
  <c r="Q16" i="2" s="1"/>
  <c r="T16" i="2" s="1"/>
  <c r="M16" i="2"/>
  <c r="P16" i="2" s="1"/>
  <c r="S16" i="2" s="1"/>
  <c r="L16" i="2"/>
  <c r="O16" i="2" s="1"/>
  <c r="R16" i="2" s="1"/>
  <c r="U16" i="2" s="1"/>
  <c r="K16" i="2"/>
  <c r="T15" i="2"/>
  <c r="P15" i="2"/>
  <c r="S15" i="2" s="1"/>
  <c r="O15" i="2"/>
  <c r="R15" i="2" s="1"/>
  <c r="N15" i="2"/>
  <c r="Q15" i="2" s="1"/>
  <c r="M15" i="2"/>
  <c r="L15" i="2"/>
  <c r="K15" i="2"/>
  <c r="S14" i="2"/>
  <c r="N14" i="2"/>
  <c r="Q14" i="2" s="1"/>
  <c r="T14" i="2" s="1"/>
  <c r="M14" i="2"/>
  <c r="P14" i="2" s="1"/>
  <c r="L14" i="2"/>
  <c r="K14" i="2"/>
  <c r="N13" i="2"/>
  <c r="Q13" i="2" s="1"/>
  <c r="T13" i="2" s="1"/>
  <c r="M13" i="2"/>
  <c r="P13" i="2" s="1"/>
  <c r="S13" i="2" s="1"/>
  <c r="L13" i="2"/>
  <c r="K13" i="2"/>
  <c r="T12" i="2"/>
  <c r="R12" i="2"/>
  <c r="U12" i="2" s="1"/>
  <c r="Q12" i="2"/>
  <c r="O12" i="2"/>
  <c r="N12" i="2"/>
  <c r="M12" i="2"/>
  <c r="P12" i="2" s="1"/>
  <c r="S12" i="2" s="1"/>
  <c r="L12" i="2"/>
  <c r="K12" i="2"/>
  <c r="N11" i="2"/>
  <c r="Q11" i="2" s="1"/>
  <c r="T11" i="2" s="1"/>
  <c r="M11" i="2"/>
  <c r="P11" i="2" s="1"/>
  <c r="S11" i="2" s="1"/>
  <c r="L11" i="2"/>
  <c r="K11" i="2"/>
  <c r="O11" i="2" s="1"/>
  <c r="R11" i="2" s="1"/>
  <c r="Q10" i="2"/>
  <c r="T10" i="2" s="1"/>
  <c r="P10" i="2"/>
  <c r="S10" i="2" s="1"/>
  <c r="O10" i="2"/>
  <c r="R10" i="2" s="1"/>
  <c r="U10" i="2" s="1"/>
  <c r="N10" i="2"/>
  <c r="M10" i="2"/>
  <c r="L10" i="2"/>
  <c r="K10" i="2"/>
  <c r="T9" i="2"/>
  <c r="P9" i="2"/>
  <c r="S9" i="2" s="1"/>
  <c r="N9" i="2"/>
  <c r="Q9" i="2" s="1"/>
  <c r="M9" i="2"/>
  <c r="L9" i="2"/>
  <c r="K9" i="2"/>
  <c r="O9" i="2" s="1"/>
  <c r="R9" i="2" s="1"/>
  <c r="R8" i="2"/>
  <c r="Q8" i="2"/>
  <c r="T8" i="2" s="1"/>
  <c r="P8" i="2"/>
  <c r="S8" i="2" s="1"/>
  <c r="N8" i="2"/>
  <c r="M8" i="2"/>
  <c r="L8" i="2"/>
  <c r="O8" i="2" s="1"/>
  <c r="K8" i="2"/>
  <c r="U7" i="2"/>
  <c r="P7" i="2"/>
  <c r="S7" i="2" s="1"/>
  <c r="O7" i="2"/>
  <c r="R7" i="2" s="1"/>
  <c r="N7" i="2"/>
  <c r="Q7" i="2" s="1"/>
  <c r="T7" i="2" s="1"/>
  <c r="M7" i="2"/>
  <c r="L7" i="2"/>
  <c r="K7" i="2"/>
  <c r="P6" i="2"/>
  <c r="S6" i="2" s="1"/>
  <c r="O6" i="2"/>
  <c r="R6" i="2" s="1"/>
  <c r="N6" i="2"/>
  <c r="Q6" i="2" s="1"/>
  <c r="T6" i="2" s="1"/>
  <c r="M6" i="2"/>
  <c r="L6" i="2"/>
  <c r="K6" i="2"/>
  <c r="T5" i="2"/>
  <c r="P5" i="2"/>
  <c r="S5" i="2" s="1"/>
  <c r="N5" i="2"/>
  <c r="Q5" i="2" s="1"/>
  <c r="M5" i="2"/>
  <c r="L5" i="2"/>
  <c r="O5" i="2" s="1"/>
  <c r="R5" i="2" s="1"/>
  <c r="U5" i="2" s="1"/>
  <c r="X5" i="2" s="1"/>
  <c r="K5" i="2"/>
  <c r="S4" i="2"/>
  <c r="Q4" i="2"/>
  <c r="T4" i="2" s="1"/>
  <c r="N4" i="2"/>
  <c r="M4" i="2"/>
  <c r="P4" i="2" s="1"/>
  <c r="L4" i="2"/>
  <c r="K4" i="2"/>
  <c r="O4" i="2" s="1"/>
  <c r="R4" i="2" s="1"/>
  <c r="U4" i="2" s="1"/>
  <c r="P3" i="2"/>
  <c r="S3" i="2" s="1"/>
  <c r="N3" i="2"/>
  <c r="Q3" i="2" s="1"/>
  <c r="T3" i="2" s="1"/>
  <c r="M3" i="2"/>
  <c r="L3" i="2"/>
  <c r="O3" i="2" s="1"/>
  <c r="R3" i="2" s="1"/>
  <c r="K3" i="2"/>
  <c r="K302" i="1"/>
  <c r="I302" i="1"/>
  <c r="G302" i="1"/>
  <c r="F302" i="1"/>
  <c r="K301" i="1"/>
  <c r="J301" i="1"/>
  <c r="I301" i="1"/>
  <c r="H301" i="1"/>
  <c r="M151" i="3" s="1"/>
  <c r="G301" i="1"/>
  <c r="F301" i="1"/>
  <c r="K300" i="1"/>
  <c r="I300" i="1"/>
  <c r="G300" i="1"/>
  <c r="F300" i="1"/>
  <c r="I299" i="1"/>
  <c r="H299" i="1"/>
  <c r="M150" i="3" s="1"/>
  <c r="G299" i="1"/>
  <c r="J299" i="1" s="1"/>
  <c r="F299" i="1"/>
  <c r="K298" i="1"/>
  <c r="I298" i="1"/>
  <c r="G298" i="1"/>
  <c r="F298" i="1"/>
  <c r="I297" i="1"/>
  <c r="G297" i="1"/>
  <c r="J297" i="1" s="1"/>
  <c r="F297" i="1"/>
  <c r="K296" i="1"/>
  <c r="I296" i="1"/>
  <c r="G296" i="1"/>
  <c r="J295" i="1" s="1"/>
  <c r="F296" i="1"/>
  <c r="I295" i="1"/>
  <c r="H295" i="1"/>
  <c r="M148" i="3" s="1"/>
  <c r="G295" i="1"/>
  <c r="F295" i="1"/>
  <c r="K294" i="1"/>
  <c r="I294" i="1"/>
  <c r="G294" i="1"/>
  <c r="J293" i="1" s="1"/>
  <c r="F294" i="1"/>
  <c r="I293" i="1"/>
  <c r="H293" i="1"/>
  <c r="G293" i="1"/>
  <c r="F293" i="1"/>
  <c r="K292" i="1"/>
  <c r="I292" i="1"/>
  <c r="F292" i="1"/>
  <c r="G292" i="1" s="1"/>
  <c r="I291" i="1"/>
  <c r="H291" i="1"/>
  <c r="M146" i="3" s="1"/>
  <c r="F291" i="1"/>
  <c r="G291" i="1" s="1"/>
  <c r="J291" i="1" s="1"/>
  <c r="K290" i="1"/>
  <c r="I290" i="1"/>
  <c r="F290" i="1"/>
  <c r="G290" i="1" s="1"/>
  <c r="I289" i="1"/>
  <c r="F289" i="1"/>
  <c r="K288" i="1"/>
  <c r="I288" i="1"/>
  <c r="F288" i="1"/>
  <c r="G288" i="1" s="1"/>
  <c r="I287" i="1"/>
  <c r="F287" i="1"/>
  <c r="K286" i="1"/>
  <c r="I286" i="1"/>
  <c r="G286" i="1"/>
  <c r="F286" i="1"/>
  <c r="I285" i="1"/>
  <c r="H285" i="1"/>
  <c r="G285" i="1"/>
  <c r="F285" i="1"/>
  <c r="K284" i="1"/>
  <c r="I284" i="1"/>
  <c r="F284" i="1"/>
  <c r="G284" i="1" s="1"/>
  <c r="I283" i="1"/>
  <c r="F283" i="1"/>
  <c r="H283" i="1" s="1"/>
  <c r="M142" i="3" s="1"/>
  <c r="K282" i="1"/>
  <c r="I282" i="1"/>
  <c r="F282" i="1"/>
  <c r="G282" i="1" s="1"/>
  <c r="J281" i="1"/>
  <c r="N141" i="3" s="1"/>
  <c r="I281" i="1"/>
  <c r="G281" i="1"/>
  <c r="F281" i="1"/>
  <c r="K280" i="1"/>
  <c r="I280" i="1"/>
  <c r="F280" i="1"/>
  <c r="G280" i="1" s="1"/>
  <c r="I279" i="1"/>
  <c r="F279" i="1"/>
  <c r="K278" i="1"/>
  <c r="I278" i="1"/>
  <c r="F278" i="1"/>
  <c r="G278" i="1" s="1"/>
  <c r="I277" i="1"/>
  <c r="F277" i="1"/>
  <c r="H277" i="1" s="1"/>
  <c r="M139" i="3" s="1"/>
  <c r="K276" i="1"/>
  <c r="I276" i="1"/>
  <c r="G276" i="1"/>
  <c r="F276" i="1"/>
  <c r="I275" i="1"/>
  <c r="F275" i="1"/>
  <c r="K274" i="1"/>
  <c r="I274" i="1"/>
  <c r="F274" i="1"/>
  <c r="G274" i="1" s="1"/>
  <c r="I273" i="1"/>
  <c r="H273" i="1"/>
  <c r="M137" i="3" s="1"/>
  <c r="G273" i="1"/>
  <c r="J273" i="1" s="1"/>
  <c r="F273" i="1"/>
  <c r="K272" i="1"/>
  <c r="I272" i="1"/>
  <c r="F272" i="1"/>
  <c r="G272" i="1" s="1"/>
  <c r="I271" i="1"/>
  <c r="F271" i="1"/>
  <c r="H271" i="1" s="1"/>
  <c r="M136" i="3" s="1"/>
  <c r="K270" i="1"/>
  <c r="I270" i="1"/>
  <c r="F270" i="1"/>
  <c r="G270" i="1" s="1"/>
  <c r="I269" i="1"/>
  <c r="H269" i="1"/>
  <c r="M135" i="3" s="1"/>
  <c r="F269" i="1"/>
  <c r="G269" i="1" s="1"/>
  <c r="J269" i="1" s="1"/>
  <c r="K268" i="1"/>
  <c r="I268" i="1"/>
  <c r="G268" i="1"/>
  <c r="F268" i="1"/>
  <c r="J267" i="1"/>
  <c r="I267" i="1"/>
  <c r="H267" i="1"/>
  <c r="M134" i="3" s="1"/>
  <c r="G267" i="1"/>
  <c r="F267" i="1"/>
  <c r="K266" i="1"/>
  <c r="I266" i="1"/>
  <c r="F266" i="1"/>
  <c r="G266" i="1" s="1"/>
  <c r="I265" i="1"/>
  <c r="F265" i="1"/>
  <c r="K264" i="1"/>
  <c r="I264" i="1"/>
  <c r="F264" i="1"/>
  <c r="G264" i="1" s="1"/>
  <c r="I263" i="1"/>
  <c r="H263" i="1"/>
  <c r="M132" i="3" s="1"/>
  <c r="F263" i="1"/>
  <c r="G263" i="1" s="1"/>
  <c r="J263" i="1" s="1"/>
  <c r="K262" i="1"/>
  <c r="I262" i="1"/>
  <c r="F262" i="1"/>
  <c r="G262" i="1" s="1"/>
  <c r="I261" i="1"/>
  <c r="F261" i="1"/>
  <c r="K260" i="1"/>
  <c r="I260" i="1"/>
  <c r="F260" i="1"/>
  <c r="G260" i="1" s="1"/>
  <c r="J259" i="1" s="1"/>
  <c r="I259" i="1"/>
  <c r="H259" i="1"/>
  <c r="M130" i="3" s="1"/>
  <c r="G259" i="1"/>
  <c r="F259" i="1"/>
  <c r="K258" i="1"/>
  <c r="I258" i="1"/>
  <c r="F258" i="1"/>
  <c r="H257" i="1" s="1"/>
  <c r="M129" i="3" s="1"/>
  <c r="I257" i="1"/>
  <c r="F257" i="1"/>
  <c r="G257" i="1" s="1"/>
  <c r="K256" i="1"/>
  <c r="I256" i="1"/>
  <c r="F256" i="1"/>
  <c r="H255" i="1" s="1"/>
  <c r="M128" i="3" s="1"/>
  <c r="I255" i="1"/>
  <c r="G255" i="1"/>
  <c r="F255" i="1"/>
  <c r="K254" i="1"/>
  <c r="I254" i="1"/>
  <c r="G254" i="1"/>
  <c r="F254" i="1"/>
  <c r="I253" i="1"/>
  <c r="F253" i="1"/>
  <c r="K252" i="1"/>
  <c r="I252" i="1"/>
  <c r="F252" i="1"/>
  <c r="G252" i="1" s="1"/>
  <c r="I251" i="1"/>
  <c r="F251" i="1"/>
  <c r="H251" i="1" s="1"/>
  <c r="M126" i="3" s="1"/>
  <c r="K250" i="1"/>
  <c r="I250" i="1"/>
  <c r="F250" i="1"/>
  <c r="G250" i="1" s="1"/>
  <c r="I249" i="1"/>
  <c r="H249" i="1"/>
  <c r="M125" i="3" s="1"/>
  <c r="G249" i="1"/>
  <c r="J249" i="1" s="1"/>
  <c r="F249" i="1"/>
  <c r="K248" i="1"/>
  <c r="I248" i="1"/>
  <c r="F248" i="1"/>
  <c r="G248" i="1" s="1"/>
  <c r="I247" i="1"/>
  <c r="H247" i="1"/>
  <c r="M124" i="3" s="1"/>
  <c r="G247" i="1"/>
  <c r="J247" i="1" s="1"/>
  <c r="N124" i="3" s="1"/>
  <c r="F247" i="1"/>
  <c r="K246" i="1"/>
  <c r="I246" i="1"/>
  <c r="F246" i="1"/>
  <c r="G246" i="1" s="1"/>
  <c r="J245" i="1"/>
  <c r="I245" i="1"/>
  <c r="H245" i="1"/>
  <c r="G245" i="1"/>
  <c r="F245" i="1"/>
  <c r="K244" i="1"/>
  <c r="I244" i="1"/>
  <c r="F244" i="1"/>
  <c r="G244" i="1" s="1"/>
  <c r="I243" i="1"/>
  <c r="F243" i="1"/>
  <c r="G243" i="1" s="1"/>
  <c r="J243" i="1" s="1"/>
  <c r="K242" i="1"/>
  <c r="I242" i="1"/>
  <c r="F242" i="1"/>
  <c r="G242" i="1" s="1"/>
  <c r="I241" i="1"/>
  <c r="F241" i="1"/>
  <c r="K240" i="1"/>
  <c r="I240" i="1"/>
  <c r="G240" i="1"/>
  <c r="F240" i="1"/>
  <c r="I239" i="1"/>
  <c r="F239" i="1"/>
  <c r="K238" i="1"/>
  <c r="I238" i="1"/>
  <c r="G238" i="1"/>
  <c r="J237" i="1" s="1"/>
  <c r="F238" i="1"/>
  <c r="I237" i="1"/>
  <c r="H237" i="1"/>
  <c r="F237" i="1"/>
  <c r="G237" i="1" s="1"/>
  <c r="K236" i="1"/>
  <c r="I236" i="1"/>
  <c r="G236" i="1"/>
  <c r="F236" i="1"/>
  <c r="I235" i="1"/>
  <c r="F235" i="1"/>
  <c r="K234" i="1"/>
  <c r="I234" i="1"/>
  <c r="F234" i="1"/>
  <c r="G234" i="1" s="1"/>
  <c r="I233" i="1"/>
  <c r="H233" i="1"/>
  <c r="M117" i="3" s="1"/>
  <c r="F233" i="1"/>
  <c r="G233" i="1" s="1"/>
  <c r="K232" i="1"/>
  <c r="I232" i="1"/>
  <c r="G232" i="1"/>
  <c r="J231" i="1" s="1"/>
  <c r="F232" i="1"/>
  <c r="I231" i="1"/>
  <c r="H231" i="1"/>
  <c r="G231" i="1"/>
  <c r="F231" i="1"/>
  <c r="K230" i="1"/>
  <c r="I230" i="1"/>
  <c r="F230" i="1"/>
  <c r="G230" i="1" s="1"/>
  <c r="I229" i="1"/>
  <c r="F229" i="1"/>
  <c r="H229" i="1" s="1"/>
  <c r="M115" i="3" s="1"/>
  <c r="K228" i="1"/>
  <c r="I228" i="1"/>
  <c r="G228" i="1"/>
  <c r="F228" i="1"/>
  <c r="I227" i="1"/>
  <c r="F227" i="1"/>
  <c r="K226" i="1"/>
  <c r="I226" i="1"/>
  <c r="G226" i="1"/>
  <c r="F226" i="1"/>
  <c r="I225" i="1"/>
  <c r="F225" i="1"/>
  <c r="H225" i="1" s="1"/>
  <c r="M113" i="3" s="1"/>
  <c r="K224" i="1"/>
  <c r="I224" i="1"/>
  <c r="F224" i="1"/>
  <c r="G224" i="1" s="1"/>
  <c r="I223" i="1"/>
  <c r="F223" i="1"/>
  <c r="H223" i="1" s="1"/>
  <c r="M112" i="3" s="1"/>
  <c r="K222" i="1"/>
  <c r="I222" i="1"/>
  <c r="F222" i="1"/>
  <c r="G222" i="1" s="1"/>
  <c r="I221" i="1"/>
  <c r="H221" i="1"/>
  <c r="M111" i="3" s="1"/>
  <c r="F221" i="1"/>
  <c r="G221" i="1" s="1"/>
  <c r="J221" i="1" s="1"/>
  <c r="K220" i="1"/>
  <c r="I220" i="1"/>
  <c r="G220" i="1"/>
  <c r="F220" i="1"/>
  <c r="I219" i="1"/>
  <c r="F219" i="1"/>
  <c r="K218" i="1"/>
  <c r="I218" i="1"/>
  <c r="F218" i="1"/>
  <c r="G218" i="1" s="1"/>
  <c r="J217" i="1"/>
  <c r="I217" i="1"/>
  <c r="G217" i="1"/>
  <c r="F217" i="1"/>
  <c r="K216" i="1"/>
  <c r="I216" i="1"/>
  <c r="F216" i="1"/>
  <c r="H215" i="1" s="1"/>
  <c r="M108" i="3" s="1"/>
  <c r="I215" i="1"/>
  <c r="G215" i="1"/>
  <c r="F215" i="1"/>
  <c r="K214" i="1"/>
  <c r="I214" i="1"/>
  <c r="F214" i="1"/>
  <c r="G214" i="1" s="1"/>
  <c r="I213" i="1"/>
  <c r="F213" i="1"/>
  <c r="K212" i="1"/>
  <c r="I212" i="1"/>
  <c r="F212" i="1"/>
  <c r="G212" i="1" s="1"/>
  <c r="I211" i="1"/>
  <c r="F211" i="1"/>
  <c r="G211" i="1" s="1"/>
  <c r="J211" i="1" s="1"/>
  <c r="K210" i="1"/>
  <c r="I210" i="1"/>
  <c r="G210" i="1"/>
  <c r="F210" i="1"/>
  <c r="K209" i="1"/>
  <c r="J105" i="3" s="1"/>
  <c r="J209" i="1"/>
  <c r="I209" i="1"/>
  <c r="H209" i="1"/>
  <c r="M105" i="3" s="1"/>
  <c r="F209" i="1"/>
  <c r="G209" i="1" s="1"/>
  <c r="K208" i="1"/>
  <c r="I208" i="1"/>
  <c r="G208" i="1"/>
  <c r="F208" i="1"/>
  <c r="I207" i="1"/>
  <c r="F207" i="1"/>
  <c r="K206" i="1"/>
  <c r="I206" i="1"/>
  <c r="F206" i="1"/>
  <c r="G206" i="1" s="1"/>
  <c r="I205" i="1"/>
  <c r="F205" i="1"/>
  <c r="K204" i="1"/>
  <c r="I204" i="1"/>
  <c r="F204" i="1"/>
  <c r="G204" i="1" s="1"/>
  <c r="I203" i="1"/>
  <c r="F203" i="1"/>
  <c r="H203" i="1" s="1"/>
  <c r="M102" i="3" s="1"/>
  <c r="K202" i="1"/>
  <c r="I202" i="1"/>
  <c r="F202" i="1"/>
  <c r="G202" i="1" s="1"/>
  <c r="I201" i="1"/>
  <c r="F201" i="1"/>
  <c r="H201" i="1" s="1"/>
  <c r="M101" i="3" s="1"/>
  <c r="K200" i="1"/>
  <c r="I200" i="1"/>
  <c r="G200" i="1"/>
  <c r="F200" i="1"/>
  <c r="I199" i="1"/>
  <c r="F199" i="1"/>
  <c r="H199" i="1" s="1"/>
  <c r="M100" i="3" s="1"/>
  <c r="K198" i="1"/>
  <c r="I198" i="1"/>
  <c r="F198" i="1"/>
  <c r="G198" i="1" s="1"/>
  <c r="I197" i="1"/>
  <c r="H197" i="1"/>
  <c r="M99" i="3" s="1"/>
  <c r="F197" i="1"/>
  <c r="G197" i="1" s="1"/>
  <c r="J197" i="1" s="1"/>
  <c r="K196" i="1"/>
  <c r="I196" i="1"/>
  <c r="G196" i="1"/>
  <c r="F196" i="1"/>
  <c r="J195" i="1"/>
  <c r="I195" i="1"/>
  <c r="H195" i="1"/>
  <c r="M98" i="3" s="1"/>
  <c r="F195" i="1"/>
  <c r="G195" i="1" s="1"/>
  <c r="K194" i="1"/>
  <c r="I194" i="1"/>
  <c r="F194" i="1"/>
  <c r="G194" i="1" s="1"/>
  <c r="I193" i="1"/>
  <c r="H193" i="1"/>
  <c r="M97" i="3" s="1"/>
  <c r="G193" i="1"/>
  <c r="J193" i="1" s="1"/>
  <c r="F193" i="1"/>
  <c r="K192" i="1"/>
  <c r="I192" i="1"/>
  <c r="F192" i="1"/>
  <c r="G192" i="1" s="1"/>
  <c r="I191" i="1"/>
  <c r="F191" i="1"/>
  <c r="K190" i="1"/>
  <c r="I190" i="1"/>
  <c r="F190" i="1"/>
  <c r="G190" i="1" s="1"/>
  <c r="I189" i="1"/>
  <c r="H189" i="1"/>
  <c r="M95" i="3" s="1"/>
  <c r="F189" i="1"/>
  <c r="G189" i="1" s="1"/>
  <c r="K188" i="1"/>
  <c r="I188" i="1"/>
  <c r="G188" i="1"/>
  <c r="F188" i="1"/>
  <c r="I187" i="1"/>
  <c r="F187" i="1"/>
  <c r="H187" i="1" s="1"/>
  <c r="M94" i="3" s="1"/>
  <c r="K186" i="1"/>
  <c r="I186" i="1"/>
  <c r="F186" i="1"/>
  <c r="G186" i="1" s="1"/>
  <c r="I185" i="1"/>
  <c r="F185" i="1"/>
  <c r="G185" i="1" s="1"/>
  <c r="J185" i="1" s="1"/>
  <c r="K184" i="1"/>
  <c r="I184" i="1"/>
  <c r="F184" i="1"/>
  <c r="G184" i="1" s="1"/>
  <c r="I183" i="1"/>
  <c r="F183" i="1"/>
  <c r="K182" i="1"/>
  <c r="I182" i="1"/>
  <c r="F182" i="1"/>
  <c r="G182" i="1" s="1"/>
  <c r="I181" i="1"/>
  <c r="H181" i="1"/>
  <c r="M91" i="3" s="1"/>
  <c r="G181" i="1"/>
  <c r="J181" i="1" s="1"/>
  <c r="F181" i="1"/>
  <c r="K180" i="1"/>
  <c r="I180" i="1"/>
  <c r="F180" i="1"/>
  <c r="G180" i="1" s="1"/>
  <c r="I179" i="1"/>
  <c r="F179" i="1"/>
  <c r="H179" i="1" s="1"/>
  <c r="M90" i="3" s="1"/>
  <c r="K178" i="1"/>
  <c r="I178" i="1"/>
  <c r="F178" i="1"/>
  <c r="G178" i="1" s="1"/>
  <c r="I177" i="1"/>
  <c r="H177" i="1"/>
  <c r="M89" i="3" s="1"/>
  <c r="G177" i="1"/>
  <c r="J177" i="1" s="1"/>
  <c r="L89" i="3" s="1"/>
  <c r="F177" i="1"/>
  <c r="K176" i="1"/>
  <c r="I176" i="1"/>
  <c r="F176" i="1"/>
  <c r="G176" i="1" s="1"/>
  <c r="I175" i="1"/>
  <c r="F175" i="1"/>
  <c r="K174" i="1"/>
  <c r="I174" i="1"/>
  <c r="F174" i="1"/>
  <c r="G174" i="1" s="1"/>
  <c r="I173" i="1"/>
  <c r="H173" i="1"/>
  <c r="G173" i="1"/>
  <c r="J173" i="1" s="1"/>
  <c r="F173" i="1"/>
  <c r="K172" i="1"/>
  <c r="I172" i="1"/>
  <c r="F172" i="1"/>
  <c r="G172" i="1" s="1"/>
  <c r="I171" i="1"/>
  <c r="F171" i="1"/>
  <c r="K170" i="1"/>
  <c r="I170" i="1"/>
  <c r="F170" i="1"/>
  <c r="G170" i="1" s="1"/>
  <c r="I169" i="1"/>
  <c r="F169" i="1"/>
  <c r="K168" i="1"/>
  <c r="I168" i="1"/>
  <c r="F168" i="1"/>
  <c r="G168" i="1" s="1"/>
  <c r="I167" i="1"/>
  <c r="F167" i="1"/>
  <c r="H167" i="1" s="1"/>
  <c r="M84" i="3" s="1"/>
  <c r="K166" i="1"/>
  <c r="I166" i="1"/>
  <c r="F166" i="1"/>
  <c r="G166" i="1" s="1"/>
  <c r="I165" i="1"/>
  <c r="F165" i="1"/>
  <c r="H165" i="1" s="1"/>
  <c r="M83" i="3" s="1"/>
  <c r="K164" i="1"/>
  <c r="I164" i="1"/>
  <c r="F164" i="1"/>
  <c r="G164" i="1" s="1"/>
  <c r="C164" i="1"/>
  <c r="I163" i="1"/>
  <c r="G163" i="1"/>
  <c r="J163" i="1" s="1"/>
  <c r="F163" i="1"/>
  <c r="K162" i="1"/>
  <c r="I162" i="1"/>
  <c r="F162" i="1"/>
  <c r="G162" i="1" s="1"/>
  <c r="C162" i="1"/>
  <c r="D81" i="3" s="1"/>
  <c r="I161" i="1"/>
  <c r="H161" i="1"/>
  <c r="M81" i="3" s="1"/>
  <c r="G161" i="1"/>
  <c r="F161" i="1"/>
  <c r="K160" i="1"/>
  <c r="I160" i="1"/>
  <c r="F160" i="1"/>
  <c r="G160" i="1" s="1"/>
  <c r="I159" i="1"/>
  <c r="F159" i="1"/>
  <c r="G159" i="1" s="1"/>
  <c r="K158" i="1"/>
  <c r="I158" i="1"/>
  <c r="F158" i="1"/>
  <c r="G158" i="1" s="1"/>
  <c r="I157" i="1"/>
  <c r="F157" i="1"/>
  <c r="H157" i="1" s="1"/>
  <c r="M79" i="3" s="1"/>
  <c r="K156" i="1"/>
  <c r="I156" i="1"/>
  <c r="F156" i="1"/>
  <c r="G156" i="1" s="1"/>
  <c r="J155" i="1"/>
  <c r="I155" i="1"/>
  <c r="F155" i="1"/>
  <c r="G155" i="1" s="1"/>
  <c r="K154" i="1"/>
  <c r="I154" i="1"/>
  <c r="G154" i="1"/>
  <c r="F154" i="1"/>
  <c r="I153" i="1"/>
  <c r="H153" i="1"/>
  <c r="M77" i="3" s="1"/>
  <c r="F153" i="1"/>
  <c r="G153" i="1" s="1"/>
  <c r="J153" i="1" s="1"/>
  <c r="K152" i="1"/>
  <c r="I152" i="1"/>
  <c r="F152" i="1"/>
  <c r="G152" i="1" s="1"/>
  <c r="I151" i="1"/>
  <c r="F151" i="1"/>
  <c r="K150" i="1"/>
  <c r="I150" i="1"/>
  <c r="F150" i="1"/>
  <c r="G150" i="1" s="1"/>
  <c r="I149" i="1"/>
  <c r="F149" i="1"/>
  <c r="H149" i="1" s="1"/>
  <c r="M75" i="3" s="1"/>
  <c r="K148" i="1"/>
  <c r="I148" i="1"/>
  <c r="F148" i="1"/>
  <c r="G148" i="1" s="1"/>
  <c r="I147" i="1"/>
  <c r="F147" i="1"/>
  <c r="H147" i="1" s="1"/>
  <c r="M74" i="3" s="1"/>
  <c r="K146" i="1"/>
  <c r="I146" i="1"/>
  <c r="G146" i="1"/>
  <c r="F146" i="1"/>
  <c r="I145" i="1"/>
  <c r="H145" i="1"/>
  <c r="M73" i="3" s="1"/>
  <c r="G145" i="1"/>
  <c r="F145" i="1"/>
  <c r="F144" i="1"/>
  <c r="G144" i="1" s="1"/>
  <c r="I143" i="1"/>
  <c r="G143" i="1"/>
  <c r="J143" i="1" s="1"/>
  <c r="F143" i="1"/>
  <c r="H143" i="1" s="1"/>
  <c r="M72" i="3" s="1"/>
  <c r="F142" i="1"/>
  <c r="G142" i="1" s="1"/>
  <c r="I141" i="1"/>
  <c r="H141" i="1"/>
  <c r="M71" i="3" s="1"/>
  <c r="G141" i="1"/>
  <c r="J141" i="1" s="1"/>
  <c r="F141" i="1"/>
  <c r="F140" i="1"/>
  <c r="G140" i="1" s="1"/>
  <c r="J139" i="1"/>
  <c r="K139" i="1" s="1"/>
  <c r="I139" i="1"/>
  <c r="H139" i="1"/>
  <c r="M70" i="3" s="1"/>
  <c r="F139" i="1"/>
  <c r="G139" i="1" s="1"/>
  <c r="F138" i="1"/>
  <c r="G138" i="1" s="1"/>
  <c r="K137" i="1"/>
  <c r="I137" i="1"/>
  <c r="G137" i="1"/>
  <c r="J137" i="1" s="1"/>
  <c r="F137" i="1"/>
  <c r="H137" i="1" s="1"/>
  <c r="M69" i="3" s="1"/>
  <c r="G136" i="1"/>
  <c r="F136" i="1"/>
  <c r="I135" i="1"/>
  <c r="H135" i="1"/>
  <c r="M68" i="3" s="1"/>
  <c r="F135" i="1"/>
  <c r="G135" i="1" s="1"/>
  <c r="F134" i="1"/>
  <c r="G134" i="1" s="1"/>
  <c r="I133" i="1"/>
  <c r="F133" i="1"/>
  <c r="H133" i="1" s="1"/>
  <c r="M67" i="3" s="1"/>
  <c r="F132" i="1"/>
  <c r="G132" i="1" s="1"/>
  <c r="I131" i="1"/>
  <c r="F131" i="1"/>
  <c r="G131" i="1" s="1"/>
  <c r="J131" i="1" s="1"/>
  <c r="G130" i="1"/>
  <c r="J129" i="1" s="1"/>
  <c r="F130" i="1"/>
  <c r="I129" i="1"/>
  <c r="H129" i="1"/>
  <c r="M65" i="3" s="1"/>
  <c r="F129" i="1"/>
  <c r="G129" i="1" s="1"/>
  <c r="F128" i="1"/>
  <c r="G128" i="1" s="1"/>
  <c r="I127" i="1"/>
  <c r="F127" i="1"/>
  <c r="F126" i="1"/>
  <c r="G126" i="1" s="1"/>
  <c r="J125" i="1"/>
  <c r="I125" i="1"/>
  <c r="H125" i="1"/>
  <c r="M63" i="3" s="1"/>
  <c r="G125" i="1"/>
  <c r="F125" i="1"/>
  <c r="F124" i="1"/>
  <c r="G124" i="1" s="1"/>
  <c r="I123" i="1"/>
  <c r="F123" i="1"/>
  <c r="G122" i="1"/>
  <c r="F122" i="1"/>
  <c r="H121" i="1" s="1"/>
  <c r="M61" i="3" s="1"/>
  <c r="I121" i="1"/>
  <c r="G121" i="1"/>
  <c r="J121" i="1" s="1"/>
  <c r="F121" i="1"/>
  <c r="F120" i="1"/>
  <c r="G120" i="1" s="1"/>
  <c r="I119" i="1"/>
  <c r="F119" i="1"/>
  <c r="H119" i="1" s="1"/>
  <c r="M60" i="3" s="1"/>
  <c r="F118" i="1"/>
  <c r="G118" i="1" s="1"/>
  <c r="I117" i="1"/>
  <c r="F117" i="1"/>
  <c r="H117" i="1" s="1"/>
  <c r="M59" i="3" s="1"/>
  <c r="G116" i="1"/>
  <c r="F116" i="1"/>
  <c r="I115" i="1"/>
  <c r="H115" i="1"/>
  <c r="M58" i="3" s="1"/>
  <c r="F115" i="1"/>
  <c r="G115" i="1" s="1"/>
  <c r="G114" i="1"/>
  <c r="F114" i="1"/>
  <c r="I113" i="1"/>
  <c r="F113" i="1"/>
  <c r="G113" i="1" s="1"/>
  <c r="F112" i="1"/>
  <c r="H111" i="1" s="1"/>
  <c r="M56" i="3" s="1"/>
  <c r="I111" i="1"/>
  <c r="G111" i="1"/>
  <c r="F111" i="1"/>
  <c r="F110" i="1"/>
  <c r="G110" i="1" s="1"/>
  <c r="I109" i="1"/>
  <c r="F109" i="1"/>
  <c r="G108" i="1"/>
  <c r="F108" i="1"/>
  <c r="I107" i="1"/>
  <c r="H107" i="1"/>
  <c r="M54" i="3" s="1"/>
  <c r="F107" i="1"/>
  <c r="G107" i="1" s="1"/>
  <c r="J107" i="1" s="1"/>
  <c r="G106" i="1"/>
  <c r="F106" i="1"/>
  <c r="J105" i="1"/>
  <c r="L53" i="3" s="1"/>
  <c r="I105" i="1"/>
  <c r="H105" i="1"/>
  <c r="M53" i="3" s="1"/>
  <c r="F105" i="1"/>
  <c r="G105" i="1" s="1"/>
  <c r="F104" i="1"/>
  <c r="G104" i="1" s="1"/>
  <c r="I103" i="1"/>
  <c r="F103" i="1"/>
  <c r="H103" i="1" s="1"/>
  <c r="M52" i="3" s="1"/>
  <c r="F102" i="1"/>
  <c r="G102" i="1" s="1"/>
  <c r="I101" i="1"/>
  <c r="F101" i="1"/>
  <c r="F100" i="1"/>
  <c r="G100" i="1" s="1"/>
  <c r="N99" i="1"/>
  <c r="I99" i="1"/>
  <c r="F99" i="1"/>
  <c r="H99" i="1" s="1"/>
  <c r="M50" i="3" s="1"/>
  <c r="N98" i="1"/>
  <c r="F98" i="1"/>
  <c r="G98" i="1" s="1"/>
  <c r="N97" i="1"/>
  <c r="I97" i="1"/>
  <c r="F97" i="1"/>
  <c r="F96" i="1"/>
  <c r="I95" i="1"/>
  <c r="G95" i="1"/>
  <c r="F95" i="1"/>
  <c r="F94" i="1"/>
  <c r="N94" i="1" s="1"/>
  <c r="I93" i="1"/>
  <c r="H93" i="1"/>
  <c r="M47" i="3" s="1"/>
  <c r="F93" i="1"/>
  <c r="N93" i="1" s="1"/>
  <c r="F92" i="1"/>
  <c r="N92" i="1" s="1"/>
  <c r="I91" i="1"/>
  <c r="F91" i="1"/>
  <c r="N90" i="1" s="1"/>
  <c r="F90" i="1"/>
  <c r="G90" i="1" s="1"/>
  <c r="I89" i="1"/>
  <c r="F89" i="1"/>
  <c r="G88" i="1"/>
  <c r="F88" i="1"/>
  <c r="I87" i="1"/>
  <c r="F87" i="1"/>
  <c r="H87" i="1" s="1"/>
  <c r="M44" i="3" s="1"/>
  <c r="G86" i="1"/>
  <c r="F86" i="1"/>
  <c r="I85" i="1"/>
  <c r="H85" i="1"/>
  <c r="F85" i="1"/>
  <c r="G85" i="1" s="1"/>
  <c r="J85" i="1" s="1"/>
  <c r="F84" i="1"/>
  <c r="G84" i="1" s="1"/>
  <c r="I83" i="1"/>
  <c r="F83" i="1"/>
  <c r="H83" i="1" s="1"/>
  <c r="M42" i="3" s="1"/>
  <c r="F82" i="1"/>
  <c r="I81" i="1"/>
  <c r="G81" i="1"/>
  <c r="F81" i="1"/>
  <c r="F80" i="1"/>
  <c r="G80" i="1" s="1"/>
  <c r="I79" i="1"/>
  <c r="F79" i="1"/>
  <c r="G78" i="1"/>
  <c r="F78" i="1"/>
  <c r="J77" i="1"/>
  <c r="I77" i="1"/>
  <c r="H77" i="1"/>
  <c r="M39" i="3" s="1"/>
  <c r="F77" i="1"/>
  <c r="G77" i="1" s="1"/>
  <c r="F76" i="1"/>
  <c r="G76" i="1" s="1"/>
  <c r="I75" i="1"/>
  <c r="F75" i="1"/>
  <c r="F74" i="1"/>
  <c r="H73" i="1" s="1"/>
  <c r="I73" i="1"/>
  <c r="G73" i="1"/>
  <c r="F73" i="1"/>
  <c r="F72" i="1"/>
  <c r="G72" i="1" s="1"/>
  <c r="I71" i="1"/>
  <c r="H71" i="1"/>
  <c r="M36" i="3" s="1"/>
  <c r="F71" i="1"/>
  <c r="G71" i="1" s="1"/>
  <c r="J71" i="1" s="1"/>
  <c r="G70" i="1"/>
  <c r="F70" i="1"/>
  <c r="I69" i="1"/>
  <c r="H69" i="1"/>
  <c r="M35" i="3" s="1"/>
  <c r="G69" i="1"/>
  <c r="F69" i="1"/>
  <c r="F68" i="1"/>
  <c r="G68" i="1" s="1"/>
  <c r="I67" i="1"/>
  <c r="F67" i="1"/>
  <c r="F66" i="1"/>
  <c r="G66" i="1" s="1"/>
  <c r="I65" i="1"/>
  <c r="H65" i="1"/>
  <c r="M33" i="3" s="1"/>
  <c r="F65" i="1"/>
  <c r="G65" i="1" s="1"/>
  <c r="J65" i="1" s="1"/>
  <c r="G64" i="1"/>
  <c r="F64" i="1"/>
  <c r="K63" i="1"/>
  <c r="J63" i="1"/>
  <c r="I63" i="1"/>
  <c r="H63" i="1"/>
  <c r="M32" i="3" s="1"/>
  <c r="F63" i="1"/>
  <c r="G63" i="1" s="1"/>
  <c r="F62" i="1"/>
  <c r="G62" i="1" s="1"/>
  <c r="I61" i="1"/>
  <c r="F61" i="1"/>
  <c r="H61" i="1" s="1"/>
  <c r="M31" i="3" s="1"/>
  <c r="F60" i="1"/>
  <c r="G60" i="1" s="1"/>
  <c r="J59" i="1"/>
  <c r="I59" i="1"/>
  <c r="G59" i="1"/>
  <c r="F59" i="1"/>
  <c r="G58" i="1"/>
  <c r="F58" i="1"/>
  <c r="I57" i="1"/>
  <c r="F57" i="1"/>
  <c r="H57" i="1" s="1"/>
  <c r="M29" i="3" s="1"/>
  <c r="G56" i="1"/>
  <c r="F56" i="1"/>
  <c r="I55" i="1"/>
  <c r="H55" i="1"/>
  <c r="F55" i="1"/>
  <c r="G55" i="1" s="1"/>
  <c r="J55" i="1" s="1"/>
  <c r="F54" i="1"/>
  <c r="G54" i="1" s="1"/>
  <c r="I53" i="1"/>
  <c r="F53" i="1"/>
  <c r="H53" i="1" s="1"/>
  <c r="M27" i="3" s="1"/>
  <c r="F52" i="1"/>
  <c r="H51" i="1" s="1"/>
  <c r="M26" i="3" s="1"/>
  <c r="I51" i="1"/>
  <c r="G51" i="1"/>
  <c r="F51" i="1"/>
  <c r="F50" i="1"/>
  <c r="G50" i="1" s="1"/>
  <c r="I49" i="1"/>
  <c r="F49" i="1"/>
  <c r="G48" i="1"/>
  <c r="F48" i="1"/>
  <c r="I47" i="1"/>
  <c r="F47" i="1"/>
  <c r="H47" i="1" s="1"/>
  <c r="M24" i="3" s="1"/>
  <c r="F46" i="1"/>
  <c r="G46" i="1" s="1"/>
  <c r="I45" i="1"/>
  <c r="F45" i="1"/>
  <c r="F44" i="1"/>
  <c r="G44" i="1" s="1"/>
  <c r="I43" i="1"/>
  <c r="H43" i="1"/>
  <c r="M22" i="3" s="1"/>
  <c r="G43" i="1"/>
  <c r="F43" i="1"/>
  <c r="G42" i="1"/>
  <c r="F42" i="1"/>
  <c r="J41" i="1"/>
  <c r="I41" i="1"/>
  <c r="H41" i="1"/>
  <c r="M21" i="3" s="1"/>
  <c r="G41" i="1"/>
  <c r="F41" i="1"/>
  <c r="F40" i="1"/>
  <c r="G40" i="1" s="1"/>
  <c r="I39" i="1"/>
  <c r="F39" i="1"/>
  <c r="H39" i="1" s="1"/>
  <c r="M20" i="3" s="1"/>
  <c r="F38" i="1"/>
  <c r="G38" i="1" s="1"/>
  <c r="I37" i="1"/>
  <c r="G37" i="1"/>
  <c r="F37" i="1"/>
  <c r="F36" i="1"/>
  <c r="G36" i="1" s="1"/>
  <c r="I35" i="1"/>
  <c r="F35" i="1"/>
  <c r="G34" i="1"/>
  <c r="F34" i="1"/>
  <c r="I33" i="1"/>
  <c r="H33" i="1"/>
  <c r="M17" i="3" s="1"/>
  <c r="F33" i="1"/>
  <c r="G33" i="1" s="1"/>
  <c r="J33" i="1" s="1"/>
  <c r="F32" i="1"/>
  <c r="G32" i="1" s="1"/>
  <c r="I31" i="1"/>
  <c r="F31" i="1"/>
  <c r="G30" i="1"/>
  <c r="F30" i="1"/>
  <c r="H29" i="1" s="1"/>
  <c r="M15" i="3" s="1"/>
  <c r="I29" i="1"/>
  <c r="G29" i="1"/>
  <c r="F29" i="1"/>
  <c r="F28" i="1"/>
  <c r="G28" i="1" s="1"/>
  <c r="I27" i="1"/>
  <c r="F27" i="1"/>
  <c r="F26" i="1"/>
  <c r="G26" i="1" s="1"/>
  <c r="I25" i="1"/>
  <c r="F25" i="1"/>
  <c r="H25" i="1" s="1"/>
  <c r="M13" i="3" s="1"/>
  <c r="F24" i="1"/>
  <c r="G24" i="1" s="1"/>
  <c r="I23" i="1"/>
  <c r="F23" i="1"/>
  <c r="F22" i="1"/>
  <c r="H21" i="1" s="1"/>
  <c r="I21" i="1"/>
  <c r="G21" i="1"/>
  <c r="F21" i="1"/>
  <c r="G20" i="1"/>
  <c r="F20" i="1"/>
  <c r="J19" i="1"/>
  <c r="I19" i="1"/>
  <c r="H19" i="1"/>
  <c r="M10" i="3" s="1"/>
  <c r="F19" i="1"/>
  <c r="G19" i="1" s="1"/>
  <c r="F18" i="1"/>
  <c r="G18" i="1" s="1"/>
  <c r="I17" i="1"/>
  <c r="F17" i="1"/>
  <c r="G17" i="1" s="1"/>
  <c r="J17" i="1" s="1"/>
  <c r="F16" i="1"/>
  <c r="H15" i="1" s="1"/>
  <c r="M8" i="3" s="1"/>
  <c r="I15" i="1"/>
  <c r="G15" i="1"/>
  <c r="F15" i="1"/>
  <c r="F14" i="1"/>
  <c r="G14" i="1" s="1"/>
  <c r="I13" i="1"/>
  <c r="F13" i="1"/>
  <c r="H13" i="1" s="1"/>
  <c r="M7" i="3" s="1"/>
  <c r="G12" i="1"/>
  <c r="F12" i="1"/>
  <c r="I11" i="1"/>
  <c r="H11" i="1"/>
  <c r="M6" i="3" s="1"/>
  <c r="G11" i="1"/>
  <c r="J11" i="1" s="1"/>
  <c r="F11" i="1"/>
  <c r="F10" i="1"/>
  <c r="G10" i="1" s="1"/>
  <c r="I9" i="1"/>
  <c r="F9" i="1"/>
  <c r="G8" i="1"/>
  <c r="F8" i="1"/>
  <c r="I7" i="1"/>
  <c r="H7" i="1"/>
  <c r="M4" i="3" s="1"/>
  <c r="G7" i="1"/>
  <c r="J7" i="1" s="1"/>
  <c r="F7" i="1"/>
  <c r="F6" i="1"/>
  <c r="G6" i="1" s="1"/>
  <c r="I5" i="1"/>
  <c r="F5" i="1"/>
  <c r="H5" i="1" s="1"/>
  <c r="M3" i="3" s="1"/>
  <c r="G4" i="1"/>
  <c r="F4" i="1"/>
  <c r="I3" i="1"/>
  <c r="H3" i="1"/>
  <c r="M2" i="3" s="1"/>
  <c r="G3" i="1"/>
  <c r="J3" i="1" s="1"/>
  <c r="F3" i="1"/>
  <c r="H148" i="3" l="1"/>
  <c r="I148" i="3" s="1"/>
  <c r="F66" i="3"/>
  <c r="K131" i="1"/>
  <c r="L66" i="3"/>
  <c r="N66" i="3"/>
  <c r="L71" i="3"/>
  <c r="F71" i="3"/>
  <c r="K141" i="1"/>
  <c r="N71" i="3"/>
  <c r="X20" i="2"/>
  <c r="W20" i="2"/>
  <c r="V20" i="2"/>
  <c r="U35" i="2"/>
  <c r="X12" i="2"/>
  <c r="W12" i="2"/>
  <c r="V12" i="2"/>
  <c r="I29" i="3"/>
  <c r="N87" i="3"/>
  <c r="F87" i="3"/>
  <c r="L87" i="3"/>
  <c r="K173" i="1"/>
  <c r="N6" i="3"/>
  <c r="K11" i="1"/>
  <c r="F6" i="3"/>
  <c r="L6" i="3"/>
  <c r="F33" i="3"/>
  <c r="L33" i="3"/>
  <c r="N33" i="3"/>
  <c r="K65" i="1"/>
  <c r="F119" i="3"/>
  <c r="N119" i="3"/>
  <c r="L119" i="3"/>
  <c r="K237" i="1"/>
  <c r="W49" i="2"/>
  <c r="V49" i="2"/>
  <c r="X49" i="2"/>
  <c r="W42" i="2"/>
  <c r="X42" i="2"/>
  <c r="V42" i="2"/>
  <c r="V60" i="2"/>
  <c r="X60" i="2"/>
  <c r="W60" i="2"/>
  <c r="V28" i="2"/>
  <c r="W28" i="2"/>
  <c r="X28" i="2"/>
  <c r="K297" i="1"/>
  <c r="N149" i="3"/>
  <c r="L149" i="3"/>
  <c r="F149" i="3"/>
  <c r="F106" i="3"/>
  <c r="N106" i="3"/>
  <c r="L106" i="3"/>
  <c r="K211" i="1"/>
  <c r="W70" i="2"/>
  <c r="V70" i="2"/>
  <c r="X70" i="2"/>
  <c r="X36" i="2"/>
  <c r="W36" i="2"/>
  <c r="V36" i="2"/>
  <c r="V33" i="2"/>
  <c r="X33" i="2"/>
  <c r="W33" i="2"/>
  <c r="W67" i="2"/>
  <c r="V67" i="2"/>
  <c r="X67" i="2"/>
  <c r="W10" i="2"/>
  <c r="X10" i="2"/>
  <c r="V10" i="2"/>
  <c r="U3" i="2"/>
  <c r="L36" i="3"/>
  <c r="F36" i="3"/>
  <c r="N36" i="3"/>
  <c r="K71" i="1"/>
  <c r="K243" i="1"/>
  <c r="N122" i="3"/>
  <c r="L122" i="3"/>
  <c r="F122" i="3"/>
  <c r="X44" i="2"/>
  <c r="V44" i="2"/>
  <c r="W44" i="2"/>
  <c r="X52" i="2"/>
  <c r="V52" i="2"/>
  <c r="W52" i="2"/>
  <c r="K293" i="1"/>
  <c r="N147" i="3"/>
  <c r="F147" i="3"/>
  <c r="L147" i="3"/>
  <c r="X23" i="2"/>
  <c r="W23" i="2"/>
  <c r="V23" i="2"/>
  <c r="L43" i="3"/>
  <c r="N43" i="3"/>
  <c r="F43" i="3"/>
  <c r="K85" i="1"/>
  <c r="W31" i="2"/>
  <c r="X31" i="2"/>
  <c r="V31" i="2"/>
  <c r="X18" i="2"/>
  <c r="W18" i="2"/>
  <c r="V18" i="2"/>
  <c r="W40" i="2"/>
  <c r="X40" i="2"/>
  <c r="V40" i="2"/>
  <c r="K221" i="1"/>
  <c r="N111" i="3"/>
  <c r="L111" i="3"/>
  <c r="F111" i="3"/>
  <c r="L17" i="3"/>
  <c r="F17" i="3"/>
  <c r="K33" i="1"/>
  <c r="N17" i="3"/>
  <c r="K70" i="3"/>
  <c r="J70" i="3"/>
  <c r="L82" i="3"/>
  <c r="N82" i="3"/>
  <c r="K163" i="1"/>
  <c r="F82" i="3"/>
  <c r="U45" i="2"/>
  <c r="N95" i="1"/>
  <c r="H95" i="1"/>
  <c r="M48" i="3" s="1"/>
  <c r="G112" i="1"/>
  <c r="W24" i="2"/>
  <c r="X24" i="2"/>
  <c r="V24" i="2"/>
  <c r="W56" i="2"/>
  <c r="V56" i="2"/>
  <c r="X56" i="2"/>
  <c r="G102" i="3"/>
  <c r="I102" i="3" s="1"/>
  <c r="H102" i="3"/>
  <c r="G96" i="1"/>
  <c r="J113" i="1"/>
  <c r="K69" i="3"/>
  <c r="J69" i="3"/>
  <c r="G171" i="1"/>
  <c r="J171" i="1" s="1"/>
  <c r="H171" i="1"/>
  <c r="M86" i="3" s="1"/>
  <c r="N99" i="3"/>
  <c r="L99" i="3"/>
  <c r="K197" i="1"/>
  <c r="F99" i="3"/>
  <c r="L137" i="3"/>
  <c r="N137" i="3"/>
  <c r="F137" i="3"/>
  <c r="K273" i="1"/>
  <c r="X48" i="2"/>
  <c r="W48" i="2"/>
  <c r="V48" i="2"/>
  <c r="G25" i="1"/>
  <c r="J25" i="1" s="1"/>
  <c r="H49" i="1"/>
  <c r="M25" i="3" s="1"/>
  <c r="N96" i="1"/>
  <c r="H113" i="1"/>
  <c r="M57" i="3" s="1"/>
  <c r="G191" i="1"/>
  <c r="J191" i="1" s="1"/>
  <c r="H191" i="1"/>
  <c r="M96" i="3" s="1"/>
  <c r="G216" i="1"/>
  <c r="J215" i="1" s="1"/>
  <c r="K247" i="1"/>
  <c r="H261" i="1"/>
  <c r="M131" i="3" s="1"/>
  <c r="G261" i="1"/>
  <c r="J261" i="1" s="1"/>
  <c r="F150" i="3"/>
  <c r="K299" i="1"/>
  <c r="N150" i="3"/>
  <c r="L150" i="3"/>
  <c r="I19" i="3"/>
  <c r="I41" i="3"/>
  <c r="G16" i="1"/>
  <c r="H97" i="1"/>
  <c r="M49" i="3" s="1"/>
  <c r="G97" i="1"/>
  <c r="J97" i="1" s="1"/>
  <c r="H205" i="1"/>
  <c r="M103" i="3" s="1"/>
  <c r="G205" i="1"/>
  <c r="J205" i="1" s="1"/>
  <c r="L134" i="3"/>
  <c r="F134" i="3"/>
  <c r="K267" i="1"/>
  <c r="U15" i="2"/>
  <c r="I63" i="3"/>
  <c r="H127" i="3"/>
  <c r="H131" i="1"/>
  <c r="M66" i="3" s="1"/>
  <c r="G179" i="1"/>
  <c r="J179" i="1" s="1"/>
  <c r="N125" i="3"/>
  <c r="F125" i="3"/>
  <c r="K249" i="1"/>
  <c r="N132" i="3"/>
  <c r="L132" i="3"/>
  <c r="F132" i="3"/>
  <c r="W16" i="2"/>
  <c r="X16" i="2"/>
  <c r="U37" i="2"/>
  <c r="W43" i="2"/>
  <c r="X43" i="2"/>
  <c r="W62" i="2"/>
  <c r="U65" i="2"/>
  <c r="H29" i="3"/>
  <c r="I109" i="3"/>
  <c r="I127" i="3"/>
  <c r="H27" i="1"/>
  <c r="M14" i="3" s="1"/>
  <c r="G27" i="1"/>
  <c r="J27" i="1" s="1"/>
  <c r="G74" i="1"/>
  <c r="J73" i="1" s="1"/>
  <c r="N54" i="3"/>
  <c r="K107" i="1"/>
  <c r="L54" i="3"/>
  <c r="F54" i="3"/>
  <c r="F97" i="3"/>
  <c r="N97" i="3"/>
  <c r="K193" i="1"/>
  <c r="N135" i="3"/>
  <c r="K269" i="1"/>
  <c r="F135" i="3"/>
  <c r="L135" i="3"/>
  <c r="V34" i="2"/>
  <c r="V51" i="2"/>
  <c r="X62" i="2"/>
  <c r="G96" i="3"/>
  <c r="H96" i="3"/>
  <c r="H59" i="1"/>
  <c r="M30" i="3" s="1"/>
  <c r="J161" i="1"/>
  <c r="H289" i="1"/>
  <c r="M145" i="3" s="1"/>
  <c r="G289" i="1"/>
  <c r="J289" i="1" s="1"/>
  <c r="X34" i="2"/>
  <c r="X51" i="2"/>
  <c r="X63" i="2"/>
  <c r="V63" i="2"/>
  <c r="W63" i="2"/>
  <c r="J15" i="1"/>
  <c r="K32" i="3"/>
  <c r="J32" i="3"/>
  <c r="F124" i="3"/>
  <c r="L124" i="3"/>
  <c r="N130" i="3"/>
  <c r="L130" i="3"/>
  <c r="F130" i="3"/>
  <c r="X39" i="2"/>
  <c r="W39" i="2"/>
  <c r="U64" i="2"/>
  <c r="L9" i="3"/>
  <c r="N9" i="3"/>
  <c r="N53" i="3"/>
  <c r="F53" i="3"/>
  <c r="N65" i="3"/>
  <c r="L65" i="3"/>
  <c r="K129" i="1"/>
  <c r="F65" i="3"/>
  <c r="N77" i="3"/>
  <c r="K153" i="1"/>
  <c r="X59" i="2"/>
  <c r="W59" i="2"/>
  <c r="V59" i="2"/>
  <c r="V68" i="2"/>
  <c r="W68" i="2"/>
  <c r="X68" i="2"/>
  <c r="U25" i="2"/>
  <c r="G82" i="1"/>
  <c r="J81" i="1" s="1"/>
  <c r="H81" i="1"/>
  <c r="M41" i="3" s="1"/>
  <c r="G91" i="1"/>
  <c r="G147" i="1"/>
  <c r="J147" i="1" s="1"/>
  <c r="H211" i="1"/>
  <c r="M106" i="3" s="1"/>
  <c r="H243" i="1"/>
  <c r="M122" i="3" s="1"/>
  <c r="F2" i="3"/>
  <c r="L2" i="3"/>
  <c r="N2" i="3"/>
  <c r="K17" i="1"/>
  <c r="H91" i="1"/>
  <c r="M46" i="3" s="1"/>
  <c r="H275" i="1"/>
  <c r="M138" i="3" s="1"/>
  <c r="G275" i="1"/>
  <c r="J275" i="1" s="1"/>
  <c r="K3" i="1"/>
  <c r="J43" i="1"/>
  <c r="N91" i="1"/>
  <c r="K263" i="1"/>
  <c r="V16" i="2"/>
  <c r="V43" i="2"/>
  <c r="X66" i="2"/>
  <c r="V66" i="2"/>
  <c r="W66" i="2"/>
  <c r="I70" i="3"/>
  <c r="I84" i="3"/>
  <c r="G52" i="1"/>
  <c r="J51" i="1" s="1"/>
  <c r="N30" i="3"/>
  <c r="L30" i="3"/>
  <c r="F30" i="3"/>
  <c r="H207" i="1"/>
  <c r="M104" i="3" s="1"/>
  <c r="G207" i="1"/>
  <c r="J207" i="1" s="1"/>
  <c r="G283" i="1"/>
  <c r="J283" i="1" s="1"/>
  <c r="X7" i="2"/>
  <c r="W7" i="2"/>
  <c r="U29" i="2"/>
  <c r="V41" i="2"/>
  <c r="W41" i="2"/>
  <c r="X41" i="2"/>
  <c r="I17" i="3"/>
  <c r="G67" i="3"/>
  <c r="H67" i="3"/>
  <c r="F141" i="3"/>
  <c r="H144" i="3"/>
  <c r="G144" i="3"/>
  <c r="N10" i="3"/>
  <c r="F10" i="3"/>
  <c r="K19" i="1"/>
  <c r="J37" i="1"/>
  <c r="K59" i="1"/>
  <c r="G92" i="1"/>
  <c r="G117" i="1"/>
  <c r="J117" i="1" s="1"/>
  <c r="H219" i="1"/>
  <c r="M110" i="3" s="1"/>
  <c r="G219" i="1"/>
  <c r="J219" i="1" s="1"/>
  <c r="F116" i="3"/>
  <c r="K231" i="1"/>
  <c r="L116" i="3"/>
  <c r="L148" i="3"/>
  <c r="F148" i="3"/>
  <c r="N148" i="3"/>
  <c r="K295" i="1"/>
  <c r="V7" i="2"/>
  <c r="U26" i="2"/>
  <c r="F77" i="3"/>
  <c r="H84" i="3"/>
  <c r="H37" i="1"/>
  <c r="M19" i="3" s="1"/>
  <c r="G53" i="1"/>
  <c r="J53" i="1" s="1"/>
  <c r="H109" i="1"/>
  <c r="M55" i="3" s="1"/>
  <c r="G109" i="1"/>
  <c r="J109" i="1" s="1"/>
  <c r="F78" i="3"/>
  <c r="L78" i="3"/>
  <c r="N78" i="3"/>
  <c r="G258" i="1"/>
  <c r="J257" i="1" s="1"/>
  <c r="U58" i="2"/>
  <c r="H5" i="3"/>
  <c r="P5" i="3"/>
  <c r="I97" i="3"/>
  <c r="G104" i="3"/>
  <c r="H104" i="3"/>
  <c r="L141" i="3"/>
  <c r="G5" i="1"/>
  <c r="J5" i="1" s="1"/>
  <c r="J69" i="1"/>
  <c r="H101" i="1"/>
  <c r="M51" i="3" s="1"/>
  <c r="G101" i="1"/>
  <c r="J101" i="1" s="1"/>
  <c r="K155" i="1"/>
  <c r="L91" i="3"/>
  <c r="K181" i="1"/>
  <c r="N91" i="3"/>
  <c r="G201" i="1"/>
  <c r="J201" i="1" s="1"/>
  <c r="H239" i="1"/>
  <c r="M120" i="3" s="1"/>
  <c r="G239" i="1"/>
  <c r="J239" i="1" s="1"/>
  <c r="H265" i="1"/>
  <c r="M133" i="3" s="1"/>
  <c r="G277" i="1"/>
  <c r="J277" i="1" s="1"/>
  <c r="N146" i="3"/>
  <c r="F146" i="3"/>
  <c r="K291" i="1"/>
  <c r="H27" i="3"/>
  <c r="I27" i="3" s="1"/>
  <c r="G93" i="1"/>
  <c r="J93" i="1" s="1"/>
  <c r="J135" i="1"/>
  <c r="J233" i="1"/>
  <c r="G271" i="1"/>
  <c r="J271" i="1" s="1"/>
  <c r="N89" i="3"/>
  <c r="K177" i="1"/>
  <c r="K105" i="3"/>
  <c r="H17" i="1"/>
  <c r="M9" i="3" s="1"/>
  <c r="K105" i="1"/>
  <c r="L93" i="3"/>
  <c r="F93" i="3"/>
  <c r="N93" i="3"/>
  <c r="K185" i="1"/>
  <c r="J255" i="1"/>
  <c r="X4" i="2"/>
  <c r="W4" i="2"/>
  <c r="V4" i="2"/>
  <c r="I32" i="3"/>
  <c r="N70" i="3"/>
  <c r="L70" i="3"/>
  <c r="F70" i="3"/>
  <c r="K281" i="1"/>
  <c r="H45" i="1"/>
  <c r="M23" i="3" s="1"/>
  <c r="G45" i="1"/>
  <c r="J45" i="1" s="1"/>
  <c r="N39" i="3"/>
  <c r="L39" i="3"/>
  <c r="F39" i="3"/>
  <c r="K77" i="1"/>
  <c r="N63" i="3"/>
  <c r="F63" i="3"/>
  <c r="L63" i="3"/>
  <c r="L72" i="3"/>
  <c r="K143" i="1"/>
  <c r="U17" i="2"/>
  <c r="V69" i="2"/>
  <c r="X69" i="2"/>
  <c r="G40" i="3"/>
  <c r="H40" i="3"/>
  <c r="L77" i="3"/>
  <c r="L97" i="3"/>
  <c r="H31" i="1"/>
  <c r="M16" i="3" s="1"/>
  <c r="J111" i="1"/>
  <c r="K125" i="1"/>
  <c r="H169" i="1"/>
  <c r="M85" i="3" s="1"/>
  <c r="G169" i="1"/>
  <c r="J169" i="1" s="1"/>
  <c r="L98" i="3"/>
  <c r="F98" i="3"/>
  <c r="G227" i="1"/>
  <c r="J227" i="1" s="1"/>
  <c r="H227" i="1"/>
  <c r="M114" i="3" s="1"/>
  <c r="V5" i="2"/>
  <c r="W69" i="2"/>
  <c r="L125" i="3"/>
  <c r="G31" i="1"/>
  <c r="J31" i="1" s="1"/>
  <c r="L28" i="3"/>
  <c r="K55" i="1"/>
  <c r="F28" i="3"/>
  <c r="H151" i="1"/>
  <c r="M76" i="3" s="1"/>
  <c r="G151" i="1"/>
  <c r="J151" i="1" s="1"/>
  <c r="J189" i="1"/>
  <c r="K195" i="1"/>
  <c r="H253" i="1"/>
  <c r="M127" i="3" s="1"/>
  <c r="G253" i="1"/>
  <c r="J253" i="1" s="1"/>
  <c r="W5" i="2"/>
  <c r="N116" i="3"/>
  <c r="G22" i="1"/>
  <c r="J21" i="1" s="1"/>
  <c r="G39" i="1"/>
  <c r="J39" i="1" s="1"/>
  <c r="H79" i="1"/>
  <c r="M40" i="3" s="1"/>
  <c r="G87" i="1"/>
  <c r="J87" i="1" s="1"/>
  <c r="G103" i="1"/>
  <c r="J103" i="1" s="1"/>
  <c r="G119" i="1"/>
  <c r="J119" i="1" s="1"/>
  <c r="G127" i="1"/>
  <c r="J127" i="1" s="1"/>
  <c r="H127" i="1"/>
  <c r="M64" i="3" s="1"/>
  <c r="G157" i="1"/>
  <c r="J157" i="1" s="1"/>
  <c r="U8" i="2"/>
  <c r="U50" i="2"/>
  <c r="I9" i="3"/>
  <c r="H23" i="1"/>
  <c r="M12" i="3" s="1"/>
  <c r="G23" i="1"/>
  <c r="J23" i="1" s="1"/>
  <c r="G47" i="1"/>
  <c r="J47" i="1" s="1"/>
  <c r="F32" i="3"/>
  <c r="N32" i="3"/>
  <c r="J95" i="1"/>
  <c r="J145" i="1"/>
  <c r="H183" i="1"/>
  <c r="M92" i="3" s="1"/>
  <c r="G183" i="1"/>
  <c r="J183" i="1" s="1"/>
  <c r="N105" i="3"/>
  <c r="L105" i="3"/>
  <c r="F105" i="3"/>
  <c r="K259" i="1"/>
  <c r="X21" i="2"/>
  <c r="W21" i="2"/>
  <c r="V21" i="2"/>
  <c r="W30" i="2"/>
  <c r="G6" i="3"/>
  <c r="I6" i="3" s="1"/>
  <c r="I123" i="3"/>
  <c r="G139" i="3"/>
  <c r="I139" i="3" s="1"/>
  <c r="U57" i="2"/>
  <c r="H100" i="3"/>
  <c r="G100" i="3"/>
  <c r="I100" i="3" s="1"/>
  <c r="I141" i="3"/>
  <c r="H287" i="1"/>
  <c r="M144" i="3" s="1"/>
  <c r="G287" i="1"/>
  <c r="J287" i="1" s="1"/>
  <c r="U54" i="2"/>
  <c r="I5" i="3"/>
  <c r="I69" i="3"/>
  <c r="I80" i="3"/>
  <c r="H67" i="1"/>
  <c r="M34" i="3" s="1"/>
  <c r="G67" i="1"/>
  <c r="J67" i="1" s="1"/>
  <c r="H75" i="1"/>
  <c r="M38" i="3" s="1"/>
  <c r="J159" i="1"/>
  <c r="N109" i="3"/>
  <c r="K217" i="1"/>
  <c r="L109" i="3"/>
  <c r="F109" i="3"/>
  <c r="U6" i="2"/>
  <c r="U53" i="2"/>
  <c r="X71" i="2"/>
  <c r="V71" i="2"/>
  <c r="I128" i="3"/>
  <c r="I145" i="3"/>
  <c r="L4" i="3"/>
  <c r="F4" i="3"/>
  <c r="K7" i="1"/>
  <c r="G75" i="1"/>
  <c r="J75" i="1" s="1"/>
  <c r="H159" i="1"/>
  <c r="M80" i="3" s="1"/>
  <c r="X61" i="2"/>
  <c r="W61" i="2"/>
  <c r="V61" i="2"/>
  <c r="I73" i="3"/>
  <c r="I134" i="3"/>
  <c r="G61" i="1"/>
  <c r="J61" i="1" s="1"/>
  <c r="G229" i="1"/>
  <c r="J229" i="1" s="1"/>
  <c r="G256" i="1"/>
  <c r="H35" i="1"/>
  <c r="M18" i="3" s="1"/>
  <c r="L61" i="3"/>
  <c r="F61" i="3"/>
  <c r="K121" i="1"/>
  <c r="H175" i="1"/>
  <c r="M88" i="3" s="1"/>
  <c r="G175" i="1"/>
  <c r="J175" i="1" s="1"/>
  <c r="G213" i="1"/>
  <c r="J213" i="1" s="1"/>
  <c r="H213" i="1"/>
  <c r="M107" i="3" s="1"/>
  <c r="O14" i="2"/>
  <c r="R14" i="2" s="1"/>
  <c r="U14" i="2" s="1"/>
  <c r="W71" i="2"/>
  <c r="H90" i="3"/>
  <c r="G90" i="3"/>
  <c r="I90" i="3" s="1"/>
  <c r="G110" i="3"/>
  <c r="H110" i="3"/>
  <c r="H89" i="1"/>
  <c r="M45" i="3" s="1"/>
  <c r="G89" i="1"/>
  <c r="J89" i="1" s="1"/>
  <c r="U32" i="2"/>
  <c r="H13" i="3"/>
  <c r="G13" i="3"/>
  <c r="I13" i="3" s="1"/>
  <c r="G18" i="3"/>
  <c r="I18" i="3" s="1"/>
  <c r="I129" i="3"/>
  <c r="I132" i="3"/>
  <c r="N21" i="3"/>
  <c r="L21" i="3"/>
  <c r="F21" i="3"/>
  <c r="J115" i="1"/>
  <c r="L123" i="3"/>
  <c r="F123" i="3"/>
  <c r="K245" i="1"/>
  <c r="J285" i="1"/>
  <c r="U9" i="2"/>
  <c r="H52" i="3"/>
  <c r="G52" i="3"/>
  <c r="I120" i="3"/>
  <c r="H9" i="1"/>
  <c r="M5" i="3" s="1"/>
  <c r="K41" i="1"/>
  <c r="G49" i="1"/>
  <c r="J49" i="1" s="1"/>
  <c r="F69" i="3"/>
  <c r="L69" i="3"/>
  <c r="N69" i="3"/>
  <c r="G165" i="1"/>
  <c r="J165" i="1" s="1"/>
  <c r="G187" i="1"/>
  <c r="J187" i="1" s="1"/>
  <c r="G235" i="1"/>
  <c r="J235" i="1" s="1"/>
  <c r="H235" i="1"/>
  <c r="M118" i="3" s="1"/>
  <c r="U27" i="2"/>
  <c r="G9" i="1"/>
  <c r="J9" i="1" s="1"/>
  <c r="J29" i="1"/>
  <c r="G83" i="1"/>
  <c r="J83" i="1" s="1"/>
  <c r="H123" i="1"/>
  <c r="M62" i="3" s="1"/>
  <c r="H155" i="1"/>
  <c r="M78" i="3" s="1"/>
  <c r="G225" i="1"/>
  <c r="J225" i="1" s="1"/>
  <c r="K151" i="3"/>
  <c r="J151" i="3"/>
  <c r="U22" i="2"/>
  <c r="G123" i="1"/>
  <c r="J123" i="1" s="1"/>
  <c r="G241" i="1"/>
  <c r="J241" i="1" s="1"/>
  <c r="H241" i="1"/>
  <c r="M121" i="3" s="1"/>
  <c r="N4" i="3"/>
  <c r="G135" i="3"/>
  <c r="H135" i="3"/>
  <c r="H138" i="3"/>
  <c r="G138" i="3"/>
  <c r="I138" i="3" s="1"/>
  <c r="D82" i="3"/>
  <c r="H163" i="1"/>
  <c r="M82" i="3" s="1"/>
  <c r="H281" i="1"/>
  <c r="M141" i="3" s="1"/>
  <c r="I11" i="3"/>
  <c r="I20" i="3"/>
  <c r="I54" i="3"/>
  <c r="E82" i="3"/>
  <c r="H99" i="3"/>
  <c r="I99" i="3" s="1"/>
  <c r="G121" i="3"/>
  <c r="I121" i="3" s="1"/>
  <c r="I146" i="3"/>
  <c r="U11" i="2"/>
  <c r="I95" i="3"/>
  <c r="H98" i="3"/>
  <c r="I98" i="3" s="1"/>
  <c r="G81" i="3"/>
  <c r="G203" i="1"/>
  <c r="J203" i="1" s="1"/>
  <c r="O46" i="2"/>
  <c r="R46" i="2" s="1"/>
  <c r="U46" i="2" s="1"/>
  <c r="B81" i="3"/>
  <c r="H81" i="3" s="1"/>
  <c r="H130" i="3"/>
  <c r="G13" i="1"/>
  <c r="J13" i="1" s="1"/>
  <c r="G35" i="1"/>
  <c r="J35" i="1" s="1"/>
  <c r="G57" i="1"/>
  <c r="J57" i="1" s="1"/>
  <c r="G79" i="1"/>
  <c r="J79" i="1" s="1"/>
  <c r="G94" i="1"/>
  <c r="G99" i="1"/>
  <c r="J99" i="1" s="1"/>
  <c r="G149" i="1"/>
  <c r="J149" i="1" s="1"/>
  <c r="G199" i="1"/>
  <c r="J199" i="1" s="1"/>
  <c r="G265" i="1"/>
  <c r="J265" i="1" s="1"/>
  <c r="H185" i="1"/>
  <c r="M93" i="3" s="1"/>
  <c r="G279" i="1"/>
  <c r="J279" i="1" s="1"/>
  <c r="H279" i="1"/>
  <c r="M140" i="3" s="1"/>
  <c r="U38" i="2"/>
  <c r="I28" i="3"/>
  <c r="I130" i="3"/>
  <c r="G133" i="1"/>
  <c r="J133" i="1" s="1"/>
  <c r="G167" i="1"/>
  <c r="J167" i="1" s="1"/>
  <c r="G223" i="1"/>
  <c r="J223" i="1" s="1"/>
  <c r="G251" i="1"/>
  <c r="J251" i="1" s="1"/>
  <c r="I37" i="3"/>
  <c r="G51" i="3"/>
  <c r="I51" i="3" s="1"/>
  <c r="G74" i="3"/>
  <c r="H74" i="3"/>
  <c r="H33" i="3"/>
  <c r="I33" i="3" s="1"/>
  <c r="I35" i="3"/>
  <c r="H63" i="3"/>
  <c r="H123" i="3"/>
  <c r="I125" i="3"/>
  <c r="H46" i="3"/>
  <c r="I46" i="3" s="1"/>
  <c r="G71" i="3"/>
  <c r="I71" i="3" s="1"/>
  <c r="H217" i="1"/>
  <c r="M109" i="3" s="1"/>
  <c r="O19" i="2"/>
  <c r="R19" i="2" s="1"/>
  <c r="U19" i="2" s="1"/>
  <c r="O55" i="2"/>
  <c r="R55" i="2" s="1"/>
  <c r="U55" i="2" s="1"/>
  <c r="G55" i="3"/>
  <c r="I55" i="3" s="1"/>
  <c r="G78" i="3"/>
  <c r="I78" i="3" s="1"/>
  <c r="G126" i="3"/>
  <c r="I126" i="3" s="1"/>
  <c r="H297" i="1"/>
  <c r="M149" i="3" s="1"/>
  <c r="O47" i="2"/>
  <c r="R47" i="2" s="1"/>
  <c r="U47" i="2" s="1"/>
  <c r="H32" i="3"/>
  <c r="I38" i="3"/>
  <c r="I59" i="3"/>
  <c r="H87" i="3"/>
  <c r="I87" i="3" s="1"/>
  <c r="H118" i="3"/>
  <c r="I118" i="3" s="1"/>
  <c r="H120" i="3"/>
  <c r="H143" i="3"/>
  <c r="I143" i="3" s="1"/>
  <c r="I122" i="3"/>
  <c r="I151" i="3"/>
  <c r="H16" i="3"/>
  <c r="G22" i="3"/>
  <c r="I22" i="3" s="1"/>
  <c r="I30" i="3"/>
  <c r="H43" i="3"/>
  <c r="I43" i="3" s="1"/>
  <c r="I68" i="3"/>
  <c r="G21" i="3"/>
  <c r="I21" i="3" s="1"/>
  <c r="G60" i="3"/>
  <c r="I60" i="3" s="1"/>
  <c r="H79" i="3"/>
  <c r="I79" i="3" s="1"/>
  <c r="G137" i="3"/>
  <c r="I137" i="3" s="1"/>
  <c r="H141" i="3"/>
  <c r="N151" i="3"/>
  <c r="L151" i="3"/>
  <c r="G16" i="3"/>
  <c r="I16" i="3" s="1"/>
  <c r="G115" i="3"/>
  <c r="I115" i="3" s="1"/>
  <c r="H134" i="3"/>
  <c r="O13" i="2"/>
  <c r="R13" i="2" s="1"/>
  <c r="U13" i="2" s="1"/>
  <c r="G65" i="3"/>
  <c r="I65" i="3" s="1"/>
  <c r="G142" i="3"/>
  <c r="I142" i="3" s="1"/>
  <c r="H105" i="3"/>
  <c r="I105" i="3" s="1"/>
  <c r="I112" i="3"/>
  <c r="G76" i="3"/>
  <c r="I76" i="3" s="1"/>
  <c r="G131" i="3"/>
  <c r="I131" i="3" s="1"/>
  <c r="N108" i="3" l="1"/>
  <c r="L108" i="3"/>
  <c r="F108" i="3"/>
  <c r="K215" i="1"/>
  <c r="N11" i="3"/>
  <c r="L11" i="3"/>
  <c r="K21" i="1"/>
  <c r="F11" i="3"/>
  <c r="N41" i="3"/>
  <c r="L41" i="3"/>
  <c r="K81" i="1"/>
  <c r="F41" i="3"/>
  <c r="N37" i="3"/>
  <c r="K73" i="1"/>
  <c r="F37" i="3"/>
  <c r="L37" i="3"/>
  <c r="L26" i="3"/>
  <c r="K51" i="1"/>
  <c r="F26" i="3"/>
  <c r="N26" i="3"/>
  <c r="F40" i="3"/>
  <c r="N40" i="3"/>
  <c r="L40" i="3"/>
  <c r="K79" i="1"/>
  <c r="F29" i="3"/>
  <c r="L29" i="3"/>
  <c r="N29" i="3"/>
  <c r="K57" i="1"/>
  <c r="N83" i="3"/>
  <c r="F83" i="3"/>
  <c r="L83" i="3"/>
  <c r="K165" i="1"/>
  <c r="N34" i="3"/>
  <c r="L34" i="3"/>
  <c r="K67" i="1"/>
  <c r="F34" i="3"/>
  <c r="L44" i="3"/>
  <c r="N44" i="3"/>
  <c r="K87" i="1"/>
  <c r="F44" i="3"/>
  <c r="K2" i="3"/>
  <c r="J2" i="3"/>
  <c r="K77" i="3"/>
  <c r="J77" i="3"/>
  <c r="K124" i="3"/>
  <c r="J124" i="3"/>
  <c r="J17" i="3"/>
  <c r="K17" i="3"/>
  <c r="F18" i="3"/>
  <c r="K35" i="1"/>
  <c r="N18" i="3"/>
  <c r="L18" i="3"/>
  <c r="L23" i="3"/>
  <c r="K45" i="1"/>
  <c r="N23" i="3"/>
  <c r="F23" i="3"/>
  <c r="F136" i="3"/>
  <c r="K271" i="1"/>
  <c r="N136" i="3"/>
  <c r="L136" i="3"/>
  <c r="F138" i="3"/>
  <c r="K275" i="1"/>
  <c r="L138" i="3"/>
  <c r="N138" i="3"/>
  <c r="F90" i="3"/>
  <c r="N90" i="3"/>
  <c r="K179" i="1"/>
  <c r="L90" i="3"/>
  <c r="L57" i="3"/>
  <c r="N57" i="3"/>
  <c r="F57" i="3"/>
  <c r="K113" i="1"/>
  <c r="K87" i="3"/>
  <c r="J87" i="3"/>
  <c r="I74" i="3"/>
  <c r="F7" i="3"/>
  <c r="N7" i="3"/>
  <c r="L7" i="3"/>
  <c r="K13" i="1"/>
  <c r="I135" i="3"/>
  <c r="W32" i="2"/>
  <c r="V32" i="2"/>
  <c r="X32" i="2"/>
  <c r="L20" i="3"/>
  <c r="N20" i="3"/>
  <c r="F20" i="3"/>
  <c r="K39" i="1"/>
  <c r="N85" i="3"/>
  <c r="F85" i="3"/>
  <c r="L85" i="3"/>
  <c r="K169" i="1"/>
  <c r="F117" i="3"/>
  <c r="L117" i="3"/>
  <c r="N117" i="3"/>
  <c r="K233" i="1"/>
  <c r="I104" i="3"/>
  <c r="W29" i="2"/>
  <c r="V29" i="2"/>
  <c r="X29" i="2"/>
  <c r="J54" i="3"/>
  <c r="K54" i="3"/>
  <c r="F45" i="3"/>
  <c r="K89" i="1"/>
  <c r="N45" i="3"/>
  <c r="L45" i="3"/>
  <c r="N92" i="3"/>
  <c r="L92" i="3"/>
  <c r="F92" i="3"/>
  <c r="K183" i="1"/>
  <c r="L68" i="3"/>
  <c r="K135" i="1"/>
  <c r="N68" i="3"/>
  <c r="F68" i="3"/>
  <c r="J65" i="3"/>
  <c r="K65" i="3"/>
  <c r="N96" i="3"/>
  <c r="L96" i="3"/>
  <c r="F96" i="3"/>
  <c r="K191" i="1"/>
  <c r="K147" i="3"/>
  <c r="J147" i="3"/>
  <c r="J21" i="3"/>
  <c r="K21" i="3"/>
  <c r="F142" i="3"/>
  <c r="K283" i="1"/>
  <c r="N142" i="3"/>
  <c r="L142" i="3"/>
  <c r="L14" i="3"/>
  <c r="N14" i="3"/>
  <c r="F14" i="3"/>
  <c r="K27" i="1"/>
  <c r="L112" i="3"/>
  <c r="F112" i="3"/>
  <c r="N112" i="3"/>
  <c r="K223" i="1"/>
  <c r="L102" i="3"/>
  <c r="N102" i="3"/>
  <c r="K203" i="1"/>
  <c r="F102" i="3"/>
  <c r="F121" i="3"/>
  <c r="N121" i="3"/>
  <c r="L121" i="3"/>
  <c r="K241" i="1"/>
  <c r="I110" i="3"/>
  <c r="L38" i="3"/>
  <c r="F38" i="3"/>
  <c r="N38" i="3"/>
  <c r="K75" i="1"/>
  <c r="N144" i="3"/>
  <c r="K287" i="1"/>
  <c r="F144" i="3"/>
  <c r="L144" i="3"/>
  <c r="L48" i="3"/>
  <c r="F48" i="3"/>
  <c r="N48" i="3"/>
  <c r="K95" i="1"/>
  <c r="L127" i="3"/>
  <c r="N127" i="3"/>
  <c r="F127" i="3"/>
  <c r="K253" i="1"/>
  <c r="J146" i="3"/>
  <c r="K146" i="3"/>
  <c r="F110" i="3"/>
  <c r="N110" i="3"/>
  <c r="L110" i="3"/>
  <c r="K219" i="1"/>
  <c r="L104" i="3"/>
  <c r="K207" i="1"/>
  <c r="N104" i="3"/>
  <c r="F104" i="3"/>
  <c r="N145" i="3"/>
  <c r="F145" i="3"/>
  <c r="K289" i="1"/>
  <c r="L145" i="3"/>
  <c r="J134" i="3"/>
  <c r="K134" i="3"/>
  <c r="K111" i="3"/>
  <c r="J111" i="3"/>
  <c r="F84" i="3"/>
  <c r="L84" i="3"/>
  <c r="N84" i="3"/>
  <c r="K167" i="1"/>
  <c r="I81" i="3"/>
  <c r="F62" i="3"/>
  <c r="N62" i="3"/>
  <c r="K123" i="1"/>
  <c r="L62" i="3"/>
  <c r="K4" i="3"/>
  <c r="J4" i="3"/>
  <c r="V58" i="2"/>
  <c r="X58" i="2"/>
  <c r="W58" i="2"/>
  <c r="N13" i="3"/>
  <c r="L13" i="3"/>
  <c r="K25" i="1"/>
  <c r="F13" i="3"/>
  <c r="V47" i="2"/>
  <c r="W47" i="2"/>
  <c r="X47" i="2"/>
  <c r="N67" i="3"/>
  <c r="L67" i="3"/>
  <c r="F67" i="3"/>
  <c r="K133" i="1"/>
  <c r="V22" i="2"/>
  <c r="W22" i="2"/>
  <c r="X22" i="2"/>
  <c r="I52" i="3"/>
  <c r="K98" i="3"/>
  <c r="J98" i="3"/>
  <c r="N129" i="3"/>
  <c r="F129" i="3"/>
  <c r="K257" i="1"/>
  <c r="L129" i="3"/>
  <c r="N59" i="3"/>
  <c r="L59" i="3"/>
  <c r="K117" i="1"/>
  <c r="F59" i="3"/>
  <c r="F81" i="3"/>
  <c r="L81" i="3"/>
  <c r="N81" i="3"/>
  <c r="K161" i="1"/>
  <c r="F94" i="3"/>
  <c r="N94" i="3"/>
  <c r="L94" i="3"/>
  <c r="K187" i="1"/>
  <c r="N114" i="3"/>
  <c r="F114" i="3"/>
  <c r="K227" i="1"/>
  <c r="L114" i="3"/>
  <c r="N3" i="3"/>
  <c r="L3" i="3"/>
  <c r="F3" i="3"/>
  <c r="K5" i="1"/>
  <c r="N8" i="3"/>
  <c r="F8" i="3"/>
  <c r="L8" i="3"/>
  <c r="K15" i="1"/>
  <c r="K141" i="3"/>
  <c r="J141" i="3"/>
  <c r="J116" i="3"/>
  <c r="K116" i="3"/>
  <c r="X13" i="2"/>
  <c r="W13" i="2"/>
  <c r="V13" i="2"/>
  <c r="L126" i="3"/>
  <c r="F126" i="3"/>
  <c r="N126" i="3"/>
  <c r="K251" i="1"/>
  <c r="W54" i="2"/>
  <c r="V54" i="2"/>
  <c r="X54" i="2"/>
  <c r="L24" i="3"/>
  <c r="N24" i="3"/>
  <c r="K47" i="1"/>
  <c r="F24" i="3"/>
  <c r="W38" i="2"/>
  <c r="X38" i="2"/>
  <c r="V38" i="2"/>
  <c r="I96" i="3"/>
  <c r="L49" i="3"/>
  <c r="N49" i="3"/>
  <c r="F49" i="3"/>
  <c r="K97" i="1"/>
  <c r="J123" i="3"/>
  <c r="K123" i="3"/>
  <c r="X57" i="2"/>
  <c r="W57" i="2"/>
  <c r="V57" i="2"/>
  <c r="W55" i="2"/>
  <c r="X55" i="2"/>
  <c r="V55" i="2"/>
  <c r="F88" i="3"/>
  <c r="L88" i="3"/>
  <c r="N88" i="3"/>
  <c r="K175" i="1"/>
  <c r="L101" i="3"/>
  <c r="F101" i="3"/>
  <c r="K201" i="1"/>
  <c r="N101" i="3"/>
  <c r="F42" i="3"/>
  <c r="N42" i="3"/>
  <c r="L42" i="3"/>
  <c r="K83" i="1"/>
  <c r="K72" i="3"/>
  <c r="J72" i="3"/>
  <c r="K93" i="3"/>
  <c r="J93" i="3"/>
  <c r="L27" i="3"/>
  <c r="N27" i="3"/>
  <c r="F27" i="3"/>
  <c r="K53" i="1"/>
  <c r="X25" i="2"/>
  <c r="W25" i="2"/>
  <c r="V25" i="2"/>
  <c r="W37" i="2"/>
  <c r="X37" i="2"/>
  <c r="V37" i="2"/>
  <c r="X45" i="2"/>
  <c r="W45" i="2"/>
  <c r="V45" i="2"/>
  <c r="J122" i="3"/>
  <c r="K122" i="3"/>
  <c r="K71" i="3"/>
  <c r="J71" i="3"/>
  <c r="F15" i="3"/>
  <c r="L15" i="3"/>
  <c r="K29" i="1"/>
  <c r="N15" i="3"/>
  <c r="K115" i="1"/>
  <c r="L58" i="3"/>
  <c r="N58" i="3"/>
  <c r="F58" i="3"/>
  <c r="K61" i="3"/>
  <c r="J61" i="3"/>
  <c r="X6" i="2"/>
  <c r="W6" i="2"/>
  <c r="V6" i="2"/>
  <c r="W8" i="2"/>
  <c r="V8" i="2"/>
  <c r="X8" i="2"/>
  <c r="L16" i="3"/>
  <c r="F16" i="3"/>
  <c r="N16" i="3"/>
  <c r="K31" i="1"/>
  <c r="K91" i="3"/>
  <c r="J91" i="3"/>
  <c r="I144" i="3"/>
  <c r="K36" i="3"/>
  <c r="J36" i="3"/>
  <c r="K33" i="3"/>
  <c r="J33" i="3"/>
  <c r="F143" i="3"/>
  <c r="K285" i="1"/>
  <c r="L143" i="3"/>
  <c r="N143" i="3"/>
  <c r="K137" i="3"/>
  <c r="J137" i="3"/>
  <c r="W19" i="2"/>
  <c r="X19" i="2"/>
  <c r="V19" i="2"/>
  <c r="K99" i="3"/>
  <c r="J99" i="3"/>
  <c r="K82" i="3"/>
  <c r="J82" i="3"/>
  <c r="K43" i="3"/>
  <c r="J43" i="3"/>
  <c r="F31" i="3"/>
  <c r="K61" i="1"/>
  <c r="L31" i="3"/>
  <c r="N31" i="3"/>
  <c r="N52" i="3"/>
  <c r="F52" i="3"/>
  <c r="L52" i="3"/>
  <c r="K103" i="1"/>
  <c r="K148" i="3"/>
  <c r="J148" i="3"/>
  <c r="J6" i="3"/>
  <c r="K6" i="3"/>
  <c r="N47" i="3"/>
  <c r="K93" i="1"/>
  <c r="F47" i="3"/>
  <c r="L47" i="3"/>
  <c r="F73" i="3"/>
  <c r="K145" i="1"/>
  <c r="N73" i="3"/>
  <c r="L73" i="3"/>
  <c r="F95" i="3"/>
  <c r="L95" i="3"/>
  <c r="N95" i="3"/>
  <c r="K189" i="1"/>
  <c r="L103" i="3"/>
  <c r="K205" i="1"/>
  <c r="N103" i="3"/>
  <c r="F103" i="3"/>
  <c r="X14" i="2"/>
  <c r="W14" i="2"/>
  <c r="V14" i="2"/>
  <c r="N76" i="3"/>
  <c r="L76" i="3"/>
  <c r="F76" i="3"/>
  <c r="K151" i="1"/>
  <c r="J30" i="3"/>
  <c r="K30" i="3"/>
  <c r="N74" i="3"/>
  <c r="F74" i="3"/>
  <c r="K147" i="1"/>
  <c r="L74" i="3"/>
  <c r="V65" i="2"/>
  <c r="W65" i="2"/>
  <c r="X65" i="2"/>
  <c r="J91" i="1"/>
  <c r="F128" i="3"/>
  <c r="L128" i="3"/>
  <c r="K255" i="1"/>
  <c r="N128" i="3"/>
  <c r="W53" i="2"/>
  <c r="V53" i="2"/>
  <c r="X53" i="2"/>
  <c r="X50" i="2"/>
  <c r="V50" i="2"/>
  <c r="W50" i="2"/>
  <c r="K265" i="1"/>
  <c r="F133" i="3"/>
  <c r="N133" i="3"/>
  <c r="L133" i="3"/>
  <c r="N5" i="3"/>
  <c r="F5" i="3"/>
  <c r="L5" i="3"/>
  <c r="K9" i="1"/>
  <c r="F100" i="3"/>
  <c r="K199" i="1"/>
  <c r="N100" i="3"/>
  <c r="L100" i="3"/>
  <c r="L79" i="3"/>
  <c r="K157" i="1"/>
  <c r="F79" i="3"/>
  <c r="N79" i="3"/>
  <c r="K78" i="3"/>
  <c r="J78" i="3"/>
  <c r="K135" i="3"/>
  <c r="J135" i="3"/>
  <c r="J106" i="3"/>
  <c r="K106" i="3"/>
  <c r="K149" i="1"/>
  <c r="N75" i="3"/>
  <c r="L75" i="3"/>
  <c r="F75" i="3"/>
  <c r="W27" i="2"/>
  <c r="X27" i="2"/>
  <c r="V27" i="2"/>
  <c r="K53" i="3"/>
  <c r="J53" i="3"/>
  <c r="F51" i="3"/>
  <c r="K101" i="1"/>
  <c r="N51" i="3"/>
  <c r="L51" i="3"/>
  <c r="K150" i="3"/>
  <c r="J150" i="3"/>
  <c r="V35" i="2"/>
  <c r="X35" i="2"/>
  <c r="W35" i="2"/>
  <c r="V11" i="2"/>
  <c r="W11" i="2"/>
  <c r="X11" i="2"/>
  <c r="N12" i="3"/>
  <c r="L12" i="3"/>
  <c r="K23" i="1"/>
  <c r="F12" i="3"/>
  <c r="N107" i="3"/>
  <c r="L107" i="3"/>
  <c r="K213" i="1"/>
  <c r="F107" i="3"/>
  <c r="N55" i="3"/>
  <c r="K109" i="1"/>
  <c r="F55" i="3"/>
  <c r="L55" i="3"/>
  <c r="X17" i="2"/>
  <c r="V17" i="2"/>
  <c r="W17" i="2"/>
  <c r="K99" i="1"/>
  <c r="L50" i="3"/>
  <c r="N50" i="3"/>
  <c r="F50" i="3"/>
  <c r="L64" i="3"/>
  <c r="N64" i="3"/>
  <c r="K127" i="1"/>
  <c r="F64" i="3"/>
  <c r="K39" i="3"/>
  <c r="J39" i="3"/>
  <c r="W26" i="2"/>
  <c r="V26" i="2"/>
  <c r="X26" i="2"/>
  <c r="I67" i="3"/>
  <c r="K132" i="3"/>
  <c r="J132" i="3"/>
  <c r="J97" i="3"/>
  <c r="K97" i="3"/>
  <c r="X3" i="2"/>
  <c r="W3" i="2"/>
  <c r="V3" i="2"/>
  <c r="K66" i="3"/>
  <c r="J66" i="3"/>
  <c r="J130" i="3"/>
  <c r="K130" i="3"/>
  <c r="K89" i="3"/>
  <c r="J89" i="3"/>
  <c r="L22" i="3"/>
  <c r="N22" i="3"/>
  <c r="K43" i="1"/>
  <c r="F22" i="3"/>
  <c r="L25" i="3"/>
  <c r="N25" i="3"/>
  <c r="F25" i="3"/>
  <c r="K49" i="1"/>
  <c r="K63" i="3"/>
  <c r="J63" i="3"/>
  <c r="K9" i="3"/>
  <c r="J9" i="3"/>
  <c r="X46" i="2"/>
  <c r="W46" i="2"/>
  <c r="V46" i="2"/>
  <c r="F56" i="3"/>
  <c r="K111" i="1"/>
  <c r="L56" i="3"/>
  <c r="N56" i="3"/>
  <c r="V15" i="2"/>
  <c r="X15" i="2"/>
  <c r="W15" i="2"/>
  <c r="F139" i="3"/>
  <c r="L139" i="3"/>
  <c r="K277" i="1"/>
  <c r="N139" i="3"/>
  <c r="W9" i="2"/>
  <c r="V9" i="2"/>
  <c r="X9" i="2"/>
  <c r="I40" i="3"/>
  <c r="N113" i="3"/>
  <c r="F113" i="3"/>
  <c r="L113" i="3"/>
  <c r="K225" i="1"/>
  <c r="N120" i="3"/>
  <c r="F120" i="3"/>
  <c r="L120" i="3"/>
  <c r="K239" i="1"/>
  <c r="N19" i="3"/>
  <c r="L19" i="3"/>
  <c r="F19" i="3"/>
  <c r="K37" i="1"/>
  <c r="X64" i="2"/>
  <c r="W64" i="2"/>
  <c r="V64" i="2"/>
  <c r="J119" i="3"/>
  <c r="K119" i="3"/>
  <c r="K10" i="3"/>
  <c r="J10" i="3"/>
  <c r="N140" i="3"/>
  <c r="L140" i="3"/>
  <c r="K279" i="1"/>
  <c r="F140" i="3"/>
  <c r="J28" i="3"/>
  <c r="K28" i="3"/>
  <c r="K109" i="3"/>
  <c r="J109" i="3"/>
  <c r="G82" i="3"/>
  <c r="H82" i="3"/>
  <c r="N118" i="3"/>
  <c r="F118" i="3"/>
  <c r="K235" i="1"/>
  <c r="L118" i="3"/>
  <c r="L115" i="3"/>
  <c r="N115" i="3"/>
  <c r="F115" i="3"/>
  <c r="K229" i="1"/>
  <c r="L80" i="3"/>
  <c r="F80" i="3"/>
  <c r="K159" i="1"/>
  <c r="N80" i="3"/>
  <c r="L60" i="3"/>
  <c r="F60" i="3"/>
  <c r="N60" i="3"/>
  <c r="K119" i="1"/>
  <c r="F35" i="3"/>
  <c r="L35" i="3"/>
  <c r="N35" i="3"/>
  <c r="K69" i="1"/>
  <c r="J125" i="3"/>
  <c r="K125" i="3"/>
  <c r="L131" i="3"/>
  <c r="N131" i="3"/>
  <c r="K261" i="1"/>
  <c r="F131" i="3"/>
  <c r="F86" i="3"/>
  <c r="K171" i="1"/>
  <c r="N86" i="3"/>
  <c r="L86" i="3"/>
  <c r="J149" i="3"/>
  <c r="K149" i="3"/>
  <c r="K56" i="3" l="1"/>
  <c r="J56" i="3"/>
  <c r="J79" i="3"/>
  <c r="K79" i="3"/>
  <c r="K42" i="3"/>
  <c r="J42" i="3"/>
  <c r="J13" i="3"/>
  <c r="K13" i="3"/>
  <c r="J145" i="3"/>
  <c r="K145" i="3"/>
  <c r="K120" i="3"/>
  <c r="J120" i="3"/>
  <c r="V73" i="2"/>
  <c r="K95" i="3"/>
  <c r="J95" i="3"/>
  <c r="J31" i="3"/>
  <c r="K31" i="3"/>
  <c r="K59" i="3"/>
  <c r="J59" i="3"/>
  <c r="K144" i="3"/>
  <c r="J144" i="3"/>
  <c r="K138" i="3"/>
  <c r="J138" i="3"/>
  <c r="J26" i="3"/>
  <c r="K26" i="3"/>
  <c r="J128" i="3"/>
  <c r="K128" i="3"/>
  <c r="W73" i="2"/>
  <c r="N46" i="3"/>
  <c r="L46" i="3"/>
  <c r="F46" i="3"/>
  <c r="K91" i="1"/>
  <c r="J8" i="3"/>
  <c r="K8" i="3"/>
  <c r="K44" i="3"/>
  <c r="J44" i="3"/>
  <c r="I82" i="3"/>
  <c r="X73" i="2"/>
  <c r="K51" i="3"/>
  <c r="J51" i="3"/>
  <c r="J16" i="3"/>
  <c r="K16" i="3"/>
  <c r="K38" i="3"/>
  <c r="J38" i="3"/>
  <c r="J35" i="3"/>
  <c r="K35" i="3"/>
  <c r="K100" i="3"/>
  <c r="J100" i="3"/>
  <c r="J142" i="3"/>
  <c r="K142" i="3"/>
  <c r="K45" i="3"/>
  <c r="J45" i="3"/>
  <c r="K113" i="3"/>
  <c r="J113" i="3"/>
  <c r="K55" i="3"/>
  <c r="J55" i="3"/>
  <c r="J101" i="3"/>
  <c r="K101" i="3"/>
  <c r="K129" i="3"/>
  <c r="J129" i="3"/>
  <c r="K104" i="3"/>
  <c r="J104" i="3"/>
  <c r="K136" i="3"/>
  <c r="J136" i="3"/>
  <c r="J37" i="3"/>
  <c r="K37" i="3"/>
  <c r="J5" i="3"/>
  <c r="K5" i="3"/>
  <c r="K3" i="3"/>
  <c r="J3" i="3"/>
  <c r="K7" i="3"/>
  <c r="J7" i="3"/>
  <c r="K34" i="3"/>
  <c r="J34" i="3"/>
  <c r="K74" i="3"/>
  <c r="J74" i="3"/>
  <c r="K73" i="3"/>
  <c r="J73" i="3"/>
  <c r="J24" i="3"/>
  <c r="K24" i="3"/>
  <c r="K110" i="3"/>
  <c r="J110" i="3"/>
  <c r="K60" i="3"/>
  <c r="J60" i="3"/>
  <c r="K107" i="3"/>
  <c r="J107" i="3"/>
  <c r="K88" i="3"/>
  <c r="J88" i="3"/>
  <c r="K121" i="3"/>
  <c r="J121" i="3"/>
  <c r="J41" i="3"/>
  <c r="K41" i="3"/>
  <c r="K15" i="3"/>
  <c r="J15" i="3"/>
  <c r="K14" i="3"/>
  <c r="J14" i="3"/>
  <c r="K92" i="3"/>
  <c r="J92" i="3"/>
  <c r="K20" i="3"/>
  <c r="J20" i="3"/>
  <c r="K50" i="3"/>
  <c r="J50" i="3"/>
  <c r="K103" i="3"/>
  <c r="J103" i="3"/>
  <c r="K118" i="3"/>
  <c r="J118" i="3"/>
  <c r="J96" i="3"/>
  <c r="K96" i="3"/>
  <c r="K114" i="3"/>
  <c r="J114" i="3"/>
  <c r="K76" i="3"/>
  <c r="J76" i="3"/>
  <c r="J117" i="3"/>
  <c r="K117" i="3"/>
  <c r="K75" i="3"/>
  <c r="J75" i="3"/>
  <c r="K127" i="3"/>
  <c r="J127" i="3"/>
  <c r="J57" i="3"/>
  <c r="K57" i="3"/>
  <c r="K139" i="3"/>
  <c r="J139" i="3"/>
  <c r="K22" i="3"/>
  <c r="J22" i="3"/>
  <c r="K27" i="3"/>
  <c r="J27" i="3"/>
  <c r="J64" i="3"/>
  <c r="K64" i="3"/>
  <c r="K108" i="3"/>
  <c r="J108" i="3"/>
  <c r="J112" i="3"/>
  <c r="K112" i="3"/>
  <c r="K85" i="3"/>
  <c r="J85" i="3"/>
  <c r="J52" i="3"/>
  <c r="K52" i="3"/>
  <c r="K48" i="3"/>
  <c r="J48" i="3"/>
  <c r="J40" i="3"/>
  <c r="K40" i="3"/>
  <c r="K19" i="3"/>
  <c r="J19" i="3"/>
  <c r="K49" i="3"/>
  <c r="J49" i="3"/>
  <c r="K131" i="3"/>
  <c r="J131" i="3"/>
  <c r="K140" i="3"/>
  <c r="J140" i="3"/>
  <c r="K25" i="3"/>
  <c r="J25" i="3"/>
  <c r="J62" i="3"/>
  <c r="K62" i="3"/>
  <c r="K23" i="3"/>
  <c r="J23" i="3"/>
  <c r="J83" i="3"/>
  <c r="K83" i="3"/>
  <c r="J47" i="3"/>
  <c r="K47" i="3"/>
  <c r="K12" i="3"/>
  <c r="J12" i="3"/>
  <c r="K11" i="3"/>
  <c r="J11" i="3"/>
  <c r="K80" i="3"/>
  <c r="J80" i="3"/>
  <c r="K133" i="3"/>
  <c r="J133" i="3"/>
  <c r="K126" i="3"/>
  <c r="J126" i="3"/>
  <c r="K84" i="3"/>
  <c r="J84" i="3"/>
  <c r="J102" i="3"/>
  <c r="K102" i="3"/>
  <c r="K18" i="3"/>
  <c r="J18" i="3"/>
  <c r="J29" i="3"/>
  <c r="K29" i="3"/>
  <c r="K94" i="3"/>
  <c r="J94" i="3"/>
  <c r="J67" i="3"/>
  <c r="K67" i="3"/>
  <c r="K115" i="3"/>
  <c r="J115" i="3"/>
  <c r="K143" i="3"/>
  <c r="J143" i="3"/>
  <c r="J86" i="3"/>
  <c r="K86" i="3"/>
  <c r="J58" i="3"/>
  <c r="K58" i="3"/>
  <c r="K81" i="3"/>
  <c r="J81" i="3"/>
  <c r="J68" i="3"/>
  <c r="K68" i="3"/>
  <c r="J90" i="3"/>
  <c r="K90" i="3"/>
  <c r="J46" i="3" l="1"/>
  <c r="K4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75" authorId="0" shapeId="0" xr:uid="{00000000-0006-0000-0000-000002000000}">
      <text>
        <r>
          <rPr>
            <sz val="10"/>
            <rFont val="Arial"/>
            <family val="2"/>
          </rPr>
          <t>Corrigido de 0,215 para 0,2472: média de Sólido Au ponderada pela Massa da Amostra das linhas 1/2/3 (0,31/18,91 + 0,22/18,30 + 0,21/18,55), conforme dados de coleta do Beneficiamento 15/08/2026 turno 1. Atualizado em 16/08/2026.</t>
        </r>
      </text>
    </comment>
    <comment ref="D276" authorId="0" shapeId="0" xr:uid="{00000000-0006-0000-0000-000003000000}">
      <text>
        <r>
          <rPr>
            <sz val="10"/>
            <rFont val="Arial"/>
            <family val="2"/>
          </rPr>
          <t>Preenchido: média de Sólido Au ponderada pela Massa da Amostra das linhas 1/2/3 (0,22/15,90 + 0,31/13,65 + 0,31/14,04), conforme dados de coleta do Beneficiamento 15/08/2026 turno 2. Atualizado em 16/08/2026.</t>
        </r>
      </text>
    </comment>
    <comment ref="E276" authorId="0" shapeId="0" xr:uid="{00000000-0006-0000-0000-000006000000}">
      <text>
        <r>
          <rPr>
            <sz val="10"/>
            <rFont val="Arial"/>
            <family val="2"/>
          </rPr>
          <t>Preenchido: Sólido Au do RJP (Rejeito Final) 15/08/2026 turno 2 = 0,13 g/t, conforme dados de coleta do Beneficiamento. Atualizado em 16/08/2026.</t>
        </r>
      </text>
    </comment>
    <comment ref="A277" authorId="0" shapeId="0" xr:uid="{00000000-0006-0000-0000-000001000000}">
      <text>
        <r>
          <rPr>
            <sz val="10"/>
            <rFont val="Arial"/>
            <family val="2"/>
          </rPr>
          <t>Linha criada para 16/08/2026 turno 1. Teor Entrada/Rejeito ainda não preenchidos: só temos a Massa da Amostra (L1=18,13 / L2=15,42 / L3=17,40 / RJP=10,79 Kg) da coleta do Beneficiamento, sem resultados de Sólido Au/Umidade do laboratório ainda. Atualizar assim que o laboratório entregar os teores. Atualizado em 16/08/2026.</t>
        </r>
      </text>
    </comment>
    <comment ref="D297" authorId="0" shapeId="0" xr:uid="{00000000-0006-0000-0000-000004000000}">
      <text>
        <r>
          <rPr>
            <sz val="10"/>
            <rFont val="Arial"/>
            <family val="2"/>
          </rPr>
          <t>Teor de Entrada ainda não disponível: o laudo de 26/08 (1º turno) só trouxe Umidade e Massa da Amostra, sem Sólido Au. Preencher assim que sair.</t>
        </r>
      </text>
    </comment>
    <comment ref="D298" authorId="0" shapeId="0" xr:uid="{00000000-0006-0000-0000-000005000000}">
      <text>
        <r>
          <rPr>
            <sz val="10"/>
            <rFont val="Arial"/>
            <family val="2"/>
          </rPr>
          <t>Teor de Entrada ainda não disponível: o laudo de 26/08 (2º turno) só trouxe Massa da Amostra, sem Sólido Au. Preencher assim que sair.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COMO USAR ESTA ABA
1) A cada novo envio diário, adicione uma nova linha logo abaixo da última linha preenchida (sem pular linhas nem inserir separadores no meio).
PREENCHER (fundo cinza escuro, texto claro):
- Data e Turno
- Teor &gt;100#, &gt;200#, &lt;200# (g/t) -&gt; vêm da tabela 'RJP - Teor Faixa Granulométrica'
- Retido 50#, 140#, 200#, &lt;200# (g) e Massa Total (g) -&gt; vêm da tabela 'Retido (g)' do ensaio granulométrico do rejeito
CALCULADO AUTOMATICAMENTE (não editar):
- Retido (%) por faixa, % massa agrupada (Grosso = 50#+140#, Intermediário = 200#, Fino = &lt;200#)
- Metal relativo (massa% x teor) e o total
- % do Au PERDIDO NO REJEITO por faixa (colunas V, W, X)
A linha 'MÉDIA DO PERÍODO' fica ao final do bloco de fórmulas (não mais entre os dados), resumindo automaticamente tudo o que já foi preenchido.</t>
        </r>
      </text>
    </comment>
    <comment ref="A30" authorId="0" shapeId="0" xr:uid="{00000000-0006-0000-0100-000002000000}">
      <text>
        <r>
          <rPr>
            <sz val="10"/>
            <rFont val="Arial"/>
            <family val="2"/>
          </rPr>
          <t>Ensaio granulométrico (retido em g) já disponível. Teor granuloquímico por faixa (&gt;100#, &gt;200#, &lt;200#) ainda não veio no laudo — preencher colunas C-E assim que chegar.</t>
        </r>
      </text>
    </comment>
  </commentList>
</comments>
</file>

<file path=xl/sharedStrings.xml><?xml version="1.0" encoding="utf-8"?>
<sst xmlns="http://schemas.openxmlformats.org/spreadsheetml/2006/main" count="547" uniqueCount="99">
  <si>
    <t>IDENTIFICAÇÃO</t>
  </si>
  <si>
    <t>LABORATÓRIO — TURNO</t>
  </si>
  <si>
    <t>MÉDIAS PONDERADAS</t>
  </si>
  <si>
    <t>PRODUÇÃO AU</t>
  </si>
  <si>
    <t>Data</t>
  </si>
  <si>
    <t>Turno</t>
  </si>
  <si>
    <t>Massa
Processada (t)</t>
  </si>
  <si>
    <t>Teor Entrada
(g/t)</t>
  </si>
  <si>
    <t>Teor Rejeito
(g/t)</t>
  </si>
  <si>
    <t>Rec. Esp.
Lab (%)</t>
  </si>
  <si>
    <t>Au Esp.
Turno (g)</t>
  </si>
  <si>
    <t>Rec. Pond.
(%)</t>
  </si>
  <si>
    <t>Rec. Real.
(%)</t>
  </si>
  <si>
    <t>Au Esp.
Dia (g)</t>
  </si>
  <si>
    <t>Desvio
Diário (g)</t>
  </si>
  <si>
    <t>Au
Realizado (g)</t>
  </si>
  <si>
    <t>7:00 as 19:00</t>
  </si>
  <si>
    <t>19:00 as 7:00</t>
  </si>
  <si>
    <t>7:00 as 19:01</t>
  </si>
  <si>
    <t>19:00 as 7:01</t>
  </si>
  <si>
    <t>7:00 as 19:02</t>
  </si>
  <si>
    <t>19:00 as 7:02</t>
  </si>
  <si>
    <t>7:00 as 19:03</t>
  </si>
  <si>
    <t>19:00 as 7:03</t>
  </si>
  <si>
    <t>,</t>
  </si>
  <si>
    <t>GRANULOQUÍMICO — TEOR POR FAIXA (RJP)</t>
  </si>
  <si>
    <t>GRANULOMÉTRICO — RETIDO (g)</t>
  </si>
  <si>
    <t>RETIDO (%)</t>
  </si>
  <si>
    <t>% MASSA POR FAIXA AGRUPADA</t>
  </si>
  <si>
    <t>METAL RELATIVO (MASSA x TEOR)</t>
  </si>
  <si>
    <t>% Au PERDIDO NO REJEITO POR FAIXA</t>
  </si>
  <si>
    <t>Teor
&gt;100#
(g/t)</t>
  </si>
  <si>
    <t>Teor
&gt;200#
(g/t)</t>
  </si>
  <si>
    <t>Teor
&lt;200#
(g/t)</t>
  </si>
  <si>
    <t>Retido
50# (g)</t>
  </si>
  <si>
    <t>Retido
140# (g)</t>
  </si>
  <si>
    <t>Retido
200# (g)</t>
  </si>
  <si>
    <t>Retido
&lt;200# (g)</t>
  </si>
  <si>
    <t>Massa
Total (g)</t>
  </si>
  <si>
    <t>50#
(%)</t>
  </si>
  <si>
    <t>140#
(%)</t>
  </si>
  <si>
    <t>200#
(%)</t>
  </si>
  <si>
    <t>&lt;200#
(%)</t>
  </si>
  <si>
    <t>Grosso
(&gt;100#) %</t>
  </si>
  <si>
    <t>Intermed.
(&gt;200#) %</t>
  </si>
  <si>
    <t>Fino
(&lt;200#) %</t>
  </si>
  <si>
    <t>Grosso</t>
  </si>
  <si>
    <t>Intermed.</t>
  </si>
  <si>
    <t>Fino</t>
  </si>
  <si>
    <t>Total</t>
  </si>
  <si>
    <t>GROSSO
(%)</t>
  </si>
  <si>
    <t>INTERMEDIÁRIO
(%)</t>
  </si>
  <si>
    <t>FINO
(%)</t>
  </si>
  <si>
    <t>2ª</t>
  </si>
  <si>
    <t>1ª</t>
  </si>
  <si>
    <t>MÉDIA DO PERÍODO (linhas preenchidas)</t>
  </si>
  <si>
    <t>Processamento
Diário Total (t)</t>
  </si>
  <si>
    <t>Au Realizado (g)</t>
  </si>
  <si>
    <t>Teor Entrada
Diário Pond. (g/t)</t>
  </si>
  <si>
    <t>Teor Rejeito
Diário Pond. (g/t)</t>
  </si>
  <si>
    <t>Au Esp. p/Dia (g)</t>
  </si>
  <si>
    <t>Rec. Lab
(%)</t>
  </si>
  <si>
    <t>Rec. Real
(%)</t>
  </si>
  <si>
    <t>Conf. Amostragem
(%)</t>
  </si>
  <si>
    <t>Desvio (g)</t>
  </si>
  <si>
    <t>Desvio (%)</t>
  </si>
  <si>
    <t>Conf. Lab (%)</t>
  </si>
  <si>
    <t>Rec. Realizada (%)</t>
  </si>
  <si>
    <t>Status</t>
  </si>
  <si>
    <t xml:space="preserve">Linha </t>
  </si>
  <si>
    <t>Teor de Entrada</t>
  </si>
  <si>
    <t>Sáida Centrifuga Martelo</t>
  </si>
  <si>
    <t>Sáida Centrifuga bola</t>
  </si>
  <si>
    <t>Overflow Ciclone</t>
  </si>
  <si>
    <t>Inclusão de coluna do acumulado circulante</t>
  </si>
  <si>
    <t>Descartar os resultados sem sentido maiores que a etapa anterior</t>
  </si>
  <si>
    <t>-</t>
  </si>
  <si>
    <t>GRADE CONTROL — BANCO DE DADOS</t>
  </si>
  <si>
    <t>ESTRUTURA DA ABA 'DADOS'</t>
  </si>
  <si>
    <t>Col A — Data: data do turno no formato DD/MM/YYYY</t>
  </si>
  <si>
    <t>Col B — Turno: '7:00 as 19:00' (diurno) ou '19:00 as 7:00' (noturno)</t>
  </si>
  <si>
    <t>Col C — Massa Processada (t): toneladas alimentadas na planta no turno</t>
  </si>
  <si>
    <t>Col D — Teor de Entrada (g/t): teor do minério medido pelo laboratório</t>
  </si>
  <si>
    <t>Col E — Teor Rejeito (g/t): teor do rejeito medido pelo laboratório</t>
  </si>
  <si>
    <t>Col F — Rec. Esperada Lab (%): fórmula = (Teor Entrada - Teor Rejeito) / Teor Entrada</t>
  </si>
  <si>
    <t>Col G — Au Esp. Turno (g): fórmula = Massa × Teor Entrada × Rec. Esperada Lab</t>
  </si>
  <si>
    <t>Col H — Rec. Ponderada (%): média ponderada pela massa dos dois turnos do dia</t>
  </si>
  <si>
    <t>Col I — Rec. Realizada (%): = Au Realizado / (Massa dia × Teor Entrada ponderado)</t>
  </si>
  <si>
    <t>Col J — Au Esp. Dia (g): fórmula automática = G(diurno) + G(noturno) — calculada automaticamente</t>
  </si>
  <si>
    <t>Col K — Desvio Diário (g): fórmula automática = Au Realizado − Au Esp. Dia — calculada automaticamente</t>
  </si>
  <si>
    <t>Col L — Au Realizado (g): valor lançado apenas na linha DIURNA — representa o total do dia</t>
  </si>
  <si>
    <t>REGRAS DE PREENCHIMENTO</t>
  </si>
  <si>
    <t>• Cada dia tem DUAS linhas: diurno (7h–19h) seguido de noturno (19h–7h)</t>
  </si>
  <si>
    <t>• Data repetida nas duas linhas do dia</t>
  </si>
  <si>
    <t>• Au Realizado (col L) preenchido SOMENTE na linha diurna (representa o dia todo)</t>
  </si>
  <si>
    <t>• Cols J e K são calculadas automaticamente — não editar</t>
  </si>
  <si>
    <t>CORES DAS LINHAS</t>
  </si>
  <si>
    <t>• Fundo verde escuro = turno DIURNO (7:00 as 19:00)</t>
  </si>
  <si>
    <t>• Fundo azul escuro = turno NOTURNO (19:00 as 7:00)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</si>
</sst>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m/d/yyyy"/>
    <numFmt numFmtId="165" formatCode="#,##0&quot; t&quot;"/>
    <numFmt numFmtId="166" formatCode="0.000&quot; g/t&quot;"/>
    <numFmt numFmtId="167" formatCode="0.00&quot; g/t&quot;"/>
    <numFmt numFmtId="168" formatCode="0.00&quot; g&quot;"/>
    <numFmt numFmtId="169" formatCode="0.0%"/>
    <numFmt numFmtId="170" formatCode="0.0000"/>
    <numFmt numFmtId="171" formatCode="#,##0.000"/>
  </numFmts>
  <fonts count="26" x14ac:knownFonts="1">
    <font>
      <sz val="11"/>
      <color theme="1"/>
      <name val="Calibri"/>
      <family val="2"/>
      <charset val="1"/>
    </font>
    <font>
      <b/>
      <sz val="9"/>
      <color rgb="FFC9A227"/>
      <name val="Arial"/>
      <family val="2"/>
      <charset val="1"/>
    </font>
    <font>
      <b/>
      <sz val="8"/>
      <color rgb="FFC9A227"/>
      <name val="Arial"/>
      <family val="2"/>
      <charset val="1"/>
    </font>
    <font>
      <b/>
      <sz val="9"/>
      <color rgb="FFE0E0E0"/>
      <name val="Arial"/>
      <family val="2"/>
      <charset val="1"/>
    </font>
    <font>
      <sz val="9"/>
      <color rgb="FFC9A227"/>
      <name val="Arial"/>
      <family val="2"/>
      <charset val="1"/>
    </font>
    <font>
      <sz val="9"/>
      <color rgb="FFE0E0E0"/>
      <name val="Arial"/>
      <family val="2"/>
      <charset val="1"/>
    </font>
    <font>
      <sz val="9"/>
      <color rgb="FF90EE90"/>
      <name val="Arial"/>
      <family val="2"/>
      <charset val="1"/>
    </font>
    <font>
      <b/>
      <sz val="9"/>
      <color rgb="FFFFD700"/>
      <name val="Arial"/>
      <family val="2"/>
      <charset val="1"/>
    </font>
    <font>
      <sz val="9"/>
      <color rgb="FFA0A0FF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FF0000"/>
      <name val="Arial"/>
      <family val="2"/>
      <charset val="1"/>
    </font>
    <font>
      <sz val="10"/>
      <name val="Arial"/>
      <family val="2"/>
    </font>
    <font>
      <b/>
      <sz val="9"/>
      <color rgb="FFC9A227"/>
      <name val="Arial"/>
      <charset val="1"/>
    </font>
    <font>
      <b/>
      <sz val="8"/>
      <color rgb="FFC9A227"/>
      <name val="Arial"/>
      <charset val="1"/>
    </font>
    <font>
      <sz val="9"/>
      <color rgb="FFE0E0E0"/>
      <name val="Arial"/>
      <charset val="1"/>
    </font>
    <font>
      <sz val="9"/>
      <color rgb="FF90EE90"/>
      <name val="Arial"/>
      <charset val="1"/>
    </font>
    <font>
      <b/>
      <sz val="9"/>
      <color rgb="FFFFD700"/>
      <name val="Arial"/>
      <charset val="1"/>
    </font>
    <font>
      <b/>
      <sz val="9"/>
      <color rgb="FF00B050"/>
      <name val="Arial"/>
      <family val="2"/>
      <charset val="1"/>
    </font>
    <font>
      <b/>
      <sz val="9"/>
      <color theme="9" tint="-0.249977111117893"/>
      <name val="Arial"/>
      <family val="2"/>
      <charset val="1"/>
    </font>
    <font>
      <sz val="9"/>
      <color theme="0"/>
      <name val="Arial"/>
      <family val="2"/>
      <charset val="1"/>
    </font>
    <font>
      <b/>
      <sz val="22"/>
      <color rgb="FFC9A227"/>
      <name val="Arial"/>
      <family val="2"/>
      <charset val="1"/>
    </font>
    <font>
      <sz val="12"/>
      <color rgb="FFE0E0E0"/>
      <name val="Arial"/>
      <family val="2"/>
      <charset val="1"/>
    </font>
    <font>
      <b/>
      <sz val="11"/>
      <color rgb="FFC9A227"/>
      <name val="Arial"/>
      <family val="2"/>
      <charset val="1"/>
    </font>
    <font>
      <sz val="10"/>
      <color rgb="FFE0E0E0"/>
      <name val="Arial"/>
      <family val="2"/>
      <charset val="1"/>
    </font>
    <font>
      <sz val="10"/>
      <color rgb="FFA0FFA0"/>
      <name val="Arial"/>
      <family val="2"/>
      <charset val="1"/>
    </font>
    <font>
      <sz val="10"/>
      <color rgb="FFC9A227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2C3E50"/>
        <bgColor rgb="FF333333"/>
      </patternFill>
    </fill>
    <fill>
      <patternFill patternType="solid">
        <fgColor rgb="FF1A3A2A"/>
        <bgColor rgb="FF1A3A1A"/>
      </patternFill>
    </fill>
    <fill>
      <patternFill patternType="solid">
        <fgColor rgb="FF2A1A3A"/>
        <bgColor rgb="FF1C1C2B"/>
      </patternFill>
    </fill>
    <fill>
      <patternFill patternType="solid">
        <fgColor rgb="FF3A2A0A"/>
        <bgColor rgb="FF2A2000"/>
      </patternFill>
    </fill>
    <fill>
      <patternFill patternType="solid">
        <fgColor rgb="FF111111"/>
        <bgColor rgb="FF1A1A1A"/>
      </patternFill>
    </fill>
    <fill>
      <patternFill patternType="solid">
        <fgColor rgb="FF1C2B1C"/>
        <bgColor rgb="FF1A2A1A"/>
      </patternFill>
    </fill>
    <fill>
      <patternFill patternType="solid">
        <fgColor rgb="FF1A2A1A"/>
        <bgColor rgb="FF1C2B1C"/>
      </patternFill>
    </fill>
    <fill>
      <patternFill patternType="solid">
        <fgColor rgb="FF2A2000"/>
        <bgColor rgb="FF1E1E1E"/>
      </patternFill>
    </fill>
    <fill>
      <patternFill patternType="solid">
        <fgColor rgb="FF1C1C2B"/>
        <bgColor rgb="FF1E1E1E"/>
      </patternFill>
    </fill>
    <fill>
      <patternFill patternType="solid">
        <fgColor rgb="FF4A1414"/>
        <bgColor rgb="FF3A1A1A"/>
      </patternFill>
    </fill>
    <fill>
      <patternFill patternType="solid">
        <fgColor rgb="FF1C1C1C"/>
        <bgColor rgb="FF1A1A1A"/>
      </patternFill>
    </fill>
    <fill>
      <patternFill patternType="solid">
        <fgColor rgb="FF1E1E1E"/>
        <bgColor rgb="FF1C1C1C"/>
      </patternFill>
    </fill>
    <fill>
      <patternFill patternType="solid">
        <fgColor rgb="FF242424"/>
        <bgColor rgb="FF1E1E1E"/>
      </patternFill>
    </fill>
    <fill>
      <patternFill patternType="solid">
        <fgColor rgb="FF1A1A1A"/>
        <bgColor rgb="FF1C1C1C"/>
      </patternFill>
    </fill>
  </fills>
  <borders count="10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2A2A2A"/>
      </left>
      <right style="thin">
        <color rgb="FF2A2A2A"/>
      </right>
      <top style="thin">
        <color rgb="FF2A2A2A"/>
      </top>
      <bottom style="thin">
        <color rgb="FF2A2A2A"/>
      </bottom>
      <diagonal/>
    </border>
    <border>
      <left style="thin">
        <color rgb="FF333333"/>
      </left>
      <right/>
      <top style="thin">
        <color rgb="FF333333"/>
      </top>
      <bottom style="thin">
        <color rgb="FF333333"/>
      </bottom>
      <diagonal/>
    </border>
    <border>
      <left style="thin">
        <color rgb="FF333333"/>
      </left>
      <right/>
      <top style="thin">
        <color rgb="FF333333"/>
      </top>
      <bottom/>
      <diagonal/>
    </border>
    <border>
      <left style="thin">
        <color rgb="FF2A2A2A"/>
      </left>
      <right style="thin">
        <color rgb="FF2A2A2A"/>
      </right>
      <top style="thin">
        <color rgb="FF2A2A2A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2A2A2A"/>
      </right>
      <top style="thin">
        <color rgb="FF2A2A2A"/>
      </top>
      <bottom style="thin">
        <color rgb="FF2A2A2A"/>
      </bottom>
      <diagonal/>
    </border>
    <border>
      <left style="thin">
        <color rgb="FF2A2A2A"/>
      </left>
      <right style="thin">
        <color rgb="FF2A2A2A"/>
      </right>
      <top/>
      <bottom style="thin">
        <color rgb="FF2A2A2A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3" borderId="5" xfId="0" applyFont="1" applyFill="1" applyBorder="1" applyAlignment="1">
      <alignment horizontal="center" vertical="center"/>
    </xf>
    <xf numFmtId="0" fontId="12" fillId="6" borderId="0" xfId="0" applyFont="1" applyFill="1" applyAlignment="1">
      <alignment horizontal="left" vertical="center"/>
    </xf>
    <xf numFmtId="0" fontId="12" fillId="11" borderId="4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0" fillId="0" borderId="0" xfId="0" applyNumberFormat="1"/>
    <xf numFmtId="164" fontId="2" fillId="6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164" fontId="3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right" vertical="center"/>
    </xf>
    <xf numFmtId="166" fontId="5" fillId="7" borderId="1" xfId="0" applyNumberFormat="1" applyFont="1" applyFill="1" applyBorder="1" applyAlignment="1">
      <alignment horizontal="right" vertical="center"/>
    </xf>
    <xf numFmtId="10" fontId="6" fillId="8" borderId="3" xfId="0" applyNumberFormat="1" applyFont="1" applyFill="1" applyBorder="1" applyAlignment="1">
      <alignment horizontal="right" vertical="center"/>
    </xf>
    <xf numFmtId="4" fontId="6" fillId="8" borderId="3" xfId="0" applyNumberFormat="1" applyFont="1" applyFill="1" applyBorder="1" applyAlignment="1">
      <alignment horizontal="right" vertical="center"/>
    </xf>
    <xf numFmtId="4" fontId="7" fillId="9" borderId="3" xfId="0" applyNumberFormat="1" applyFont="1" applyFill="1" applyBorder="1" applyAlignment="1">
      <alignment horizontal="right" vertical="center"/>
    </xf>
    <xf numFmtId="164" fontId="5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right" vertical="center"/>
    </xf>
    <xf numFmtId="166" fontId="5" fillId="10" borderId="1" xfId="0" applyNumberFormat="1" applyFont="1" applyFill="1" applyBorder="1" applyAlignment="1">
      <alignment horizontal="right" vertical="center"/>
    </xf>
    <xf numFmtId="10" fontId="9" fillId="6" borderId="3" xfId="0" applyNumberFormat="1" applyFont="1" applyFill="1" applyBorder="1" applyAlignment="1">
      <alignment horizontal="right" vertical="center"/>
    </xf>
    <xf numFmtId="4" fontId="9" fillId="6" borderId="3" xfId="0" applyNumberFormat="1" applyFont="1" applyFill="1" applyBorder="1" applyAlignment="1">
      <alignment horizontal="right" vertical="center"/>
    </xf>
    <xf numFmtId="4" fontId="5" fillId="10" borderId="1" xfId="0" applyNumberFormat="1" applyFont="1" applyFill="1" applyBorder="1" applyAlignment="1">
      <alignment horizontal="right" vertical="center"/>
    </xf>
    <xf numFmtId="4" fontId="10" fillId="8" borderId="3" xfId="0" applyNumberFormat="1" applyFont="1" applyFill="1" applyBorder="1" applyAlignment="1">
      <alignment horizontal="right" vertical="center"/>
    </xf>
    <xf numFmtId="165" fontId="0" fillId="0" borderId="0" xfId="0" applyNumberFormat="1"/>
    <xf numFmtId="0" fontId="13" fillId="6" borderId="1" xfId="0" applyFont="1" applyFill="1" applyBorder="1" applyAlignment="1">
      <alignment horizontal="center" vertical="center" wrapText="1"/>
    </xf>
    <xf numFmtId="164" fontId="14" fillId="12" borderId="1" xfId="0" applyNumberFormat="1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167" fontId="14" fillId="12" borderId="1" xfId="0" applyNumberFormat="1" applyFont="1" applyFill="1" applyBorder="1" applyAlignment="1">
      <alignment horizontal="center"/>
    </xf>
    <xf numFmtId="168" fontId="14" fillId="12" borderId="1" xfId="0" applyNumberFormat="1" applyFont="1" applyFill="1" applyBorder="1" applyAlignment="1">
      <alignment horizontal="center"/>
    </xf>
    <xf numFmtId="169" fontId="15" fillId="8" borderId="1" xfId="0" applyNumberFormat="1" applyFont="1" applyFill="1" applyBorder="1" applyAlignment="1">
      <alignment horizontal="center"/>
    </xf>
    <xf numFmtId="170" fontId="15" fillId="8" borderId="1" xfId="0" applyNumberFormat="1" applyFont="1" applyFill="1" applyBorder="1" applyAlignment="1">
      <alignment horizontal="center"/>
    </xf>
    <xf numFmtId="169" fontId="16" fillId="9" borderId="1" xfId="0" applyNumberFormat="1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wrapText="1"/>
    </xf>
    <xf numFmtId="164" fontId="5" fillId="13" borderId="1" xfId="0" applyNumberFormat="1" applyFont="1" applyFill="1" applyBorder="1" applyAlignment="1">
      <alignment horizontal="center"/>
    </xf>
    <xf numFmtId="4" fontId="1" fillId="13" borderId="1" xfId="0" applyNumberFormat="1" applyFont="1" applyFill="1" applyBorder="1" applyAlignment="1">
      <alignment horizontal="center"/>
    </xf>
    <xf numFmtId="171" fontId="17" fillId="13" borderId="1" xfId="0" applyNumberFormat="1" applyFont="1" applyFill="1" applyBorder="1" applyAlignment="1">
      <alignment horizontal="center"/>
    </xf>
    <xf numFmtId="4" fontId="17" fillId="13" borderId="1" xfId="0" applyNumberFormat="1" applyFont="1" applyFill="1" applyBorder="1" applyAlignment="1">
      <alignment horizontal="center"/>
    </xf>
    <xf numFmtId="10" fontId="17" fillId="13" borderId="1" xfId="0" applyNumberFormat="1" applyFont="1" applyFill="1" applyBorder="1" applyAlignment="1">
      <alignment horizontal="center"/>
    </xf>
    <xf numFmtId="10" fontId="18" fillId="13" borderId="1" xfId="0" applyNumberFormat="1" applyFont="1" applyFill="1" applyBorder="1" applyAlignment="1">
      <alignment horizontal="center"/>
    </xf>
    <xf numFmtId="4" fontId="5" fillId="13" borderId="1" xfId="0" applyNumberFormat="1" applyFont="1" applyFill="1" applyBorder="1" applyAlignment="1">
      <alignment horizontal="center"/>
    </xf>
    <xf numFmtId="10" fontId="5" fillId="13" borderId="1" xfId="0" applyNumberFormat="1" applyFont="1" applyFill="1" applyBorder="1" applyAlignment="1">
      <alignment horizontal="center"/>
    </xf>
    <xf numFmtId="0" fontId="3" fillId="13" borderId="1" xfId="0" applyFont="1" applyFill="1" applyBorder="1" applyAlignment="1">
      <alignment horizontal="center"/>
    </xf>
    <xf numFmtId="164" fontId="5" fillId="14" borderId="1" xfId="0" applyNumberFormat="1" applyFont="1" applyFill="1" applyBorder="1" applyAlignment="1">
      <alignment horizontal="center"/>
    </xf>
    <xf numFmtId="4" fontId="1" fillId="14" borderId="1" xfId="0" applyNumberFormat="1" applyFont="1" applyFill="1" applyBorder="1" applyAlignment="1">
      <alignment horizontal="center"/>
    </xf>
    <xf numFmtId="4" fontId="5" fillId="14" borderId="1" xfId="0" applyNumberFormat="1" applyFont="1" applyFill="1" applyBorder="1" applyAlignment="1">
      <alignment horizontal="center"/>
    </xf>
    <xf numFmtId="10" fontId="5" fillId="14" borderId="1" xfId="0" applyNumberFormat="1" applyFont="1" applyFill="1" applyBorder="1" applyAlignment="1">
      <alignment horizontal="center"/>
    </xf>
    <xf numFmtId="0" fontId="3" fillId="14" borderId="1" xfId="0" applyFont="1" applyFill="1" applyBorder="1" applyAlignment="1">
      <alignment horizontal="center"/>
    </xf>
    <xf numFmtId="4" fontId="17" fillId="14" borderId="1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66" fontId="2" fillId="6" borderId="0" xfId="0" applyNumberFormat="1" applyFont="1" applyFill="1" applyAlignment="1">
      <alignment horizontal="center" vertical="center" wrapText="1"/>
    </xf>
    <xf numFmtId="167" fontId="2" fillId="6" borderId="6" xfId="0" applyNumberFormat="1" applyFont="1" applyFill="1" applyBorder="1" applyAlignment="1">
      <alignment horizontal="center" vertical="center" wrapText="1"/>
    </xf>
    <xf numFmtId="167" fontId="2" fillId="6" borderId="3" xfId="0" applyNumberFormat="1" applyFont="1" applyFill="1" applyBorder="1" applyAlignment="1">
      <alignment horizontal="center" vertical="center" wrapText="1"/>
    </xf>
    <xf numFmtId="167" fontId="2" fillId="6" borderId="0" xfId="0" applyNumberFormat="1" applyFont="1" applyFill="1" applyAlignment="1">
      <alignment horizontal="center" vertical="center" wrapText="1"/>
    </xf>
    <xf numFmtId="0" fontId="19" fillId="7" borderId="4" xfId="0" applyFont="1" applyFill="1" applyBorder="1" applyAlignment="1">
      <alignment horizontal="center" vertical="center"/>
    </xf>
    <xf numFmtId="166" fontId="19" fillId="7" borderId="0" xfId="0" applyNumberFormat="1" applyFont="1" applyFill="1" applyAlignment="1">
      <alignment horizontal="center" vertical="center"/>
    </xf>
    <xf numFmtId="167" fontId="6" fillId="8" borderId="7" xfId="0" applyNumberFormat="1" applyFont="1" applyFill="1" applyBorder="1" applyAlignment="1">
      <alignment horizontal="center" vertical="center"/>
    </xf>
    <xf numFmtId="167" fontId="6" fillId="8" borderId="8" xfId="0" applyNumberFormat="1" applyFont="1" applyFill="1" applyBorder="1" applyAlignment="1">
      <alignment horizontal="center" vertical="center"/>
    </xf>
    <xf numFmtId="167" fontId="6" fillId="8" borderId="3" xfId="0" applyNumberFormat="1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167" fontId="6" fillId="8" borderId="9" xfId="0" applyNumberFormat="1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1" fillId="15" borderId="0" xfId="0" applyFont="1" applyFill="1" applyAlignment="1">
      <alignment vertical="center" indent="1"/>
    </xf>
    <xf numFmtId="0" fontId="22" fillId="15" borderId="0" xfId="0" applyFont="1" applyFill="1" applyAlignment="1">
      <alignment vertical="center"/>
    </xf>
    <xf numFmtId="0" fontId="23" fillId="15" borderId="0" xfId="0" applyFont="1" applyFill="1" applyAlignment="1">
      <alignment vertical="center" indent="1"/>
    </xf>
    <xf numFmtId="0" fontId="24" fillId="15" borderId="0" xfId="0" applyFont="1" applyFill="1" applyAlignment="1">
      <alignment vertical="center" indent="1"/>
    </xf>
    <xf numFmtId="0" fontId="25" fillId="15" borderId="0" xfId="0" applyFont="1" applyFill="1" applyAlignment="1">
      <alignment vertical="center" indent="1"/>
    </xf>
    <xf numFmtId="0" fontId="23" fillId="7" borderId="0" xfId="0" applyFont="1" applyFill="1" applyAlignment="1">
      <alignment vertical="center" indent="1"/>
    </xf>
    <xf numFmtId="0" fontId="23" fillId="10" borderId="0" xfId="0" applyFont="1" applyFill="1" applyAlignment="1">
      <alignment vertical="center" indent="1"/>
    </xf>
  </cellXfs>
  <cellStyles count="1">
    <cellStyle name="Normal" xfId="0" builtinId="0"/>
  </cellStyles>
  <dxfs count="2">
    <dxf>
      <font>
        <b/>
        <color rgb="FFF44336"/>
      </font>
      <fill>
        <patternFill>
          <bgColor rgb="FF3A1A1A"/>
        </patternFill>
      </fill>
    </dxf>
    <dxf>
      <font>
        <b/>
        <color rgb="FF4CAF50"/>
      </font>
      <fill>
        <patternFill>
          <bgColor rgb="FF1A3A1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1A1A1A"/>
      <rgbColor rgb="FFFFFF00"/>
      <rgbColor rgb="FFFF00FF"/>
      <rgbColor rgb="FF00FFFF"/>
      <rgbColor rgb="FF4A1414"/>
      <rgbColor rgb="FF1C2B1C"/>
      <rgbColor rgb="FF2A1A3A"/>
      <rgbColor rgb="FF808000"/>
      <rgbColor rgb="FF242424"/>
      <rgbColor rgb="FF00B050"/>
      <rgbColor rgb="FFC0C0C0"/>
      <rgbColor rgb="FF808080"/>
      <rgbColor rgb="FFA0A0FF"/>
      <rgbColor rgb="FF1A2A1A"/>
      <rgbColor rgb="FFFFFFCC"/>
      <rgbColor rgb="FFCCFFFF"/>
      <rgbColor rgb="FF3A1A1A"/>
      <rgbColor rgb="FFF44336"/>
      <rgbColor rgb="FF0066CC"/>
      <rgbColor rgb="FFE0E0E0"/>
      <rgbColor rgb="FF1C1C2B"/>
      <rgbColor rgb="FFFF00FF"/>
      <rgbColor rgb="FFFFFF00"/>
      <rgbColor rgb="FF00FFFF"/>
      <rgbColor rgb="FF1E1E1E"/>
      <rgbColor rgb="FF2A2000"/>
      <rgbColor rgb="FF008080"/>
      <rgbColor rgb="FF111111"/>
      <rgbColor rgb="FF00CCFF"/>
      <rgbColor rgb="FFCCFFFF"/>
      <rgbColor rgb="FFA0FFA0"/>
      <rgbColor rgb="FFFFFF99"/>
      <rgbColor rgb="FF90EE90"/>
      <rgbColor rgb="FFFF99CC"/>
      <rgbColor rgb="FFCC99FF"/>
      <rgbColor rgb="FFFFCC99"/>
      <rgbColor rgb="FF3366FF"/>
      <rgbColor rgb="FF33CCCC"/>
      <rgbColor rgb="FF99CC00"/>
      <rgbColor rgb="FFFFD700"/>
      <rgbColor rgb="FFC9A227"/>
      <rgbColor rgb="FFE46C0A"/>
      <rgbColor rgb="FF666699"/>
      <rgbColor rgb="FF969696"/>
      <rgbColor rgb="FF1A3A2A"/>
      <rgbColor rgb="FF4CAF50"/>
      <rgbColor rgb="FF1A3A1A"/>
      <rgbColor rgb="FF3A2A0A"/>
      <rgbColor rgb="FF2A2A2A"/>
      <rgbColor rgb="FF1C1C1C"/>
      <rgbColor rgb="FF2C3E5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2"/>
  <sheetViews>
    <sheetView tabSelected="1" zoomScaleNormal="100" workbookViewId="0">
      <pane xSplit="2" ySplit="2" topLeftCell="C278" activePane="bottomRight" state="frozen"/>
      <selection pane="topRight" activeCell="C1" sqref="C1"/>
      <selection pane="bottomLeft" activeCell="A278" sqref="A278"/>
      <selection pane="bottomRight" activeCell="M297" sqref="M297"/>
    </sheetView>
  </sheetViews>
  <sheetFormatPr defaultColWidth="8.6640625" defaultRowHeight="14.4" x14ac:dyDescent="0.3"/>
  <cols>
    <col min="1" max="1" width="14" style="12" customWidth="1"/>
    <col min="2" max="2" width="16" customWidth="1"/>
    <col min="3" max="3" width="15.44140625" customWidth="1"/>
    <col min="4" max="5" width="13" customWidth="1"/>
    <col min="6" max="6" width="12" customWidth="1"/>
    <col min="7" max="7" width="13" customWidth="1"/>
    <col min="8" max="9" width="12" customWidth="1"/>
    <col min="10" max="12" width="13" customWidth="1"/>
  </cols>
  <sheetData>
    <row r="1" spans="1:12" ht="21.75" customHeight="1" x14ac:dyDescent="0.3">
      <c r="A1" s="11" t="s">
        <v>0</v>
      </c>
      <c r="B1" s="11"/>
      <c r="C1" s="10" t="s">
        <v>1</v>
      </c>
      <c r="D1" s="10"/>
      <c r="E1" s="10"/>
      <c r="F1" s="10"/>
      <c r="G1" s="9" t="s">
        <v>2</v>
      </c>
      <c r="H1" s="9"/>
      <c r="I1" s="8" t="s">
        <v>3</v>
      </c>
      <c r="J1" s="8"/>
      <c r="K1" s="8"/>
      <c r="L1" s="8"/>
    </row>
    <row r="2" spans="1:12" ht="36.75" customHeight="1" x14ac:dyDescent="0.3">
      <c r="A2" s="13" t="s">
        <v>4</v>
      </c>
      <c r="B2" s="14" t="s">
        <v>5</v>
      </c>
      <c r="C2" s="14" t="s">
        <v>6</v>
      </c>
      <c r="D2" s="14" t="s">
        <v>7</v>
      </c>
      <c r="E2" s="14" t="s">
        <v>8</v>
      </c>
      <c r="F2" s="15" t="s">
        <v>9</v>
      </c>
      <c r="G2" s="15" t="s">
        <v>10</v>
      </c>
      <c r="H2" s="15" t="s">
        <v>11</v>
      </c>
      <c r="I2" s="15" t="s">
        <v>12</v>
      </c>
      <c r="J2" s="15" t="s">
        <v>13</v>
      </c>
      <c r="K2" s="15" t="s">
        <v>14</v>
      </c>
      <c r="L2" s="15" t="s">
        <v>15</v>
      </c>
    </row>
    <row r="3" spans="1:12" ht="15" customHeight="1" x14ac:dyDescent="0.3">
      <c r="A3" s="16">
        <v>46113</v>
      </c>
      <c r="B3" s="17" t="s">
        <v>16</v>
      </c>
      <c r="C3" s="18">
        <v>88</v>
      </c>
      <c r="D3" s="19">
        <v>7.0000000000000007E-2</v>
      </c>
      <c r="E3" s="19">
        <v>0.05</v>
      </c>
      <c r="F3" s="20">
        <f t="shared" ref="F3:F66" si="0">IFERROR(IF(D3=0,"",(D3-E3)/D3),"")</f>
        <v>0.28571428571428575</v>
      </c>
      <c r="G3" s="21">
        <f t="shared" ref="G3:G66" si="1">IFERROR(IF(OR(C3="",D3=0),"",C3*D3*F3),"")</f>
        <v>1.7600000000000002</v>
      </c>
      <c r="H3" s="20">
        <f>IFERROR(IF((C3+C4)=0,"",(C3*F3+C4*F4)/(C3+C4)),"")</f>
        <v>0.28571428571428575</v>
      </c>
      <c r="I3" s="20">
        <f>IFERROR(IF(OR(L3="",L3=0,(C3+C4)=0),"",L3/((C3+C4)*IF((C3+C4)=0,1,(C3*D3+C4*D4)/(C3+C4)))),"")</f>
        <v>2.8139658848614069</v>
      </c>
      <c r="J3" s="21">
        <f>IFERROR(IF(G3="","",G3+IF(G4="",0,G4)),"")</f>
        <v>16.080000000000005</v>
      </c>
      <c r="K3" s="21">
        <f>IFERROR(IF(OR(L3="",J3=""),"",L3-J3),"")</f>
        <v>142.29</v>
      </c>
      <c r="L3" s="22">
        <v>158.37</v>
      </c>
    </row>
    <row r="4" spans="1:12" ht="15" customHeight="1" x14ac:dyDescent="0.3">
      <c r="A4" s="23">
        <v>46113</v>
      </c>
      <c r="B4" s="24" t="s">
        <v>17</v>
      </c>
      <c r="C4" s="25">
        <v>716</v>
      </c>
      <c r="D4" s="26">
        <v>7.0000000000000007E-2</v>
      </c>
      <c r="E4" s="26">
        <v>0.05</v>
      </c>
      <c r="F4" s="20">
        <f t="shared" si="0"/>
        <v>0.28571428571428575</v>
      </c>
      <c r="G4" s="21">
        <f t="shared" si="1"/>
        <v>14.320000000000004</v>
      </c>
      <c r="H4" s="27"/>
      <c r="I4" s="27"/>
      <c r="J4" s="28"/>
      <c r="K4" s="28"/>
      <c r="L4" s="29"/>
    </row>
    <row r="5" spans="1:12" ht="15" customHeight="1" x14ac:dyDescent="0.3">
      <c r="A5" s="16">
        <v>46114</v>
      </c>
      <c r="B5" s="17" t="s">
        <v>16</v>
      </c>
      <c r="C5" s="18">
        <v>640</v>
      </c>
      <c r="D5" s="19">
        <v>0.26</v>
      </c>
      <c r="E5" s="19">
        <v>0.11</v>
      </c>
      <c r="F5" s="20">
        <f t="shared" si="0"/>
        <v>0.57692307692307698</v>
      </c>
      <c r="G5" s="21">
        <f t="shared" si="1"/>
        <v>96.000000000000014</v>
      </c>
      <c r="H5" s="20">
        <f>IFERROR(IF((C5+C6)=0,"",(C5*F5+C6*F6)/(C5+C6)),"")</f>
        <v>0.57692307692307698</v>
      </c>
      <c r="I5" s="20">
        <f>IFERROR(IF(OR(L5="",L5=0,(C5+C6)=0),"",L5/((C5+C6)*IF((C5+C6)=0,1,(C5*D5+C6*D6)/(C5+C6)))),"")</f>
        <v>0.45054086538461535</v>
      </c>
      <c r="J5" s="21">
        <f>IFERROR(IF(G5="","",G5+IF(G6="",0,G6)),"")</f>
        <v>96.000000000000014</v>
      </c>
      <c r="K5" s="21">
        <f>IFERROR(IF(OR(L5="",J5=""),"",L5-J5),"")</f>
        <v>-21.030000000000015</v>
      </c>
      <c r="L5" s="22">
        <v>74.97</v>
      </c>
    </row>
    <row r="6" spans="1:12" ht="15" customHeight="1" x14ac:dyDescent="0.3">
      <c r="A6" s="23">
        <v>46114</v>
      </c>
      <c r="B6" s="24" t="s">
        <v>17</v>
      </c>
      <c r="C6" s="25">
        <v>0</v>
      </c>
      <c r="D6" s="26">
        <v>0.23</v>
      </c>
      <c r="E6" s="26">
        <v>0.08</v>
      </c>
      <c r="F6" s="20">
        <f t="shared" si="0"/>
        <v>0.65217391304347838</v>
      </c>
      <c r="G6" s="21">
        <f t="shared" si="1"/>
        <v>0</v>
      </c>
      <c r="H6" s="27"/>
      <c r="I6" s="27"/>
      <c r="J6" s="28"/>
      <c r="K6" s="28"/>
      <c r="L6" s="29"/>
    </row>
    <row r="7" spans="1:12" ht="15" customHeight="1" x14ac:dyDescent="0.3">
      <c r="A7" s="16">
        <v>46115</v>
      </c>
      <c r="B7" s="17" t="s">
        <v>16</v>
      </c>
      <c r="C7" s="18"/>
      <c r="D7" s="19">
        <v>0</v>
      </c>
      <c r="E7" s="19"/>
      <c r="F7" s="20" t="str">
        <f t="shared" si="0"/>
        <v/>
      </c>
      <c r="G7" s="21" t="str">
        <f t="shared" si="1"/>
        <v/>
      </c>
      <c r="H7" s="20" t="str">
        <f>IFERROR(IF((C7+C8)=0,"",(C7*F7+C8*F8)/(C7+C8)),"")</f>
        <v/>
      </c>
      <c r="I7" s="20" t="str">
        <f>IFERROR(IF(OR(L7="",L7=0,(C7+C8)=0),"",L7/((C7+C8)*IF((C7+C8)=0,1,(C7*D7+C8*D8)/(C7+C8)))),"")</f>
        <v/>
      </c>
      <c r="J7" s="21" t="str">
        <f>IFERROR(IF(G7="","",G7+IF(G8="",0,G8)),"")</f>
        <v/>
      </c>
      <c r="K7" s="21" t="str">
        <f>IFERROR(IF(OR(L7="",J7=""),"",L7-J7),"")</f>
        <v/>
      </c>
      <c r="L7" s="22">
        <v>0</v>
      </c>
    </row>
    <row r="8" spans="1:12" ht="15" customHeight="1" x14ac:dyDescent="0.3">
      <c r="A8" s="23">
        <v>46115</v>
      </c>
      <c r="B8" s="24" t="s">
        <v>17</v>
      </c>
      <c r="C8" s="25"/>
      <c r="D8" s="26">
        <v>0</v>
      </c>
      <c r="E8" s="26"/>
      <c r="F8" s="20" t="str">
        <f t="shared" si="0"/>
        <v/>
      </c>
      <c r="G8" s="21" t="str">
        <f t="shared" si="1"/>
        <v/>
      </c>
      <c r="H8" s="27"/>
      <c r="I8" s="27"/>
      <c r="J8" s="28"/>
      <c r="K8" s="28"/>
      <c r="L8" s="29"/>
    </row>
    <row r="9" spans="1:12" ht="15" customHeight="1" x14ac:dyDescent="0.3">
      <c r="A9" s="16">
        <v>46116</v>
      </c>
      <c r="B9" s="17" t="s">
        <v>16</v>
      </c>
      <c r="C9" s="18">
        <v>592</v>
      </c>
      <c r="D9" s="19">
        <v>0.37</v>
      </c>
      <c r="E9" s="19">
        <v>0.08</v>
      </c>
      <c r="F9" s="20">
        <f t="shared" si="0"/>
        <v>0.78378378378378377</v>
      </c>
      <c r="G9" s="21">
        <f t="shared" si="1"/>
        <v>171.67999999999998</v>
      </c>
      <c r="H9" s="20">
        <f>IFERROR(IF((C9+C10)=0,"",(C9*F9+C10*F10)/(C9+C10)),"")</f>
        <v>0.67413632119514466</v>
      </c>
      <c r="I9" s="20">
        <f>IFERROR(IF(OR(L9="",L9=0,(C9+C10)=0),"",L9/((C9+C10)*IF((C9+C10)=0,1,(C9*D9+C10*D10)/(C9+C10)))),"")</f>
        <v>0.42010275754422477</v>
      </c>
      <c r="J9" s="21">
        <f>IFERROR(IF(G9="","",G9+IF(G10="",0,G10)),"")</f>
        <v>222.23999999999998</v>
      </c>
      <c r="K9" s="21">
        <f>IFERROR(IF(OR(L9="",J9=""),"",L9-J9),"")</f>
        <v>-93.049999999999983</v>
      </c>
      <c r="L9" s="22">
        <v>129.19</v>
      </c>
    </row>
    <row r="10" spans="1:12" ht="15" customHeight="1" x14ac:dyDescent="0.3">
      <c r="A10" s="23">
        <v>46116</v>
      </c>
      <c r="B10" s="24" t="s">
        <v>17</v>
      </c>
      <c r="C10" s="25">
        <v>632</v>
      </c>
      <c r="D10" s="26">
        <v>0.14000000000000001</v>
      </c>
      <c r="E10" s="26">
        <v>0.06</v>
      </c>
      <c r="F10" s="20">
        <f t="shared" si="0"/>
        <v>0.57142857142857151</v>
      </c>
      <c r="G10" s="21">
        <f t="shared" si="1"/>
        <v>50.560000000000009</v>
      </c>
      <c r="H10" s="27"/>
      <c r="I10" s="27"/>
      <c r="J10" s="28"/>
      <c r="K10" s="28"/>
      <c r="L10" s="29"/>
    </row>
    <row r="11" spans="1:12" ht="15" customHeight="1" x14ac:dyDescent="0.3">
      <c r="A11" s="16">
        <v>46117</v>
      </c>
      <c r="B11" s="17" t="s">
        <v>16</v>
      </c>
      <c r="C11" s="18">
        <v>276</v>
      </c>
      <c r="D11" s="19">
        <v>0.17</v>
      </c>
      <c r="E11" s="19">
        <v>7.0000000000000007E-2</v>
      </c>
      <c r="F11" s="20">
        <f t="shared" si="0"/>
        <v>0.58823529411764708</v>
      </c>
      <c r="G11" s="21">
        <f t="shared" si="1"/>
        <v>27.6</v>
      </c>
      <c r="H11" s="20">
        <f>IFERROR(IF((C11+C12)=0,"",(C11*F11+C12*F12)/(C11+C12)),"")</f>
        <v>0.58823529411764708</v>
      </c>
      <c r="I11" s="20">
        <f>IFERROR(IF(OR(L11="",L11=0,(C11+C12)=0),"",L11/((C11+C12)*IF((C11+C12)=0,1,(C11*D11+C12*D12)/(C11+C12)))),"")</f>
        <v>0.62081290849673187</v>
      </c>
      <c r="J11" s="21">
        <f>IFERROR(IF(G11="","",G11+IF(G12="",0,G12)),"")</f>
        <v>57.600000000000009</v>
      </c>
      <c r="K11" s="21">
        <f>IFERROR(IF(OR(L11="",J11=""),"",L11-J11),"")</f>
        <v>3.1899999999999906</v>
      </c>
      <c r="L11" s="22">
        <v>60.79</v>
      </c>
    </row>
    <row r="12" spans="1:12" ht="15" customHeight="1" x14ac:dyDescent="0.3">
      <c r="A12" s="23">
        <v>46117</v>
      </c>
      <c r="B12" s="24" t="s">
        <v>17</v>
      </c>
      <c r="C12" s="25">
        <v>300</v>
      </c>
      <c r="D12" s="26">
        <v>0.17</v>
      </c>
      <c r="E12" s="26">
        <v>7.0000000000000007E-2</v>
      </c>
      <c r="F12" s="20">
        <f t="shared" si="0"/>
        <v>0.58823529411764708</v>
      </c>
      <c r="G12" s="21">
        <f t="shared" si="1"/>
        <v>30.000000000000004</v>
      </c>
      <c r="H12" s="27"/>
      <c r="I12" s="27"/>
      <c r="J12" s="28"/>
      <c r="K12" s="28"/>
      <c r="L12" s="29"/>
    </row>
    <row r="13" spans="1:12" ht="15" customHeight="1" x14ac:dyDescent="0.3">
      <c r="A13" s="16">
        <v>46118</v>
      </c>
      <c r="B13" s="17" t="s">
        <v>16</v>
      </c>
      <c r="C13" s="18">
        <v>364</v>
      </c>
      <c r="D13" s="19">
        <v>0.1</v>
      </c>
      <c r="E13" s="19">
        <v>0.04</v>
      </c>
      <c r="F13" s="20">
        <f t="shared" si="0"/>
        <v>0.6</v>
      </c>
      <c r="G13" s="21">
        <f t="shared" si="1"/>
        <v>21.84</v>
      </c>
      <c r="H13" s="20">
        <f>IFERROR(IF((C13+C14)=0,"",(C13*F13+C14*F14)/(C13+C14)),"")</f>
        <v>0.3169268441995714</v>
      </c>
      <c r="I13" s="20">
        <f>IFERROR(IF(OR(L13="",L13=0,(C13+C14)=0),"",L13/((C13+C14)*IF((C13+C14)=0,1,(C13*D13+C14*D14)/(C13+C14)))),"")</f>
        <v>0.5799583085169745</v>
      </c>
      <c r="J13" s="21">
        <f>IFERROR(IF(G13="","",G13+IF(G14="",0,G14)),"")</f>
        <v>43.599999999999994</v>
      </c>
      <c r="K13" s="21">
        <f>IFERROR(IF(OR(L13="",J13=""),"",L13-J13),"")</f>
        <v>34.300000000000011</v>
      </c>
      <c r="L13" s="22">
        <v>77.900000000000006</v>
      </c>
    </row>
    <row r="14" spans="1:12" ht="15" customHeight="1" x14ac:dyDescent="0.3">
      <c r="A14" s="23">
        <v>46118</v>
      </c>
      <c r="B14" s="24" t="s">
        <v>17</v>
      </c>
      <c r="C14" s="25">
        <v>1088</v>
      </c>
      <c r="D14" s="26">
        <v>0.09</v>
      </c>
      <c r="E14" s="26">
        <v>7.0000000000000007E-2</v>
      </c>
      <c r="F14" s="20">
        <f t="shared" si="0"/>
        <v>0.22222222222222213</v>
      </c>
      <c r="G14" s="21">
        <f t="shared" si="1"/>
        <v>21.759999999999991</v>
      </c>
      <c r="H14" s="27"/>
      <c r="I14" s="27"/>
      <c r="J14" s="28"/>
      <c r="K14" s="28"/>
      <c r="L14" s="29"/>
    </row>
    <row r="15" spans="1:12" ht="15" customHeight="1" x14ac:dyDescent="0.3">
      <c r="A15" s="16">
        <v>46119</v>
      </c>
      <c r="B15" s="17" t="s">
        <v>16</v>
      </c>
      <c r="C15" s="18">
        <v>1060</v>
      </c>
      <c r="D15" s="19">
        <v>0.2</v>
      </c>
      <c r="E15" s="19">
        <v>0.05</v>
      </c>
      <c r="F15" s="20">
        <f t="shared" si="0"/>
        <v>0.75000000000000011</v>
      </c>
      <c r="G15" s="21">
        <f t="shared" si="1"/>
        <v>159.00000000000003</v>
      </c>
      <c r="H15" s="20">
        <f>IFERROR(IF((C15+C16)=0,"",(C15*F15+C16*F16)/(C15+C16)),"")</f>
        <v>0.75417582417582429</v>
      </c>
      <c r="I15" s="20">
        <f>IFERROR(IF(OR(L15="",L15=0,(C15+C16)=0),"",L15/((C15+C16)*IF((C15+C16)=0,1,(C15*D15+C16*D16)/(C15+C16)))),"")</f>
        <v>0.18189054726368159</v>
      </c>
      <c r="J15" s="21">
        <f>IFERROR(IF(G15="","",G15+IF(G16="",0,G16)),"")</f>
        <v>303.40000000000003</v>
      </c>
      <c r="K15" s="21">
        <f>IFERROR(IF(OR(L15="",J15=""),"",L15-J15),"")</f>
        <v>-230.28000000000003</v>
      </c>
      <c r="L15" s="22">
        <v>73.12</v>
      </c>
    </row>
    <row r="16" spans="1:12" ht="15" customHeight="1" x14ac:dyDescent="0.3">
      <c r="A16" s="23">
        <v>46119</v>
      </c>
      <c r="B16" s="24" t="s">
        <v>17</v>
      </c>
      <c r="C16" s="25">
        <v>760</v>
      </c>
      <c r="D16" s="26">
        <v>0.25</v>
      </c>
      <c r="E16" s="26">
        <v>0.06</v>
      </c>
      <c r="F16" s="20">
        <f t="shared" si="0"/>
        <v>0.76</v>
      </c>
      <c r="G16" s="21">
        <f t="shared" si="1"/>
        <v>144.4</v>
      </c>
      <c r="H16" s="27"/>
      <c r="I16" s="27"/>
      <c r="J16" s="28"/>
      <c r="K16" s="28"/>
      <c r="L16" s="29"/>
    </row>
    <row r="17" spans="1:12" ht="15" customHeight="1" x14ac:dyDescent="0.3">
      <c r="A17" s="16">
        <v>46120</v>
      </c>
      <c r="B17" s="17" t="s">
        <v>16</v>
      </c>
      <c r="C17" s="18">
        <v>888</v>
      </c>
      <c r="D17" s="19">
        <v>0.1</v>
      </c>
      <c r="E17" s="19">
        <v>0.05</v>
      </c>
      <c r="F17" s="20">
        <f t="shared" si="0"/>
        <v>0.5</v>
      </c>
      <c r="G17" s="21">
        <f t="shared" si="1"/>
        <v>44.400000000000006</v>
      </c>
      <c r="H17" s="20">
        <f>IFERROR(IF((C17+C18)=0,"",(C17*F17+C18*F18)/(C17+C18)),"")</f>
        <v>0.5834784122562674</v>
      </c>
      <c r="I17" s="20">
        <f>IFERROR(IF(OR(L17="",L17=0,(C17+C18)=0),"",L17/((C17+C18)*IF((C17+C18)=0,1,(C17*D17+C18*D18)/(C17+C18)))),"")</f>
        <v>0.27744548758328286</v>
      </c>
      <c r="J17" s="21">
        <f>IFERROR(IF(G17="","",G17+IF(G18="",0,G18)),"")</f>
        <v>170.44</v>
      </c>
      <c r="K17" s="21">
        <f>IFERROR(IF(OR(L17="",J17=""),"",L17-J17),"")</f>
        <v>-97.149999999999991</v>
      </c>
      <c r="L17" s="22">
        <v>73.290000000000006</v>
      </c>
    </row>
    <row r="18" spans="1:12" ht="15" customHeight="1" x14ac:dyDescent="0.3">
      <c r="A18" s="23">
        <v>46120</v>
      </c>
      <c r="B18" s="24" t="s">
        <v>17</v>
      </c>
      <c r="C18" s="25">
        <v>548</v>
      </c>
      <c r="D18" s="26">
        <v>0.32</v>
      </c>
      <c r="E18" s="26">
        <v>0.09</v>
      </c>
      <c r="F18" s="20">
        <f t="shared" si="0"/>
        <v>0.71875</v>
      </c>
      <c r="G18" s="21">
        <f t="shared" si="1"/>
        <v>126.04</v>
      </c>
      <c r="H18" s="27"/>
      <c r="I18" s="27"/>
      <c r="J18" s="28"/>
      <c r="K18" s="28"/>
      <c r="L18" s="29"/>
    </row>
    <row r="19" spans="1:12" ht="15" customHeight="1" x14ac:dyDescent="0.3">
      <c r="A19" s="16">
        <v>46121</v>
      </c>
      <c r="B19" s="17" t="s">
        <v>16</v>
      </c>
      <c r="C19" s="18">
        <v>624</v>
      </c>
      <c r="D19" s="19">
        <v>0.46</v>
      </c>
      <c r="E19" s="19">
        <v>0.12</v>
      </c>
      <c r="F19" s="20">
        <f t="shared" si="0"/>
        <v>0.73913043478260876</v>
      </c>
      <c r="G19" s="21">
        <f t="shared" si="1"/>
        <v>212.16000000000003</v>
      </c>
      <c r="H19" s="20">
        <f>IFERROR(IF((C19+C20)=0,"",(C19*F19+C20*F20)/(C19+C20)),"")</f>
        <v>0.6811594202898551</v>
      </c>
      <c r="I19" s="20">
        <f>IFERROR(IF(OR(L19="",L19=0,(C19+C20)=0),"",L19/((C19+C20)*IF((C19+C20)=0,1,(C19*D19+C20*D20)/(C19+C20)))),"")</f>
        <v>0.41902738432483477</v>
      </c>
      <c r="J19" s="21">
        <f>IFERROR(IF(G19="","",G19+IF(G20="",0,G20)),"")</f>
        <v>240.96000000000004</v>
      </c>
      <c r="K19" s="21">
        <f>IFERROR(IF(OR(L19="",J19=""),"",L19-J19),"")</f>
        <v>-98.960000000000036</v>
      </c>
      <c r="L19" s="22">
        <v>142</v>
      </c>
    </row>
    <row r="20" spans="1:12" ht="15" customHeight="1" x14ac:dyDescent="0.3">
      <c r="A20" s="23">
        <v>46121</v>
      </c>
      <c r="B20" s="24" t="s">
        <v>17</v>
      </c>
      <c r="C20" s="25">
        <v>288</v>
      </c>
      <c r="D20" s="26">
        <v>0.18</v>
      </c>
      <c r="E20" s="26">
        <v>0.08</v>
      </c>
      <c r="F20" s="20">
        <f t="shared" si="0"/>
        <v>0.55555555555555558</v>
      </c>
      <c r="G20" s="21">
        <f t="shared" si="1"/>
        <v>28.8</v>
      </c>
      <c r="H20" s="27"/>
      <c r="I20" s="27"/>
      <c r="J20" s="28"/>
      <c r="K20" s="28"/>
      <c r="L20" s="29"/>
    </row>
    <row r="21" spans="1:12" ht="15" customHeight="1" x14ac:dyDescent="0.3">
      <c r="A21" s="16">
        <v>46122</v>
      </c>
      <c r="B21" s="17" t="s">
        <v>16</v>
      </c>
      <c r="C21" s="18">
        <v>248</v>
      </c>
      <c r="D21" s="19">
        <v>0.2</v>
      </c>
      <c r="E21" s="19">
        <v>0.06</v>
      </c>
      <c r="F21" s="20">
        <f t="shared" si="0"/>
        <v>0.70000000000000007</v>
      </c>
      <c r="G21" s="21">
        <f t="shared" si="1"/>
        <v>34.720000000000006</v>
      </c>
      <c r="H21" s="20">
        <f>IFERROR(IF((C21+C22)=0,"",(C21*F21+C22*F22)/(C21+C22)),"")</f>
        <v>0.70000000000000007</v>
      </c>
      <c r="I21" s="20">
        <f>IFERROR(IF(OR(L21="",L21=0,(C21+C22)=0),"",L21/((C21+C22)*IF((C21+C22)=0,1,(C21*D21+C22*D22)/(C21+C22)))),"")</f>
        <v>0.77819602272727262</v>
      </c>
      <c r="J21" s="21">
        <f>IFERROR(IF(G21="","",G21+IF(G22="",0,G22)),"")</f>
        <v>98.560000000000016</v>
      </c>
      <c r="K21" s="21">
        <f>IFERROR(IF(OR(L21="",J21=""),"",L21-J21),"")</f>
        <v>11.009999999999977</v>
      </c>
      <c r="L21" s="22">
        <v>109.57</v>
      </c>
    </row>
    <row r="22" spans="1:12" ht="15" customHeight="1" x14ac:dyDescent="0.3">
      <c r="A22" s="23">
        <v>46122</v>
      </c>
      <c r="B22" s="24" t="s">
        <v>17</v>
      </c>
      <c r="C22" s="25">
        <v>456</v>
      </c>
      <c r="D22" s="26">
        <v>0.2</v>
      </c>
      <c r="E22" s="26">
        <v>0.06</v>
      </c>
      <c r="F22" s="20">
        <f t="shared" si="0"/>
        <v>0.70000000000000007</v>
      </c>
      <c r="G22" s="21">
        <f t="shared" si="1"/>
        <v>63.840000000000011</v>
      </c>
      <c r="H22" s="27"/>
      <c r="I22" s="27"/>
      <c r="J22" s="28"/>
      <c r="K22" s="28"/>
      <c r="L22" s="29"/>
    </row>
    <row r="23" spans="1:12" ht="15" customHeight="1" x14ac:dyDescent="0.3">
      <c r="A23" s="16">
        <v>46123</v>
      </c>
      <c r="B23" s="17" t="s">
        <v>16</v>
      </c>
      <c r="C23" s="18">
        <v>376</v>
      </c>
      <c r="D23" s="19">
        <v>0.35</v>
      </c>
      <c r="E23" s="19">
        <v>0.1</v>
      </c>
      <c r="F23" s="20">
        <f t="shared" si="0"/>
        <v>0.7142857142857143</v>
      </c>
      <c r="G23" s="21">
        <f t="shared" si="1"/>
        <v>94</v>
      </c>
      <c r="H23" s="20">
        <f>IFERROR(IF((C23+C24)=0,"",(C23*F23+C24*F24)/(C23+C24)),"")</f>
        <v>0.73533998752339358</v>
      </c>
      <c r="I23" s="20">
        <f>IFERROR(IF(OR(L23="",L23=0,(C23+C24)=0),"",L23/((C23+C24)*IF((C23+C24)=0,1,(C23*D23+C24*D24)/(C23+C24)))),"")</f>
        <v>0.30459921156373193</v>
      </c>
      <c r="J23" s="21">
        <f>IFERROR(IF(G23="","",G23+IF(G24="",0,G24)),"")</f>
        <v>223.60000000000002</v>
      </c>
      <c r="K23" s="21">
        <f>IFERROR(IF(OR(L23="",J23=""),"",L23-J23),"")</f>
        <v>-130.88000000000002</v>
      </c>
      <c r="L23" s="22">
        <v>92.72</v>
      </c>
    </row>
    <row r="24" spans="1:12" ht="15" customHeight="1" x14ac:dyDescent="0.3">
      <c r="A24" s="23">
        <v>46123</v>
      </c>
      <c r="B24" s="24" t="s">
        <v>17</v>
      </c>
      <c r="C24" s="25">
        <v>540</v>
      </c>
      <c r="D24" s="26">
        <v>0.32</v>
      </c>
      <c r="E24" s="26">
        <v>0.08</v>
      </c>
      <c r="F24" s="20">
        <f t="shared" si="0"/>
        <v>0.75</v>
      </c>
      <c r="G24" s="21">
        <f t="shared" si="1"/>
        <v>129.60000000000002</v>
      </c>
      <c r="H24" s="27"/>
      <c r="I24" s="27"/>
      <c r="J24" s="28"/>
      <c r="K24" s="28"/>
      <c r="L24" s="29"/>
    </row>
    <row r="25" spans="1:12" ht="15" customHeight="1" x14ac:dyDescent="0.3">
      <c r="A25" s="16">
        <v>46124</v>
      </c>
      <c r="B25" s="17" t="s">
        <v>16</v>
      </c>
      <c r="C25" s="18">
        <v>376</v>
      </c>
      <c r="D25" s="19">
        <v>0.35</v>
      </c>
      <c r="E25" s="19">
        <v>0.05</v>
      </c>
      <c r="F25" s="20">
        <f t="shared" si="0"/>
        <v>0.85714285714285721</v>
      </c>
      <c r="G25" s="21">
        <f t="shared" si="1"/>
        <v>112.8</v>
      </c>
      <c r="H25" s="20">
        <f>IFERROR(IF((C25+C26)=0,"",(C25*F25+C26*F26)/(C25+C26)),"")</f>
        <v>0.87732856922296476</v>
      </c>
      <c r="I25" s="20">
        <f>IFERROR(IF(OR(L25="",L25=0,(C25+C26)=0),"",L25/((C25+C26)*IF((C25+C26)=0,1,(C25*D25+C26*D26)/(C25+C26)))),"")</f>
        <v>7.2280032785716819E-2</v>
      </c>
      <c r="J25" s="21">
        <f>IFERROR(IF(G25="","",G25+IF(G26="",0,G26)),"")</f>
        <v>1976.4800000000002</v>
      </c>
      <c r="K25" s="21">
        <f>IFERROR(IF(OR(L25="",J25=""),"",L25-J25),"")</f>
        <v>-1814.2200000000003</v>
      </c>
      <c r="L25" s="22">
        <v>162.26</v>
      </c>
    </row>
    <row r="26" spans="1:12" ht="15" customHeight="1" x14ac:dyDescent="0.3">
      <c r="A26" s="23">
        <v>46124</v>
      </c>
      <c r="B26" s="24" t="s">
        <v>17</v>
      </c>
      <c r="C26" s="25">
        <v>1664</v>
      </c>
      <c r="D26" s="26">
        <v>1.27</v>
      </c>
      <c r="E26" s="26">
        <v>0.15</v>
      </c>
      <c r="F26" s="20">
        <f t="shared" si="0"/>
        <v>0.88188976377952766</v>
      </c>
      <c r="G26" s="21">
        <f t="shared" si="1"/>
        <v>1863.6800000000003</v>
      </c>
      <c r="H26" s="27"/>
      <c r="I26" s="27"/>
      <c r="J26" s="28"/>
      <c r="K26" s="28"/>
      <c r="L26" s="29"/>
    </row>
    <row r="27" spans="1:12" ht="15" customHeight="1" x14ac:dyDescent="0.3">
      <c r="A27" s="16">
        <v>46125</v>
      </c>
      <c r="B27" s="17" t="s">
        <v>16</v>
      </c>
      <c r="C27" s="18">
        <v>516</v>
      </c>
      <c r="D27" s="19">
        <v>0.08</v>
      </c>
      <c r="E27" s="19">
        <v>0.12</v>
      </c>
      <c r="F27" s="20">
        <f t="shared" si="0"/>
        <v>-0.49999999999999989</v>
      </c>
      <c r="G27" s="21">
        <f t="shared" si="1"/>
        <v>-20.639999999999997</v>
      </c>
      <c r="H27" s="20">
        <f>IFERROR(IF((C27+C28)=0,"",(C27*F27+C28*F28)/(C27+C28)),"")</f>
        <v>-6.9288389513108561E-2</v>
      </c>
      <c r="I27" s="20">
        <f>IFERROR(IF(OR(L27="",L27=0,(C27+C28)=0),"",L27/((C27+C28)*IF((C27+C28)=0,1,(C27*D27+C28*D28)/(C27+C28)))),"")</f>
        <v>2.2525285839929636</v>
      </c>
      <c r="J27" s="21">
        <f>IFERROR(IF(G27="","",G27+IF(G28="",0,G28)),"")</f>
        <v>-4.0799999999999983</v>
      </c>
      <c r="K27" s="21">
        <f>IFERROR(IF(OR(L27="",J27=""),"",L27-J27),"")</f>
        <v>208.96999999999997</v>
      </c>
      <c r="L27" s="22">
        <v>204.89</v>
      </c>
    </row>
    <row r="28" spans="1:12" ht="15" customHeight="1" x14ac:dyDescent="0.3">
      <c r="A28" s="23">
        <v>46125</v>
      </c>
      <c r="B28" s="24" t="s">
        <v>17</v>
      </c>
      <c r="C28" s="25">
        <v>552</v>
      </c>
      <c r="D28" s="26">
        <v>0.09</v>
      </c>
      <c r="E28" s="26">
        <v>0.06</v>
      </c>
      <c r="F28" s="20">
        <f t="shared" si="0"/>
        <v>0.33333333333333331</v>
      </c>
      <c r="G28" s="21">
        <f t="shared" si="1"/>
        <v>16.559999999999999</v>
      </c>
      <c r="H28" s="27"/>
      <c r="I28" s="27"/>
      <c r="J28" s="28"/>
      <c r="K28" s="28"/>
      <c r="L28" s="29"/>
    </row>
    <row r="29" spans="1:12" ht="15" customHeight="1" x14ac:dyDescent="0.3">
      <c r="A29" s="16">
        <v>46126</v>
      </c>
      <c r="B29" s="17" t="s">
        <v>16</v>
      </c>
      <c r="C29" s="18">
        <v>488</v>
      </c>
      <c r="D29" s="19">
        <v>0.13</v>
      </c>
      <c r="E29" s="19">
        <v>0.03</v>
      </c>
      <c r="F29" s="20">
        <f t="shared" si="0"/>
        <v>0.76923076923076927</v>
      </c>
      <c r="G29" s="21">
        <f t="shared" si="1"/>
        <v>48.800000000000004</v>
      </c>
      <c r="H29" s="20">
        <f>IFERROR(IF((C29+C30)=0,"",(C29*F29+C30*F30)/(C29+C30)),"")</f>
        <v>0.76923076923076927</v>
      </c>
      <c r="I29" s="20">
        <f>IFERROR(IF(OR(L29="",L29=0,(C29+C30)=0),"",L29/((C29+C30)*IF((C29+C30)=0,1,(C29*D29+C30*D30)/(C29+C30)))),"")</f>
        <v>0.29360959836623557</v>
      </c>
      <c r="J29" s="21">
        <f>IFERROR(IF(G29="","",G29+IF(G30="",0,G30)),"")</f>
        <v>180.8</v>
      </c>
      <c r="K29" s="21">
        <f>IFERROR(IF(OR(L29="",J29=""),"",L29-J29),"")</f>
        <v>-111.79</v>
      </c>
      <c r="L29" s="22">
        <v>69.010000000000005</v>
      </c>
    </row>
    <row r="30" spans="1:12" ht="15" customHeight="1" x14ac:dyDescent="0.3">
      <c r="A30" s="23">
        <v>46126</v>
      </c>
      <c r="B30" s="24" t="s">
        <v>17</v>
      </c>
      <c r="C30" s="25">
        <v>660</v>
      </c>
      <c r="D30" s="26">
        <v>0.26</v>
      </c>
      <c r="E30" s="26">
        <v>0.06</v>
      </c>
      <c r="F30" s="20">
        <f t="shared" si="0"/>
        <v>0.76923076923076927</v>
      </c>
      <c r="G30" s="21">
        <f t="shared" si="1"/>
        <v>132</v>
      </c>
      <c r="H30" s="27"/>
      <c r="I30" s="27"/>
      <c r="J30" s="28"/>
      <c r="K30" s="28"/>
      <c r="L30" s="29"/>
    </row>
    <row r="31" spans="1:12" ht="15" customHeight="1" x14ac:dyDescent="0.3">
      <c r="A31" s="16">
        <v>46127</v>
      </c>
      <c r="B31" s="17" t="s">
        <v>16</v>
      </c>
      <c r="C31" s="18">
        <v>612</v>
      </c>
      <c r="D31" s="19">
        <v>0.71</v>
      </c>
      <c r="E31" s="19">
        <v>0.06</v>
      </c>
      <c r="F31" s="20">
        <f t="shared" si="0"/>
        <v>0.91549295774647876</v>
      </c>
      <c r="G31" s="21">
        <f t="shared" si="1"/>
        <v>397.79999999999995</v>
      </c>
      <c r="H31" s="20">
        <f>IFERROR(IF((C31+C32)=0,"",(C31*F31+C32*F32)/(C31+C32)),"")</f>
        <v>0.81038035441565059</v>
      </c>
      <c r="I31" s="20">
        <f>IFERROR(IF(OR(L31="",L31=0,(C31+C32)=0),"",L31/((C31+C32)*IF((C31+C32)=0,1,(C31*D31+C32*D32)/(C31+C32)))),"")</f>
        <v>0.53368968624559676</v>
      </c>
      <c r="J31" s="21">
        <f>IFERROR(IF(G31="","",G31+IF(G32="",0,G32)),"")</f>
        <v>432.35999999999996</v>
      </c>
      <c r="K31" s="21">
        <f>IFERROR(IF(OR(L31="",J31=""),"",L31-J31),"")</f>
        <v>-171.76999999999998</v>
      </c>
      <c r="L31" s="22">
        <v>260.58999999999997</v>
      </c>
    </row>
    <row r="32" spans="1:12" ht="15" customHeight="1" x14ac:dyDescent="0.3">
      <c r="A32" s="23">
        <v>46127</v>
      </c>
      <c r="B32" s="24" t="s">
        <v>17</v>
      </c>
      <c r="C32" s="25">
        <v>384</v>
      </c>
      <c r="D32" s="26">
        <v>0.14000000000000001</v>
      </c>
      <c r="E32" s="26">
        <v>0.05</v>
      </c>
      <c r="F32" s="20">
        <f t="shared" si="0"/>
        <v>0.6428571428571429</v>
      </c>
      <c r="G32" s="21">
        <f t="shared" si="1"/>
        <v>34.560000000000009</v>
      </c>
      <c r="H32" s="27"/>
      <c r="I32" s="27"/>
      <c r="J32" s="28"/>
      <c r="K32" s="28"/>
      <c r="L32" s="29"/>
    </row>
    <row r="33" spans="1:12" ht="15" customHeight="1" x14ac:dyDescent="0.3">
      <c r="A33" s="16">
        <v>46128</v>
      </c>
      <c r="B33" s="17" t="s">
        <v>16</v>
      </c>
      <c r="C33" s="18">
        <v>580</v>
      </c>
      <c r="D33" s="19">
        <v>0.2</v>
      </c>
      <c r="E33" s="19">
        <v>7.0000000000000007E-2</v>
      </c>
      <c r="F33" s="20">
        <f t="shared" si="0"/>
        <v>0.65</v>
      </c>
      <c r="G33" s="21">
        <f t="shared" si="1"/>
        <v>75.400000000000006</v>
      </c>
      <c r="H33" s="20">
        <f>IFERROR(IF((C33+C34)=0,"",(C33*F33+C34*F34)/(C33+C34)),"")</f>
        <v>0.6217873831775701</v>
      </c>
      <c r="I33" s="20">
        <f>IFERROR(IF(OR(L33="",L33=0,(C33+C34)=0),"",L33/((C33+C34)*IF((C33+C34)=0,1,(C33*D33+C34*D34)/(C33+C34)))),"")</f>
        <v>0.75568181818181823</v>
      </c>
      <c r="J33" s="21">
        <f>IFERROR(IF(G33="","",G33+IF(G34="",0,G34)),"")</f>
        <v>100.24000000000001</v>
      </c>
      <c r="K33" s="21">
        <f>IFERROR(IF(OR(L33="",J33=""),"",L33-J33),"")</f>
        <v>20.789999999999992</v>
      </c>
      <c r="L33" s="22">
        <v>121.03</v>
      </c>
    </row>
    <row r="34" spans="1:12" ht="15" customHeight="1" x14ac:dyDescent="0.3">
      <c r="A34" s="23">
        <v>46128</v>
      </c>
      <c r="B34" s="24" t="s">
        <v>17</v>
      </c>
      <c r="C34" s="25">
        <v>276</v>
      </c>
      <c r="D34" s="26">
        <v>0.16</v>
      </c>
      <c r="E34" s="26">
        <v>7.0000000000000007E-2</v>
      </c>
      <c r="F34" s="20">
        <f t="shared" si="0"/>
        <v>0.5625</v>
      </c>
      <c r="G34" s="21">
        <f t="shared" si="1"/>
        <v>24.840000000000003</v>
      </c>
      <c r="H34" s="27"/>
      <c r="I34" s="27"/>
      <c r="J34" s="28"/>
      <c r="K34" s="28"/>
      <c r="L34" s="29"/>
    </row>
    <row r="35" spans="1:12" ht="15" customHeight="1" x14ac:dyDescent="0.3">
      <c r="A35" s="16">
        <v>46129</v>
      </c>
      <c r="B35" s="17" t="s">
        <v>16</v>
      </c>
      <c r="C35" s="18">
        <v>340</v>
      </c>
      <c r="D35" s="19">
        <v>0.06</v>
      </c>
      <c r="E35" s="19">
        <v>1.0999999999999999E-2</v>
      </c>
      <c r="F35" s="20">
        <f t="shared" si="0"/>
        <v>0.81666666666666676</v>
      </c>
      <c r="G35" s="21">
        <f t="shared" si="1"/>
        <v>16.66</v>
      </c>
      <c r="H35" s="20">
        <f>IFERROR(IF((C35+C36)=0,"",(C35*F35+C36*F36)/(C35+C36)),"")</f>
        <v>0.60528083028083035</v>
      </c>
      <c r="I35" s="20">
        <f>IFERROR(IF(OR(L35="",L35=0,(C35+C36)=0),"",L35/((C35+C36)*IF((C35+C36)=0,1,(C35*D35+C36*D36)/(C35+C36)))),"")</f>
        <v>3.9761124121779856</v>
      </c>
      <c r="J35" s="21">
        <f>IFERROR(IF(G35="","",G35+IF(G36="",0,G36)),"")</f>
        <v>46.66</v>
      </c>
      <c r="K35" s="21">
        <f>IFERROR(IF(OR(L35="",J35=""),"",L35-J35),"")</f>
        <v>292.89999999999998</v>
      </c>
      <c r="L35" s="22">
        <v>339.56</v>
      </c>
    </row>
    <row r="36" spans="1:12" ht="15" customHeight="1" x14ac:dyDescent="0.3">
      <c r="A36" s="23">
        <v>46129</v>
      </c>
      <c r="B36" s="24" t="s">
        <v>17</v>
      </c>
      <c r="C36" s="25">
        <v>500</v>
      </c>
      <c r="D36" s="26">
        <v>0.13</v>
      </c>
      <c r="E36" s="26">
        <v>7.0000000000000007E-2</v>
      </c>
      <c r="F36" s="20">
        <f t="shared" si="0"/>
        <v>0.46153846153846151</v>
      </c>
      <c r="G36" s="21">
        <f t="shared" si="1"/>
        <v>29.999999999999996</v>
      </c>
      <c r="H36" s="27"/>
      <c r="I36" s="27"/>
      <c r="J36" s="28"/>
      <c r="K36" s="28"/>
      <c r="L36" s="29"/>
    </row>
    <row r="37" spans="1:12" ht="15" customHeight="1" x14ac:dyDescent="0.3">
      <c r="A37" s="16">
        <v>46130</v>
      </c>
      <c r="B37" s="17" t="s">
        <v>16</v>
      </c>
      <c r="C37" s="18">
        <v>720</v>
      </c>
      <c r="D37" s="19">
        <v>0.13</v>
      </c>
      <c r="E37" s="19">
        <v>0.06</v>
      </c>
      <c r="F37" s="20">
        <f t="shared" si="0"/>
        <v>0.53846153846153855</v>
      </c>
      <c r="G37" s="21">
        <f t="shared" si="1"/>
        <v>50.400000000000013</v>
      </c>
      <c r="H37" s="20">
        <f>IFERROR(IF((C37+C38)=0,"",(C37*F37+C38*F38)/(C37+C38)),"")</f>
        <v>0.59652404333255404</v>
      </c>
      <c r="I37" s="20">
        <f>IFERROR(IF(OR(L37="",L37=0,(C37+C38)=0),"",L37/((C37+C38)*IF((C37+C38)=0,1,(C37*D37+C38*D38)/(C37+C38)))),"")</f>
        <v>0.44155714854639588</v>
      </c>
      <c r="J37" s="21">
        <f>IFERROR(IF(G37="","",G37+IF(G38="",0,G38)),"")</f>
        <v>121.92000000000002</v>
      </c>
      <c r="K37" s="21">
        <f>IFERROR(IF(OR(L37="",J37=""),"",L37-J37),"")</f>
        <v>-33.220000000000013</v>
      </c>
      <c r="L37" s="22">
        <v>88.7</v>
      </c>
    </row>
    <row r="38" spans="1:12" ht="15" customHeight="1" x14ac:dyDescent="0.3">
      <c r="A38" s="23">
        <v>46130</v>
      </c>
      <c r="B38" s="24" t="s">
        <v>17</v>
      </c>
      <c r="C38" s="25">
        <v>596</v>
      </c>
      <c r="D38" s="26">
        <v>0.18</v>
      </c>
      <c r="E38" s="26">
        <v>0.06</v>
      </c>
      <c r="F38" s="20">
        <f t="shared" si="0"/>
        <v>0.66666666666666663</v>
      </c>
      <c r="G38" s="21">
        <f t="shared" si="1"/>
        <v>71.52</v>
      </c>
      <c r="H38" s="27"/>
      <c r="I38" s="27"/>
      <c r="J38" s="28"/>
      <c r="K38" s="28"/>
      <c r="L38" s="29"/>
    </row>
    <row r="39" spans="1:12" ht="15" customHeight="1" x14ac:dyDescent="0.3">
      <c r="A39" s="16">
        <v>46131</v>
      </c>
      <c r="B39" s="17" t="s">
        <v>16</v>
      </c>
      <c r="C39" s="18">
        <v>811</v>
      </c>
      <c r="D39" s="19">
        <v>0.19</v>
      </c>
      <c r="E39" s="19">
        <v>0.1</v>
      </c>
      <c r="F39" s="20">
        <f t="shared" si="0"/>
        <v>0.47368421052631576</v>
      </c>
      <c r="G39" s="21">
        <f t="shared" si="1"/>
        <v>72.989999999999995</v>
      </c>
      <c r="H39" s="20">
        <f>IFERROR(IF((C39+C40)=0,"",(C39*F39+C40*F40)/(C39+C40)),"")</f>
        <v>0.47368421052631576</v>
      </c>
      <c r="I39" s="20">
        <f>IFERROR(IF(OR(L39="",L39=0,(C39+C40)=0),"",L39/((C39+C40)*IF((C39+C40)=0,1,(C39*D39+C40*D40)/(C39+C40)))),"")</f>
        <v>0.48561403508771928</v>
      </c>
      <c r="J39" s="21">
        <f>IFERROR(IF(G39="","",G39+IF(G40="",0,G40)),"")</f>
        <v>114.75</v>
      </c>
      <c r="K39" s="21">
        <f>IFERROR(IF(OR(L39="",J39=""),"",L39-J39),"")</f>
        <v>2.8900000000000006</v>
      </c>
      <c r="L39" s="22">
        <v>117.64</v>
      </c>
    </row>
    <row r="40" spans="1:12" ht="15" customHeight="1" x14ac:dyDescent="0.3">
      <c r="A40" s="23">
        <v>46131</v>
      </c>
      <c r="B40" s="24" t="s">
        <v>17</v>
      </c>
      <c r="C40" s="25">
        <v>464</v>
      </c>
      <c r="D40" s="26">
        <v>0.19</v>
      </c>
      <c r="E40" s="26">
        <v>0.1</v>
      </c>
      <c r="F40" s="20">
        <f t="shared" si="0"/>
        <v>0.47368421052631576</v>
      </c>
      <c r="G40" s="21">
        <f t="shared" si="1"/>
        <v>41.76</v>
      </c>
      <c r="H40" s="27"/>
      <c r="I40" s="27"/>
      <c r="J40" s="28"/>
      <c r="K40" s="28"/>
      <c r="L40" s="29"/>
    </row>
    <row r="41" spans="1:12" ht="15" customHeight="1" x14ac:dyDescent="0.3">
      <c r="A41" s="16">
        <v>46132</v>
      </c>
      <c r="B41" s="17" t="s">
        <v>16</v>
      </c>
      <c r="C41" s="18">
        <v>0</v>
      </c>
      <c r="D41" s="19"/>
      <c r="E41" s="19"/>
      <c r="F41" s="20" t="str">
        <f t="shared" si="0"/>
        <v/>
      </c>
      <c r="G41" s="21" t="str">
        <f t="shared" si="1"/>
        <v/>
      </c>
      <c r="H41" s="20" t="str">
        <f>IFERROR(IF((C41+C42)=0,"",(C41*F41+C42*F42)/(C41+C42)),"")</f>
        <v/>
      </c>
      <c r="I41" s="20">
        <f>IFERROR(IF(OR(L41="",L41=0,(C41+C42)=0),"",L41/((C41+C42)*IF((C41+C42)=0,1,(C41*D41+C42*D42)/(C41+C42)))),"")</f>
        <v>0.13550852439741329</v>
      </c>
      <c r="J41" s="21" t="str">
        <f>IFERROR(IF(G41="","",G41+IF(G42="",0,G42)),"")</f>
        <v/>
      </c>
      <c r="K41" s="21" t="str">
        <f>IFERROR(IF(OR(L41="",J41=""),"",L41-J41),"")</f>
        <v/>
      </c>
      <c r="L41" s="22">
        <v>64.540000000000006</v>
      </c>
    </row>
    <row r="42" spans="1:12" ht="15" customHeight="1" x14ac:dyDescent="0.3">
      <c r="A42" s="23">
        <v>46132</v>
      </c>
      <c r="B42" s="24" t="s">
        <v>17</v>
      </c>
      <c r="C42" s="25">
        <v>756</v>
      </c>
      <c r="D42" s="26">
        <v>0.63</v>
      </c>
      <c r="E42" s="26">
        <v>0.06</v>
      </c>
      <c r="F42" s="20">
        <f t="shared" si="0"/>
        <v>0.90476190476190488</v>
      </c>
      <c r="G42" s="21">
        <f t="shared" si="1"/>
        <v>430.92000000000007</v>
      </c>
      <c r="H42" s="27"/>
      <c r="I42" s="27"/>
      <c r="J42" s="28"/>
      <c r="K42" s="28"/>
      <c r="L42" s="29"/>
    </row>
    <row r="43" spans="1:12" ht="15" customHeight="1" x14ac:dyDescent="0.3">
      <c r="A43" s="16">
        <v>46133</v>
      </c>
      <c r="B43" s="17" t="s">
        <v>16</v>
      </c>
      <c r="C43" s="18">
        <v>475</v>
      </c>
      <c r="D43" s="19">
        <v>0.48</v>
      </c>
      <c r="E43" s="19">
        <v>0.05</v>
      </c>
      <c r="F43" s="20">
        <f t="shared" si="0"/>
        <v>0.89583333333333337</v>
      </c>
      <c r="G43" s="21">
        <f t="shared" si="1"/>
        <v>204.25</v>
      </c>
      <c r="H43" s="20">
        <f>IFERROR(IF((C43+C44)=0,"",(C43*F43+C44*F44)/(C43+C44)),"")</f>
        <v>0.55094641101278263</v>
      </c>
      <c r="I43" s="20">
        <f>IFERROR(IF(OR(L43="",L43=0,(C43+C44)=0),"",L43/((C43+C44)*IF((C43+C44)=0,1,(C43*D43+C44*D44)/(C43+C44)))),"")</f>
        <v>0.36714743589743593</v>
      </c>
      <c r="J43" s="21">
        <f>IFERROR(IF(G43="","",G43+IF(G44="",0,G44)),"")</f>
        <v>265.25</v>
      </c>
      <c r="K43" s="21">
        <f>IFERROR(IF(OR(L43="",J43=""),"",L43-J43),"")</f>
        <v>-127.78999999999999</v>
      </c>
      <c r="L43" s="22">
        <v>137.46</v>
      </c>
    </row>
    <row r="44" spans="1:12" ht="15" customHeight="1" x14ac:dyDescent="0.3">
      <c r="A44" s="23">
        <v>46133</v>
      </c>
      <c r="B44" s="24" t="s">
        <v>17</v>
      </c>
      <c r="C44" s="25">
        <v>1220</v>
      </c>
      <c r="D44" s="26">
        <v>0.12</v>
      </c>
      <c r="E44" s="26">
        <v>7.0000000000000007E-2</v>
      </c>
      <c r="F44" s="20">
        <f t="shared" si="0"/>
        <v>0.41666666666666657</v>
      </c>
      <c r="G44" s="21">
        <f t="shared" si="1"/>
        <v>60.999999999999986</v>
      </c>
      <c r="H44" s="27"/>
      <c r="I44" s="27"/>
      <c r="J44" s="28"/>
      <c r="K44" s="28"/>
      <c r="L44" s="29"/>
    </row>
    <row r="45" spans="1:12" ht="15" customHeight="1" x14ac:dyDescent="0.3">
      <c r="A45" s="16">
        <v>46134</v>
      </c>
      <c r="B45" s="17" t="s">
        <v>16</v>
      </c>
      <c r="C45" s="18">
        <v>335</v>
      </c>
      <c r="D45" s="19">
        <v>0.31</v>
      </c>
      <c r="E45" s="19">
        <v>7.0000000000000007E-2</v>
      </c>
      <c r="F45" s="20">
        <f t="shared" si="0"/>
        <v>0.77419354838709675</v>
      </c>
      <c r="G45" s="21">
        <f t="shared" si="1"/>
        <v>80.399999999999991</v>
      </c>
      <c r="H45" s="20">
        <f>IFERROR(IF((C45+C46)=0,"",(C45*F45+C46*F46)/(C45+C46)),"")</f>
        <v>0.77419354838709675</v>
      </c>
      <c r="I45" s="20">
        <f>IFERROR(IF(OR(L45="",L45=0,(C45+C46)=0),"",L45/((C45+C46)*IF((C45+C46)=0,1,(C45*D45+C46*D46)/(C45+C46)))),"")</f>
        <v>0.83259900340938908</v>
      </c>
      <c r="J45" s="21">
        <f>IFERROR(IF(G45="","",G45+IF(G46="",0,G46)),"")</f>
        <v>295.2</v>
      </c>
      <c r="K45" s="21">
        <f>IFERROR(IF(OR(L45="",J45=""),"",L45-J45),"")</f>
        <v>22.270000000000039</v>
      </c>
      <c r="L45" s="22">
        <v>317.47000000000003</v>
      </c>
    </row>
    <row r="46" spans="1:12" ht="15" customHeight="1" x14ac:dyDescent="0.3">
      <c r="A46" s="23">
        <v>46134</v>
      </c>
      <c r="B46" s="24" t="s">
        <v>17</v>
      </c>
      <c r="C46" s="25">
        <v>895</v>
      </c>
      <c r="D46" s="26">
        <v>0.31</v>
      </c>
      <c r="E46" s="26">
        <v>7.0000000000000007E-2</v>
      </c>
      <c r="F46" s="20">
        <f t="shared" si="0"/>
        <v>0.77419354838709675</v>
      </c>
      <c r="G46" s="21">
        <f t="shared" si="1"/>
        <v>214.79999999999998</v>
      </c>
      <c r="H46" s="27"/>
      <c r="I46" s="27"/>
      <c r="J46" s="28"/>
      <c r="K46" s="28"/>
      <c r="L46" s="29"/>
    </row>
    <row r="47" spans="1:12" ht="15" customHeight="1" x14ac:dyDescent="0.3">
      <c r="A47" s="16">
        <v>46135</v>
      </c>
      <c r="B47" s="17" t="s">
        <v>16</v>
      </c>
      <c r="C47" s="18">
        <v>835</v>
      </c>
      <c r="D47" s="19">
        <v>7.0000000000000007E-2</v>
      </c>
      <c r="E47" s="19">
        <v>7.0000000000000007E-2</v>
      </c>
      <c r="F47" s="20">
        <f t="shared" si="0"/>
        <v>0</v>
      </c>
      <c r="G47" s="21">
        <f t="shared" si="1"/>
        <v>0</v>
      </c>
      <c r="H47" s="20">
        <f>IFERROR(IF((C47+C48)=0,"",(C47*F47+C48*F48)/(C47+C48)),"")</f>
        <v>0.33394160583941607</v>
      </c>
      <c r="I47" s="20">
        <f>IFERROR(IF(OR(L47="",L47=0,(C47+C48)=0),"",L47/((C47+C48)*IF((C47+C48)=0,1,(C47*D47+C48*D48)/(C47+C48)))),"")</f>
        <v>1.0647742952887835</v>
      </c>
      <c r="J47" s="21">
        <f>IFERROR(IF(G47="","",G47+IF(G48="",0,G48)),"")</f>
        <v>109.80000000000001</v>
      </c>
      <c r="K47" s="21">
        <f>IFERROR(IF(OR(L47="",J47=""),"",L47-J47),"")</f>
        <v>160.27999999999997</v>
      </c>
      <c r="L47" s="22">
        <v>270.08</v>
      </c>
    </row>
    <row r="48" spans="1:12" ht="15" customHeight="1" x14ac:dyDescent="0.3">
      <c r="A48" s="23">
        <v>46135</v>
      </c>
      <c r="B48" s="24" t="s">
        <v>17</v>
      </c>
      <c r="C48" s="25">
        <v>1220</v>
      </c>
      <c r="D48" s="26">
        <v>0.16</v>
      </c>
      <c r="E48" s="26">
        <v>7.0000000000000007E-2</v>
      </c>
      <c r="F48" s="20">
        <f t="shared" si="0"/>
        <v>0.5625</v>
      </c>
      <c r="G48" s="21">
        <f t="shared" si="1"/>
        <v>109.80000000000001</v>
      </c>
      <c r="H48" s="27"/>
      <c r="I48" s="27"/>
      <c r="J48" s="28"/>
      <c r="K48" s="28"/>
      <c r="L48" s="29"/>
    </row>
    <row r="49" spans="1:12" ht="15" customHeight="1" x14ac:dyDescent="0.3">
      <c r="A49" s="16">
        <v>46136</v>
      </c>
      <c r="B49" s="17" t="s">
        <v>16</v>
      </c>
      <c r="C49" s="18">
        <v>475</v>
      </c>
      <c r="D49" s="19">
        <v>0.1</v>
      </c>
      <c r="E49" s="19">
        <v>0.06</v>
      </c>
      <c r="F49" s="20">
        <f t="shared" si="0"/>
        <v>0.40000000000000008</v>
      </c>
      <c r="G49" s="21">
        <f t="shared" si="1"/>
        <v>19.000000000000004</v>
      </c>
      <c r="H49" s="20">
        <f>IFERROR(IF((C49+C50)=0,"",(C49*F49+C50*F50)/(C49+C50)),"")</f>
        <v>0.45777777777777778</v>
      </c>
      <c r="I49" s="20">
        <f>IFERROR(IF(OR(L49="",L49=0,(C49+C50)=0),"",L49/((C49+C50)*IF((C49+C50)=0,1,(C49*D49+C50*D50)/(C49+C50)))),"")</f>
        <v>1.3144</v>
      </c>
      <c r="J49" s="21">
        <f>IFERROR(IF(G49="","",G49+IF(G50="",0,G50)),"")</f>
        <v>51.5</v>
      </c>
      <c r="K49" s="21">
        <f>IFERROR(IF(OR(L49="",J49=""),"",L49-J49),"")</f>
        <v>96.37</v>
      </c>
      <c r="L49" s="22">
        <v>147.87</v>
      </c>
    </row>
    <row r="50" spans="1:12" ht="15" customHeight="1" x14ac:dyDescent="0.3">
      <c r="A50" s="23">
        <v>46136</v>
      </c>
      <c r="B50" s="24" t="s">
        <v>17</v>
      </c>
      <c r="C50" s="25">
        <v>650</v>
      </c>
      <c r="D50" s="26">
        <v>0.1</v>
      </c>
      <c r="E50" s="26">
        <v>0.05</v>
      </c>
      <c r="F50" s="20">
        <f t="shared" si="0"/>
        <v>0.5</v>
      </c>
      <c r="G50" s="21">
        <f t="shared" si="1"/>
        <v>32.5</v>
      </c>
      <c r="H50" s="27"/>
      <c r="I50" s="27"/>
      <c r="J50" s="28"/>
      <c r="K50" s="28"/>
      <c r="L50" s="29"/>
    </row>
    <row r="51" spans="1:12" ht="15" customHeight="1" x14ac:dyDescent="0.3">
      <c r="A51" s="16">
        <v>46137</v>
      </c>
      <c r="B51" s="17" t="s">
        <v>16</v>
      </c>
      <c r="C51" s="18">
        <v>810</v>
      </c>
      <c r="D51" s="19">
        <v>1.21</v>
      </c>
      <c r="E51" s="19">
        <v>7.0000000000000007E-2</v>
      </c>
      <c r="F51" s="20">
        <f t="shared" si="0"/>
        <v>0.94214876033057848</v>
      </c>
      <c r="G51" s="21">
        <f t="shared" si="1"/>
        <v>923.4</v>
      </c>
      <c r="H51" s="20">
        <f>IFERROR(IF((C51+C52)=0,"",(C51*F51+C52*F52)/(C51+C52)),"")</f>
        <v>0.63695603616552221</v>
      </c>
      <c r="I51" s="20">
        <f>IFERROR(IF(OR(L51="",L51=0,(C51+C52)=0),"",L51/((C51+C52)*IF((C51+C52)=0,1,(C51*D51+C52*D52)/(C51+C52)))),"")</f>
        <v>0.15470575738262163</v>
      </c>
      <c r="J51" s="21">
        <f>IFERROR(IF(G51="","",G51+IF(G52="",0,G52)),"")</f>
        <v>991.8</v>
      </c>
      <c r="K51" s="21">
        <f>IFERROR(IF(OR(L51="",J51=""),"",L51-J51),"")</f>
        <v>-809.75</v>
      </c>
      <c r="L51" s="22">
        <v>182.05</v>
      </c>
    </row>
    <row r="52" spans="1:12" ht="15" customHeight="1" x14ac:dyDescent="0.3">
      <c r="A52" s="23">
        <v>46137</v>
      </c>
      <c r="B52" s="24" t="s">
        <v>17</v>
      </c>
      <c r="C52" s="25">
        <v>855</v>
      </c>
      <c r="D52" s="26">
        <v>0.23</v>
      </c>
      <c r="E52" s="26">
        <v>0.15</v>
      </c>
      <c r="F52" s="20">
        <f t="shared" si="0"/>
        <v>0.34782608695652178</v>
      </c>
      <c r="G52" s="21">
        <f t="shared" si="1"/>
        <v>68.400000000000006</v>
      </c>
      <c r="H52" s="27"/>
      <c r="I52" s="27"/>
      <c r="J52" s="28"/>
      <c r="K52" s="28"/>
      <c r="L52" s="29"/>
    </row>
    <row r="53" spans="1:12" ht="15" customHeight="1" x14ac:dyDescent="0.3">
      <c r="A53" s="16">
        <v>46138</v>
      </c>
      <c r="B53" s="17" t="s">
        <v>16</v>
      </c>
      <c r="C53" s="18">
        <v>590</v>
      </c>
      <c r="D53" s="19">
        <v>0.17</v>
      </c>
      <c r="E53" s="19">
        <v>0.14000000000000001</v>
      </c>
      <c r="F53" s="20">
        <f t="shared" si="0"/>
        <v>0.1764705882352941</v>
      </c>
      <c r="G53" s="21">
        <f t="shared" si="1"/>
        <v>17.7</v>
      </c>
      <c r="H53" s="20">
        <f>IFERROR(IF((C53+C54)=0,"",(C53*F53+C54*F54)/(C53+C54)),"")</f>
        <v>0.49846717683938779</v>
      </c>
      <c r="I53" s="20">
        <f>IFERROR(IF(OR(L53="",L53=0,(C53+C54)=0),"",L53/((C53+C54)*IF((C53+C54)=0,1,(C53*D53+C54*D54)/(C53+C54)))),"")</f>
        <v>0.58004595940252768</v>
      </c>
      <c r="J53" s="21">
        <f>IFERROR(IF(G53="","",G53+IF(G54="",0,G54)),"")</f>
        <v>128.25</v>
      </c>
      <c r="K53" s="21">
        <f>IFERROR(IF(OR(L53="",J53=""),"",L53-J53),"")</f>
        <v>23.199999999999989</v>
      </c>
      <c r="L53" s="22">
        <v>151.44999999999999</v>
      </c>
    </row>
    <row r="54" spans="1:12" ht="15" customHeight="1" x14ac:dyDescent="0.3">
      <c r="A54" s="23">
        <v>46138</v>
      </c>
      <c r="B54" s="24" t="s">
        <v>17</v>
      </c>
      <c r="C54" s="25">
        <v>1005</v>
      </c>
      <c r="D54" s="26">
        <v>0.16</v>
      </c>
      <c r="E54" s="26">
        <v>0.05</v>
      </c>
      <c r="F54" s="20">
        <f t="shared" si="0"/>
        <v>0.6875</v>
      </c>
      <c r="G54" s="21">
        <f t="shared" si="1"/>
        <v>110.55000000000001</v>
      </c>
      <c r="H54" s="27"/>
      <c r="I54" s="27"/>
      <c r="J54" s="28"/>
      <c r="K54" s="28"/>
      <c r="L54" s="29"/>
    </row>
    <row r="55" spans="1:12" ht="15" customHeight="1" x14ac:dyDescent="0.3">
      <c r="A55" s="16">
        <v>46139</v>
      </c>
      <c r="B55" s="17" t="s">
        <v>16</v>
      </c>
      <c r="C55" s="18">
        <v>295</v>
      </c>
      <c r="D55" s="19">
        <v>0.24</v>
      </c>
      <c r="E55" s="19">
        <v>0.09</v>
      </c>
      <c r="F55" s="20">
        <f t="shared" si="0"/>
        <v>0.625</v>
      </c>
      <c r="G55" s="21">
        <f t="shared" si="1"/>
        <v>44.25</v>
      </c>
      <c r="H55" s="20">
        <f>IFERROR(IF((C55+C56)=0,"",(C55*F55+C56*F56)/(C55+C56)),"")</f>
        <v>0.625</v>
      </c>
      <c r="I55" s="20">
        <f>IFERROR(IF(OR(L55="",L55=0,(C55+C56)=0),"",L55/((C55+C56)*IF((C55+C56)=0,1,(C55*D55+C56*D56)/(C55+C56)))),"")</f>
        <v>1.1942666666666666</v>
      </c>
      <c r="J55" s="21">
        <f>IFERROR(IF(G55="","",G55+IF(G56="",0,G56)),"")</f>
        <v>93.75</v>
      </c>
      <c r="K55" s="21">
        <f>IFERROR(IF(OR(L55="",J55=""),"",L55-J55),"")</f>
        <v>85.389999999999986</v>
      </c>
      <c r="L55" s="22">
        <v>179.14</v>
      </c>
    </row>
    <row r="56" spans="1:12" ht="15" customHeight="1" x14ac:dyDescent="0.3">
      <c r="A56" s="23">
        <v>46139</v>
      </c>
      <c r="B56" s="24" t="s">
        <v>17</v>
      </c>
      <c r="C56" s="25">
        <v>330</v>
      </c>
      <c r="D56" s="26">
        <v>0.24</v>
      </c>
      <c r="E56" s="26">
        <v>0.09</v>
      </c>
      <c r="F56" s="20">
        <f t="shared" si="0"/>
        <v>0.625</v>
      </c>
      <c r="G56" s="21">
        <f t="shared" si="1"/>
        <v>49.5</v>
      </c>
      <c r="H56" s="27"/>
      <c r="I56" s="27"/>
      <c r="J56" s="28"/>
      <c r="K56" s="28"/>
      <c r="L56" s="29"/>
    </row>
    <row r="57" spans="1:12" ht="15" customHeight="1" x14ac:dyDescent="0.3">
      <c r="A57" s="16">
        <v>46140</v>
      </c>
      <c r="B57" s="17" t="s">
        <v>16</v>
      </c>
      <c r="C57" s="18">
        <v>920</v>
      </c>
      <c r="D57" s="19">
        <v>0.24</v>
      </c>
      <c r="E57" s="19">
        <v>0.09</v>
      </c>
      <c r="F57" s="20">
        <f t="shared" si="0"/>
        <v>0.625</v>
      </c>
      <c r="G57" s="21">
        <f t="shared" si="1"/>
        <v>138</v>
      </c>
      <c r="H57" s="20">
        <f>IFERROR(IF((C57+C58)=0,"",(C57*F57+C58*F58)/(C57+C58)),"")</f>
        <v>0.63424657534246576</v>
      </c>
      <c r="I57" s="20">
        <f>IFERROR(IF(OR(L57="",L57=0,(C57+C58)=0),"",L57/((C57+C58)*IF((C57+C58)=0,1,(C57*D57+C58*D58)/(C57+C58)))),"")</f>
        <v>0.46830900243309004</v>
      </c>
      <c r="J57" s="21">
        <f>IFERROR(IF(G57="","",G57+IF(G58="",0,G58)),"")</f>
        <v>208.2</v>
      </c>
      <c r="K57" s="21">
        <f>IFERROR(IF(OR(L57="",J57=""),"",L57-J57),"")</f>
        <v>-54.22</v>
      </c>
      <c r="L57" s="22">
        <v>153.97999999999999</v>
      </c>
    </row>
    <row r="58" spans="1:12" ht="15" customHeight="1" x14ac:dyDescent="0.3">
      <c r="A58" s="23">
        <v>46140</v>
      </c>
      <c r="B58" s="24" t="s">
        <v>17</v>
      </c>
      <c r="C58" s="25">
        <v>540</v>
      </c>
      <c r="D58" s="26">
        <v>0.2</v>
      </c>
      <c r="E58" s="26">
        <v>7.0000000000000007E-2</v>
      </c>
      <c r="F58" s="20">
        <f t="shared" si="0"/>
        <v>0.65</v>
      </c>
      <c r="G58" s="21">
        <f t="shared" si="1"/>
        <v>70.2</v>
      </c>
      <c r="H58" s="27"/>
      <c r="I58" s="27"/>
      <c r="J58" s="28"/>
      <c r="K58" s="28"/>
      <c r="L58" s="29"/>
    </row>
    <row r="59" spans="1:12" ht="15" customHeight="1" x14ac:dyDescent="0.3">
      <c r="A59" s="16">
        <v>46141</v>
      </c>
      <c r="B59" s="17" t="s">
        <v>16</v>
      </c>
      <c r="C59" s="18">
        <v>500</v>
      </c>
      <c r="D59" s="19">
        <v>0.2</v>
      </c>
      <c r="E59" s="19">
        <v>0.05</v>
      </c>
      <c r="F59" s="20">
        <f t="shared" si="0"/>
        <v>0.75000000000000011</v>
      </c>
      <c r="G59" s="21">
        <f t="shared" si="1"/>
        <v>75.000000000000014</v>
      </c>
      <c r="H59" s="20">
        <f>IFERROR(IF((C59+C60)=0,"",(C59*F59+C60*F60)/(C59+C60)),"")</f>
        <v>0.71723737053477077</v>
      </c>
      <c r="I59" s="20">
        <f>IFERROR(IF(OR(L59="",L59=0,(C59+C60)=0),"",L59/((C59+C60)*IF((C59+C60)=0,1,(C59*D59+C60*D60)/(C59+C60)))),"")</f>
        <v>0.87294069192751234</v>
      </c>
      <c r="J59" s="21">
        <f>IFERROR(IF(G59="","",G59+IF(G60="",0,G60)),"")</f>
        <v>139.48000000000002</v>
      </c>
      <c r="K59" s="21">
        <f>IFERROR(IF(OR(L59="",J59=""),"",L59-J59),"")</f>
        <v>30.079999999999984</v>
      </c>
      <c r="L59" s="22">
        <v>169.56</v>
      </c>
    </row>
    <row r="60" spans="1:12" ht="15" customHeight="1" x14ac:dyDescent="0.3">
      <c r="A60" s="23">
        <v>46141</v>
      </c>
      <c r="B60" s="24" t="s">
        <v>17</v>
      </c>
      <c r="C60" s="25">
        <v>496</v>
      </c>
      <c r="D60" s="26">
        <v>0.19</v>
      </c>
      <c r="E60" s="26">
        <v>0.06</v>
      </c>
      <c r="F60" s="20">
        <f t="shared" si="0"/>
        <v>0.68421052631578949</v>
      </c>
      <c r="G60" s="21">
        <f t="shared" si="1"/>
        <v>64.48</v>
      </c>
      <c r="H60" s="27"/>
      <c r="I60" s="27"/>
      <c r="J60" s="28"/>
      <c r="K60" s="28"/>
      <c r="L60" s="29"/>
    </row>
    <row r="61" spans="1:12" ht="15" customHeight="1" x14ac:dyDescent="0.3">
      <c r="A61" s="16">
        <v>46142</v>
      </c>
      <c r="B61" s="17" t="s">
        <v>16</v>
      </c>
      <c r="C61" s="18">
        <v>408</v>
      </c>
      <c r="D61" s="19">
        <v>0.11</v>
      </c>
      <c r="E61" s="19">
        <v>0.09</v>
      </c>
      <c r="F61" s="20">
        <f t="shared" si="0"/>
        <v>0.18181818181818185</v>
      </c>
      <c r="G61" s="21">
        <f t="shared" si="1"/>
        <v>8.1600000000000019</v>
      </c>
      <c r="H61" s="20">
        <f>IFERROR(IF((C61+C62)=0,"",(C61*F61+C62*F62)/(C61+C62)),"")</f>
        <v>0.34347395523866114</v>
      </c>
      <c r="I61" s="20">
        <f>IFERROR(IF(OR(L61="",L61=0,(C61+C62)=0),"",L61/((C61+C62)*IF((C61+C62)=0,1,(C61*D61+C62*D62)/(C61+C62)))),"")</f>
        <v>1.1251336898395721</v>
      </c>
      <c r="J61" s="21">
        <f>IFERROR(IF(G61="","",G61+IF(G62="",0,G62)),"")</f>
        <v>64.92</v>
      </c>
      <c r="K61" s="21">
        <f>IFERROR(IF(OR(L61="",J61=""),"",L61-J61),"")</f>
        <v>61.319999999999993</v>
      </c>
      <c r="L61" s="22">
        <v>126.24</v>
      </c>
    </row>
    <row r="62" spans="1:12" ht="15" customHeight="1" x14ac:dyDescent="0.3">
      <c r="A62" s="23">
        <v>46142</v>
      </c>
      <c r="B62" s="24" t="s">
        <v>17</v>
      </c>
      <c r="C62" s="25">
        <v>132</v>
      </c>
      <c r="D62" s="26">
        <v>0.51</v>
      </c>
      <c r="E62" s="26">
        <v>0.08</v>
      </c>
      <c r="F62" s="20">
        <f t="shared" si="0"/>
        <v>0.84313725490196079</v>
      </c>
      <c r="G62" s="21">
        <f t="shared" si="1"/>
        <v>56.760000000000005</v>
      </c>
      <c r="H62" s="27"/>
      <c r="I62" s="27"/>
      <c r="J62" s="28"/>
      <c r="K62" s="28"/>
      <c r="L62" s="29"/>
    </row>
    <row r="63" spans="1:12" ht="15" customHeight="1" x14ac:dyDescent="0.3">
      <c r="A63" s="16">
        <v>46143</v>
      </c>
      <c r="B63" s="17" t="s">
        <v>16</v>
      </c>
      <c r="C63" s="18">
        <v>467</v>
      </c>
      <c r="D63" s="19">
        <v>0.43</v>
      </c>
      <c r="E63" s="19">
        <v>0.24</v>
      </c>
      <c r="F63" s="20">
        <f t="shared" si="0"/>
        <v>0.44186046511627908</v>
      </c>
      <c r="G63" s="21">
        <f t="shared" si="1"/>
        <v>88.73</v>
      </c>
      <c r="H63" s="20">
        <f>IFERROR(IF((C63+C64)=0,"",(C63*F63+C64*F64)/(C63+C64)),"")</f>
        <v>0.44186046511627908</v>
      </c>
      <c r="I63" s="20">
        <f>IFERROR(IF(OR(L63="",L63=0,(C63+C64)=0),"",L63/((C63+C64)*IF((C63+C64)=0,1,(C63*D63+C64*D64)/(C63+C64)))),"")</f>
        <v>0.22485917606964387</v>
      </c>
      <c r="J63" s="21">
        <f>IFERROR(IF(G63="","",G63+IF(G64="",0,G64)),"")</f>
        <v>250.23000000000002</v>
      </c>
      <c r="K63" s="21">
        <f>IFERROR(IF(OR(L63="",J63=""),"",L63-J63),"")</f>
        <v>-122.89000000000001</v>
      </c>
      <c r="L63" s="22">
        <v>127.34</v>
      </c>
    </row>
    <row r="64" spans="1:12" ht="15" customHeight="1" x14ac:dyDescent="0.3">
      <c r="A64" s="23">
        <v>46143</v>
      </c>
      <c r="B64" s="24" t="s">
        <v>17</v>
      </c>
      <c r="C64" s="25">
        <v>850</v>
      </c>
      <c r="D64" s="26">
        <v>0.43</v>
      </c>
      <c r="E64" s="26">
        <v>0.24</v>
      </c>
      <c r="F64" s="20">
        <f t="shared" si="0"/>
        <v>0.44186046511627908</v>
      </c>
      <c r="G64" s="21">
        <f t="shared" si="1"/>
        <v>161.5</v>
      </c>
      <c r="H64" s="27"/>
      <c r="I64" s="27"/>
      <c r="J64" s="28"/>
      <c r="K64" s="28"/>
      <c r="L64" s="29"/>
    </row>
    <row r="65" spans="1:12" ht="15" customHeight="1" x14ac:dyDescent="0.3">
      <c r="A65" s="16">
        <v>46144</v>
      </c>
      <c r="B65" s="17" t="s">
        <v>16</v>
      </c>
      <c r="C65" s="18">
        <v>998</v>
      </c>
      <c r="D65" s="19">
        <v>0.5</v>
      </c>
      <c r="E65" s="19">
        <v>0.12</v>
      </c>
      <c r="F65" s="20">
        <f t="shared" si="0"/>
        <v>0.76</v>
      </c>
      <c r="G65" s="21">
        <f t="shared" si="1"/>
        <v>379.24</v>
      </c>
      <c r="H65" s="20">
        <f>IFERROR(IF((C65+C66)=0,"",(C65*F65+C66*F66)/(C65+C66)),"")</f>
        <v>0.40735590118938703</v>
      </c>
      <c r="I65" s="20">
        <f>IFERROR(IF(OR(L65="",L65=0,(C65+C66)=0),"",L65/((C65+C66)*IF((C65+C66)=0,1,(C65*D65+C66*D66)/(C65+C66)))),"")</f>
        <v>0.23278716121429774</v>
      </c>
      <c r="J65" s="21">
        <f>IFERROR(IF(G65="","",G65+IF(G66="",0,G66)),"")</f>
        <v>403</v>
      </c>
      <c r="K65" s="21">
        <f>IFERROR(IF(OR(L65="",J65=""),"",L65-J65),"")</f>
        <v>-237.06</v>
      </c>
      <c r="L65" s="22">
        <v>165.94</v>
      </c>
    </row>
    <row r="66" spans="1:12" ht="15" customHeight="1" x14ac:dyDescent="0.3">
      <c r="A66" s="23">
        <v>46144</v>
      </c>
      <c r="B66" s="24" t="s">
        <v>17</v>
      </c>
      <c r="C66" s="25">
        <v>1188</v>
      </c>
      <c r="D66" s="26">
        <v>0.18</v>
      </c>
      <c r="E66" s="26">
        <v>0.16</v>
      </c>
      <c r="F66" s="20">
        <f t="shared" si="0"/>
        <v>0.11111111111111106</v>
      </c>
      <c r="G66" s="21">
        <f t="shared" si="1"/>
        <v>23.759999999999991</v>
      </c>
      <c r="H66" s="27"/>
      <c r="I66" s="27"/>
      <c r="J66" s="28"/>
      <c r="K66" s="28"/>
      <c r="L66" s="29"/>
    </row>
    <row r="67" spans="1:12" ht="15" customHeight="1" x14ac:dyDescent="0.3">
      <c r="A67" s="16">
        <v>46145</v>
      </c>
      <c r="B67" s="17" t="s">
        <v>16</v>
      </c>
      <c r="C67" s="18">
        <v>623</v>
      </c>
      <c r="D67" s="19">
        <v>0.34</v>
      </c>
      <c r="E67" s="19">
        <v>0.12</v>
      </c>
      <c r="F67" s="20">
        <f t="shared" ref="F67:F130" si="2">IFERROR(IF(D67=0,"",(D67-E67)/D67),"")</f>
        <v>0.6470588235294118</v>
      </c>
      <c r="G67" s="21">
        <f t="shared" ref="G67:G130" si="3">IFERROR(IF(OR(C67="",D67=0),"",C67*D67*F67),"")</f>
        <v>137.06000000000003</v>
      </c>
      <c r="H67" s="20">
        <f>IFERROR(IF((C67+C68)=0,"",(C67*F67+C68*F68)/(C67+C68)),"")</f>
        <v>0.61199365712869236</v>
      </c>
      <c r="I67" s="20">
        <f>IFERROR(IF(OR(L67="",L67=0,(C67+C68)=0),"",L67/((C67+C68)*IF((C67+C68)=0,1,(C67*D67+C68*D68)/(C67+C68)))),"")</f>
        <v>0.12397254962779156</v>
      </c>
      <c r="J67" s="21">
        <f>IFERROR(IF(G67="","",G67+IF(G68="",0,G68)),"")</f>
        <v>317.22000000000008</v>
      </c>
      <c r="K67" s="21">
        <f>IFERROR(IF(OR(L67="",J67=""),"",L67-J67),"")</f>
        <v>-253.2700000000001</v>
      </c>
      <c r="L67" s="22">
        <v>63.95</v>
      </c>
    </row>
    <row r="68" spans="1:12" ht="15" customHeight="1" x14ac:dyDescent="0.3">
      <c r="A68" s="23">
        <v>46145</v>
      </c>
      <c r="B68" s="24" t="s">
        <v>17</v>
      </c>
      <c r="C68" s="25">
        <v>1126</v>
      </c>
      <c r="D68" s="26">
        <v>0.27</v>
      </c>
      <c r="E68" s="26">
        <v>0.11</v>
      </c>
      <c r="F68" s="20">
        <f t="shared" si="2"/>
        <v>0.59259259259259267</v>
      </c>
      <c r="G68" s="21">
        <f t="shared" si="3"/>
        <v>180.16000000000005</v>
      </c>
      <c r="H68" s="27"/>
      <c r="I68" s="27"/>
      <c r="J68" s="28"/>
      <c r="K68" s="28"/>
      <c r="L68" s="29"/>
    </row>
    <row r="69" spans="1:12" ht="15" customHeight="1" x14ac:dyDescent="0.3">
      <c r="A69" s="16">
        <v>46146</v>
      </c>
      <c r="B69" s="17" t="s">
        <v>16</v>
      </c>
      <c r="C69" s="18">
        <v>692</v>
      </c>
      <c r="D69" s="19">
        <v>0.2</v>
      </c>
      <c r="E69" s="19">
        <v>0.05</v>
      </c>
      <c r="F69" s="20">
        <f t="shared" si="2"/>
        <v>0.75000000000000011</v>
      </c>
      <c r="G69" s="21">
        <f t="shared" si="3"/>
        <v>103.80000000000003</v>
      </c>
      <c r="H69" s="20">
        <f>IFERROR(IF((C69+C70)=0,"",(C69*F69+C70*F70)/(C69+C70)),"")</f>
        <v>0.47659883720930246</v>
      </c>
      <c r="I69" s="20">
        <f>IFERROR(IF(OR(L69="",L69=0,(C69+C70)=0),"",L69/((C69+C70)*IF((C69+C70)=0,1,(C69*D69+C70*D70)/(C69+C70)))),"")</f>
        <v>0.48906249999999996</v>
      </c>
      <c r="J69" s="21">
        <f>IFERROR(IF(G69="","",G69+IF(G70="",0,G70)),"")</f>
        <v>131.16000000000003</v>
      </c>
      <c r="K69" s="21">
        <f>IFERROR(IF(OR(L69="",J69=""),"",L69-J69),"")</f>
        <v>3.4299999999999784</v>
      </c>
      <c r="L69" s="22">
        <v>134.59</v>
      </c>
    </row>
    <row r="70" spans="1:12" ht="15" customHeight="1" x14ac:dyDescent="0.3">
      <c r="A70" s="23">
        <v>46146</v>
      </c>
      <c r="B70" s="24" t="s">
        <v>17</v>
      </c>
      <c r="C70" s="25">
        <v>684</v>
      </c>
      <c r="D70" s="26">
        <v>0.2</v>
      </c>
      <c r="E70" s="26">
        <v>0.16</v>
      </c>
      <c r="F70" s="20">
        <f t="shared" si="2"/>
        <v>0.20000000000000004</v>
      </c>
      <c r="G70" s="21">
        <f t="shared" si="3"/>
        <v>27.360000000000007</v>
      </c>
      <c r="H70" s="27"/>
      <c r="I70" s="27"/>
      <c r="J70" s="28"/>
      <c r="K70" s="28"/>
      <c r="L70" s="29"/>
    </row>
    <row r="71" spans="1:12" ht="15" customHeight="1" x14ac:dyDescent="0.3">
      <c r="A71" s="16">
        <v>46147</v>
      </c>
      <c r="B71" s="17" t="s">
        <v>16</v>
      </c>
      <c r="C71" s="18">
        <v>608</v>
      </c>
      <c r="D71" s="19">
        <v>0.24</v>
      </c>
      <c r="E71" s="19">
        <v>0.16</v>
      </c>
      <c r="F71" s="20">
        <f t="shared" si="2"/>
        <v>0.33333333333333331</v>
      </c>
      <c r="G71" s="21">
        <f t="shared" si="3"/>
        <v>48.639999999999993</v>
      </c>
      <c r="H71" s="20">
        <f>IFERROR(IF((C71+C72)=0,"",(C71*F71+C72*F72)/(C71+C72)),"")</f>
        <v>0.33333333333333331</v>
      </c>
      <c r="I71" s="20">
        <f>IFERROR(IF(OR(L71="",L71=0,(C71+C72)=0),"",L71/((C71+C72)*IF((C71+C72)=0,1,(C71*D71+C72*D72)/(C71+C72)))),"")</f>
        <v>0.43773445873526268</v>
      </c>
      <c r="J71" s="21">
        <f>IFERROR(IF(G71="","",G71+IF(G72="",0,G72)),"")</f>
        <v>99.519999999999982</v>
      </c>
      <c r="K71" s="21">
        <f>IFERROR(IF(OR(L71="",J71=""),"",L71-J71),"")</f>
        <v>31.170000000000016</v>
      </c>
      <c r="L71" s="22">
        <v>130.69</v>
      </c>
    </row>
    <row r="72" spans="1:12" ht="15" customHeight="1" x14ac:dyDescent="0.3">
      <c r="A72" s="23">
        <v>46147</v>
      </c>
      <c r="B72" s="24" t="s">
        <v>17</v>
      </c>
      <c r="C72" s="25">
        <v>636</v>
      </c>
      <c r="D72" s="26">
        <v>0.24</v>
      </c>
      <c r="E72" s="26">
        <v>0.16</v>
      </c>
      <c r="F72" s="20">
        <f t="shared" si="2"/>
        <v>0.33333333333333331</v>
      </c>
      <c r="G72" s="21">
        <f t="shared" si="3"/>
        <v>50.879999999999995</v>
      </c>
      <c r="H72" s="27"/>
      <c r="I72" s="27"/>
      <c r="J72" s="28"/>
      <c r="K72" s="28"/>
      <c r="L72" s="29"/>
    </row>
    <row r="73" spans="1:12" ht="15" customHeight="1" x14ac:dyDescent="0.3">
      <c r="A73" s="16">
        <v>46148</v>
      </c>
      <c r="B73" s="17" t="s">
        <v>16</v>
      </c>
      <c r="C73" s="18">
        <v>720</v>
      </c>
      <c r="D73" s="19">
        <v>0.24</v>
      </c>
      <c r="E73" s="19">
        <v>0.19</v>
      </c>
      <c r="F73" s="20">
        <f t="shared" si="2"/>
        <v>0.20833333333333329</v>
      </c>
      <c r="G73" s="21">
        <f t="shared" si="3"/>
        <v>35.999999999999986</v>
      </c>
      <c r="H73" s="20">
        <f>IFERROR(IF((C73+C74)=0,"",(C73*F73+C74*F74)/(C73+C74)),"")</f>
        <v>0.30583812472357363</v>
      </c>
      <c r="I73" s="20">
        <f>IFERROR(IF(OR(L73="",L73=0,(C73+C74)=0),"",L73/((C73+C74)*IF((C73+C74)=0,1,(C73*D73+C74*D74)/(C73+C74)))),"")</f>
        <v>0.82624169566592853</v>
      </c>
      <c r="J73" s="21">
        <f>IFERROR(IF(G73="","",G73+IF(G74="",0,G74)),"")</f>
        <v>70.319999999999993</v>
      </c>
      <c r="K73" s="21">
        <f>IFERROR(IF(OR(L73="",J73=""),"",L73-J73),"")</f>
        <v>138.62</v>
      </c>
      <c r="L73" s="22">
        <v>208.94</v>
      </c>
    </row>
    <row r="74" spans="1:12" ht="15" customHeight="1" x14ac:dyDescent="0.3">
      <c r="A74" s="23">
        <v>46148</v>
      </c>
      <c r="B74" s="24" t="s">
        <v>17</v>
      </c>
      <c r="C74" s="25">
        <v>572</v>
      </c>
      <c r="D74" s="26">
        <v>0.14000000000000001</v>
      </c>
      <c r="E74" s="26">
        <v>0.08</v>
      </c>
      <c r="F74" s="20">
        <f t="shared" si="2"/>
        <v>0.4285714285714286</v>
      </c>
      <c r="G74" s="21">
        <f t="shared" si="3"/>
        <v>34.320000000000007</v>
      </c>
      <c r="H74" s="27"/>
      <c r="I74" s="27"/>
      <c r="J74" s="28"/>
      <c r="K74" s="28"/>
      <c r="L74" s="29"/>
    </row>
    <row r="75" spans="1:12" ht="15" customHeight="1" x14ac:dyDescent="0.3">
      <c r="A75" s="16">
        <v>46149</v>
      </c>
      <c r="B75" s="17" t="s">
        <v>16</v>
      </c>
      <c r="C75" s="18">
        <v>588</v>
      </c>
      <c r="D75" s="19">
        <v>0.27</v>
      </c>
      <c r="E75" s="19">
        <v>0.18</v>
      </c>
      <c r="F75" s="20">
        <f t="shared" si="2"/>
        <v>0.33333333333333343</v>
      </c>
      <c r="G75" s="21">
        <f t="shared" si="3"/>
        <v>52.920000000000023</v>
      </c>
      <c r="H75" s="20">
        <f>IFERROR(IF((C75+C76)=0,"",(C75*F75+C76*F76)/(C75+C76)),"")</f>
        <v>0.49197860962566847</v>
      </c>
      <c r="I75" s="20">
        <f>IFERROR(IF(OR(L75="",L75=0,(C75+C76)=0),"",L75/((C75+C76)*IF((C75+C76)=0,1,(C75*D75+C76*D76)/(C75+C76)))),"")</f>
        <v>1.1240475592397219</v>
      </c>
      <c r="J75" s="21">
        <f>IFERROR(IF(G75="","",G75+IF(G76="",0,G76)),"")</f>
        <v>106.32000000000002</v>
      </c>
      <c r="K75" s="21">
        <f>IFERROR(IF(OR(L75="",J75=""),"",L75-J75),"")</f>
        <v>162.16999999999999</v>
      </c>
      <c r="L75" s="22">
        <v>268.49</v>
      </c>
    </row>
    <row r="76" spans="1:12" ht="15" customHeight="1" x14ac:dyDescent="0.3">
      <c r="A76" s="23">
        <v>46149</v>
      </c>
      <c r="B76" s="24" t="s">
        <v>17</v>
      </c>
      <c r="C76" s="25">
        <v>534</v>
      </c>
      <c r="D76" s="26">
        <v>0.15</v>
      </c>
      <c r="E76" s="26">
        <v>0.05</v>
      </c>
      <c r="F76" s="20">
        <f t="shared" si="2"/>
        <v>0.66666666666666663</v>
      </c>
      <c r="G76" s="21">
        <f t="shared" si="3"/>
        <v>53.399999999999991</v>
      </c>
      <c r="H76" s="27"/>
      <c r="I76" s="27"/>
      <c r="J76" s="28"/>
      <c r="K76" s="28"/>
      <c r="L76" s="29"/>
    </row>
    <row r="77" spans="1:12" ht="15" customHeight="1" x14ac:dyDescent="0.3">
      <c r="A77" s="16">
        <v>46150</v>
      </c>
      <c r="B77" s="17" t="s">
        <v>16</v>
      </c>
      <c r="C77" s="18">
        <v>595</v>
      </c>
      <c r="D77" s="19">
        <v>0.23</v>
      </c>
      <c r="E77" s="19">
        <v>0.12</v>
      </c>
      <c r="F77" s="20">
        <f t="shared" si="2"/>
        <v>0.47826086956521741</v>
      </c>
      <c r="G77" s="21">
        <f t="shared" si="3"/>
        <v>65.45</v>
      </c>
      <c r="H77" s="20">
        <f>IFERROR(IF((C77+C78)=0,"",(C77*F77+C78*F78)/(C77+C78)),"")</f>
        <v>0.42791683585848239</v>
      </c>
      <c r="I77" s="20">
        <f>IFERROR(IF(OR(L77="",L77=0,(C77+C78)=0),"",L77/((C77+C78)*IF((C77+C78)=0,1,(C77*D77+C78*D78)/(C77+C78)))),"")</f>
        <v>0.7205358566796024</v>
      </c>
      <c r="J77" s="21">
        <f>IFERROR(IF(G77="","",G77+IF(G78="",0,G78)),"")</f>
        <v>84.09</v>
      </c>
      <c r="K77" s="21">
        <f>IFERROR(IF(OR(L77="",J77=""),"",L77-J77),"")</f>
        <v>51.449999999999989</v>
      </c>
      <c r="L77" s="22">
        <v>135.54</v>
      </c>
    </row>
    <row r="78" spans="1:12" ht="15" customHeight="1" x14ac:dyDescent="0.3">
      <c r="A78" s="23">
        <v>46150</v>
      </c>
      <c r="B78" s="24" t="s">
        <v>17</v>
      </c>
      <c r="C78" s="25">
        <v>466</v>
      </c>
      <c r="D78" s="26">
        <v>0.11</v>
      </c>
      <c r="E78" s="26">
        <v>7.0000000000000007E-2</v>
      </c>
      <c r="F78" s="20">
        <f t="shared" si="2"/>
        <v>0.36363636363636359</v>
      </c>
      <c r="G78" s="21">
        <f t="shared" si="3"/>
        <v>18.639999999999997</v>
      </c>
      <c r="H78" s="27"/>
      <c r="I78" s="27"/>
      <c r="J78" s="28"/>
      <c r="K78" s="28"/>
      <c r="L78" s="29"/>
    </row>
    <row r="79" spans="1:12" ht="15" customHeight="1" x14ac:dyDescent="0.3">
      <c r="A79" s="16">
        <v>46151</v>
      </c>
      <c r="B79" s="17" t="s">
        <v>16</v>
      </c>
      <c r="C79" s="18">
        <v>1027</v>
      </c>
      <c r="D79" s="19">
        <v>0.11</v>
      </c>
      <c r="E79" s="19">
        <v>0.05</v>
      </c>
      <c r="F79" s="20">
        <f t="shared" si="2"/>
        <v>0.54545454545454541</v>
      </c>
      <c r="G79" s="21">
        <f t="shared" si="3"/>
        <v>61.62</v>
      </c>
      <c r="H79" s="20">
        <f>IFERROR(IF((C79+C80)=0,"",(C79*F79+C80*F80)/(C79+C80)),"")</f>
        <v>0.54545454545454541</v>
      </c>
      <c r="I79" s="20">
        <f>IFERROR(IF(OR(L79="",L79=0,(C79+C80)=0),"",L79/((C79+C80)*IF((C79+C80)=0,1,(C79*D79+C80*D80)/(C79+C80)))),"")</f>
        <v>0.57572027972027973</v>
      </c>
      <c r="J79" s="21">
        <f>IFERROR(IF(G79="","",G79+IF(G80="",0,G80)),"")</f>
        <v>97.5</v>
      </c>
      <c r="K79" s="21">
        <f>IFERROR(IF(OR(L79="",J79=""),"",L79-J79),"")</f>
        <v>5.4099999999999966</v>
      </c>
      <c r="L79" s="22">
        <v>102.91</v>
      </c>
    </row>
    <row r="80" spans="1:12" ht="15" customHeight="1" x14ac:dyDescent="0.3">
      <c r="A80" s="23">
        <v>46151</v>
      </c>
      <c r="B80" s="24" t="s">
        <v>17</v>
      </c>
      <c r="C80" s="25">
        <v>598</v>
      </c>
      <c r="D80" s="26">
        <v>0.11</v>
      </c>
      <c r="E80" s="26">
        <v>0.05</v>
      </c>
      <c r="F80" s="20">
        <f t="shared" si="2"/>
        <v>0.54545454545454541</v>
      </c>
      <c r="G80" s="21">
        <f t="shared" si="3"/>
        <v>35.879999999999995</v>
      </c>
      <c r="H80" s="27"/>
      <c r="I80" s="27"/>
      <c r="J80" s="28"/>
      <c r="K80" s="28"/>
      <c r="L80" s="29"/>
    </row>
    <row r="81" spans="1:14" ht="15" customHeight="1" x14ac:dyDescent="0.3">
      <c r="A81" s="16">
        <v>46152</v>
      </c>
      <c r="B81" s="17" t="s">
        <v>16</v>
      </c>
      <c r="C81" s="18">
        <v>257</v>
      </c>
      <c r="D81" s="19">
        <v>0.11</v>
      </c>
      <c r="E81" s="19">
        <v>0.04</v>
      </c>
      <c r="F81" s="20">
        <f t="shared" si="2"/>
        <v>0.63636363636363646</v>
      </c>
      <c r="G81" s="21">
        <f t="shared" si="3"/>
        <v>17.990000000000002</v>
      </c>
      <c r="H81" s="20">
        <f>IFERROR(IF((C81+C82)=0,"",(C81*F81+C82*F82)/(C81+C82)),"")</f>
        <v>-0.30107847029244417</v>
      </c>
      <c r="I81" s="20">
        <f>IFERROR(IF(OR(L81="",L81=0,(C81+C82)=0),"",L81/((C81+C82)*IF((C81+C82)=0,1,(C81*D81+C82*D82)/(C81+C82)))),"")</f>
        <v>1.5575873764931427</v>
      </c>
      <c r="J81" s="21">
        <f>IFERROR(IF(G81="","",G81+IF(G82="",0,G82)),"")</f>
        <v>-8.3700000000000045</v>
      </c>
      <c r="K81" s="21">
        <f>IFERROR(IF(OR(L81="",J81=""),"",L81-J81),"")</f>
        <v>113.99000000000001</v>
      </c>
      <c r="L81" s="22">
        <v>105.62</v>
      </c>
    </row>
    <row r="82" spans="1:14" ht="15" customHeight="1" x14ac:dyDescent="0.3">
      <c r="A82" s="23">
        <v>46152</v>
      </c>
      <c r="B82" s="24" t="s">
        <v>17</v>
      </c>
      <c r="C82" s="25">
        <v>659</v>
      </c>
      <c r="D82" s="26">
        <v>0.06</v>
      </c>
      <c r="E82" s="26">
        <v>0.1</v>
      </c>
      <c r="F82" s="20">
        <f t="shared" si="2"/>
        <v>-0.66666666666666685</v>
      </c>
      <c r="G82" s="21">
        <f t="shared" si="3"/>
        <v>-26.360000000000007</v>
      </c>
      <c r="H82" s="27"/>
      <c r="I82" s="27"/>
      <c r="J82" s="28"/>
      <c r="K82" s="28"/>
      <c r="L82" s="29"/>
    </row>
    <row r="83" spans="1:14" ht="15" customHeight="1" x14ac:dyDescent="0.3">
      <c r="A83" s="16">
        <v>46153</v>
      </c>
      <c r="B83" s="17" t="s">
        <v>16</v>
      </c>
      <c r="C83" s="18">
        <v>380</v>
      </c>
      <c r="D83" s="19">
        <v>0.3</v>
      </c>
      <c r="E83" s="19">
        <v>0.14000000000000001</v>
      </c>
      <c r="F83" s="20">
        <f t="shared" si="2"/>
        <v>0.53333333333333333</v>
      </c>
      <c r="G83" s="21">
        <f t="shared" si="3"/>
        <v>60.8</v>
      </c>
      <c r="H83" s="20">
        <f>IFERROR(IF((C83+C84)=0,"",(C83*F83+C84*F84)/(C83+C84)),"")</f>
        <v>0.64529735759603979</v>
      </c>
      <c r="I83" s="20">
        <f>IFERROR(IF(OR(L83="",L83=0,(C83+C84)=0),"",L83/((C83+C84)*IF((C83+C84)=0,1,(C83*D83+C84*D84)/(C83+C84)))),"")</f>
        <v>0.32636989140346512</v>
      </c>
      <c r="J83" s="21">
        <f>IFERROR(IF(G83="","",G83+IF(G84="",0,G84)),"")</f>
        <v>160.79</v>
      </c>
      <c r="K83" s="21">
        <f>IFERROR(IF(OR(L83="",J83=""),"",L83-J83),"")</f>
        <v>-82.05</v>
      </c>
      <c r="L83" s="22">
        <v>78.739999999999995</v>
      </c>
    </row>
    <row r="84" spans="1:14" ht="15" customHeight="1" x14ac:dyDescent="0.3">
      <c r="A84" s="23">
        <v>46153</v>
      </c>
      <c r="B84" s="24" t="s">
        <v>17</v>
      </c>
      <c r="C84" s="25">
        <v>303</v>
      </c>
      <c r="D84" s="26">
        <v>0.42</v>
      </c>
      <c r="E84" s="26">
        <v>0.09</v>
      </c>
      <c r="F84" s="20">
        <f t="shared" si="2"/>
        <v>0.7857142857142857</v>
      </c>
      <c r="G84" s="21">
        <f t="shared" si="3"/>
        <v>99.99</v>
      </c>
      <c r="H84" s="27"/>
      <c r="I84" s="27"/>
      <c r="J84" s="28"/>
      <c r="K84" s="28"/>
      <c r="L84" s="29"/>
    </row>
    <row r="85" spans="1:14" ht="15" customHeight="1" x14ac:dyDescent="0.3">
      <c r="A85" s="16">
        <v>46154</v>
      </c>
      <c r="B85" s="17" t="s">
        <v>16</v>
      </c>
      <c r="C85" s="18">
        <v>272</v>
      </c>
      <c r="D85" s="19">
        <v>0.32</v>
      </c>
      <c r="E85" s="19">
        <v>0.09</v>
      </c>
      <c r="F85" s="20">
        <f t="shared" si="2"/>
        <v>0.71875</v>
      </c>
      <c r="G85" s="21">
        <f t="shared" si="3"/>
        <v>62.56</v>
      </c>
      <c r="H85" s="20">
        <f>IFERROR(IF((C85+C86)=0,"",(C85*F85+C86*F86)/(C85+C86)),"")</f>
        <v>0.74551090933730857</v>
      </c>
      <c r="I85" s="20">
        <f>IFERROR(IF(OR(L85="",L85=0,(C85+C86)=0),"",L85/((C85+C86)*IF((C85+C86)=0,1,(C85*D85+C86*D86)/(C85+C86)))),"")</f>
        <v>0.64078471457776376</v>
      </c>
      <c r="J85" s="21">
        <f>IFERROR(IF(G85="","",G85+IF(G86="",0,G86)),"")</f>
        <v>190.72</v>
      </c>
      <c r="K85" s="21">
        <f>IFERROR(IF(OR(L85="",J85=""),"",L85-J85),"")</f>
        <v>-27.72999999999999</v>
      </c>
      <c r="L85" s="22">
        <v>162.99</v>
      </c>
    </row>
    <row r="86" spans="1:14" ht="15" customHeight="1" x14ac:dyDescent="0.3">
      <c r="A86" s="23">
        <v>46154</v>
      </c>
      <c r="B86" s="24" t="s">
        <v>17</v>
      </c>
      <c r="C86" s="25">
        <v>356</v>
      </c>
      <c r="D86" s="26">
        <v>0.47</v>
      </c>
      <c r="E86" s="26">
        <v>0.11</v>
      </c>
      <c r="F86" s="20">
        <f t="shared" si="2"/>
        <v>0.76595744680851063</v>
      </c>
      <c r="G86" s="21">
        <f t="shared" si="3"/>
        <v>128.16</v>
      </c>
      <c r="H86" s="27"/>
      <c r="I86" s="27"/>
      <c r="J86" s="28"/>
      <c r="K86" s="28"/>
      <c r="L86" s="29"/>
    </row>
    <row r="87" spans="1:14" ht="15" customHeight="1" x14ac:dyDescent="0.3">
      <c r="A87" s="16">
        <v>46155</v>
      </c>
      <c r="B87" s="17" t="s">
        <v>16</v>
      </c>
      <c r="C87" s="18">
        <v>171</v>
      </c>
      <c r="D87" s="19">
        <v>0.28999999999999998</v>
      </c>
      <c r="E87" s="19">
        <v>0.12</v>
      </c>
      <c r="F87" s="20">
        <f t="shared" si="2"/>
        <v>0.58620689655172409</v>
      </c>
      <c r="G87" s="21">
        <f t="shared" si="3"/>
        <v>29.069999999999997</v>
      </c>
      <c r="H87" s="20">
        <f>IFERROR(IF((C87+C88)=0,"",(C87*F87+C88*F88)/(C87+C88)),"")</f>
        <v>0.56139228084547188</v>
      </c>
      <c r="I87" s="20">
        <f>IFERROR(IF(OR(L87="",L87=0,(C87+C88)=0),"",L87/((C87+C88)*IF((C87+C88)=0,1,(C87*D87+C88*D88)/(C87+C88)))),"")</f>
        <v>0.45536159600997511</v>
      </c>
      <c r="J87" s="21">
        <f>IFERROR(IF(G87="","",G87+IF(G88="",0,G88)),"")</f>
        <v>101.76999999999998</v>
      </c>
      <c r="K87" s="21">
        <f>IFERROR(IF(OR(L87="",J87=""),"",L87-J87),"")</f>
        <v>-19.59999999999998</v>
      </c>
      <c r="L87" s="22">
        <v>82.17</v>
      </c>
    </row>
    <row r="88" spans="1:14" ht="15" customHeight="1" x14ac:dyDescent="0.3">
      <c r="A88" s="23">
        <v>46155</v>
      </c>
      <c r="B88" s="24" t="s">
        <v>17</v>
      </c>
      <c r="C88" s="25">
        <v>727</v>
      </c>
      <c r="D88" s="26">
        <v>0.18</v>
      </c>
      <c r="E88" s="26">
        <v>0.08</v>
      </c>
      <c r="F88" s="20">
        <f t="shared" si="2"/>
        <v>0.55555555555555558</v>
      </c>
      <c r="G88" s="21">
        <f t="shared" si="3"/>
        <v>72.699999999999989</v>
      </c>
      <c r="H88" s="27"/>
      <c r="I88" s="27"/>
      <c r="J88" s="28"/>
      <c r="K88" s="28"/>
      <c r="L88" s="29"/>
    </row>
    <row r="89" spans="1:14" ht="15" customHeight="1" x14ac:dyDescent="0.3">
      <c r="A89" s="16">
        <v>46156</v>
      </c>
      <c r="B89" s="17" t="s">
        <v>16</v>
      </c>
      <c r="C89" s="18">
        <v>536</v>
      </c>
      <c r="D89" s="19">
        <v>0.19</v>
      </c>
      <c r="E89" s="19">
        <v>0.05</v>
      </c>
      <c r="F89" s="20">
        <f t="shared" si="2"/>
        <v>0.73684210526315796</v>
      </c>
      <c r="G89" s="21">
        <f t="shared" si="3"/>
        <v>75.040000000000006</v>
      </c>
      <c r="H89" s="20">
        <f>IFERROR(IF((C89+C90)=0,"",(C89*F89+C90*F90)/(C89+C90)),"")</f>
        <v>0.75430547530550107</v>
      </c>
      <c r="I89" s="20">
        <f>IFERROR(IF(OR(L89="",L89=0,(C89+C90)=0),"",L89/((C89+C90)*IF((C89+C90)=0,1,(C89*D89+C90*D90)/(C89+C90)))),"")</f>
        <v>0.28072283248332675</v>
      </c>
      <c r="J89" s="21">
        <f>IFERROR(IF(G89="","",G89+IF(G90="",0,G90)),"")</f>
        <v>309.03999999999996</v>
      </c>
      <c r="K89" s="21">
        <f>IFERROR(IF(OR(L89="",J89=""),"",L89-J89),"")</f>
        <v>-194.54999999999995</v>
      </c>
      <c r="L89" s="22">
        <v>114.49</v>
      </c>
    </row>
    <row r="90" spans="1:14" ht="15" customHeight="1" x14ac:dyDescent="0.3">
      <c r="A90" s="23">
        <v>46156</v>
      </c>
      <c r="B90" s="24" t="s">
        <v>17</v>
      </c>
      <c r="C90" s="25">
        <v>900</v>
      </c>
      <c r="D90" s="26">
        <v>0.34</v>
      </c>
      <c r="E90" s="26">
        <v>0.08</v>
      </c>
      <c r="F90" s="20">
        <f t="shared" si="2"/>
        <v>0.76470588235294112</v>
      </c>
      <c r="G90" s="21">
        <f t="shared" si="3"/>
        <v>233.99999999999997</v>
      </c>
      <c r="H90" s="27"/>
      <c r="I90" s="27"/>
      <c r="J90" s="28"/>
      <c r="K90" s="28"/>
      <c r="L90" s="29"/>
      <c r="N90">
        <f t="shared" ref="N90:N99" si="4">((C90*F90)+(C91*F91))/(C90+C91)</f>
        <v>0.77097343660811146</v>
      </c>
    </row>
    <row r="91" spans="1:14" ht="15" customHeight="1" x14ac:dyDescent="0.3">
      <c r="A91" s="16">
        <v>46157</v>
      </c>
      <c r="B91" s="17" t="s">
        <v>16</v>
      </c>
      <c r="C91" s="18">
        <v>829</v>
      </c>
      <c r="D91" s="19">
        <v>0.45</v>
      </c>
      <c r="E91" s="19">
        <v>0.1</v>
      </c>
      <c r="F91" s="20">
        <f t="shared" si="2"/>
        <v>0.77777777777777768</v>
      </c>
      <c r="G91" s="21">
        <f t="shared" si="3"/>
        <v>290.14999999999998</v>
      </c>
      <c r="H91" s="20">
        <f>IFERROR(IF((C91+C92)=0,"",(C91*F91+C92*F92)/(C91+C92)),"")</f>
        <v>0.55776727357609712</v>
      </c>
      <c r="I91" s="20">
        <f>IFERROR(IF(OR(L91="",L91=0,(C91+C92)=0),"",L91/((C91+C92)*IF((C91+C92)=0,1,(C91*D91+C92*D92)/(C91+C92)))),"")</f>
        <v>0.56055814310083751</v>
      </c>
      <c r="J91" s="21">
        <f>IFERROR(IF(G91="","",G91+IF(G92="",0,G92)),"")</f>
        <v>322.01</v>
      </c>
      <c r="K91" s="21">
        <f>IFERROR(IF(OR(L91="",J91=""),"",L91-J91),"")</f>
        <v>-29.550000000000011</v>
      </c>
      <c r="L91" s="22">
        <v>292.45999999999998</v>
      </c>
      <c r="N91">
        <f t="shared" si="4"/>
        <v>0.55776727357609712</v>
      </c>
    </row>
    <row r="92" spans="1:14" ht="15" customHeight="1" x14ac:dyDescent="0.3">
      <c r="A92" s="23">
        <v>46157</v>
      </c>
      <c r="B92" s="24" t="s">
        <v>17</v>
      </c>
      <c r="C92" s="25">
        <v>531</v>
      </c>
      <c r="D92" s="26">
        <v>0.28000000000000003</v>
      </c>
      <c r="E92" s="26">
        <v>0.22</v>
      </c>
      <c r="F92" s="20">
        <f t="shared" si="2"/>
        <v>0.21428571428571436</v>
      </c>
      <c r="G92" s="21">
        <f t="shared" si="3"/>
        <v>31.860000000000014</v>
      </c>
      <c r="H92" s="27"/>
      <c r="I92" s="27"/>
      <c r="J92" s="28"/>
      <c r="K92" s="28"/>
      <c r="L92" s="29"/>
      <c r="N92">
        <f t="shared" si="4"/>
        <v>0.45204635131610799</v>
      </c>
    </row>
    <row r="93" spans="1:14" ht="15" customHeight="1" x14ac:dyDescent="0.3">
      <c r="A93" s="16">
        <v>46158</v>
      </c>
      <c r="B93" s="17" t="s">
        <v>16</v>
      </c>
      <c r="C93" s="18">
        <v>512</v>
      </c>
      <c r="D93" s="19">
        <v>0.73</v>
      </c>
      <c r="E93" s="19">
        <v>0.22</v>
      </c>
      <c r="F93" s="20">
        <f t="shared" si="2"/>
        <v>0.69863013698630139</v>
      </c>
      <c r="G93" s="21">
        <f t="shared" si="3"/>
        <v>261.12</v>
      </c>
      <c r="H93" s="20">
        <f>IFERROR(IF((C93+C94)=0,"",(C93*F93+C94*F94)/(C93+C94)),"")</f>
        <v>0.61761252446183967</v>
      </c>
      <c r="I93" s="20">
        <f>IFERROR(IF(OR(L93="",L93=0,(C93+C94)=0),"",L93/((C93+C94)*IF((C93+C94)=0,1,(C93*D93+C94*D94)/(C93+C94)))),"")</f>
        <v>0.55383198497544062</v>
      </c>
      <c r="J93" s="21">
        <f>IFERROR(IF(G93="","",G93+IF(G94="",0,G94)),"")</f>
        <v>361.92</v>
      </c>
      <c r="K93" s="21">
        <f>IFERROR(IF(OR(L93="",J93=""),"",L93-J93),"")</f>
        <v>-55.230000000000018</v>
      </c>
      <c r="L93" s="22">
        <v>306.69</v>
      </c>
      <c r="N93">
        <f t="shared" si="4"/>
        <v>0.61761252446183967</v>
      </c>
    </row>
    <row r="94" spans="1:14" ht="15" customHeight="1" x14ac:dyDescent="0.3">
      <c r="A94" s="23">
        <v>46158</v>
      </c>
      <c r="B94" s="24" t="s">
        <v>17</v>
      </c>
      <c r="C94" s="25">
        <v>720</v>
      </c>
      <c r="D94" s="26">
        <v>0.25</v>
      </c>
      <c r="E94" s="26">
        <v>0.11</v>
      </c>
      <c r="F94" s="20">
        <f t="shared" si="2"/>
        <v>0.56000000000000005</v>
      </c>
      <c r="G94" s="21">
        <f t="shared" si="3"/>
        <v>100.80000000000001</v>
      </c>
      <c r="H94" s="27"/>
      <c r="I94" s="27"/>
      <c r="J94" s="28"/>
      <c r="K94" s="28"/>
      <c r="L94" s="29"/>
      <c r="N94">
        <f t="shared" si="4"/>
        <v>0.70134770889487885</v>
      </c>
    </row>
    <row r="95" spans="1:14" ht="15" customHeight="1" x14ac:dyDescent="0.3">
      <c r="A95" s="16">
        <v>46159</v>
      </c>
      <c r="B95" s="17" t="s">
        <v>16</v>
      </c>
      <c r="C95" s="18">
        <v>552</v>
      </c>
      <c r="D95" s="19">
        <v>0.7</v>
      </c>
      <c r="E95" s="19">
        <v>0.08</v>
      </c>
      <c r="F95" s="20">
        <f t="shared" si="2"/>
        <v>0.88571428571428579</v>
      </c>
      <c r="G95" s="21">
        <f t="shared" si="3"/>
        <v>342.24</v>
      </c>
      <c r="H95" s="20">
        <f>IFERROR(IF((C95+C96)=0,"",(C95*F95+C96*F96)/(C95+C96)),"")</f>
        <v>0.83178415470991907</v>
      </c>
      <c r="I95" s="20">
        <f>IFERROR(IF(OR(L95="",L95=0,(C95+C96)=0),"",L95/((C95+C96)*IF((C95+C96)=0,1,(C95*D95+C96*D96)/(C95+C96)))),"")</f>
        <v>0.66738432961837224</v>
      </c>
      <c r="J95" s="21">
        <f>IFERROR(IF(G95="","",G95+IF(G96="",0,G96)),"")</f>
        <v>407.76</v>
      </c>
      <c r="K95" s="21">
        <f>IFERROR(IF(OR(L95="",J95=""),"",L95-J95),"")</f>
        <v>-91.579999999999984</v>
      </c>
      <c r="L95" s="22">
        <v>316.18</v>
      </c>
      <c r="N95">
        <f t="shared" si="4"/>
        <v>0.83178415470991907</v>
      </c>
    </row>
    <row r="96" spans="1:14" ht="15" customHeight="1" x14ac:dyDescent="0.3">
      <c r="A96" s="23">
        <v>46159</v>
      </c>
      <c r="B96" s="24" t="s">
        <v>17</v>
      </c>
      <c r="C96" s="25">
        <v>364</v>
      </c>
      <c r="D96" s="26">
        <v>0.24</v>
      </c>
      <c r="E96" s="26">
        <v>0.06</v>
      </c>
      <c r="F96" s="20">
        <f t="shared" si="2"/>
        <v>0.75</v>
      </c>
      <c r="G96" s="21">
        <f t="shared" si="3"/>
        <v>65.52</v>
      </c>
      <c r="H96" s="27"/>
      <c r="I96" s="27"/>
      <c r="J96" s="28"/>
      <c r="K96" s="28"/>
      <c r="L96" s="29"/>
      <c r="N96">
        <f t="shared" si="4"/>
        <v>0.78110047846889952</v>
      </c>
    </row>
    <row r="97" spans="1:14" ht="15" customHeight="1" x14ac:dyDescent="0.3">
      <c r="A97" s="16">
        <v>46160</v>
      </c>
      <c r="B97" s="17" t="s">
        <v>16</v>
      </c>
      <c r="C97" s="18">
        <v>168</v>
      </c>
      <c r="D97" s="19">
        <v>0.33</v>
      </c>
      <c r="E97" s="19">
        <v>0.05</v>
      </c>
      <c r="F97" s="20">
        <f t="shared" si="2"/>
        <v>0.84848484848484851</v>
      </c>
      <c r="G97" s="21">
        <f t="shared" si="3"/>
        <v>47.040000000000006</v>
      </c>
      <c r="H97" s="20">
        <f>IFERROR(IF((C97+C98)=0,"",(C97*F97+C98*F98)/(C97+C98)),"")</f>
        <v>0.6527706904455074</v>
      </c>
      <c r="I97" s="20">
        <f>IFERROR(IF(OR(L97="",L97=0,(C97+C98)=0),"",L97/((C97+C98)*IF((C97+C98)=0,1,(C97*D97+C98*D98)/(C97+C98)))),"")</f>
        <v>0.58624790767333268</v>
      </c>
      <c r="J97" s="21">
        <f>IFERROR(IF(G97="","",G97+IF(G98="",0,G98)),"")</f>
        <v>151.48000000000002</v>
      </c>
      <c r="K97" s="21">
        <f>IFERROR(IF(OR(L97="",J97=""),"",L97-J97),"")</f>
        <v>-18.390000000000015</v>
      </c>
      <c r="L97" s="22">
        <v>133.09</v>
      </c>
      <c r="N97">
        <f t="shared" si="4"/>
        <v>0.6527706904455074</v>
      </c>
    </row>
    <row r="98" spans="1:14" ht="15" customHeight="1" x14ac:dyDescent="0.3">
      <c r="A98" s="23">
        <v>46160</v>
      </c>
      <c r="B98" s="24" t="s">
        <v>17</v>
      </c>
      <c r="C98" s="25">
        <v>746</v>
      </c>
      <c r="D98" s="26">
        <v>0.23</v>
      </c>
      <c r="E98" s="26">
        <v>0.09</v>
      </c>
      <c r="F98" s="20">
        <f t="shared" si="2"/>
        <v>0.60869565217391308</v>
      </c>
      <c r="G98" s="21">
        <f t="shared" si="3"/>
        <v>104.44000000000001</v>
      </c>
      <c r="H98" s="27"/>
      <c r="I98" s="27"/>
      <c r="J98" s="28"/>
      <c r="K98" s="28"/>
      <c r="L98" s="29"/>
      <c r="N98">
        <f t="shared" si="4"/>
        <v>0.46236281517583355</v>
      </c>
    </row>
    <row r="99" spans="1:14" ht="15" customHeight="1" x14ac:dyDescent="0.3">
      <c r="A99" s="16">
        <v>46161</v>
      </c>
      <c r="B99" s="17" t="s">
        <v>16</v>
      </c>
      <c r="C99" s="18">
        <v>548</v>
      </c>
      <c r="D99" s="19">
        <v>0.19</v>
      </c>
      <c r="E99" s="19">
        <v>0.14000000000000001</v>
      </c>
      <c r="F99" s="20">
        <f t="shared" si="2"/>
        <v>0.26315789473684204</v>
      </c>
      <c r="G99" s="21">
        <f t="shared" si="3"/>
        <v>27.399999999999995</v>
      </c>
      <c r="H99" s="20">
        <f>IFERROR(IF((C99+C100)=0,"",(C99*F99+C100*F100)/(C99+C100)),"")</f>
        <v>0.46316222477213187</v>
      </c>
      <c r="I99" s="20">
        <f>IFERROR(IF(OR(L99="",L99=0,(C99+C100)=0),"",L99/((C99+C100)*IF((C99+C100)=0,1,(C99*D99+C100*D100)/(C99+C100)))),"")</f>
        <v>0.34720599688473525</v>
      </c>
      <c r="J99" s="21">
        <f>IFERROR(IF(G99="","",G99+IF(G100="",0,G100)),"")</f>
        <v>92.96</v>
      </c>
      <c r="K99" s="30">
        <f>IFERROR(IF(OR(L99="",J99=""),"",L99-J99),"")</f>
        <v>-21.629999999999995</v>
      </c>
      <c r="L99" s="22">
        <v>71.33</v>
      </c>
      <c r="N99">
        <f t="shared" si="4"/>
        <v>0.46316222477213187</v>
      </c>
    </row>
    <row r="100" spans="1:14" ht="15" customHeight="1" x14ac:dyDescent="0.3">
      <c r="A100" s="23">
        <v>46161</v>
      </c>
      <c r="B100" s="24" t="s">
        <v>17</v>
      </c>
      <c r="C100" s="25">
        <v>596</v>
      </c>
      <c r="D100" s="26">
        <v>0.17</v>
      </c>
      <c r="E100" s="26">
        <v>0.06</v>
      </c>
      <c r="F100" s="20">
        <f t="shared" si="2"/>
        <v>0.6470588235294118</v>
      </c>
      <c r="G100" s="21">
        <f t="shared" si="3"/>
        <v>65.56</v>
      </c>
      <c r="H100" s="27"/>
      <c r="I100" s="27"/>
      <c r="J100" s="28"/>
      <c r="K100" s="28"/>
      <c r="L100" s="29"/>
    </row>
    <row r="101" spans="1:14" ht="14.25" customHeight="1" x14ac:dyDescent="0.3">
      <c r="A101" s="16">
        <v>46162</v>
      </c>
      <c r="B101" s="17" t="s">
        <v>16</v>
      </c>
      <c r="C101" s="18">
        <v>379</v>
      </c>
      <c r="D101" s="19">
        <v>0.36</v>
      </c>
      <c r="E101" s="19">
        <v>0.11</v>
      </c>
      <c r="F101" s="20">
        <f t="shared" si="2"/>
        <v>0.69444444444444442</v>
      </c>
      <c r="G101" s="21">
        <f t="shared" si="3"/>
        <v>94.75</v>
      </c>
      <c r="H101" s="20">
        <f>IFERROR(IF((C101+C102)=0,"",(C101*F101+C102*F102)/(C101+C102)),"")</f>
        <v>0.71358286410779848</v>
      </c>
      <c r="I101" s="20">
        <f>IFERROR(IF(OR(L101="",L101=0,(C101+C102)=0),"",L101/((C101+C102)*IF((C101+C102)=0,1,(C101*D101+C102*D102)/(C101+C102)))),"")</f>
        <v>0.18479085049917859</v>
      </c>
      <c r="J101" s="21">
        <f>IFERROR(IF(G101="","",G101+IF(G102="",0,G102)),"")</f>
        <v>453.83</v>
      </c>
      <c r="K101" s="30">
        <f>IFERROR(IF(OR(L101="",J101=""),"",L101-J101),"")</f>
        <v>-336.84999999999997</v>
      </c>
      <c r="L101" s="22">
        <v>116.98</v>
      </c>
    </row>
    <row r="102" spans="1:14" ht="14.25" customHeight="1" x14ac:dyDescent="0.3">
      <c r="A102" s="23">
        <v>46162</v>
      </c>
      <c r="B102" s="24" t="s">
        <v>17</v>
      </c>
      <c r="C102" s="25">
        <v>764</v>
      </c>
      <c r="D102" s="26">
        <v>0.65</v>
      </c>
      <c r="E102" s="26">
        <v>0.18</v>
      </c>
      <c r="F102" s="20">
        <f t="shared" si="2"/>
        <v>0.72307692307692306</v>
      </c>
      <c r="G102" s="21">
        <f t="shared" si="3"/>
        <v>359.08</v>
      </c>
      <c r="H102" s="27"/>
      <c r="I102" s="27"/>
      <c r="J102" s="28"/>
      <c r="K102" s="28"/>
      <c r="L102" s="29"/>
    </row>
    <row r="103" spans="1:14" ht="14.25" customHeight="1" x14ac:dyDescent="0.3">
      <c r="A103" s="16">
        <v>46163</v>
      </c>
      <c r="B103" s="17" t="s">
        <v>16</v>
      </c>
      <c r="C103" s="18">
        <v>324</v>
      </c>
      <c r="D103" s="19">
        <v>0.37</v>
      </c>
      <c r="E103" s="19">
        <v>0.23</v>
      </c>
      <c r="F103" s="20">
        <f t="shared" si="2"/>
        <v>0.37837837837837834</v>
      </c>
      <c r="G103" s="21">
        <f t="shared" si="3"/>
        <v>45.359999999999992</v>
      </c>
      <c r="H103" s="20">
        <f>IFERROR(IF((C103+C104)=0,"",(C103*F103+C104*F104)/(C103+C104)),"")</f>
        <v>0.56039434845153935</v>
      </c>
      <c r="I103" s="20">
        <f>IFERROR(IF(OR(L103="",L103=0,(C103+C104)=0),"",L103/((C103+C104)*IF((C103+C104)=0,1,(C103*D103+C104*D104)/(C103+C104)))),"")</f>
        <v>0.33241842746610512</v>
      </c>
      <c r="J103" s="21">
        <f>IFERROR(IF(G103="","",G103+IF(G104="",0,G104)),"")</f>
        <v>235.65999999999997</v>
      </c>
      <c r="K103" s="30">
        <f>IFERROR(IF(OR(L103="",J103=""),"",L103-J103),"")</f>
        <v>-95.169999999999959</v>
      </c>
      <c r="L103" s="22">
        <v>140.49</v>
      </c>
    </row>
    <row r="104" spans="1:14" ht="14.25" customHeight="1" x14ac:dyDescent="0.3">
      <c r="A104" s="23">
        <v>46163</v>
      </c>
      <c r="B104" s="24" t="s">
        <v>17</v>
      </c>
      <c r="C104" s="25">
        <v>865</v>
      </c>
      <c r="D104" s="26">
        <v>0.35</v>
      </c>
      <c r="E104" s="26">
        <v>0.13</v>
      </c>
      <c r="F104" s="20">
        <f t="shared" si="2"/>
        <v>0.62857142857142856</v>
      </c>
      <c r="G104" s="21">
        <f t="shared" si="3"/>
        <v>190.29999999999998</v>
      </c>
      <c r="H104" s="27"/>
      <c r="I104" s="27"/>
      <c r="J104" s="28"/>
      <c r="K104" s="28"/>
      <c r="L104" s="29"/>
    </row>
    <row r="105" spans="1:14" ht="14.25" customHeight="1" x14ac:dyDescent="0.3">
      <c r="A105" s="16">
        <v>46164</v>
      </c>
      <c r="B105" s="17" t="s">
        <v>16</v>
      </c>
      <c r="C105" s="18">
        <v>936</v>
      </c>
      <c r="D105" s="19">
        <v>0.24</v>
      </c>
      <c r="E105" s="19">
        <v>0.16</v>
      </c>
      <c r="F105" s="20">
        <f t="shared" si="2"/>
        <v>0.33333333333333331</v>
      </c>
      <c r="G105" s="21">
        <f t="shared" si="3"/>
        <v>74.88</v>
      </c>
      <c r="H105" s="20">
        <f>IFERROR(IF((C105+C106)=0,"",(C105*F105+C106*F106)/(C105+C106)),"")</f>
        <v>0.13096397273612462</v>
      </c>
      <c r="I105" s="20">
        <f>IFERROR(IF(OR(L105="",L105=0,(C105+C106)=0),"",L105/((C105+C106)*IF((C105+C106)=0,1,(C105*D105+C106*D106)/(C105+C106)))),"")</f>
        <v>0.45006985950477379</v>
      </c>
      <c r="J105" s="21">
        <f>IFERROR(IF(G105="","",G105+IF(G106="",0,G106)),"")</f>
        <v>63.699999999999989</v>
      </c>
      <c r="K105" s="21">
        <f>IFERROR(IF(OR(L105="",J105=""),"",L105-J105),"")</f>
        <v>168.23000000000002</v>
      </c>
      <c r="L105" s="22">
        <v>231.93</v>
      </c>
    </row>
    <row r="106" spans="1:14" ht="14.25" customHeight="1" x14ac:dyDescent="0.3">
      <c r="A106" s="23">
        <v>46164</v>
      </c>
      <c r="B106" s="24" t="s">
        <v>17</v>
      </c>
      <c r="C106" s="25">
        <v>1118</v>
      </c>
      <c r="D106" s="26">
        <v>0.26</v>
      </c>
      <c r="E106" s="26">
        <v>0.27</v>
      </c>
      <c r="F106" s="20">
        <f t="shared" si="2"/>
        <v>-3.8461538461538491E-2</v>
      </c>
      <c r="G106" s="21">
        <f t="shared" si="3"/>
        <v>-11.180000000000009</v>
      </c>
      <c r="H106" s="27"/>
      <c r="I106" s="27"/>
      <c r="J106" s="28"/>
      <c r="K106" s="28"/>
      <c r="L106" s="29"/>
    </row>
    <row r="107" spans="1:14" ht="14.25" customHeight="1" x14ac:dyDescent="0.3">
      <c r="A107" s="16">
        <v>46165</v>
      </c>
      <c r="B107" s="17" t="s">
        <v>16</v>
      </c>
      <c r="C107" s="18">
        <v>556</v>
      </c>
      <c r="D107" s="19">
        <v>0.44</v>
      </c>
      <c r="E107" s="19">
        <v>1.2</v>
      </c>
      <c r="F107" s="20">
        <f t="shared" si="2"/>
        <v>-1.7272727272727273</v>
      </c>
      <c r="G107" s="21">
        <f t="shared" si="3"/>
        <v>-422.56</v>
      </c>
      <c r="H107" s="20">
        <f>IFERROR(IF((C107+C108)=0,"",(C107*F107+C108*F108)/(C107+C108)),"")</f>
        <v>-0.38641199226305606</v>
      </c>
      <c r="I107" s="20">
        <f>IFERROR(IF(OR(L107="",L107=0,(C107+C108)=0),"",L107/((C107+C108)*IF((C107+C108)=0,1,(C107*D107+C108*D108)/(C107+C108)))),"")</f>
        <v>0.51124495915624024</v>
      </c>
      <c r="J107" s="21">
        <f>IFERROR(IF(G107="","",G107+IF(G108="",0,G108)),"")</f>
        <v>-365.68</v>
      </c>
      <c r="K107" s="21">
        <f>IFERROR(IF(OR(L107="",J107=""),"",L107-J107),"")</f>
        <v>563.45000000000005</v>
      </c>
      <c r="L107" s="22">
        <v>197.77</v>
      </c>
    </row>
    <row r="108" spans="1:14" ht="14.25" customHeight="1" x14ac:dyDescent="0.3">
      <c r="A108" s="23">
        <v>46165</v>
      </c>
      <c r="B108" s="24" t="s">
        <v>17</v>
      </c>
      <c r="C108" s="25">
        <v>948</v>
      </c>
      <c r="D108" s="26">
        <v>0.15</v>
      </c>
      <c r="E108" s="26">
        <v>0.09</v>
      </c>
      <c r="F108" s="20">
        <f t="shared" si="2"/>
        <v>0.4</v>
      </c>
      <c r="G108" s="21">
        <f t="shared" si="3"/>
        <v>56.879999999999995</v>
      </c>
      <c r="H108" s="27"/>
      <c r="I108" s="27"/>
      <c r="J108" s="28"/>
      <c r="K108" s="28"/>
      <c r="L108" s="29"/>
    </row>
    <row r="109" spans="1:14" ht="14.25" customHeight="1" x14ac:dyDescent="0.3">
      <c r="A109" s="16">
        <v>46166</v>
      </c>
      <c r="B109" s="17" t="s">
        <v>16</v>
      </c>
      <c r="C109" s="18">
        <v>105</v>
      </c>
      <c r="D109" s="19">
        <v>0.93</v>
      </c>
      <c r="E109" s="19">
        <v>0.06</v>
      </c>
      <c r="F109" s="20">
        <f t="shared" si="2"/>
        <v>0.93548387096774199</v>
      </c>
      <c r="G109" s="21">
        <f t="shared" si="3"/>
        <v>91.350000000000009</v>
      </c>
      <c r="H109" s="20">
        <f>IFERROR(IF((C109+C110)=0,"",(C109*F109+C110*F110)/(C109+C110)),"")</f>
        <v>0.94262502972180384</v>
      </c>
      <c r="I109" s="20">
        <f>IFERROR(IF(OR(L109="",L109=0,(C109+C110)=0),"",L109/((C109+C110)*IF((C109+C110)=0,1,(C109*D109+C110*D110)/(C109+C110)))),"")</f>
        <v>0.44134652447642297</v>
      </c>
      <c r="J109" s="21">
        <f>IFERROR(IF(G109="","",G109+IF(G110="",0,G110)),"")</f>
        <v>366.95000000000005</v>
      </c>
      <c r="K109" s="30">
        <f>IFERROR(IF(OR(L109="",J109=""),"",L109-J109),"")</f>
        <v>-195.20000000000005</v>
      </c>
      <c r="L109" s="22">
        <v>171.75</v>
      </c>
    </row>
    <row r="110" spans="1:14" ht="14.25" customHeight="1" x14ac:dyDescent="0.3">
      <c r="A110" s="23">
        <v>46166</v>
      </c>
      <c r="B110" s="24" t="s">
        <v>17</v>
      </c>
      <c r="C110" s="25">
        <v>265</v>
      </c>
      <c r="D110" s="26">
        <v>1.1000000000000001</v>
      </c>
      <c r="E110" s="26">
        <v>0.06</v>
      </c>
      <c r="F110" s="20">
        <f t="shared" si="2"/>
        <v>0.94545454545454544</v>
      </c>
      <c r="G110" s="21">
        <f t="shared" si="3"/>
        <v>275.60000000000002</v>
      </c>
      <c r="H110" s="27"/>
      <c r="I110" s="27"/>
      <c r="J110" s="28"/>
      <c r="K110" s="28"/>
      <c r="L110" s="29"/>
    </row>
    <row r="111" spans="1:14" ht="14.25" customHeight="1" x14ac:dyDescent="0.3">
      <c r="A111" s="16">
        <v>46167</v>
      </c>
      <c r="B111" s="17" t="s">
        <v>16</v>
      </c>
      <c r="C111" s="18">
        <v>164</v>
      </c>
      <c r="D111" s="19">
        <v>0.23</v>
      </c>
      <c r="E111" s="19">
        <v>0.08</v>
      </c>
      <c r="F111" s="20">
        <f t="shared" si="2"/>
        <v>0.65217391304347838</v>
      </c>
      <c r="G111" s="21">
        <f t="shared" si="3"/>
        <v>24.600000000000005</v>
      </c>
      <c r="H111" s="20">
        <f>IFERROR(IF((C111+C112)=0,"",(C111*F111+C112*F112)/(C111+C112)),"")</f>
        <v>0.80714593198450291</v>
      </c>
      <c r="I111" s="20">
        <f>IFERROR(IF(OR(L111="",L111=0,(C111+C112)=0),"",L111/((C111+C112)*IF((C111+C112)=0,1,(C111*D111+C112*D112)/(C111+C112)))),"")</f>
        <v>0.99609314559801954</v>
      </c>
      <c r="J111" s="21">
        <f>IFERROR(IF(G111="","",G111+IF(G112="",0,G112)),"")</f>
        <v>226.20000000000002</v>
      </c>
      <c r="K111" s="21">
        <f>IFERROR(IF(OR(L111="",J111=""),"",L111-J111),"")</f>
        <v>31.309999999999974</v>
      </c>
      <c r="L111" s="22">
        <v>257.51</v>
      </c>
    </row>
    <row r="112" spans="1:14" ht="14.25" customHeight="1" x14ac:dyDescent="0.3">
      <c r="A112" s="23">
        <v>46167</v>
      </c>
      <c r="B112" s="24" t="s">
        <v>17</v>
      </c>
      <c r="C112" s="25">
        <v>240</v>
      </c>
      <c r="D112" s="26">
        <v>0.92</v>
      </c>
      <c r="E112" s="26">
        <v>0.08</v>
      </c>
      <c r="F112" s="20">
        <f t="shared" si="2"/>
        <v>0.91304347826086962</v>
      </c>
      <c r="G112" s="21">
        <f t="shared" si="3"/>
        <v>201.60000000000002</v>
      </c>
      <c r="H112" s="27"/>
      <c r="I112" s="27"/>
      <c r="J112" s="28"/>
      <c r="K112" s="28"/>
      <c r="L112" s="29"/>
    </row>
    <row r="113" spans="1:12" ht="14.25" customHeight="1" x14ac:dyDescent="0.3">
      <c r="A113" s="16">
        <v>46168</v>
      </c>
      <c r="B113" s="17" t="s">
        <v>16</v>
      </c>
      <c r="C113" s="18">
        <v>947</v>
      </c>
      <c r="D113" s="19">
        <v>0.45</v>
      </c>
      <c r="E113" s="19">
        <v>0.19</v>
      </c>
      <c r="F113" s="20">
        <f t="shared" si="2"/>
        <v>0.57777777777777783</v>
      </c>
      <c r="G113" s="21">
        <f t="shared" si="3"/>
        <v>246.22000000000006</v>
      </c>
      <c r="H113" s="20">
        <f>IFERROR(IF((C113+C114)=0,"",(C113*F113+C114*F114)/(C113+C114)),"")</f>
        <v>0.58914675376769243</v>
      </c>
      <c r="I113" s="20">
        <f>IFERROR(IF(OR(L113="",L113=0,(C113+C114)=0),"",L113/((C113+C114)*IF((C113+C114)=0,1,(C113*D113+C114*D114)/(C113+C114)))),"")</f>
        <v>0.48777977874967837</v>
      </c>
      <c r="J113" s="21">
        <f>IFERROR(IF(G113="","",G113+IF(G114="",0,G114)),"")</f>
        <v>573.58000000000015</v>
      </c>
      <c r="K113" s="30">
        <f>IFERROR(IF(OR(L113="",J113=""),"",L113-J113),"")</f>
        <v>-99.580000000000155</v>
      </c>
      <c r="L113" s="22">
        <v>474</v>
      </c>
    </row>
    <row r="114" spans="1:12" ht="14.25" customHeight="1" x14ac:dyDescent="0.3">
      <c r="A114" s="23">
        <v>46168</v>
      </c>
      <c r="B114" s="24" t="s">
        <v>17</v>
      </c>
      <c r="C114" s="25">
        <v>992</v>
      </c>
      <c r="D114" s="26">
        <v>0.55000000000000004</v>
      </c>
      <c r="E114" s="26">
        <v>0.22</v>
      </c>
      <c r="F114" s="20">
        <f t="shared" si="2"/>
        <v>0.60000000000000009</v>
      </c>
      <c r="G114" s="21">
        <f t="shared" si="3"/>
        <v>327.36000000000007</v>
      </c>
      <c r="H114" s="27"/>
      <c r="I114" s="27"/>
      <c r="J114" s="28"/>
      <c r="K114" s="28"/>
      <c r="L114" s="29"/>
    </row>
    <row r="115" spans="1:12" ht="14.25" customHeight="1" x14ac:dyDescent="0.3">
      <c r="A115" s="16">
        <v>46169</v>
      </c>
      <c r="B115" s="17" t="s">
        <v>16</v>
      </c>
      <c r="C115" s="18">
        <v>761</v>
      </c>
      <c r="D115" s="19">
        <v>0.56999999999999995</v>
      </c>
      <c r="E115" s="19">
        <v>0.1</v>
      </c>
      <c r="F115" s="20">
        <f t="shared" si="2"/>
        <v>0.82456140350877194</v>
      </c>
      <c r="G115" s="21">
        <f t="shared" si="3"/>
        <v>357.67</v>
      </c>
      <c r="H115" s="20">
        <f>IFERROR(IF((C115+C116)=0,"",(C115*F115+C116*F116)/(C115+C116)),"")</f>
        <v>0.59921139976541637</v>
      </c>
      <c r="I115" s="20">
        <f>IFERROR(IF(OR(L115="",L115=0,(C115+C116)=0),"",L115/((C115+C116)*IF((C115+C116)=0,1,(C115*D115+C116*D116)/(C115+C116)))),"")</f>
        <v>0.3795801788054855</v>
      </c>
      <c r="J115" s="21">
        <f>IFERROR(IF(G115="","",G115+IF(G116="",0,G116)),"")</f>
        <v>383.47</v>
      </c>
      <c r="K115" s="30">
        <f>IFERROR(IF(OR(L115="",J115=""),"",L115-J115),"")</f>
        <v>-189.44000000000003</v>
      </c>
      <c r="L115" s="22">
        <v>194.03</v>
      </c>
    </row>
    <row r="116" spans="1:12" ht="14.25" customHeight="1" x14ac:dyDescent="0.3">
      <c r="A116" s="23">
        <v>46169</v>
      </c>
      <c r="B116" s="24" t="s">
        <v>17</v>
      </c>
      <c r="C116" s="25">
        <v>645</v>
      </c>
      <c r="D116" s="26">
        <v>0.12</v>
      </c>
      <c r="E116" s="26">
        <v>0.08</v>
      </c>
      <c r="F116" s="20">
        <f t="shared" si="2"/>
        <v>0.33333333333333331</v>
      </c>
      <c r="G116" s="21">
        <f t="shared" si="3"/>
        <v>25.799999999999997</v>
      </c>
      <c r="H116" s="27"/>
      <c r="I116" s="27"/>
      <c r="J116" s="28"/>
      <c r="K116" s="28"/>
      <c r="L116" s="29"/>
    </row>
    <row r="117" spans="1:12" ht="14.25" customHeight="1" x14ac:dyDescent="0.3">
      <c r="A117" s="16">
        <v>46170</v>
      </c>
      <c r="B117" s="17" t="s">
        <v>16</v>
      </c>
      <c r="C117" s="18">
        <v>181</v>
      </c>
      <c r="D117" s="19">
        <v>0.48</v>
      </c>
      <c r="E117" s="19">
        <v>7.0000000000000007E-2</v>
      </c>
      <c r="F117" s="20">
        <f t="shared" si="2"/>
        <v>0.85416666666666663</v>
      </c>
      <c r="G117" s="21">
        <f t="shared" si="3"/>
        <v>74.209999999999994</v>
      </c>
      <c r="H117" s="20">
        <f>IFERROR(IF((C117+C118)=0,"",(C117*F117+C118*F118)/(C117+C118)),"")</f>
        <v>0.85416666666666652</v>
      </c>
      <c r="I117" s="20">
        <f>IFERROR(IF(OR(L117="",L117=0,(C117+C118)=0),"",L117/((C117+C118)*IF((C117+C118)=0,1,(C117*D117+C118*D118)/(C117+C118)))),"")</f>
        <v>0.39807746677975686</v>
      </c>
      <c r="J117" s="21">
        <f>IFERROR(IF(G117="","",G117+IF(G118="",0,G118)),"")</f>
        <v>483.38999999999993</v>
      </c>
      <c r="K117" s="30">
        <f>IFERROR(IF(OR(L117="",J117=""),"",L117-J117),"")</f>
        <v>-258.1099999999999</v>
      </c>
      <c r="L117" s="22">
        <v>225.28</v>
      </c>
    </row>
    <row r="118" spans="1:12" ht="14.25" customHeight="1" x14ac:dyDescent="0.3">
      <c r="A118" s="23">
        <v>46170</v>
      </c>
      <c r="B118" s="24" t="s">
        <v>17</v>
      </c>
      <c r="C118" s="25">
        <v>998</v>
      </c>
      <c r="D118" s="26">
        <v>0.48</v>
      </c>
      <c r="E118" s="26">
        <v>7.0000000000000007E-2</v>
      </c>
      <c r="F118" s="20">
        <f t="shared" si="2"/>
        <v>0.85416666666666663</v>
      </c>
      <c r="G118" s="21">
        <f t="shared" si="3"/>
        <v>409.17999999999995</v>
      </c>
      <c r="H118" s="27"/>
      <c r="I118" s="27"/>
      <c r="J118" s="28"/>
      <c r="K118" s="28"/>
      <c r="L118" s="29"/>
    </row>
    <row r="119" spans="1:12" ht="14.25" customHeight="1" x14ac:dyDescent="0.3">
      <c r="A119" s="16">
        <v>46171</v>
      </c>
      <c r="B119" s="17" t="s">
        <v>16</v>
      </c>
      <c r="C119" s="18">
        <v>998</v>
      </c>
      <c r="D119" s="19">
        <v>0.25</v>
      </c>
      <c r="E119" s="19">
        <v>0.08</v>
      </c>
      <c r="F119" s="20">
        <f t="shared" si="2"/>
        <v>0.67999999999999994</v>
      </c>
      <c r="G119" s="21">
        <f t="shared" si="3"/>
        <v>169.66</v>
      </c>
      <c r="H119" s="20">
        <f>IFERROR(IF((C119+C120)=0,"",(C119*F119+C120*F120)/(C119+C120)),"")</f>
        <v>0.7538518854150934</v>
      </c>
      <c r="I119" s="20">
        <f>IFERROR(IF(OR(L119="",L119=0,(C119+C120)=0),"",L119/((C119+C120)*IF((C119+C120)=0,1,(C119*D119+C120*D120)/(C119+C120)))),"")</f>
        <v>0.5006981692450907</v>
      </c>
      <c r="J119" s="21">
        <f>IFERROR(IF(G119="","",G119+IF(G120="",0,G120)),"")</f>
        <v>701.62</v>
      </c>
      <c r="K119" s="30">
        <f>IFERROR(IF(OR(L119="",J119=""),"",L119-J119),"")</f>
        <v>-249.81</v>
      </c>
      <c r="L119" s="22">
        <v>451.81</v>
      </c>
    </row>
    <row r="120" spans="1:12" ht="14.25" customHeight="1" x14ac:dyDescent="0.3">
      <c r="A120" s="23">
        <v>46171</v>
      </c>
      <c r="B120" s="24" t="s">
        <v>17</v>
      </c>
      <c r="C120" s="25">
        <v>1209</v>
      </c>
      <c r="D120" s="26">
        <v>0.54</v>
      </c>
      <c r="E120" s="26">
        <v>0.1</v>
      </c>
      <c r="F120" s="20">
        <f t="shared" si="2"/>
        <v>0.81481481481481488</v>
      </c>
      <c r="G120" s="21">
        <f t="shared" si="3"/>
        <v>531.96</v>
      </c>
      <c r="H120" s="27"/>
      <c r="I120" s="27"/>
      <c r="J120" s="28"/>
      <c r="K120" s="28"/>
      <c r="L120" s="29"/>
    </row>
    <row r="121" spans="1:12" ht="14.25" customHeight="1" x14ac:dyDescent="0.3">
      <c r="A121" s="16">
        <v>46172</v>
      </c>
      <c r="B121" s="17" t="s">
        <v>16</v>
      </c>
      <c r="C121" s="18">
        <v>1208</v>
      </c>
      <c r="D121" s="19"/>
      <c r="E121" s="19"/>
      <c r="F121" s="20" t="str">
        <f t="shared" si="2"/>
        <v/>
      </c>
      <c r="G121" s="21" t="str">
        <f t="shared" si="3"/>
        <v/>
      </c>
      <c r="H121" s="20" t="str">
        <f>IFERROR(IF((C121+C122)=0,"",(C121*F121+C122*F122)/(C121+C122)),"")</f>
        <v/>
      </c>
      <c r="I121" s="20" t="str">
        <f>IFERROR(IF(OR(L121="",L121=0,(C121+C122)=0),"",L121/((C121+C122)*IF((C121+C122)=0,1,(C121*D121+C122*D122)/(C121+C122)))),"")</f>
        <v/>
      </c>
      <c r="J121" s="21" t="str">
        <f>IFERROR(IF(G121="","",G121+IF(G122="",0,G122)),"")</f>
        <v/>
      </c>
      <c r="K121" s="21" t="str">
        <f>IFERROR(IF(OR(L121="",J121=""),"",L121-J121),"")</f>
        <v/>
      </c>
      <c r="L121" s="22">
        <v>344.93</v>
      </c>
    </row>
    <row r="122" spans="1:12" ht="14.25" customHeight="1" x14ac:dyDescent="0.3">
      <c r="A122" s="23">
        <v>46172</v>
      </c>
      <c r="B122" s="24" t="s">
        <v>17</v>
      </c>
      <c r="C122" s="25">
        <v>1272</v>
      </c>
      <c r="D122" s="26"/>
      <c r="E122" s="26"/>
      <c r="F122" s="20" t="str">
        <f t="shared" si="2"/>
        <v/>
      </c>
      <c r="G122" s="21" t="str">
        <f t="shared" si="3"/>
        <v/>
      </c>
      <c r="H122" s="27"/>
      <c r="I122" s="27"/>
      <c r="J122" s="28"/>
      <c r="K122" s="28"/>
      <c r="L122" s="29"/>
    </row>
    <row r="123" spans="1:12" ht="14.25" customHeight="1" x14ac:dyDescent="0.3">
      <c r="A123" s="16">
        <v>46173</v>
      </c>
      <c r="B123" s="17" t="s">
        <v>16</v>
      </c>
      <c r="C123" s="18">
        <v>725</v>
      </c>
      <c r="D123" s="19">
        <v>0.31</v>
      </c>
      <c r="E123" s="19">
        <v>0.1</v>
      </c>
      <c r="F123" s="20">
        <f t="shared" si="2"/>
        <v>0.67741935483870963</v>
      </c>
      <c r="G123" s="21">
        <f t="shared" si="3"/>
        <v>152.25</v>
      </c>
      <c r="H123" s="20">
        <f>IFERROR(IF((C123+C124)=0,"",(C123*F123+C124*F124)/(C123+C124)),"")</f>
        <v>0.67741935483870952</v>
      </c>
      <c r="I123" s="20">
        <f>IFERROR(IF(OR(L123="",L123=0,(C123+C124)=0),"",L123/((C123+C124)*IF((C123+C124)=0,1,(C123*D123+C124*D124)/(C123+C124)))),"")</f>
        <v>0.70875328500880819</v>
      </c>
      <c r="J123" s="21">
        <f>IFERROR(IF(G123="","",G123+IF(G124="",0,G124)),"")</f>
        <v>234.57</v>
      </c>
      <c r="K123" s="21">
        <f>IFERROR(IF(OR(L123="",J123=""),"",L123-J123),"")</f>
        <v>10.849999999999994</v>
      </c>
      <c r="L123" s="22">
        <v>245.42</v>
      </c>
    </row>
    <row r="124" spans="1:12" ht="14.25" customHeight="1" x14ac:dyDescent="0.3">
      <c r="A124" s="23">
        <v>46173</v>
      </c>
      <c r="B124" s="24" t="s">
        <v>17</v>
      </c>
      <c r="C124" s="25">
        <v>392</v>
      </c>
      <c r="D124" s="26">
        <v>0.31</v>
      </c>
      <c r="E124" s="26">
        <v>0.1</v>
      </c>
      <c r="F124" s="20">
        <f t="shared" si="2"/>
        <v>0.67741935483870963</v>
      </c>
      <c r="G124" s="21">
        <f t="shared" si="3"/>
        <v>82.32</v>
      </c>
      <c r="H124" s="27"/>
      <c r="I124" s="27"/>
      <c r="J124" s="28"/>
      <c r="K124" s="28"/>
      <c r="L124" s="29"/>
    </row>
    <row r="125" spans="1:12" ht="14.25" customHeight="1" x14ac:dyDescent="0.3">
      <c r="A125" s="16">
        <v>46174</v>
      </c>
      <c r="B125" s="17" t="s">
        <v>16</v>
      </c>
      <c r="C125" s="18">
        <v>722</v>
      </c>
      <c r="D125" s="19">
        <v>1.1000000000000001</v>
      </c>
      <c r="E125" s="19">
        <v>7.0000000000000007E-2</v>
      </c>
      <c r="F125" s="20">
        <f t="shared" si="2"/>
        <v>0.93636363636363629</v>
      </c>
      <c r="G125" s="21">
        <f t="shared" si="3"/>
        <v>743.66</v>
      </c>
      <c r="H125" s="20">
        <f>IFERROR(IF((C125+C126)=0,"",(C125*F125+C126*F126)/(C125+C126)),"")</f>
        <v>0.9363636363636364</v>
      </c>
      <c r="I125" s="20">
        <f>IFERROR(IF(OR(L125="",L125=0,(C125+C126)=0),"",L125/((C125+C126)*IF((C125+C126)=0,1,(C125*D125+C126*D126)/(C125+C126)))),"")</f>
        <v>7.9305698660537369E-2</v>
      </c>
      <c r="J125" s="21">
        <f>IFERROR(IF(G125="","",G125+IF(G126="",0,G126)),"")</f>
        <v>2362.8199999999997</v>
      </c>
      <c r="K125" s="30">
        <f>IFERROR(IF(OR(L125="",J125=""),"",L125-J125),"")</f>
        <v>-2162.6999999999998</v>
      </c>
      <c r="L125" s="22">
        <v>200.12</v>
      </c>
    </row>
    <row r="126" spans="1:12" ht="14.25" customHeight="1" x14ac:dyDescent="0.3">
      <c r="A126" s="23">
        <v>46174</v>
      </c>
      <c r="B126" s="24" t="s">
        <v>17</v>
      </c>
      <c r="C126" s="25">
        <v>1572</v>
      </c>
      <c r="D126" s="26">
        <v>1.1000000000000001</v>
      </c>
      <c r="E126" s="26">
        <v>7.0000000000000007E-2</v>
      </c>
      <c r="F126" s="20">
        <f t="shared" si="2"/>
        <v>0.93636363636363629</v>
      </c>
      <c r="G126" s="21">
        <f t="shared" si="3"/>
        <v>1619.1599999999999</v>
      </c>
      <c r="H126" s="27"/>
      <c r="I126" s="27"/>
      <c r="J126" s="28"/>
      <c r="K126" s="28"/>
      <c r="L126" s="29"/>
    </row>
    <row r="127" spans="1:12" ht="14.25" customHeight="1" x14ac:dyDescent="0.3">
      <c r="A127" s="16">
        <v>46175</v>
      </c>
      <c r="B127" s="17" t="s">
        <v>16</v>
      </c>
      <c r="C127" s="18">
        <v>1006</v>
      </c>
      <c r="D127" s="19">
        <v>0.1</v>
      </c>
      <c r="E127" s="19">
        <v>7.0000000000000007E-2</v>
      </c>
      <c r="F127" s="20">
        <f t="shared" si="2"/>
        <v>0.3</v>
      </c>
      <c r="G127" s="21">
        <f t="shared" si="3"/>
        <v>30.18</v>
      </c>
      <c r="H127" s="20">
        <f>IFERROR(IF((C127+C128)=0,"",(C127*F127+C128*F128)/(C127+C128)),"")</f>
        <v>0.3</v>
      </c>
      <c r="I127" s="20">
        <f>IFERROR(IF(OR(L127="",L127=0,(C127+C128)=0),"",L127/((C127+C128)*IF((C127+C128)=0,1,(C127*D127+C128*D128)/(C127+C128)))),"")</f>
        <v>0.54667662434652731</v>
      </c>
      <c r="J127" s="21">
        <f>IFERROR(IF(G127="","",G127+IF(G128="",0,G128)),"")</f>
        <v>80.34</v>
      </c>
      <c r="K127" s="21">
        <f>IFERROR(IF(OR(L127="",J127=""),"",L127-J127),"")</f>
        <v>66.06</v>
      </c>
      <c r="L127" s="22">
        <v>146.4</v>
      </c>
    </row>
    <row r="128" spans="1:12" ht="14.25" customHeight="1" x14ac:dyDescent="0.3">
      <c r="A128" s="23">
        <v>46175</v>
      </c>
      <c r="B128" s="24" t="s">
        <v>17</v>
      </c>
      <c r="C128" s="25">
        <v>1672</v>
      </c>
      <c r="D128" s="26">
        <v>0.1</v>
      </c>
      <c r="E128" s="26">
        <v>7.0000000000000007E-2</v>
      </c>
      <c r="F128" s="20">
        <f t="shared" si="2"/>
        <v>0.3</v>
      </c>
      <c r="G128" s="21">
        <f t="shared" si="3"/>
        <v>50.160000000000004</v>
      </c>
      <c r="H128" s="27"/>
      <c r="I128" s="27"/>
      <c r="J128" s="28"/>
      <c r="K128" s="28"/>
      <c r="L128" s="29"/>
    </row>
    <row r="129" spans="1:12" ht="14.25" customHeight="1" x14ac:dyDescent="0.3">
      <c r="A129" s="16">
        <v>46176</v>
      </c>
      <c r="B129" s="17" t="s">
        <v>16</v>
      </c>
      <c r="C129" s="18">
        <v>1073</v>
      </c>
      <c r="D129" s="19">
        <v>1.29</v>
      </c>
      <c r="E129" s="19">
        <v>0.12</v>
      </c>
      <c r="F129" s="20">
        <f t="shared" si="2"/>
        <v>0.90697674418604646</v>
      </c>
      <c r="G129" s="21">
        <f t="shared" si="3"/>
        <v>1255.4100000000001</v>
      </c>
      <c r="H129" s="20">
        <f>IFERROR(IF((C129+C130)=0,"",(C129*F129+C130*F130)/(C129+C130)),"")</f>
        <v>9.3421337160156451E-2</v>
      </c>
      <c r="I129" s="20">
        <f>IFERROR(IF(OR(L129="",L129=0,(C129+C130)=0),"",L129/((C129+C130)*IF((C129+C130)=0,1,(C129*D129+C130*D130)/(C129+C130)))),"")</f>
        <v>9.835143268350123E-2</v>
      </c>
      <c r="J129" s="21">
        <f>IFERROR(IF(G129="","",G129+IF(G130="",0,G130)),"")</f>
        <v>1155.42</v>
      </c>
      <c r="K129" s="30">
        <f>IFERROR(IF(OR(L129="",J129=""),"",L129-J129),"")</f>
        <v>-1005.08</v>
      </c>
      <c r="L129" s="22">
        <v>150.34</v>
      </c>
    </row>
    <row r="130" spans="1:12" ht="14.25" customHeight="1" x14ac:dyDescent="0.3">
      <c r="A130" s="23">
        <v>46176</v>
      </c>
      <c r="B130" s="24" t="s">
        <v>17</v>
      </c>
      <c r="C130" s="25">
        <v>1111</v>
      </c>
      <c r="D130" s="26">
        <v>0.13</v>
      </c>
      <c r="E130" s="26">
        <v>0.22</v>
      </c>
      <c r="F130" s="20">
        <f t="shared" si="2"/>
        <v>-0.69230769230769229</v>
      </c>
      <c r="G130" s="21">
        <f t="shared" si="3"/>
        <v>-99.990000000000009</v>
      </c>
      <c r="H130" s="27"/>
      <c r="I130" s="27"/>
      <c r="J130" s="28"/>
      <c r="K130" s="28"/>
      <c r="L130" s="29"/>
    </row>
    <row r="131" spans="1:12" ht="14.25" customHeight="1" x14ac:dyDescent="0.3">
      <c r="A131" s="16">
        <v>46177</v>
      </c>
      <c r="B131" s="17" t="s">
        <v>16</v>
      </c>
      <c r="C131" s="18">
        <v>563</v>
      </c>
      <c r="D131" s="19">
        <v>0.11</v>
      </c>
      <c r="E131" s="19">
        <v>0.05</v>
      </c>
      <c r="F131" s="20">
        <f t="shared" ref="F131:F194" si="5">IFERROR(IF(D131=0,"",(D131-E131)/D131),"")</f>
        <v>0.54545454545454541</v>
      </c>
      <c r="G131" s="21">
        <f t="shared" ref="G131:G194" si="6">IFERROR(IF(OR(C131="",D131=0),"",C131*D131*F131),"")</f>
        <v>33.779999999999994</v>
      </c>
      <c r="H131" s="20">
        <f>IFERROR(IF((C131+C132)=0,"",(C131*F131+C132*F132)/(C131+C132)),"")</f>
        <v>0.5454545454545453</v>
      </c>
      <c r="I131" s="20">
        <f>IFERROR(IF(OR(L131="",L131=0,(C131+C132)=0),"",L131/((C131+C132)*IF((C131+C132)=0,1,(C131*D131+C132*D132)/(C131+C132)))),"")</f>
        <v>0.9098078577573846</v>
      </c>
      <c r="J131" s="21">
        <f>IFERROR(IF(G131="","",G131+IF(G132="",0,G132)),"")</f>
        <v>114.11999999999998</v>
      </c>
      <c r="K131" s="21">
        <f>IFERROR(IF(OR(L131="",J131=""),"",L131-J131),"")</f>
        <v>76.230000000000018</v>
      </c>
      <c r="L131" s="22">
        <v>190.35</v>
      </c>
    </row>
    <row r="132" spans="1:12" ht="14.25" customHeight="1" x14ac:dyDescent="0.3">
      <c r="A132" s="23">
        <v>46177</v>
      </c>
      <c r="B132" s="24" t="s">
        <v>17</v>
      </c>
      <c r="C132" s="25">
        <v>1339</v>
      </c>
      <c r="D132" s="26">
        <v>0.11</v>
      </c>
      <c r="E132" s="26">
        <v>0.05</v>
      </c>
      <c r="F132" s="20">
        <f t="shared" si="5"/>
        <v>0.54545454545454541</v>
      </c>
      <c r="G132" s="21">
        <f t="shared" si="6"/>
        <v>80.339999999999989</v>
      </c>
      <c r="H132" s="27"/>
      <c r="I132" s="27"/>
      <c r="J132" s="28"/>
      <c r="K132" s="28"/>
      <c r="L132" s="29"/>
    </row>
    <row r="133" spans="1:12" ht="14.25" customHeight="1" x14ac:dyDescent="0.3">
      <c r="A133" s="16">
        <v>46178</v>
      </c>
      <c r="B133" s="17" t="s">
        <v>16</v>
      </c>
      <c r="C133" s="18">
        <v>1307</v>
      </c>
      <c r="D133" s="19">
        <v>0.33</v>
      </c>
      <c r="E133" s="19">
        <v>0.3</v>
      </c>
      <c r="F133" s="20">
        <f t="shared" si="5"/>
        <v>9.0909090909090981E-2</v>
      </c>
      <c r="G133" s="21">
        <f t="shared" si="6"/>
        <v>39.210000000000029</v>
      </c>
      <c r="H133" s="20">
        <f>IFERROR(IF((C133+C134)=0,"",(C133*F133+C134*F134)/(C133+C134)),"")</f>
        <v>0.33384727272727271</v>
      </c>
      <c r="I133" s="20">
        <f>IFERROR(IF(OR(L133="",L133=0,(C133+C134)=0),"",L133/((C133+C134)*IF((C133+C134)=0,1,(C133*D133+C134*D134)/(C133+C134)))),"")</f>
        <v>0.67280278524041892</v>
      </c>
      <c r="J133" s="21">
        <f>IFERROR(IF(G133="","",G133+IF(G134="",0,G134)),"")</f>
        <v>218.16000000000003</v>
      </c>
      <c r="K133" s="21">
        <f>IFERROR(IF(OR(L133="",J133=""),"",L133-J133),"")</f>
        <v>272.69</v>
      </c>
      <c r="L133" s="22">
        <v>490.85</v>
      </c>
    </row>
    <row r="134" spans="1:12" ht="14.25" customHeight="1" x14ac:dyDescent="0.3">
      <c r="A134" s="23">
        <v>46178</v>
      </c>
      <c r="B134" s="24" t="s">
        <v>17</v>
      </c>
      <c r="C134" s="25">
        <v>1193</v>
      </c>
      <c r="D134" s="26">
        <v>0.25</v>
      </c>
      <c r="E134" s="26">
        <v>0.1</v>
      </c>
      <c r="F134" s="20">
        <f t="shared" si="5"/>
        <v>0.6</v>
      </c>
      <c r="G134" s="21">
        <f t="shared" si="6"/>
        <v>178.95</v>
      </c>
      <c r="H134" s="27"/>
      <c r="I134" s="27"/>
      <c r="J134" s="28"/>
      <c r="K134" s="28"/>
      <c r="L134" s="29"/>
    </row>
    <row r="135" spans="1:12" ht="14.25" customHeight="1" x14ac:dyDescent="0.3">
      <c r="A135" s="16">
        <v>46179</v>
      </c>
      <c r="B135" s="17" t="s">
        <v>16</v>
      </c>
      <c r="C135" s="18">
        <v>1463</v>
      </c>
      <c r="D135" s="19">
        <v>0.6</v>
      </c>
      <c r="E135" s="19">
        <v>0.22</v>
      </c>
      <c r="F135" s="20">
        <f t="shared" si="5"/>
        <v>0.63333333333333341</v>
      </c>
      <c r="G135" s="21">
        <f t="shared" si="6"/>
        <v>555.94000000000005</v>
      </c>
      <c r="H135" s="20">
        <f>IFERROR(IF((C135+C136)=0,"",(C135*F135+C136*F136)/(C135+C136)),"")</f>
        <v>0.60312086862328673</v>
      </c>
      <c r="I135" s="20">
        <f>IFERROR(IF(OR(L135="",L135=0,(C135+C136)=0),"",L135/((C135+C136)*IF((C135+C136)=0,1,(C135*D135+C136*D136)/(C135+C136)))),"")</f>
        <v>0.23311103800950986</v>
      </c>
      <c r="J135" s="21">
        <f>IFERROR(IF(G135="","",G135+IF(G136="",0,G136)),"")</f>
        <v>617.63000000000011</v>
      </c>
      <c r="K135" s="30">
        <f>IFERROR(IF(OR(L135="",J135=""),"",L135-J135),"")</f>
        <v>-383.78000000000009</v>
      </c>
      <c r="L135" s="22">
        <v>233.85</v>
      </c>
    </row>
    <row r="136" spans="1:12" ht="14.25" customHeight="1" x14ac:dyDescent="0.3">
      <c r="A136" s="23">
        <v>46179</v>
      </c>
      <c r="B136" s="24" t="s">
        <v>17</v>
      </c>
      <c r="C136" s="25">
        <v>398</v>
      </c>
      <c r="D136" s="26">
        <v>0.315</v>
      </c>
      <c r="E136" s="26">
        <v>0.16</v>
      </c>
      <c r="F136" s="20">
        <f t="shared" si="5"/>
        <v>0.49206349206349204</v>
      </c>
      <c r="G136" s="21">
        <f t="shared" si="6"/>
        <v>61.69</v>
      </c>
      <c r="H136" s="27"/>
      <c r="I136" s="27"/>
      <c r="J136" s="28"/>
      <c r="K136" s="28"/>
      <c r="L136" s="29"/>
    </row>
    <row r="137" spans="1:12" ht="14.25" customHeight="1" x14ac:dyDescent="0.3">
      <c r="A137" s="16">
        <v>46180</v>
      </c>
      <c r="B137" s="17" t="s">
        <v>16</v>
      </c>
      <c r="C137" s="18">
        <v>0</v>
      </c>
      <c r="D137" s="19">
        <v>0</v>
      </c>
      <c r="E137" s="19">
        <v>0</v>
      </c>
      <c r="F137" s="20" t="str">
        <f t="shared" si="5"/>
        <v/>
      </c>
      <c r="G137" s="21" t="str">
        <f t="shared" si="6"/>
        <v/>
      </c>
      <c r="H137" s="20" t="str">
        <f>IFERROR(IF((C137+C138)=0,"",(C137*F137+C138*F138)/(C137+C138)),"")</f>
        <v/>
      </c>
      <c r="I137" s="20">
        <f>IFERROR(IF(OR(L137="",L137=0,(C137+C138)=0),"",L137/((C137+C138)*IF((C137+C138)=0,1,(C137*D137+C138*D138)/(C137+C138)))),"")</f>
        <v>1.2306547619047619</v>
      </c>
      <c r="J137" s="21" t="str">
        <f>IFERROR(IF(G137="","",G137+IF(G138="",0,G138)),"")</f>
        <v/>
      </c>
      <c r="K137" s="21" t="str">
        <f>IFERROR(IF(OR(L137="",J137=""),"",L137-J137),"")</f>
        <v/>
      </c>
      <c r="L137" s="22">
        <v>206.75</v>
      </c>
    </row>
    <row r="138" spans="1:12" ht="14.25" customHeight="1" x14ac:dyDescent="0.3">
      <c r="A138" s="23">
        <v>46180</v>
      </c>
      <c r="B138" s="24" t="s">
        <v>17</v>
      </c>
      <c r="C138" s="25">
        <v>400</v>
      </c>
      <c r="D138" s="26">
        <v>0.42</v>
      </c>
      <c r="E138" s="26">
        <v>0.74</v>
      </c>
      <c r="F138" s="20">
        <f t="shared" si="5"/>
        <v>-0.76190476190476197</v>
      </c>
      <c r="G138" s="21">
        <f t="shared" si="6"/>
        <v>-128</v>
      </c>
      <c r="H138" s="27"/>
      <c r="I138" s="27"/>
      <c r="J138" s="28"/>
      <c r="K138" s="28"/>
      <c r="L138" s="29"/>
    </row>
    <row r="139" spans="1:12" ht="14.25" customHeight="1" x14ac:dyDescent="0.3">
      <c r="A139" s="16">
        <v>46181</v>
      </c>
      <c r="B139" s="17" t="s">
        <v>16</v>
      </c>
      <c r="C139" s="18">
        <v>371</v>
      </c>
      <c r="D139" s="26">
        <v>0.78</v>
      </c>
      <c r="E139" s="26">
        <v>0.18</v>
      </c>
      <c r="F139" s="20">
        <f t="shared" si="5"/>
        <v>0.76923076923076927</v>
      </c>
      <c r="G139" s="21">
        <f t="shared" si="6"/>
        <v>222.60000000000002</v>
      </c>
      <c r="H139" s="20">
        <f>IFERROR(IF((C139+C140)=0,"",(C139*F139+C140*F140)/(C139+C140)),"")</f>
        <v>0.76923076923076938</v>
      </c>
      <c r="I139" s="20">
        <f>IFERROR(IF(OR(L139="",L139=0,(C139+C140)=0),"",L139/((C139+C140)*IF((C139+C140)=0,1,(C139*D139+C140*D140)/(C139+C140)))),"")</f>
        <v>0.14459935897435899</v>
      </c>
      <c r="J139" s="21">
        <f>IFERROR(IF(G139="","",G139+IF(G140="",0,G140)),"")</f>
        <v>960.00000000000011</v>
      </c>
      <c r="K139" s="30">
        <f>IFERROR(IF(OR(L139="",J139=""),"",L139-J139),"")</f>
        <v>-779.54000000000008</v>
      </c>
      <c r="L139" s="22">
        <v>180.46</v>
      </c>
    </row>
    <row r="140" spans="1:12" ht="14.25" customHeight="1" x14ac:dyDescent="0.3">
      <c r="A140" s="23">
        <v>46181</v>
      </c>
      <c r="B140" s="24" t="s">
        <v>17</v>
      </c>
      <c r="C140" s="25">
        <v>1229</v>
      </c>
      <c r="D140" s="26">
        <v>0.78</v>
      </c>
      <c r="E140" s="26">
        <v>0.18</v>
      </c>
      <c r="F140" s="20">
        <f t="shared" si="5"/>
        <v>0.76923076923076927</v>
      </c>
      <c r="G140" s="21">
        <f t="shared" si="6"/>
        <v>737.40000000000009</v>
      </c>
      <c r="H140" s="27"/>
      <c r="I140" s="27"/>
      <c r="J140" s="28"/>
      <c r="K140" s="28"/>
      <c r="L140" s="29"/>
    </row>
    <row r="141" spans="1:12" ht="14.25" customHeight="1" x14ac:dyDescent="0.3">
      <c r="A141" s="16">
        <v>46182</v>
      </c>
      <c r="B141" s="17" t="s">
        <v>16</v>
      </c>
      <c r="C141" s="18">
        <v>1307</v>
      </c>
      <c r="D141" s="26">
        <v>0.60499999999999998</v>
      </c>
      <c r="E141" s="26">
        <v>0.12</v>
      </c>
      <c r="F141" s="20">
        <f t="shared" si="5"/>
        <v>0.80165289256198347</v>
      </c>
      <c r="G141" s="21">
        <f t="shared" si="6"/>
        <v>633.89499999999998</v>
      </c>
      <c r="H141" s="20">
        <f>IFERROR(IF((C141+C142)=0,"",(C141*F141+C142*F142)/(C141+C142)),"")</f>
        <v>0.80165289256198347</v>
      </c>
      <c r="I141" s="20">
        <f>IFERROR(IF(OR(L141="",L141=0,(C141+C142)=0),"",L141/((C141+C142)*IF((C141+C142)=0,1,(C141*D141+C142*D142)/(C141+C142)))),"")</f>
        <v>0.33076948785157384</v>
      </c>
      <c r="J141" s="21">
        <f>IFERROR(IF(G141="","",G141+IF(G142="",0,G142)),"")</f>
        <v>839.53499999999997</v>
      </c>
      <c r="K141" s="21">
        <f>IFERROR(IF(OR(L141="",J141=""),"",L141-J141),"")</f>
        <v>-493.13499999999999</v>
      </c>
      <c r="L141" s="22">
        <v>346.4</v>
      </c>
    </row>
    <row r="142" spans="1:12" ht="14.25" customHeight="1" x14ac:dyDescent="0.3">
      <c r="A142" s="23">
        <v>46182</v>
      </c>
      <c r="B142" s="24" t="s">
        <v>17</v>
      </c>
      <c r="C142" s="25">
        <v>424</v>
      </c>
      <c r="D142" s="26">
        <v>0.60499999999999998</v>
      </c>
      <c r="E142" s="26">
        <v>0.12</v>
      </c>
      <c r="F142" s="20">
        <f t="shared" si="5"/>
        <v>0.80165289256198347</v>
      </c>
      <c r="G142" s="21">
        <f t="shared" si="6"/>
        <v>205.64</v>
      </c>
      <c r="H142" s="27"/>
      <c r="I142" s="27"/>
      <c r="J142" s="28"/>
      <c r="K142" s="28"/>
      <c r="L142" s="29"/>
    </row>
    <row r="143" spans="1:12" ht="14.25" customHeight="1" x14ac:dyDescent="0.3">
      <c r="A143" s="16">
        <v>46183</v>
      </c>
      <c r="B143" s="17" t="s">
        <v>16</v>
      </c>
      <c r="C143" s="18">
        <v>787</v>
      </c>
      <c r="D143" s="26">
        <v>0.28000000000000003</v>
      </c>
      <c r="E143" s="26">
        <v>0.08</v>
      </c>
      <c r="F143" s="20">
        <f t="shared" si="5"/>
        <v>0.7142857142857143</v>
      </c>
      <c r="G143" s="21">
        <f t="shared" si="6"/>
        <v>157.4</v>
      </c>
      <c r="H143" s="20">
        <f>IFERROR(IF((C143+C144)=0,"",(C143*F143+C144*F144)/(C143+C144)),"")</f>
        <v>0.60539872635681014</v>
      </c>
      <c r="I143" s="20">
        <f>IFERROR(IF(OR(L143="",L143=0,(C143+C144)=0),"",L143/((C143+C144)*IF((C143+C144)=0,1,(C143*D143+C144*D144)/(C143+C144)))),"")</f>
        <v>0.28862323764226266</v>
      </c>
      <c r="J143" s="21">
        <f>IFERROR(IF(G143="","",G143+IF(G144="",0,G144)),"")</f>
        <v>279.12</v>
      </c>
      <c r="K143" s="21">
        <f>IFERROR(IF(OR(L143="",J143=""),"",L143-J143),"")</f>
        <v>-143.19</v>
      </c>
      <c r="L143" s="22">
        <v>135.93</v>
      </c>
    </row>
    <row r="144" spans="1:12" ht="14.25" customHeight="1" x14ac:dyDescent="0.3">
      <c r="A144" s="23">
        <v>46183</v>
      </c>
      <c r="B144" s="24" t="s">
        <v>17</v>
      </c>
      <c r="C144" s="25">
        <v>716</v>
      </c>
      <c r="D144" s="26">
        <v>0.35</v>
      </c>
      <c r="E144" s="26">
        <v>0.18</v>
      </c>
      <c r="F144" s="20">
        <f t="shared" si="5"/>
        <v>0.48571428571428571</v>
      </c>
      <c r="G144" s="21">
        <f t="shared" si="6"/>
        <v>121.72</v>
      </c>
      <c r="H144" s="27"/>
      <c r="I144" s="27"/>
      <c r="J144" s="28"/>
      <c r="K144" s="28"/>
      <c r="L144" s="29"/>
    </row>
    <row r="145" spans="1:12" ht="14.25" customHeight="1" x14ac:dyDescent="0.3">
      <c r="A145" s="16">
        <v>46184</v>
      </c>
      <c r="B145" s="17" t="s">
        <v>16</v>
      </c>
      <c r="C145" s="18">
        <v>907</v>
      </c>
      <c r="D145" s="26">
        <v>0.290924277286493</v>
      </c>
      <c r="E145" s="26">
        <v>0.12</v>
      </c>
      <c r="F145" s="20">
        <f t="shared" si="5"/>
        <v>0.58752153268450746</v>
      </c>
      <c r="G145" s="21">
        <f t="shared" si="6"/>
        <v>155.02831949884916</v>
      </c>
      <c r="H145" s="20">
        <f>IFERROR(IF((C145+C146)=0,"",(C145*F145+C146*F146)/(C145+C146)),"")</f>
        <v>0.61746021935218531</v>
      </c>
      <c r="I145" s="20">
        <f t="shared" ref="I145:I176" si="7">IFERROR(IF(OR(L145="",L145=0,(C145+C146)=0),"",L145/((C145+C146)*IF((C145+C146)=0,1,(C145*D145+C146*D146)/(C145+C146)))),"")</f>
        <v>0.38062376021282857</v>
      </c>
      <c r="J145" s="21">
        <f>IFERROR(IF(G145="","",G145+IF(G146="",0,G146)),"")</f>
        <v>356.78033155019818</v>
      </c>
      <c r="K145" s="21">
        <f t="shared" ref="K145:K176" si="8">IFERROR(IF(OR(L145="",J145=""),"",L145-J145),"")</f>
        <v>-137.67033155019817</v>
      </c>
      <c r="L145" s="22">
        <v>219.11</v>
      </c>
    </row>
    <row r="146" spans="1:12" ht="14.25" customHeight="1" x14ac:dyDescent="0.3">
      <c r="A146" s="23">
        <v>46184</v>
      </c>
      <c r="B146" s="24" t="s">
        <v>17</v>
      </c>
      <c r="C146" s="25">
        <v>917</v>
      </c>
      <c r="D146" s="26">
        <v>0.34001309929263801</v>
      </c>
      <c r="E146" s="26">
        <v>0.12</v>
      </c>
      <c r="F146" s="20">
        <f t="shared" si="5"/>
        <v>0.64707242088717298</v>
      </c>
      <c r="G146" s="21">
        <f t="shared" si="6"/>
        <v>201.75201205134906</v>
      </c>
      <c r="H146" s="27"/>
      <c r="I146" s="27" t="str">
        <f t="shared" si="7"/>
        <v/>
      </c>
      <c r="J146" s="28"/>
      <c r="K146" s="28" t="str">
        <f t="shared" si="8"/>
        <v/>
      </c>
      <c r="L146" s="29"/>
    </row>
    <row r="147" spans="1:12" ht="14.25" hidden="1" customHeight="1" x14ac:dyDescent="0.3">
      <c r="A147" s="16">
        <v>46185</v>
      </c>
      <c r="B147" s="17" t="s">
        <v>18</v>
      </c>
      <c r="C147" s="18">
        <v>1099</v>
      </c>
      <c r="D147" s="26">
        <v>0.37472963138168203</v>
      </c>
      <c r="E147" s="26">
        <v>0.09</v>
      </c>
      <c r="F147" s="20">
        <f t="shared" si="5"/>
        <v>0.75982683923831418</v>
      </c>
      <c r="G147" s="21">
        <f t="shared" si="6"/>
        <v>312.91786488846856</v>
      </c>
      <c r="H147" s="20">
        <f>IFERROR(IF((C147+C148)=0,"",(C147*F147+C148*F148)/(C147+C148)),"")</f>
        <v>0.76492787611423907</v>
      </c>
      <c r="I147" s="20">
        <f t="shared" si="7"/>
        <v>0.26827160257364452</v>
      </c>
      <c r="J147" s="21">
        <f>IFERROR(IF(G147="","",G147+IF(G148="",0,G148)),"")</f>
        <v>809.13757489185923</v>
      </c>
      <c r="K147" s="21">
        <f t="shared" si="8"/>
        <v>-525.64757489185922</v>
      </c>
      <c r="L147" s="22">
        <v>283.49</v>
      </c>
    </row>
    <row r="148" spans="1:12" ht="14.25" hidden="1" customHeight="1" x14ac:dyDescent="0.3">
      <c r="A148" s="23">
        <v>46185</v>
      </c>
      <c r="B148" s="24" t="s">
        <v>19</v>
      </c>
      <c r="C148" s="25">
        <v>1239</v>
      </c>
      <c r="D148" s="26">
        <v>0.52050016949426203</v>
      </c>
      <c r="E148" s="26">
        <v>0.12</v>
      </c>
      <c r="F148" s="20">
        <f t="shared" si="5"/>
        <v>0.76945252464260172</v>
      </c>
      <c r="G148" s="21">
        <f t="shared" si="6"/>
        <v>496.21971000339062</v>
      </c>
      <c r="H148" s="27"/>
      <c r="I148" s="27" t="str">
        <f t="shared" si="7"/>
        <v/>
      </c>
      <c r="J148" s="28"/>
      <c r="K148" s="28" t="str">
        <f t="shared" si="8"/>
        <v/>
      </c>
      <c r="L148" s="29"/>
    </row>
    <row r="149" spans="1:12" ht="14.25" hidden="1" customHeight="1" x14ac:dyDescent="0.3">
      <c r="A149" s="16">
        <v>46186</v>
      </c>
      <c r="B149" s="17" t="s">
        <v>20</v>
      </c>
      <c r="C149" s="18">
        <v>1351</v>
      </c>
      <c r="D149" s="26">
        <v>0.55724609895478605</v>
      </c>
      <c r="E149" s="26">
        <v>7.0000000000000007E-2</v>
      </c>
      <c r="F149" s="20">
        <f t="shared" si="5"/>
        <v>0.87438225205829623</v>
      </c>
      <c r="G149" s="21">
        <f t="shared" si="6"/>
        <v>658.26947968791592</v>
      </c>
      <c r="H149" s="20">
        <f>IFERROR(IF((C149+C150)=0,"",(C149*F149+C150*F150)/(C149+C150)),"")</f>
        <v>0.74084774762690708</v>
      </c>
      <c r="I149" s="20">
        <f t="shared" si="7"/>
        <v>0.27230357106480646</v>
      </c>
      <c r="J149" s="21">
        <f>IFERROR(IF(G149="","",G149+IF(G150="",0,G150)),"")</f>
        <v>884.07083569295605</v>
      </c>
      <c r="K149" s="21">
        <f t="shared" si="8"/>
        <v>-570.18083569295607</v>
      </c>
      <c r="L149" s="22">
        <v>313.89</v>
      </c>
    </row>
    <row r="150" spans="1:12" ht="14.25" hidden="1" customHeight="1" x14ac:dyDescent="0.3">
      <c r="A150" s="23">
        <v>46186</v>
      </c>
      <c r="B150" s="24" t="s">
        <v>21</v>
      </c>
      <c r="C150" s="25">
        <v>1024</v>
      </c>
      <c r="D150" s="26">
        <v>0.39050913672367199</v>
      </c>
      <c r="E150" s="26">
        <v>0.17</v>
      </c>
      <c r="F150" s="20">
        <f t="shared" si="5"/>
        <v>0.56467087703432239</v>
      </c>
      <c r="G150" s="21">
        <f t="shared" si="6"/>
        <v>225.80135600504011</v>
      </c>
      <c r="H150" s="27"/>
      <c r="I150" s="27" t="str">
        <f t="shared" si="7"/>
        <v/>
      </c>
      <c r="J150" s="28"/>
      <c r="K150" s="28" t="str">
        <f t="shared" si="8"/>
        <v/>
      </c>
      <c r="L150" s="29"/>
    </row>
    <row r="151" spans="1:12" ht="12" customHeight="1" x14ac:dyDescent="0.3">
      <c r="A151" s="16">
        <v>46187</v>
      </c>
      <c r="B151" s="17" t="s">
        <v>22</v>
      </c>
      <c r="C151" s="18">
        <v>1037</v>
      </c>
      <c r="D151" s="26">
        <v>0.65</v>
      </c>
      <c r="E151" s="26">
        <v>0.18</v>
      </c>
      <c r="F151" s="20">
        <f t="shared" si="5"/>
        <v>0.72307692307692306</v>
      </c>
      <c r="G151" s="21">
        <f t="shared" si="6"/>
        <v>487.39000000000004</v>
      </c>
      <c r="H151" s="20">
        <f>IFERROR(IF((C151+C152)=0,"",(C151*F151+C152*F152)/(C151+C152)),"")</f>
        <v>0.37178484508736909</v>
      </c>
      <c r="I151" s="20">
        <f t="shared" si="7"/>
        <v>0.26894115318141326</v>
      </c>
      <c r="J151" s="21">
        <f>IFERROR(IF(G151="","",G151+IF(G152="",0,G152)),"")</f>
        <v>593.95000000000005</v>
      </c>
      <c r="K151" s="21">
        <f t="shared" si="8"/>
        <v>-240.72000000000003</v>
      </c>
      <c r="L151" s="22">
        <v>353.23</v>
      </c>
    </row>
    <row r="152" spans="1:12" ht="14.25" customHeight="1" x14ac:dyDescent="0.3">
      <c r="A152" s="23">
        <v>46187</v>
      </c>
      <c r="B152" s="24" t="s">
        <v>23</v>
      </c>
      <c r="C152" s="25">
        <v>1776</v>
      </c>
      <c r="D152" s="26">
        <v>0.36</v>
      </c>
      <c r="E152" s="26">
        <v>0.3</v>
      </c>
      <c r="F152" s="20">
        <f t="shared" si="5"/>
        <v>0.16666666666666666</v>
      </c>
      <c r="G152" s="21">
        <f t="shared" si="6"/>
        <v>106.56</v>
      </c>
      <c r="H152" s="27"/>
      <c r="I152" s="27" t="str">
        <f t="shared" si="7"/>
        <v/>
      </c>
      <c r="J152" s="28"/>
      <c r="K152" s="28" t="str">
        <f t="shared" si="8"/>
        <v/>
      </c>
      <c r="L152" s="29"/>
    </row>
    <row r="153" spans="1:12" ht="14.25" customHeight="1" x14ac:dyDescent="0.3">
      <c r="A153" s="16">
        <v>46188</v>
      </c>
      <c r="B153" s="17" t="s">
        <v>22</v>
      </c>
      <c r="C153" s="18">
        <v>1253</v>
      </c>
      <c r="D153" s="26">
        <v>0.21</v>
      </c>
      <c r="E153" s="26">
        <v>7.0000000000000007E-2</v>
      </c>
      <c r="F153" s="20">
        <f t="shared" si="5"/>
        <v>0.66666666666666663</v>
      </c>
      <c r="G153" s="21">
        <f t="shared" si="6"/>
        <v>175.42</v>
      </c>
      <c r="H153" s="20">
        <f>IFERROR(IF((C153+C154)=0,"",(C153*F153+C154*F154)/(C153+C154)),"")</f>
        <v>0.72931857052840043</v>
      </c>
      <c r="I153" s="20">
        <f t="shared" si="7"/>
        <v>0.31864479468210566</v>
      </c>
      <c r="J153" s="21">
        <f>IFERROR(IF(G153="","",G153+IF(G154="",0,G154)),"")</f>
        <v>481.65999999999997</v>
      </c>
      <c r="K153" s="21">
        <f t="shared" si="8"/>
        <v>-273.62</v>
      </c>
      <c r="L153" s="22">
        <v>208.04</v>
      </c>
    </row>
    <row r="154" spans="1:12" ht="14.25" customHeight="1" x14ac:dyDescent="0.3">
      <c r="A154" s="23">
        <v>46188</v>
      </c>
      <c r="B154" s="24" t="s">
        <v>23</v>
      </c>
      <c r="C154" s="25">
        <v>1392</v>
      </c>
      <c r="D154" s="26">
        <v>0.28000000000000003</v>
      </c>
      <c r="E154" s="26">
        <v>0.06</v>
      </c>
      <c r="F154" s="20">
        <f t="shared" si="5"/>
        <v>0.7857142857142857</v>
      </c>
      <c r="G154" s="21">
        <f t="shared" si="6"/>
        <v>306.24</v>
      </c>
      <c r="H154" s="27"/>
      <c r="I154" s="27" t="str">
        <f t="shared" si="7"/>
        <v/>
      </c>
      <c r="J154" s="28"/>
      <c r="K154" s="28" t="str">
        <f t="shared" si="8"/>
        <v/>
      </c>
      <c r="L154" s="22"/>
    </row>
    <row r="155" spans="1:12" ht="14.25" customHeight="1" x14ac:dyDescent="0.3">
      <c r="A155" s="16">
        <v>46189</v>
      </c>
      <c r="B155" s="17" t="s">
        <v>22</v>
      </c>
      <c r="C155" s="18">
        <v>1103</v>
      </c>
      <c r="D155" s="26">
        <v>0.14000000000000001</v>
      </c>
      <c r="E155" s="26">
        <v>0.04</v>
      </c>
      <c r="F155" s="20">
        <f t="shared" si="5"/>
        <v>0.7142857142857143</v>
      </c>
      <c r="G155" s="21">
        <f t="shared" si="6"/>
        <v>110.30000000000001</v>
      </c>
      <c r="H155" s="20">
        <f>IFERROR(IF((C155+C156)=0,"",(C155*F155+C156*F156)/(C155+C156)),"")</f>
        <v>0.66860230934479059</v>
      </c>
      <c r="I155" s="20">
        <f t="shared" si="7"/>
        <v>0.56148761531197799</v>
      </c>
      <c r="J155" s="21">
        <f>IFERROR(IF(G155="","",G155+IF(G156="",0,G156)),"")</f>
        <v>273.62</v>
      </c>
      <c r="K155" s="21">
        <f t="shared" si="8"/>
        <v>-41.72</v>
      </c>
      <c r="L155" s="22">
        <v>231.9</v>
      </c>
    </row>
    <row r="156" spans="1:12" ht="14.25" customHeight="1" x14ac:dyDescent="0.3">
      <c r="A156" s="23">
        <v>46189</v>
      </c>
      <c r="B156" s="24" t="s">
        <v>23</v>
      </c>
      <c r="C156" s="25">
        <v>1361</v>
      </c>
      <c r="D156" s="26">
        <v>0.19</v>
      </c>
      <c r="E156" s="26">
        <v>7.0000000000000007E-2</v>
      </c>
      <c r="F156" s="20">
        <f t="shared" si="5"/>
        <v>0.63157894736842102</v>
      </c>
      <c r="G156" s="21">
        <f t="shared" si="6"/>
        <v>163.31999999999996</v>
      </c>
      <c r="H156" s="27"/>
      <c r="I156" s="27" t="str">
        <f t="shared" si="7"/>
        <v/>
      </c>
      <c r="J156" s="28"/>
      <c r="K156" s="28" t="str">
        <f t="shared" si="8"/>
        <v/>
      </c>
      <c r="L156" s="22"/>
    </row>
    <row r="157" spans="1:12" ht="14.25" customHeight="1" x14ac:dyDescent="0.3">
      <c r="A157" s="16">
        <v>46190</v>
      </c>
      <c r="B157" s="17" t="s">
        <v>22</v>
      </c>
      <c r="C157" s="18">
        <v>697</v>
      </c>
      <c r="D157" s="26">
        <v>0.16</v>
      </c>
      <c r="E157" s="26">
        <v>0.06</v>
      </c>
      <c r="F157" s="20">
        <f t="shared" si="5"/>
        <v>0.625</v>
      </c>
      <c r="G157" s="21">
        <f t="shared" si="6"/>
        <v>69.7</v>
      </c>
      <c r="H157" s="20">
        <f>IFERROR(IF((C157+C158)=0,"",(C157*F157+C158*F158)/(C157+C158)),"")</f>
        <v>0.69234666607278073</v>
      </c>
      <c r="I157" s="20">
        <f t="shared" si="7"/>
        <v>0.29720039292730843</v>
      </c>
      <c r="J157" s="21">
        <f>IFERROR(IF(G157="","",G157+IF(G158="",0,G158)),"")</f>
        <v>284.74</v>
      </c>
      <c r="K157" s="21">
        <f t="shared" si="8"/>
        <v>-163.72000000000003</v>
      </c>
      <c r="L157" s="22">
        <v>121.02</v>
      </c>
    </row>
    <row r="158" spans="1:12" ht="14.25" customHeight="1" x14ac:dyDescent="0.3">
      <c r="A158" s="23">
        <v>46190</v>
      </c>
      <c r="B158" s="24" t="s">
        <v>23</v>
      </c>
      <c r="C158" s="25">
        <v>1344</v>
      </c>
      <c r="D158" s="26">
        <v>0.22</v>
      </c>
      <c r="E158" s="26">
        <v>0.06</v>
      </c>
      <c r="F158" s="20">
        <f t="shared" si="5"/>
        <v>0.72727272727272729</v>
      </c>
      <c r="G158" s="21">
        <f t="shared" si="6"/>
        <v>215.04000000000002</v>
      </c>
      <c r="H158" s="27"/>
      <c r="I158" s="27" t="str">
        <f t="shared" si="7"/>
        <v/>
      </c>
      <c r="J158" s="28"/>
      <c r="K158" s="28" t="str">
        <f t="shared" si="8"/>
        <v/>
      </c>
      <c r="L158" s="22"/>
    </row>
    <row r="159" spans="1:12" ht="14.25" customHeight="1" x14ac:dyDescent="0.3">
      <c r="A159" s="16">
        <v>46191</v>
      </c>
      <c r="B159" s="17" t="s">
        <v>22</v>
      </c>
      <c r="C159" s="18">
        <v>1080</v>
      </c>
      <c r="D159" s="26">
        <v>0.14000000000000001</v>
      </c>
      <c r="E159" s="26">
        <v>0.05</v>
      </c>
      <c r="F159" s="20">
        <f t="shared" si="5"/>
        <v>0.6428571428571429</v>
      </c>
      <c r="G159" s="21">
        <f t="shared" si="6"/>
        <v>97.200000000000017</v>
      </c>
      <c r="H159" s="20">
        <f>IFERROR(IF((C159+C160)=0,"",(C159*F159+C160*F160)/(C159+C160)),"")</f>
        <v>0.20856629905103879</v>
      </c>
      <c r="I159" s="20">
        <f t="shared" si="7"/>
        <v>0.30365021008403353</v>
      </c>
      <c r="J159" s="21">
        <f>IFERROR(IF(G159="","",G159+IF(G160="",0,G160)),"")</f>
        <v>51.280000000000037</v>
      </c>
      <c r="K159" s="21">
        <f t="shared" si="8"/>
        <v>64.349999999999966</v>
      </c>
      <c r="L159" s="22">
        <v>115.63</v>
      </c>
    </row>
    <row r="160" spans="1:12" ht="14.25" customHeight="1" x14ac:dyDescent="0.3">
      <c r="A160" s="23">
        <v>46191</v>
      </c>
      <c r="B160" s="24" t="s">
        <v>23</v>
      </c>
      <c r="C160" s="25">
        <v>1148</v>
      </c>
      <c r="D160" s="26">
        <v>0.2</v>
      </c>
      <c r="E160" s="26">
        <v>0.24</v>
      </c>
      <c r="F160" s="20">
        <f t="shared" si="5"/>
        <v>-0.1999999999999999</v>
      </c>
      <c r="G160" s="21">
        <f t="shared" si="6"/>
        <v>-45.91999999999998</v>
      </c>
      <c r="H160" s="27"/>
      <c r="I160" s="27" t="str">
        <f t="shared" si="7"/>
        <v/>
      </c>
      <c r="J160" s="28"/>
      <c r="K160" s="28" t="str">
        <f t="shared" si="8"/>
        <v/>
      </c>
      <c r="L160" s="22"/>
    </row>
    <row r="161" spans="1:14" ht="14.25" customHeight="1" x14ac:dyDescent="0.3">
      <c r="A161" s="16">
        <v>46192</v>
      </c>
      <c r="B161" s="17" t="s">
        <v>22</v>
      </c>
      <c r="C161" s="18">
        <v>996</v>
      </c>
      <c r="D161" s="26">
        <v>0.11</v>
      </c>
      <c r="E161" s="26">
        <v>0.06</v>
      </c>
      <c r="F161" s="20">
        <f t="shared" si="5"/>
        <v>0.45454545454545459</v>
      </c>
      <c r="G161" s="21">
        <f t="shared" si="6"/>
        <v>49.800000000000004</v>
      </c>
      <c r="H161" s="20">
        <f>IFERROR(IF((C161+C162)=0,"",(C161*F161+C162*F162)/(C161+C162)),"")</f>
        <v>0.45454545454545453</v>
      </c>
      <c r="I161" s="20">
        <f t="shared" si="7"/>
        <v>0.52649387129724212</v>
      </c>
      <c r="J161" s="21">
        <f>IFERROR(IF(G161="","",G161+IF(G162="",0,G162)),"")</f>
        <v>142.4</v>
      </c>
      <c r="K161" s="21">
        <f t="shared" si="8"/>
        <v>22.539999999999992</v>
      </c>
      <c r="L161" s="22">
        <v>164.94</v>
      </c>
    </row>
    <row r="162" spans="1:14" ht="14.25" customHeight="1" x14ac:dyDescent="0.3">
      <c r="A162" s="23">
        <v>46192</v>
      </c>
      <c r="B162" s="24" t="s">
        <v>23</v>
      </c>
      <c r="C162" s="25">
        <f>2848-C161</f>
        <v>1852</v>
      </c>
      <c r="D162" s="26">
        <v>0.11</v>
      </c>
      <c r="E162" s="26">
        <v>0.06</v>
      </c>
      <c r="F162" s="20">
        <f t="shared" si="5"/>
        <v>0.45454545454545459</v>
      </c>
      <c r="G162" s="21">
        <f t="shared" si="6"/>
        <v>92.600000000000009</v>
      </c>
      <c r="H162" s="27"/>
      <c r="I162" s="27" t="str">
        <f t="shared" si="7"/>
        <v/>
      </c>
      <c r="J162" s="28"/>
      <c r="K162" s="28" t="str">
        <f t="shared" si="8"/>
        <v/>
      </c>
      <c r="L162" s="22"/>
    </row>
    <row r="163" spans="1:14" ht="14.25" customHeight="1" x14ac:dyDescent="0.3">
      <c r="A163" s="16">
        <v>46193</v>
      </c>
      <c r="B163" s="17" t="s">
        <v>22</v>
      </c>
      <c r="C163" s="18">
        <v>936</v>
      </c>
      <c r="D163" s="26">
        <v>0.27</v>
      </c>
      <c r="E163" s="26">
        <v>0.06</v>
      </c>
      <c r="F163" s="20">
        <f t="shared" si="5"/>
        <v>0.77777777777777779</v>
      </c>
      <c r="G163" s="21">
        <f t="shared" si="6"/>
        <v>196.56000000000003</v>
      </c>
      <c r="H163" s="20">
        <f>IFERROR(IF((C163+C164)=0,"",(C163*F163+C164*F164)/(C163+C164)),"")</f>
        <v>0.53241622574955905</v>
      </c>
      <c r="I163" s="20">
        <f t="shared" si="7"/>
        <v>0.3844157617974458</v>
      </c>
      <c r="J163" s="21">
        <f>IFERROR(IF(G163="","",G163+IF(G164="",0,G164)),"")</f>
        <v>316.44000000000005</v>
      </c>
      <c r="K163" s="21">
        <f t="shared" si="8"/>
        <v>-91.280000000000058</v>
      </c>
      <c r="L163" s="22">
        <v>225.16</v>
      </c>
      <c r="N163" s="31"/>
    </row>
    <row r="164" spans="1:14" ht="14.25" customHeight="1" x14ac:dyDescent="0.3">
      <c r="A164" s="23">
        <v>46193</v>
      </c>
      <c r="B164" s="24" t="s">
        <v>23</v>
      </c>
      <c r="C164" s="25">
        <f>2268-936</f>
        <v>1332</v>
      </c>
      <c r="D164" s="26">
        <v>0.25</v>
      </c>
      <c r="E164" s="26">
        <v>0.16</v>
      </c>
      <c r="F164" s="20">
        <f t="shared" si="5"/>
        <v>0.36</v>
      </c>
      <c r="G164" s="21">
        <f t="shared" si="6"/>
        <v>119.88</v>
      </c>
      <c r="H164" s="27"/>
      <c r="I164" s="27" t="str">
        <f t="shared" si="7"/>
        <v/>
      </c>
      <c r="J164" s="28"/>
      <c r="K164" s="28" t="str">
        <f t="shared" si="8"/>
        <v/>
      </c>
      <c r="L164" s="22"/>
    </row>
    <row r="165" spans="1:14" ht="14.25" customHeight="1" x14ac:dyDescent="0.3">
      <c r="A165" s="16">
        <v>46194</v>
      </c>
      <c r="B165" s="17" t="s">
        <v>22</v>
      </c>
      <c r="C165" s="18">
        <v>1187</v>
      </c>
      <c r="D165" s="26">
        <v>0.14000000000000001</v>
      </c>
      <c r="E165" s="26">
        <v>0.09</v>
      </c>
      <c r="F165" s="20">
        <f t="shared" si="5"/>
        <v>0.35714285714285721</v>
      </c>
      <c r="G165" s="21">
        <f t="shared" si="6"/>
        <v>59.350000000000016</v>
      </c>
      <c r="H165" s="20">
        <f>IFERROR(IF((C165+C166)=0,"",(C165*F165+C166*F166)/(C165+C166)),"")</f>
        <v>0.56903715792116505</v>
      </c>
      <c r="I165" s="20">
        <f t="shared" si="7"/>
        <v>0.41689665396984693</v>
      </c>
      <c r="J165" s="21">
        <f>IFERROR(IF(G165="","",G165+IF(G166="",0,G166)),"")</f>
        <v>277.15000000000003</v>
      </c>
      <c r="K165" s="21">
        <f t="shared" si="8"/>
        <v>-94.370000000000033</v>
      </c>
      <c r="L165" s="22">
        <v>182.78</v>
      </c>
    </row>
    <row r="166" spans="1:14" ht="14.25" customHeight="1" x14ac:dyDescent="0.3">
      <c r="A166" s="23">
        <v>46194</v>
      </c>
      <c r="B166" s="24" t="s">
        <v>23</v>
      </c>
      <c r="C166" s="25">
        <v>1089</v>
      </c>
      <c r="D166" s="26">
        <v>0.25</v>
      </c>
      <c r="E166" s="26">
        <v>0.05</v>
      </c>
      <c r="F166" s="20">
        <f t="shared" si="5"/>
        <v>0.8</v>
      </c>
      <c r="G166" s="21">
        <f t="shared" si="6"/>
        <v>217.8</v>
      </c>
      <c r="H166" s="27"/>
      <c r="I166" s="27" t="str">
        <f t="shared" si="7"/>
        <v/>
      </c>
      <c r="J166" s="28"/>
      <c r="K166" s="28" t="str">
        <f t="shared" si="8"/>
        <v/>
      </c>
      <c r="L166" s="22"/>
    </row>
    <row r="167" spans="1:14" ht="14.25" customHeight="1" x14ac:dyDescent="0.3">
      <c r="A167" s="16">
        <v>46195</v>
      </c>
      <c r="B167" s="17" t="s">
        <v>22</v>
      </c>
      <c r="C167" s="18">
        <v>669</v>
      </c>
      <c r="D167" s="26">
        <v>0.21</v>
      </c>
      <c r="E167" s="26">
        <v>0.06</v>
      </c>
      <c r="F167" s="20">
        <f t="shared" si="5"/>
        <v>0.7142857142857143</v>
      </c>
      <c r="G167" s="21">
        <f t="shared" si="6"/>
        <v>100.35</v>
      </c>
      <c r="H167" s="20">
        <f>IFERROR(IF((C167+C168)=0,"",(C167*F167+C168*F168)/(C167+C168)),"")</f>
        <v>0.57175032175032181</v>
      </c>
      <c r="I167" s="20">
        <f t="shared" si="7"/>
        <v>0.50605362302937196</v>
      </c>
      <c r="J167" s="21">
        <f>IFERROR(IF(G167="","",G167+IF(G168="",0,G168)),"")</f>
        <v>166.8</v>
      </c>
      <c r="K167" s="21">
        <f t="shared" si="8"/>
        <v>-28.450000000000017</v>
      </c>
      <c r="L167" s="22">
        <v>138.35</v>
      </c>
    </row>
    <row r="168" spans="1:14" ht="14.25" customHeight="1" x14ac:dyDescent="0.3">
      <c r="A168" s="23">
        <v>46195</v>
      </c>
      <c r="B168" s="24" t="s">
        <v>23</v>
      </c>
      <c r="C168" s="25">
        <v>1329</v>
      </c>
      <c r="D168" s="26">
        <v>0.1</v>
      </c>
      <c r="E168" s="26">
        <v>0.05</v>
      </c>
      <c r="F168" s="20">
        <f t="shared" si="5"/>
        <v>0.5</v>
      </c>
      <c r="G168" s="21">
        <f t="shared" si="6"/>
        <v>66.45</v>
      </c>
      <c r="H168" s="27"/>
      <c r="I168" s="27" t="str">
        <f t="shared" si="7"/>
        <v/>
      </c>
      <c r="J168" s="28"/>
      <c r="K168" s="28" t="str">
        <f t="shared" si="8"/>
        <v/>
      </c>
      <c r="L168" s="22"/>
    </row>
    <row r="169" spans="1:14" ht="14.25" customHeight="1" x14ac:dyDescent="0.3">
      <c r="A169" s="16">
        <v>46196</v>
      </c>
      <c r="B169" s="17" t="s">
        <v>22</v>
      </c>
      <c r="C169" s="18">
        <v>1505</v>
      </c>
      <c r="D169" s="26">
        <v>0.1</v>
      </c>
      <c r="E169" s="26">
        <v>0.06</v>
      </c>
      <c r="F169" s="20">
        <f t="shared" si="5"/>
        <v>0.40000000000000008</v>
      </c>
      <c r="G169" s="21">
        <f t="shared" si="6"/>
        <v>60.20000000000001</v>
      </c>
      <c r="H169" s="20">
        <f>IFERROR(IF((C169+C170)=0,"",(C169*F169+C170*F170)/(C169+C170)),"")</f>
        <v>0.56025487853444855</v>
      </c>
      <c r="I169" s="20">
        <f t="shared" si="7"/>
        <v>0.27552509396418307</v>
      </c>
      <c r="J169" s="21">
        <f>IFERROR(IF(G169="","",G169+IF(G170="",0,G170)),"")</f>
        <v>301.64000000000004</v>
      </c>
      <c r="K169" s="21">
        <f t="shared" si="8"/>
        <v>-177.02000000000004</v>
      </c>
      <c r="L169" s="22">
        <v>124.62</v>
      </c>
    </row>
    <row r="170" spans="1:14" ht="14.25" customHeight="1" x14ac:dyDescent="0.3">
      <c r="A170" s="23">
        <v>46196</v>
      </c>
      <c r="B170" s="24" t="s">
        <v>23</v>
      </c>
      <c r="C170" s="25">
        <v>1006</v>
      </c>
      <c r="D170" s="26">
        <v>0.3</v>
      </c>
      <c r="E170" s="26">
        <v>0.06</v>
      </c>
      <c r="F170" s="20">
        <f t="shared" si="5"/>
        <v>0.8</v>
      </c>
      <c r="G170" s="21">
        <f t="shared" si="6"/>
        <v>241.44000000000003</v>
      </c>
      <c r="H170" s="27"/>
      <c r="I170" s="27" t="str">
        <f t="shared" si="7"/>
        <v/>
      </c>
      <c r="J170" s="28"/>
      <c r="K170" s="28" t="str">
        <f t="shared" si="8"/>
        <v/>
      </c>
      <c r="L170" s="22"/>
    </row>
    <row r="171" spans="1:14" ht="14.25" customHeight="1" x14ac:dyDescent="0.3">
      <c r="A171" s="16">
        <v>46197</v>
      </c>
      <c r="B171" s="17" t="s">
        <v>22</v>
      </c>
      <c r="C171" s="18">
        <v>981</v>
      </c>
      <c r="D171" s="26">
        <v>0.22</v>
      </c>
      <c r="E171" s="26">
        <v>0.1</v>
      </c>
      <c r="F171" s="20">
        <f t="shared" si="5"/>
        <v>0.54545454545454541</v>
      </c>
      <c r="G171" s="21">
        <f t="shared" si="6"/>
        <v>117.71999999999998</v>
      </c>
      <c r="H171" s="20">
        <f>IFERROR(IF((C171+C172)=0,"",(C171*F171+C172*F172)/(C171+C172)),"")</f>
        <v>0.66424500155015009</v>
      </c>
      <c r="I171" s="20">
        <f t="shared" si="7"/>
        <v>0.37175900797461486</v>
      </c>
      <c r="J171" s="21">
        <f>IFERROR(IF(G171="","",G171+IF(G172="",0,G172)),"")</f>
        <v>347.32</v>
      </c>
      <c r="K171" s="21">
        <f t="shared" si="8"/>
        <v>-169.23999999999998</v>
      </c>
      <c r="L171" s="22">
        <v>178.08</v>
      </c>
    </row>
    <row r="172" spans="1:14" ht="14.25" customHeight="1" x14ac:dyDescent="0.3">
      <c r="A172" s="23">
        <v>46197</v>
      </c>
      <c r="B172" s="24" t="s">
        <v>23</v>
      </c>
      <c r="C172" s="25">
        <v>560</v>
      </c>
      <c r="D172" s="26">
        <v>0.47</v>
      </c>
      <c r="E172" s="26">
        <v>0.06</v>
      </c>
      <c r="F172" s="20">
        <f t="shared" si="5"/>
        <v>0.87234042553191493</v>
      </c>
      <c r="G172" s="21">
        <f t="shared" si="6"/>
        <v>229.6</v>
      </c>
      <c r="H172" s="27"/>
      <c r="I172" s="27" t="str">
        <f t="shared" si="7"/>
        <v/>
      </c>
      <c r="J172" s="28"/>
      <c r="K172" s="28" t="str">
        <f t="shared" si="8"/>
        <v/>
      </c>
      <c r="L172" s="22"/>
    </row>
    <row r="173" spans="1:14" ht="14.25" customHeight="1" x14ac:dyDescent="0.3">
      <c r="A173" s="16">
        <v>46198</v>
      </c>
      <c r="B173" s="17" t="s">
        <v>22</v>
      </c>
      <c r="C173" s="18">
        <v>614</v>
      </c>
      <c r="D173" s="26">
        <v>0.23</v>
      </c>
      <c r="E173" s="26">
        <v>0.06</v>
      </c>
      <c r="F173" s="20">
        <f t="shared" si="5"/>
        <v>0.73913043478260876</v>
      </c>
      <c r="G173" s="21">
        <f t="shared" si="6"/>
        <v>104.38000000000001</v>
      </c>
      <c r="H173" s="20">
        <f>IFERROR(IF((C173+C174)=0,"",(C173*F173+C174*F174)/(C173+C174)),"")</f>
        <v>0.83082741426517781</v>
      </c>
      <c r="I173" s="20">
        <f t="shared" si="7"/>
        <v>0.20874164582393698</v>
      </c>
      <c r="J173" s="21">
        <f>IFERROR(IF(G173="","",G173+IF(G174="",0,G174)),"")</f>
        <v>622.53</v>
      </c>
      <c r="K173" s="21">
        <f t="shared" si="8"/>
        <v>-469.79999999999995</v>
      </c>
      <c r="L173" s="22">
        <v>152.72999999999999</v>
      </c>
    </row>
    <row r="174" spans="1:14" ht="14.25" customHeight="1" x14ac:dyDescent="0.3">
      <c r="A174" s="23">
        <v>46198</v>
      </c>
      <c r="B174" s="24" t="s">
        <v>23</v>
      </c>
      <c r="C174" s="25">
        <v>1205</v>
      </c>
      <c r="D174" s="26">
        <v>0.49</v>
      </c>
      <c r="E174" s="26">
        <v>0.06</v>
      </c>
      <c r="F174" s="20">
        <f t="shared" si="5"/>
        <v>0.87755102040816324</v>
      </c>
      <c r="G174" s="21">
        <f t="shared" si="6"/>
        <v>518.15</v>
      </c>
      <c r="H174" s="27"/>
      <c r="I174" s="27" t="str">
        <f t="shared" si="7"/>
        <v/>
      </c>
      <c r="J174" s="28"/>
      <c r="K174" s="28" t="str">
        <f t="shared" si="8"/>
        <v/>
      </c>
      <c r="L174" s="22"/>
    </row>
    <row r="175" spans="1:14" ht="14.25" customHeight="1" x14ac:dyDescent="0.3">
      <c r="A175" s="16">
        <v>46199</v>
      </c>
      <c r="B175" s="17" t="s">
        <v>22</v>
      </c>
      <c r="C175" s="18">
        <v>1585</v>
      </c>
      <c r="D175" s="26">
        <v>0.49</v>
      </c>
      <c r="E175" s="26">
        <v>0.61</v>
      </c>
      <c r="F175" s="20">
        <f t="shared" si="5"/>
        <v>-0.24489795918367346</v>
      </c>
      <c r="G175" s="21">
        <f t="shared" si="6"/>
        <v>-190.2</v>
      </c>
      <c r="H175" s="20">
        <f>IFERROR(IF((C175+C176)=0,"",(C175*F175+C176*F176)/(C175+C176)),"")</f>
        <v>8.0331637099893161E-2</v>
      </c>
      <c r="I175" s="20">
        <f t="shared" si="7"/>
        <v>0.17120982452534489</v>
      </c>
      <c r="J175" s="21">
        <f>IFERROR(IF(G175="","",G175+IF(G176="",0,G176)),"")</f>
        <v>-24.759999999999962</v>
      </c>
      <c r="K175" s="21">
        <f t="shared" si="8"/>
        <v>224.67999999999995</v>
      </c>
      <c r="L175" s="22">
        <v>199.92</v>
      </c>
    </row>
    <row r="176" spans="1:14" ht="14.25" customHeight="1" x14ac:dyDescent="0.3">
      <c r="A176" s="23">
        <v>46199</v>
      </c>
      <c r="B176" s="24" t="s">
        <v>23</v>
      </c>
      <c r="C176" s="25">
        <v>1504</v>
      </c>
      <c r="D176" s="26">
        <v>0.26</v>
      </c>
      <c r="E176" s="26">
        <v>0.15</v>
      </c>
      <c r="F176" s="20">
        <f t="shared" si="5"/>
        <v>0.42307692307692313</v>
      </c>
      <c r="G176" s="21">
        <f t="shared" si="6"/>
        <v>165.44000000000003</v>
      </c>
      <c r="H176" s="27"/>
      <c r="I176" s="27" t="str">
        <f t="shared" si="7"/>
        <v/>
      </c>
      <c r="J176" s="28"/>
      <c r="K176" s="28" t="str">
        <f t="shared" si="8"/>
        <v/>
      </c>
      <c r="L176" s="22"/>
    </row>
    <row r="177" spans="1:16" ht="14.25" customHeight="1" x14ac:dyDescent="0.3">
      <c r="A177" s="16">
        <v>46200</v>
      </c>
      <c r="B177" s="17" t="s">
        <v>22</v>
      </c>
      <c r="C177" s="18">
        <v>1465</v>
      </c>
      <c r="D177" s="26"/>
      <c r="E177" s="26"/>
      <c r="F177" s="20" t="str">
        <f t="shared" si="5"/>
        <v/>
      </c>
      <c r="G177" s="21" t="str">
        <f t="shared" si="6"/>
        <v/>
      </c>
      <c r="H177" s="20" t="str">
        <f>IFERROR(IF((C177+C178)=0,"",(C177*F177+C178*F178)/(C177+C178)),"")</f>
        <v/>
      </c>
      <c r="I177" s="20">
        <f t="shared" ref="I177:I208" si="9">IFERROR(IF(OR(L177="",L177=0,(C177+C178)=0),"",L177/((C177+C178)*IF((C177+C178)=0,1,(C177*D177+C178*D178)/(C177+C178)))),"")</f>
        <v>0.57012557919998919</v>
      </c>
      <c r="J177" s="21" t="str">
        <f>IFERROR(IF(G177="","",G177+IF(G178="",0,G178)),"")</f>
        <v/>
      </c>
      <c r="K177" s="21" t="str">
        <f t="shared" ref="K177:K208" si="10">IFERROR(IF(OR(L177="",J177=""),"",L177-J177),"")</f>
        <v/>
      </c>
      <c r="L177" s="22">
        <v>257.27999999999997</v>
      </c>
    </row>
    <row r="178" spans="1:16" ht="14.25" customHeight="1" x14ac:dyDescent="0.3">
      <c r="A178" s="23">
        <v>46200</v>
      </c>
      <c r="B178" s="24" t="s">
        <v>23</v>
      </c>
      <c r="C178" s="25">
        <v>1729</v>
      </c>
      <c r="D178" s="26">
        <v>0.26100000000000001</v>
      </c>
      <c r="E178" s="26">
        <v>0.7</v>
      </c>
      <c r="F178" s="20">
        <f t="shared" si="5"/>
        <v>-1.6819923371647507</v>
      </c>
      <c r="G178" s="21">
        <f t="shared" si="6"/>
        <v>-759.03099999999995</v>
      </c>
      <c r="H178" s="27"/>
      <c r="I178" s="27" t="str">
        <f t="shared" si="9"/>
        <v/>
      </c>
      <c r="J178" s="28"/>
      <c r="K178" s="28" t="str">
        <f t="shared" si="10"/>
        <v/>
      </c>
      <c r="L178" s="22"/>
    </row>
    <row r="179" spans="1:16" ht="14.25" customHeight="1" x14ac:dyDescent="0.3">
      <c r="A179" s="16">
        <v>46201</v>
      </c>
      <c r="B179" s="17" t="s">
        <v>22</v>
      </c>
      <c r="C179" s="18">
        <v>1080</v>
      </c>
      <c r="D179" s="26">
        <v>0.23</v>
      </c>
      <c r="E179" s="26">
        <v>0.09</v>
      </c>
      <c r="F179" s="20">
        <f t="shared" si="5"/>
        <v>0.60869565217391308</v>
      </c>
      <c r="G179" s="21">
        <f t="shared" si="6"/>
        <v>151.20000000000002</v>
      </c>
      <c r="H179" s="20">
        <f>IFERROR(IF((C179+C180)=0,"",(C179*F179+C180*F180)/(C179+C180)),"")</f>
        <v>0.64370784904577416</v>
      </c>
      <c r="I179" s="20">
        <f t="shared" si="9"/>
        <v>0.27883420333084763</v>
      </c>
      <c r="J179" s="21">
        <f>IFERROR(IF(G179="","",G179+IF(G180="",0,G180)),"")</f>
        <v>414.72</v>
      </c>
      <c r="K179" s="21">
        <f t="shared" si="10"/>
        <v>-235.24000000000004</v>
      </c>
      <c r="L179" s="22">
        <v>179.48</v>
      </c>
    </row>
    <row r="180" spans="1:16" ht="14.25" customHeight="1" x14ac:dyDescent="0.3">
      <c r="A180" s="23">
        <v>46201</v>
      </c>
      <c r="B180" s="24" t="s">
        <v>23</v>
      </c>
      <c r="C180" s="25">
        <v>1647</v>
      </c>
      <c r="D180" s="26">
        <v>0.24</v>
      </c>
      <c r="E180" s="26">
        <v>0.08</v>
      </c>
      <c r="F180" s="20">
        <f t="shared" si="5"/>
        <v>0.66666666666666663</v>
      </c>
      <c r="G180" s="21">
        <f t="shared" si="6"/>
        <v>263.52</v>
      </c>
      <c r="H180" s="27"/>
      <c r="I180" s="27" t="str">
        <f t="shared" si="9"/>
        <v/>
      </c>
      <c r="J180" s="28"/>
      <c r="K180" s="28" t="str">
        <f t="shared" si="10"/>
        <v/>
      </c>
      <c r="L180" s="22"/>
    </row>
    <row r="181" spans="1:16" ht="14.25" customHeight="1" x14ac:dyDescent="0.3">
      <c r="A181" s="16">
        <v>46202</v>
      </c>
      <c r="B181" s="17" t="s">
        <v>22</v>
      </c>
      <c r="C181" s="18">
        <v>1295</v>
      </c>
      <c r="D181" s="26">
        <v>0.27</v>
      </c>
      <c r="E181" s="26">
        <v>0.1</v>
      </c>
      <c r="F181" s="20">
        <f t="shared" si="5"/>
        <v>0.62962962962962965</v>
      </c>
      <c r="G181" s="21">
        <f t="shared" si="6"/>
        <v>220.15000000000003</v>
      </c>
      <c r="H181" s="20">
        <f>IFERROR(IF((C181+C182)=0,"",(C181*F181+C182*F182)/(C181+C182)),"")</f>
        <v>0.72049605252919846</v>
      </c>
      <c r="I181" s="20">
        <f t="shared" si="9"/>
        <v>0.22725817553182973</v>
      </c>
      <c r="J181" s="21">
        <f>IFERROR(IF(G181="","",G181+IF(G182="",0,G182)),"")</f>
        <v>914.94000000000028</v>
      </c>
      <c r="K181" s="21">
        <f t="shared" si="10"/>
        <v>-630.99000000000024</v>
      </c>
      <c r="L181" s="22">
        <v>283.95</v>
      </c>
      <c r="P181" t="s">
        <v>24</v>
      </c>
    </row>
    <row r="182" spans="1:16" ht="14.25" customHeight="1" x14ac:dyDescent="0.3">
      <c r="A182" s="23">
        <v>46202</v>
      </c>
      <c r="B182" s="24" t="s">
        <v>23</v>
      </c>
      <c r="C182" s="25">
        <v>2278</v>
      </c>
      <c r="D182" s="26">
        <v>0.39500000000000002</v>
      </c>
      <c r="E182" s="26">
        <v>0.09</v>
      </c>
      <c r="F182" s="20">
        <f t="shared" si="5"/>
        <v>0.77215189873417733</v>
      </c>
      <c r="G182" s="21">
        <f t="shared" si="6"/>
        <v>694.79000000000019</v>
      </c>
      <c r="H182" s="27"/>
      <c r="I182" s="27" t="str">
        <f t="shared" si="9"/>
        <v/>
      </c>
      <c r="J182" s="28"/>
      <c r="K182" s="28" t="str">
        <f t="shared" si="10"/>
        <v/>
      </c>
      <c r="L182" s="22"/>
    </row>
    <row r="183" spans="1:16" ht="14.25" customHeight="1" x14ac:dyDescent="0.3">
      <c r="A183" s="16">
        <v>46203</v>
      </c>
      <c r="B183" s="17" t="s">
        <v>16</v>
      </c>
      <c r="C183" s="18">
        <v>1616</v>
      </c>
      <c r="D183" s="26">
        <v>0.29099999999999998</v>
      </c>
      <c r="E183" s="26">
        <v>0.09</v>
      </c>
      <c r="F183" s="20">
        <f t="shared" si="5"/>
        <v>0.69072164948453607</v>
      </c>
      <c r="G183" s="21">
        <f t="shared" si="6"/>
        <v>324.81599999999997</v>
      </c>
      <c r="H183" s="20">
        <f>IFERROR(IF((C183+C184)=0,"",(C183*F183+C184*F184)/(C183+C184)),"")</f>
        <v>0.67995317403584143</v>
      </c>
      <c r="I183" s="20">
        <f t="shared" si="9"/>
        <v>0.74658688021448849</v>
      </c>
      <c r="J183" s="21">
        <f>IFERROR(IF(G183="","",G183+IF(G184="",0,G184)),"")</f>
        <v>617.10800000000006</v>
      </c>
      <c r="K183" s="21">
        <f t="shared" si="10"/>
        <v>60.111999999999966</v>
      </c>
      <c r="L183" s="22">
        <v>677.22</v>
      </c>
    </row>
    <row r="184" spans="1:16" ht="14.25" customHeight="1" x14ac:dyDescent="0.3">
      <c r="A184" s="23">
        <v>46203</v>
      </c>
      <c r="B184" s="24" t="s">
        <v>17</v>
      </c>
      <c r="C184" s="25">
        <v>1606</v>
      </c>
      <c r="D184" s="26">
        <v>0.27200000000000002</v>
      </c>
      <c r="E184" s="26">
        <v>0.09</v>
      </c>
      <c r="F184" s="20">
        <f t="shared" si="5"/>
        <v>0.66911764705882359</v>
      </c>
      <c r="G184" s="21">
        <f t="shared" si="6"/>
        <v>292.29200000000009</v>
      </c>
      <c r="H184" s="27"/>
      <c r="I184" s="27" t="str">
        <f t="shared" si="9"/>
        <v/>
      </c>
      <c r="J184" s="28"/>
      <c r="K184" s="28" t="str">
        <f t="shared" si="10"/>
        <v/>
      </c>
      <c r="L184" s="22"/>
    </row>
    <row r="185" spans="1:16" ht="14.25" customHeight="1" x14ac:dyDescent="0.3">
      <c r="A185" s="16">
        <v>46204</v>
      </c>
      <c r="B185" s="17" t="s">
        <v>16</v>
      </c>
      <c r="C185" s="18">
        <v>1246</v>
      </c>
      <c r="D185" s="26">
        <v>0.16400000000000001</v>
      </c>
      <c r="E185" s="26">
        <v>7.0000000000000007E-2</v>
      </c>
      <c r="F185" s="20">
        <f t="shared" si="5"/>
        <v>0.57317073170731703</v>
      </c>
      <c r="G185" s="21">
        <f t="shared" si="6"/>
        <v>117.12400000000001</v>
      </c>
      <c r="H185" s="20">
        <f>IFERROR(IF((C185+C186)=0,"",(C185*F185+C186*F186)/(C185+C186)),"")</f>
        <v>0.46266160736988277</v>
      </c>
      <c r="I185" s="20">
        <f t="shared" si="9"/>
        <v>0.54468374356038929</v>
      </c>
      <c r="J185" s="21">
        <f>IFERROR(IF(G185="","",G185+IF(G186="",0,G186)),"")</f>
        <v>157.80399999999997</v>
      </c>
      <c r="K185" s="21">
        <f t="shared" si="10"/>
        <v>24.896000000000015</v>
      </c>
      <c r="L185" s="22">
        <v>182.7</v>
      </c>
    </row>
    <row r="186" spans="1:16" ht="14.25" customHeight="1" x14ac:dyDescent="0.3">
      <c r="A186" s="23">
        <v>46204</v>
      </c>
      <c r="B186" s="24" t="s">
        <v>17</v>
      </c>
      <c r="C186" s="25">
        <v>904</v>
      </c>
      <c r="D186" s="26">
        <v>0.14499999999999999</v>
      </c>
      <c r="E186" s="26">
        <v>0.1</v>
      </c>
      <c r="F186" s="20">
        <f t="shared" si="5"/>
        <v>0.3103448275862068</v>
      </c>
      <c r="G186" s="21">
        <f t="shared" si="6"/>
        <v>40.679999999999978</v>
      </c>
      <c r="H186" s="27"/>
      <c r="I186" s="27" t="str">
        <f t="shared" si="9"/>
        <v/>
      </c>
      <c r="J186" s="28"/>
      <c r="K186" s="28" t="str">
        <f t="shared" si="10"/>
        <v/>
      </c>
      <c r="L186" s="22"/>
    </row>
    <row r="187" spans="1:16" ht="14.25" customHeight="1" x14ac:dyDescent="0.3">
      <c r="A187" s="16">
        <v>46205</v>
      </c>
      <c r="B187" s="17" t="s">
        <v>16</v>
      </c>
      <c r="C187" s="18">
        <v>862</v>
      </c>
      <c r="D187" s="26">
        <v>0.33200000000000002</v>
      </c>
      <c r="E187" s="26">
        <v>0.08</v>
      </c>
      <c r="F187" s="20">
        <f t="shared" si="5"/>
        <v>0.75903614457831325</v>
      </c>
      <c r="G187" s="21">
        <f t="shared" si="6"/>
        <v>217.22400000000002</v>
      </c>
      <c r="H187" s="20" t="str">
        <f>IFERROR(IF((C187+C188)=0,"",(C187*F187+C188*F188)/(C187+C188)),"")</f>
        <v/>
      </c>
      <c r="I187" s="20">
        <f t="shared" si="9"/>
        <v>0.40624213792525088</v>
      </c>
      <c r="J187" s="21">
        <f>IFERROR(IF(G187="","",G187+IF(G188="",0,G188)),"")</f>
        <v>217.22400000000002</v>
      </c>
      <c r="K187" s="21">
        <f t="shared" si="10"/>
        <v>-100.96400000000001</v>
      </c>
      <c r="L187" s="22">
        <v>116.26</v>
      </c>
    </row>
    <row r="188" spans="1:16" ht="14.25" customHeight="1" x14ac:dyDescent="0.3">
      <c r="A188" s="23">
        <v>46205</v>
      </c>
      <c r="B188" s="24" t="s">
        <v>17</v>
      </c>
      <c r="C188" s="25">
        <v>875</v>
      </c>
      <c r="D188" s="26"/>
      <c r="E188" s="26"/>
      <c r="F188" s="20" t="str">
        <f t="shared" si="5"/>
        <v/>
      </c>
      <c r="G188" s="21" t="str">
        <f t="shared" si="6"/>
        <v/>
      </c>
      <c r="H188" s="27"/>
      <c r="I188" s="27" t="str">
        <f t="shared" si="9"/>
        <v/>
      </c>
      <c r="J188" s="28"/>
      <c r="K188" s="28" t="str">
        <f t="shared" si="10"/>
        <v/>
      </c>
      <c r="L188" s="22"/>
    </row>
    <row r="189" spans="1:16" ht="14.25" customHeight="1" x14ac:dyDescent="0.3">
      <c r="A189" s="16">
        <v>46206</v>
      </c>
      <c r="B189" s="17" t="s">
        <v>16</v>
      </c>
      <c r="C189" s="18">
        <v>1205</v>
      </c>
      <c r="D189" s="26">
        <v>0.33</v>
      </c>
      <c r="E189" s="26">
        <v>0.1</v>
      </c>
      <c r="F189" s="20">
        <f t="shared" si="5"/>
        <v>0.69696969696969702</v>
      </c>
      <c r="G189" s="21">
        <f t="shared" si="6"/>
        <v>277.15000000000003</v>
      </c>
      <c r="H189" s="20">
        <f>IFERROR(IF((C189+C190)=0,"",(C189*F189+C190*F190)/(C189+C190)),"")</f>
        <v>0.64866492117676955</v>
      </c>
      <c r="I189" s="20">
        <f t="shared" si="9"/>
        <v>0.47784070909730891</v>
      </c>
      <c r="J189" s="21">
        <f>IFERROR(IF(G189="","",G189+IF(G190="",0,G190)),"")</f>
        <v>417.07000000000005</v>
      </c>
      <c r="K189" s="21">
        <f t="shared" si="10"/>
        <v>-118.41000000000003</v>
      </c>
      <c r="L189" s="22">
        <v>298.66000000000003</v>
      </c>
    </row>
    <row r="190" spans="1:16" ht="14.25" customHeight="1" x14ac:dyDescent="0.3">
      <c r="A190" s="23">
        <v>46206</v>
      </c>
      <c r="B190" s="24" t="s">
        <v>17</v>
      </c>
      <c r="C190" s="25">
        <v>1749</v>
      </c>
      <c r="D190" s="26">
        <v>0.13</v>
      </c>
      <c r="E190" s="26">
        <v>0.05</v>
      </c>
      <c r="F190" s="20">
        <f t="shared" si="5"/>
        <v>0.61538461538461542</v>
      </c>
      <c r="G190" s="21">
        <f t="shared" si="6"/>
        <v>139.92000000000002</v>
      </c>
      <c r="H190" s="27"/>
      <c r="I190" s="27" t="str">
        <f t="shared" si="9"/>
        <v/>
      </c>
      <c r="J190" s="28"/>
      <c r="K190" s="28" t="str">
        <f t="shared" si="10"/>
        <v/>
      </c>
      <c r="L190" s="22"/>
    </row>
    <row r="191" spans="1:16" ht="14.25" customHeight="1" x14ac:dyDescent="0.3">
      <c r="A191" s="16">
        <v>46207</v>
      </c>
      <c r="B191" s="17" t="s">
        <v>16</v>
      </c>
      <c r="C191" s="18">
        <v>1891</v>
      </c>
      <c r="D191" s="26">
        <v>0.28000000000000003</v>
      </c>
      <c r="E191" s="26">
        <v>0.06</v>
      </c>
      <c r="F191" s="20">
        <f t="shared" si="5"/>
        <v>0.7857142857142857</v>
      </c>
      <c r="G191" s="21">
        <f t="shared" si="6"/>
        <v>416.02</v>
      </c>
      <c r="H191" s="20">
        <f>IFERROR(IF((C191+C192)=0,"",(C191*F191+C192*F192)/(C191+C192)),"")</f>
        <v>0.63286783088348197</v>
      </c>
      <c r="I191" s="20">
        <f t="shared" si="9"/>
        <v>0.28025214011939265</v>
      </c>
      <c r="J191" s="21">
        <f>IFERROR(IF(G191="","",G191+IF(G192="",0,G192)),"")</f>
        <v>517.24</v>
      </c>
      <c r="K191" s="21">
        <f t="shared" si="10"/>
        <v>-307.39</v>
      </c>
      <c r="L191" s="22">
        <v>209.85</v>
      </c>
    </row>
    <row r="192" spans="1:16" ht="14.25" customHeight="1" x14ac:dyDescent="0.3">
      <c r="A192" s="23">
        <v>46207</v>
      </c>
      <c r="B192" s="24" t="s">
        <v>17</v>
      </c>
      <c r="C192" s="25">
        <v>1687</v>
      </c>
      <c r="D192" s="26">
        <v>0.13</v>
      </c>
      <c r="E192" s="26">
        <v>7.0000000000000007E-2</v>
      </c>
      <c r="F192" s="20">
        <f t="shared" si="5"/>
        <v>0.46153846153846151</v>
      </c>
      <c r="G192" s="21">
        <f t="shared" si="6"/>
        <v>101.22</v>
      </c>
      <c r="H192" s="27"/>
      <c r="I192" s="27" t="str">
        <f t="shared" si="9"/>
        <v/>
      </c>
      <c r="J192" s="28"/>
      <c r="K192" s="28" t="str">
        <f t="shared" si="10"/>
        <v/>
      </c>
      <c r="L192" s="22"/>
    </row>
    <row r="193" spans="1:12" ht="14.25" customHeight="1" x14ac:dyDescent="0.3">
      <c r="A193" s="16">
        <v>46208</v>
      </c>
      <c r="B193" s="17" t="s">
        <v>16</v>
      </c>
      <c r="C193" s="18">
        <v>1194</v>
      </c>
      <c r="D193" s="26">
        <v>0.16500000000000001</v>
      </c>
      <c r="E193" s="26">
        <v>7.0000000000000007E-2</v>
      </c>
      <c r="F193" s="20">
        <f t="shared" si="5"/>
        <v>0.57575757575757569</v>
      </c>
      <c r="G193" s="21">
        <f t="shared" si="6"/>
        <v>113.42999999999999</v>
      </c>
      <c r="H193" s="20">
        <f>IFERROR(IF((C193+C194)=0,"",(C193*F193+C194*F194)/(C193+C194)),"")</f>
        <v>0.67218336775879051</v>
      </c>
      <c r="I193" s="20">
        <f t="shared" si="9"/>
        <v>0.38478431797847246</v>
      </c>
      <c r="J193" s="21">
        <f>IFERROR(IF(G193="","",G193+IF(G194="",0,G194)),"")</f>
        <v>374.41500000000002</v>
      </c>
      <c r="K193" s="21">
        <f t="shared" si="10"/>
        <v>-161.53500000000003</v>
      </c>
      <c r="L193" s="22">
        <v>212.88</v>
      </c>
    </row>
    <row r="194" spans="1:12" ht="14.25" customHeight="1" x14ac:dyDescent="0.3">
      <c r="A194" s="23">
        <v>46208</v>
      </c>
      <c r="B194" s="24" t="s">
        <v>17</v>
      </c>
      <c r="C194" s="25">
        <v>1905</v>
      </c>
      <c r="D194" s="26">
        <v>0.187</v>
      </c>
      <c r="E194" s="26">
        <v>0.05</v>
      </c>
      <c r="F194" s="20">
        <f t="shared" si="5"/>
        <v>0.73262032085561501</v>
      </c>
      <c r="G194" s="21">
        <f t="shared" si="6"/>
        <v>260.98500000000001</v>
      </c>
      <c r="H194" s="27"/>
      <c r="I194" s="27" t="str">
        <f t="shared" si="9"/>
        <v/>
      </c>
      <c r="J194" s="28"/>
      <c r="K194" s="28" t="str">
        <f t="shared" si="10"/>
        <v/>
      </c>
      <c r="L194" s="22"/>
    </row>
    <row r="195" spans="1:12" ht="14.25" customHeight="1" x14ac:dyDescent="0.3">
      <c r="A195" s="16">
        <v>46209</v>
      </c>
      <c r="B195" s="17" t="s">
        <v>16</v>
      </c>
      <c r="C195" s="18">
        <v>2235</v>
      </c>
      <c r="D195" s="26">
        <v>0.245</v>
      </c>
      <c r="E195" s="26">
        <v>7.0000000000000007E-2</v>
      </c>
      <c r="F195" s="20">
        <f t="shared" ref="F195:F258" si="11">IFERROR(IF(D195=0,"",(D195-E195)/D195),"")</f>
        <v>0.7142857142857143</v>
      </c>
      <c r="G195" s="21">
        <f t="shared" ref="G195:G258" si="12">IFERROR(IF(OR(C195="",D195=0),"",C195*D195*F195),"")</f>
        <v>391.12500000000006</v>
      </c>
      <c r="H195" s="20">
        <f>IFERROR(IF((C195+C196)=0,"",(C195*F195+C196*F196)/(C195+C196)),"")</f>
        <v>0.75617540235860226</v>
      </c>
      <c r="I195" s="20">
        <f t="shared" si="9"/>
        <v>0.25015010786727065</v>
      </c>
      <c r="J195" s="21">
        <f>IFERROR(IF(G195="","",G195+IF(G196="",0,G196)),"")</f>
        <v>945.13799999999992</v>
      </c>
      <c r="K195" s="21">
        <f t="shared" si="10"/>
        <v>-636.00799999999992</v>
      </c>
      <c r="L195" s="22">
        <v>309.13</v>
      </c>
    </row>
    <row r="196" spans="1:12" ht="14.25" customHeight="1" x14ac:dyDescent="0.3">
      <c r="A196" s="23">
        <v>46209</v>
      </c>
      <c r="B196" s="24" t="s">
        <v>17</v>
      </c>
      <c r="C196" s="25">
        <v>1917</v>
      </c>
      <c r="D196" s="26">
        <v>0.35899999999999999</v>
      </c>
      <c r="E196" s="26">
        <v>7.0000000000000007E-2</v>
      </c>
      <c r="F196" s="20">
        <f t="shared" si="11"/>
        <v>0.80501392757660162</v>
      </c>
      <c r="G196" s="21">
        <f t="shared" si="12"/>
        <v>554.01299999999992</v>
      </c>
      <c r="H196" s="27"/>
      <c r="I196" s="27" t="str">
        <f t="shared" si="9"/>
        <v/>
      </c>
      <c r="J196" s="28"/>
      <c r="K196" s="28" t="str">
        <f t="shared" si="10"/>
        <v/>
      </c>
      <c r="L196" s="22"/>
    </row>
    <row r="197" spans="1:12" ht="14.25" customHeight="1" x14ac:dyDescent="0.3">
      <c r="A197" s="16">
        <v>46210</v>
      </c>
      <c r="B197" s="17" t="s">
        <v>16</v>
      </c>
      <c r="C197" s="18">
        <v>691</v>
      </c>
      <c r="D197" s="26">
        <v>0.3</v>
      </c>
      <c r="E197" s="26">
        <v>0.11</v>
      </c>
      <c r="F197" s="20">
        <f t="shared" si="11"/>
        <v>0.63333333333333341</v>
      </c>
      <c r="G197" s="21">
        <f t="shared" si="12"/>
        <v>131.29</v>
      </c>
      <c r="H197" s="20">
        <f>IFERROR(IF((C197+C198)=0,"",(C197*F197+C198*F198)/(C197+C198)),"")</f>
        <v>0.65205679639626923</v>
      </c>
      <c r="I197" s="20">
        <f t="shared" si="9"/>
        <v>0.54661129535412389</v>
      </c>
      <c r="J197" s="21">
        <f>IFERROR(IF(G197="","",G197+IF(G198="",0,G198)),"")</f>
        <v>664.8</v>
      </c>
      <c r="K197" s="21">
        <f t="shared" si="10"/>
        <v>-109.34999999999991</v>
      </c>
      <c r="L197" s="22">
        <v>555.45000000000005</v>
      </c>
    </row>
    <row r="198" spans="1:12" ht="14.25" customHeight="1" x14ac:dyDescent="0.3">
      <c r="A198" s="23">
        <v>46210</v>
      </c>
      <c r="B198" s="24" t="s">
        <v>17</v>
      </c>
      <c r="C198" s="25">
        <v>1721</v>
      </c>
      <c r="D198" s="26">
        <v>0.47</v>
      </c>
      <c r="E198" s="26">
        <v>0.16</v>
      </c>
      <c r="F198" s="20">
        <f t="shared" si="11"/>
        <v>0.65957446808510634</v>
      </c>
      <c r="G198" s="21">
        <f t="shared" si="12"/>
        <v>533.51</v>
      </c>
      <c r="H198" s="27"/>
      <c r="I198" s="27" t="str">
        <f t="shared" si="9"/>
        <v/>
      </c>
      <c r="J198" s="28"/>
      <c r="K198" s="28" t="str">
        <f t="shared" si="10"/>
        <v/>
      </c>
      <c r="L198" s="22"/>
    </row>
    <row r="199" spans="1:12" ht="14.25" customHeight="1" x14ac:dyDescent="0.3">
      <c r="A199" s="16">
        <v>46211</v>
      </c>
      <c r="B199" s="17" t="s">
        <v>16</v>
      </c>
      <c r="C199" s="18">
        <v>999</v>
      </c>
      <c r="D199" s="26">
        <v>0.68500000000000005</v>
      </c>
      <c r="E199" s="26">
        <v>0.14000000000000001</v>
      </c>
      <c r="F199" s="20">
        <f t="shared" si="11"/>
        <v>0.79562043795620441</v>
      </c>
      <c r="G199" s="21">
        <f t="shared" si="12"/>
        <v>544.45500000000004</v>
      </c>
      <c r="H199" s="20">
        <f>IFERROR(IF((C199+C200)=0,"",(C199*F199+C200*F200)/(C199+C200)),"")</f>
        <v>0.57870612432354585</v>
      </c>
      <c r="I199" s="20">
        <f t="shared" si="9"/>
        <v>0.35118420682591567</v>
      </c>
      <c r="J199" s="21">
        <f>IFERROR(IF(G199="","",G199+IF(G200="",0,G200)),"")</f>
        <v>744.73900000000003</v>
      </c>
      <c r="K199" s="21">
        <f t="shared" si="10"/>
        <v>-357.62900000000002</v>
      </c>
      <c r="L199" s="22">
        <v>387.11</v>
      </c>
    </row>
    <row r="200" spans="1:12" ht="14.25" customHeight="1" x14ac:dyDescent="0.3">
      <c r="A200" s="23">
        <v>46211</v>
      </c>
      <c r="B200" s="24" t="s">
        <v>17</v>
      </c>
      <c r="C200" s="25">
        <v>2177</v>
      </c>
      <c r="D200" s="26">
        <v>0.192</v>
      </c>
      <c r="E200" s="26">
        <v>0.1</v>
      </c>
      <c r="F200" s="20">
        <f t="shared" si="11"/>
        <v>0.47916666666666663</v>
      </c>
      <c r="G200" s="21">
        <f t="shared" si="12"/>
        <v>200.28399999999996</v>
      </c>
      <c r="H200" s="27"/>
      <c r="I200" s="27" t="str">
        <f t="shared" si="9"/>
        <v/>
      </c>
      <c r="J200" s="28"/>
      <c r="K200" s="28" t="str">
        <f t="shared" si="10"/>
        <v/>
      </c>
      <c r="L200" s="22"/>
    </row>
    <row r="201" spans="1:12" ht="14.25" customHeight="1" x14ac:dyDescent="0.3">
      <c r="A201" s="16">
        <v>46212</v>
      </c>
      <c r="B201" s="17" t="s">
        <v>16</v>
      </c>
      <c r="C201" s="18">
        <v>1539</v>
      </c>
      <c r="D201" s="26">
        <v>0.10199999999999999</v>
      </c>
      <c r="E201" s="26">
        <v>0.06</v>
      </c>
      <c r="F201" s="20">
        <f t="shared" si="11"/>
        <v>0.41176470588235292</v>
      </c>
      <c r="G201" s="21">
        <f t="shared" si="12"/>
        <v>64.637999999999991</v>
      </c>
      <c r="H201" s="20">
        <f>IFERROR(IF((C201+C202)=0,"",(C201*F201+C202*F202)/(C201+C202)),"")</f>
        <v>0.40458841417966074</v>
      </c>
      <c r="I201" s="20">
        <f t="shared" si="9"/>
        <v>0.78053098235255658</v>
      </c>
      <c r="J201" s="21">
        <f>IFERROR(IF(G201="","",G201+IF(G202="",0,G202)),"")</f>
        <v>160.91800000000001</v>
      </c>
      <c r="K201" s="21">
        <f t="shared" si="10"/>
        <v>149.48199999999997</v>
      </c>
      <c r="L201" s="22">
        <v>310.39999999999998</v>
      </c>
    </row>
    <row r="202" spans="1:12" ht="14.25" customHeight="1" x14ac:dyDescent="0.3">
      <c r="A202" s="23">
        <v>46212</v>
      </c>
      <c r="B202" s="24" t="s">
        <v>17</v>
      </c>
      <c r="C202" s="25">
        <v>2407</v>
      </c>
      <c r="D202" s="26">
        <v>0.1</v>
      </c>
      <c r="E202" s="26">
        <v>0.06</v>
      </c>
      <c r="F202" s="20">
        <f t="shared" si="11"/>
        <v>0.40000000000000008</v>
      </c>
      <c r="G202" s="21">
        <f t="shared" si="12"/>
        <v>96.28000000000003</v>
      </c>
      <c r="H202" s="27"/>
      <c r="I202" s="27" t="str">
        <f t="shared" si="9"/>
        <v/>
      </c>
      <c r="J202" s="28"/>
      <c r="K202" s="28" t="str">
        <f t="shared" si="10"/>
        <v/>
      </c>
      <c r="L202" s="22"/>
    </row>
    <row r="203" spans="1:12" ht="14.25" customHeight="1" x14ac:dyDescent="0.3">
      <c r="A203" s="16">
        <v>46213</v>
      </c>
      <c r="B203" s="17" t="s">
        <v>16</v>
      </c>
      <c r="C203" s="18">
        <v>1962</v>
      </c>
      <c r="D203" s="26">
        <v>1.2410000000000001</v>
      </c>
      <c r="E203" s="26">
        <v>0.1</v>
      </c>
      <c r="F203" s="20">
        <f t="shared" si="11"/>
        <v>0.91941982272360989</v>
      </c>
      <c r="G203" s="21">
        <f t="shared" si="12"/>
        <v>2238.6419999999998</v>
      </c>
      <c r="H203" s="20">
        <f>IFERROR(IF((C203+C204)=0,"",(C203*F203+C204*F204)/(C203+C204)),"")</f>
        <v>0.60914293227772898</v>
      </c>
      <c r="I203" s="20">
        <f t="shared" si="9"/>
        <v>0.13872083856305947</v>
      </c>
      <c r="J203" s="21">
        <f>IFERROR(IF(G203="","",G203+IF(G204="",0,G204)),"")</f>
        <v>2361.4429999999998</v>
      </c>
      <c r="K203" s="21">
        <f t="shared" si="10"/>
        <v>-1974.5029999999997</v>
      </c>
      <c r="L203" s="22">
        <v>386.94</v>
      </c>
    </row>
    <row r="204" spans="1:12" ht="14.25" customHeight="1" x14ac:dyDescent="0.3">
      <c r="A204" s="23">
        <v>46213</v>
      </c>
      <c r="B204" s="24" t="s">
        <v>17</v>
      </c>
      <c r="C204" s="25">
        <v>2317</v>
      </c>
      <c r="D204" s="26">
        <v>0.153</v>
      </c>
      <c r="E204" s="26">
        <v>0.1</v>
      </c>
      <c r="F204" s="20">
        <f t="shared" si="11"/>
        <v>0.34640522875816987</v>
      </c>
      <c r="G204" s="21">
        <f t="shared" si="12"/>
        <v>122.80099999999997</v>
      </c>
      <c r="H204" s="27"/>
      <c r="I204" s="27" t="str">
        <f t="shared" si="9"/>
        <v/>
      </c>
      <c r="J204" s="28"/>
      <c r="K204" s="28" t="str">
        <f t="shared" si="10"/>
        <v/>
      </c>
      <c r="L204" s="22"/>
    </row>
    <row r="205" spans="1:12" ht="14.25" customHeight="1" x14ac:dyDescent="0.3">
      <c r="A205" s="16">
        <v>46214</v>
      </c>
      <c r="B205" s="17" t="s">
        <v>16</v>
      </c>
      <c r="C205" s="18">
        <v>1714</v>
      </c>
      <c r="D205" s="26">
        <v>0.156</v>
      </c>
      <c r="E205" s="26">
        <v>0.1</v>
      </c>
      <c r="F205" s="20">
        <f t="shared" si="11"/>
        <v>0.35897435897435892</v>
      </c>
      <c r="G205" s="21">
        <f t="shared" si="12"/>
        <v>95.983999999999995</v>
      </c>
      <c r="H205" s="20">
        <f>IFERROR(IF((C205+C206)=0,"",(C205*F205+C206*F206)/(C205+C206)),"")</f>
        <v>0.55154931899718662</v>
      </c>
      <c r="I205" s="20">
        <f t="shared" si="9"/>
        <v>0.46324070738240308</v>
      </c>
      <c r="J205" s="21">
        <f>IFERROR(IF(G205="","",G205+IF(G206="",0,G206)),"")</f>
        <v>620.15599999999995</v>
      </c>
      <c r="K205" s="21">
        <f t="shared" si="10"/>
        <v>-146.97599999999994</v>
      </c>
      <c r="L205" s="22">
        <v>473.18</v>
      </c>
    </row>
    <row r="206" spans="1:12" ht="14.25" customHeight="1" x14ac:dyDescent="0.3">
      <c r="A206" s="23">
        <v>46214</v>
      </c>
      <c r="B206" s="24" t="s">
        <v>17</v>
      </c>
      <c r="C206" s="25">
        <v>2299</v>
      </c>
      <c r="D206" s="26">
        <v>0.32800000000000001</v>
      </c>
      <c r="E206" s="26">
        <v>0.1</v>
      </c>
      <c r="F206" s="20">
        <f t="shared" si="11"/>
        <v>0.69512195121951215</v>
      </c>
      <c r="G206" s="21">
        <f t="shared" si="12"/>
        <v>524.17199999999991</v>
      </c>
      <c r="H206" s="27"/>
      <c r="I206" s="27" t="str">
        <f t="shared" si="9"/>
        <v/>
      </c>
      <c r="J206" s="28"/>
      <c r="K206" s="28" t="str">
        <f t="shared" si="10"/>
        <v/>
      </c>
      <c r="L206" s="22"/>
    </row>
    <row r="207" spans="1:12" ht="14.25" customHeight="1" x14ac:dyDescent="0.3">
      <c r="A207" s="16">
        <v>46215</v>
      </c>
      <c r="B207" s="17" t="s">
        <v>16</v>
      </c>
      <c r="C207" s="18">
        <v>1124</v>
      </c>
      <c r="D207" s="26">
        <v>0.161</v>
      </c>
      <c r="E207" s="26">
        <v>0.05</v>
      </c>
      <c r="F207" s="20">
        <f t="shared" si="11"/>
        <v>0.68944099378881984</v>
      </c>
      <c r="G207" s="21">
        <f t="shared" si="12"/>
        <v>124.764</v>
      </c>
      <c r="H207" s="20">
        <f>IFERROR(IF((C207+C208)=0,"",(C207*F207+C208*F208)/(C207+C208)),"")</f>
        <v>0.23327263004775242</v>
      </c>
      <c r="I207" s="20">
        <f t="shared" si="9"/>
        <v>0.7356054372793035</v>
      </c>
      <c r="J207" s="21">
        <f>IFERROR(IF(G207="","",G207+IF(G208="",0,G208)),"")</f>
        <v>124.764</v>
      </c>
      <c r="K207" s="21">
        <f t="shared" si="10"/>
        <v>218.54599999999999</v>
      </c>
      <c r="L207" s="22">
        <v>343.31</v>
      </c>
    </row>
    <row r="208" spans="1:12" ht="14.25" customHeight="1" x14ac:dyDescent="0.3">
      <c r="A208" s="23">
        <v>46215</v>
      </c>
      <c r="B208" s="24" t="s">
        <v>17</v>
      </c>
      <c r="C208" s="25">
        <v>2198</v>
      </c>
      <c r="D208" s="26">
        <v>0.13</v>
      </c>
      <c r="E208" s="26">
        <v>0.13</v>
      </c>
      <c r="F208" s="20">
        <f t="shared" si="11"/>
        <v>0</v>
      </c>
      <c r="G208" s="21">
        <f t="shared" si="12"/>
        <v>0</v>
      </c>
      <c r="H208" s="27"/>
      <c r="I208" s="27" t="str">
        <f t="shared" si="9"/>
        <v/>
      </c>
      <c r="J208" s="28"/>
      <c r="K208" s="28" t="str">
        <f t="shared" si="10"/>
        <v/>
      </c>
      <c r="L208" s="22"/>
    </row>
    <row r="209" spans="1:12" ht="14.25" customHeight="1" x14ac:dyDescent="0.3">
      <c r="A209" s="16">
        <v>46216</v>
      </c>
      <c r="B209" s="17" t="s">
        <v>16</v>
      </c>
      <c r="C209" s="18">
        <v>1785</v>
      </c>
      <c r="D209" s="26">
        <v>0.111</v>
      </c>
      <c r="E209" s="26">
        <v>0.1</v>
      </c>
      <c r="F209" s="20">
        <f t="shared" si="11"/>
        <v>9.9099099099099058E-2</v>
      </c>
      <c r="G209" s="21">
        <f t="shared" si="12"/>
        <v>19.634999999999991</v>
      </c>
      <c r="H209" s="20">
        <f>IFERROR(IF((C209+C210)=0,"",(C209*F209+C210*F210)/(C209+C210)),"")</f>
        <v>0.39960293426183352</v>
      </c>
      <c r="I209" s="20">
        <f t="shared" ref="I209:I240" si="13">IFERROR(IF(OR(L209="",L209=0,(C209+C210)=0),"",L209/((C209+C210)*IF((C209+C210)=0,1,(C209*D209+C210*D210)/(C209+C210)))),"")</f>
        <v>1.4146468322047259</v>
      </c>
      <c r="J209" s="21">
        <f>IFERROR(IF(G209="","",G209+IF(G210="",0,G210)),"")</f>
        <v>230.93899999999996</v>
      </c>
      <c r="K209" s="21">
        <f t="shared" ref="K209:K240" si="14">IFERROR(IF(OR(L209="",J209=""),"",L209-J209),"")</f>
        <v>470.78100000000006</v>
      </c>
      <c r="L209" s="22">
        <v>701.72</v>
      </c>
    </row>
    <row r="210" spans="1:12" ht="14.25" customHeight="1" x14ac:dyDescent="0.3">
      <c r="A210" s="23">
        <v>46216</v>
      </c>
      <c r="B210" s="24" t="s">
        <v>17</v>
      </c>
      <c r="C210" s="25">
        <v>1732</v>
      </c>
      <c r="D210" s="26">
        <v>0.17199999999999999</v>
      </c>
      <c r="E210" s="26">
        <v>0.05</v>
      </c>
      <c r="F210" s="20">
        <f t="shared" si="11"/>
        <v>0.70930232558139528</v>
      </c>
      <c r="G210" s="21">
        <f t="shared" si="12"/>
        <v>211.30399999999997</v>
      </c>
      <c r="H210" s="27"/>
      <c r="I210" s="27" t="str">
        <f t="shared" si="13"/>
        <v/>
      </c>
      <c r="J210" s="28"/>
      <c r="K210" s="28" t="str">
        <f t="shared" si="14"/>
        <v/>
      </c>
      <c r="L210" s="22"/>
    </row>
    <row r="211" spans="1:12" ht="14.25" customHeight="1" x14ac:dyDescent="0.3">
      <c r="A211" s="16">
        <v>46217</v>
      </c>
      <c r="B211" s="17" t="s">
        <v>16</v>
      </c>
      <c r="C211" s="18">
        <v>1436</v>
      </c>
      <c r="D211" s="26">
        <v>0.14099999999999999</v>
      </c>
      <c r="E211" s="26">
        <v>0.05</v>
      </c>
      <c r="F211" s="20">
        <f t="shared" si="11"/>
        <v>0.64539007092198575</v>
      </c>
      <c r="G211" s="21">
        <f t="shared" si="12"/>
        <v>130.67599999999996</v>
      </c>
      <c r="H211" s="20">
        <f>IFERROR(IF((C211+C212)=0,"",(C211*F211+C212*F212)/(C211+C212)),"")</f>
        <v>0.53036304978151672</v>
      </c>
      <c r="I211" s="20">
        <f t="shared" si="13"/>
        <v>0.7301833626005636</v>
      </c>
      <c r="J211" s="21">
        <f>IFERROR(IF(G211="","",G211+IF(G212="",0,G212)),"")</f>
        <v>233.76599999999993</v>
      </c>
      <c r="K211" s="21">
        <f t="shared" si="14"/>
        <v>88.074000000000041</v>
      </c>
      <c r="L211" s="22">
        <v>321.83999999999997</v>
      </c>
    </row>
    <row r="212" spans="1:12" ht="14.25" customHeight="1" x14ac:dyDescent="0.3">
      <c r="A212" s="23">
        <v>46217</v>
      </c>
      <c r="B212" s="24" t="s">
        <v>17</v>
      </c>
      <c r="C212" s="25">
        <v>1690</v>
      </c>
      <c r="D212" s="26">
        <v>0.14099999999999999</v>
      </c>
      <c r="E212" s="26">
        <v>0.08</v>
      </c>
      <c r="F212" s="20">
        <f t="shared" si="11"/>
        <v>0.43262411347517726</v>
      </c>
      <c r="G212" s="21">
        <f t="shared" si="12"/>
        <v>103.08999999999997</v>
      </c>
      <c r="H212" s="27"/>
      <c r="I212" s="27" t="str">
        <f t="shared" si="13"/>
        <v/>
      </c>
      <c r="J212" s="28"/>
      <c r="K212" s="28" t="str">
        <f t="shared" si="14"/>
        <v/>
      </c>
      <c r="L212" s="22"/>
    </row>
    <row r="213" spans="1:12" ht="14.25" customHeight="1" x14ac:dyDescent="0.3">
      <c r="A213" s="16">
        <v>46218</v>
      </c>
      <c r="B213" s="17" t="s">
        <v>16</v>
      </c>
      <c r="C213" s="18">
        <v>1247</v>
      </c>
      <c r="D213" s="26">
        <v>0.29099999999999998</v>
      </c>
      <c r="E213" s="26">
        <v>0.08</v>
      </c>
      <c r="F213" s="20">
        <f t="shared" si="11"/>
        <v>0.72508591065292094</v>
      </c>
      <c r="G213" s="21">
        <f t="shared" si="12"/>
        <v>263.11699999999996</v>
      </c>
      <c r="H213" s="20">
        <f>IFERROR(IF((C213+C214)=0,"",(C213*F213+C214*F214)/(C213+C214)),"")</f>
        <v>0.43078618515549472</v>
      </c>
      <c r="I213" s="20">
        <f t="shared" si="13"/>
        <v>0.66649774772730819</v>
      </c>
      <c r="J213" s="21">
        <f>IFERROR(IF(G213="","",G213+IF(G214="",0,G214)),"")</f>
        <v>309.93459999999993</v>
      </c>
      <c r="K213" s="21">
        <f t="shared" si="14"/>
        <v>57.275400000000047</v>
      </c>
      <c r="L213" s="22">
        <v>367.21</v>
      </c>
    </row>
    <row r="214" spans="1:12" ht="14.25" customHeight="1" x14ac:dyDescent="0.3">
      <c r="A214" s="23">
        <v>46218</v>
      </c>
      <c r="B214" s="24" t="s">
        <v>17</v>
      </c>
      <c r="C214" s="25">
        <v>2018</v>
      </c>
      <c r="D214" s="26">
        <v>9.3200000000000005E-2</v>
      </c>
      <c r="E214" s="26">
        <v>7.0000000000000007E-2</v>
      </c>
      <c r="F214" s="20">
        <f t="shared" si="11"/>
        <v>0.24892703862660942</v>
      </c>
      <c r="G214" s="21">
        <f t="shared" si="12"/>
        <v>46.817599999999999</v>
      </c>
      <c r="H214" s="27"/>
      <c r="I214" s="27" t="str">
        <f t="shared" si="13"/>
        <v/>
      </c>
      <c r="J214" s="28"/>
      <c r="K214" s="28" t="str">
        <f t="shared" si="14"/>
        <v/>
      </c>
      <c r="L214" s="22"/>
    </row>
    <row r="215" spans="1:12" ht="14.25" customHeight="1" x14ac:dyDescent="0.3">
      <c r="A215" s="16">
        <v>46219</v>
      </c>
      <c r="B215" s="17" t="s">
        <v>16</v>
      </c>
      <c r="C215" s="18">
        <v>1401</v>
      </c>
      <c r="D215" s="26">
        <v>0.2306</v>
      </c>
      <c r="E215" s="26">
        <v>7.0000000000000007E-2</v>
      </c>
      <c r="F215" s="20">
        <f t="shared" si="11"/>
        <v>0.69644405897658279</v>
      </c>
      <c r="G215" s="21">
        <f t="shared" si="12"/>
        <v>225.00059999999999</v>
      </c>
      <c r="H215" s="20">
        <f>IFERROR(IF((C215+C216)=0,"",(C215*F215+C216*F216)/(C215+C216)),"")</f>
        <v>0.39404566887552361</v>
      </c>
      <c r="I215" s="20">
        <f t="shared" si="13"/>
        <v>0.57770508388518205</v>
      </c>
      <c r="J215" s="21">
        <f>IFERROR(IF(G215="","",G215+IF(G216="",0,G216)),"")</f>
        <v>232.25509999999997</v>
      </c>
      <c r="K215" s="21">
        <f t="shared" si="14"/>
        <v>11.914900000000017</v>
      </c>
      <c r="L215" s="22">
        <v>244.17</v>
      </c>
    </row>
    <row r="216" spans="1:12" ht="14.25" customHeight="1" x14ac:dyDescent="0.3">
      <c r="A216" s="23">
        <v>46219</v>
      </c>
      <c r="B216" s="24" t="s">
        <v>17</v>
      </c>
      <c r="C216" s="25">
        <v>1319</v>
      </c>
      <c r="D216" s="26">
        <v>7.5499999999999998E-2</v>
      </c>
      <c r="E216" s="26">
        <v>7.0000000000000007E-2</v>
      </c>
      <c r="F216" s="20">
        <f t="shared" si="11"/>
        <v>7.2847682119205184E-2</v>
      </c>
      <c r="G216" s="21">
        <f t="shared" si="12"/>
        <v>7.2544999999999877</v>
      </c>
      <c r="H216" s="27"/>
      <c r="I216" s="27" t="str">
        <f t="shared" si="13"/>
        <v/>
      </c>
      <c r="J216" s="28"/>
      <c r="K216" s="28" t="str">
        <f t="shared" si="14"/>
        <v/>
      </c>
      <c r="L216" s="22"/>
    </row>
    <row r="217" spans="1:12" ht="14.25" customHeight="1" x14ac:dyDescent="0.3">
      <c r="A217" s="16">
        <v>46220</v>
      </c>
      <c r="B217" s="17" t="s">
        <v>16</v>
      </c>
      <c r="C217" s="18">
        <v>1919</v>
      </c>
      <c r="D217" s="26">
        <v>3.1025</v>
      </c>
      <c r="E217" s="26">
        <v>0.09</v>
      </c>
      <c r="F217" s="20">
        <f t="shared" si="11"/>
        <v>0.97099113618049959</v>
      </c>
      <c r="G217" s="21">
        <f t="shared" si="12"/>
        <v>5780.9875000000002</v>
      </c>
      <c r="H217" s="20">
        <f>IFERROR(IF((C217+C218)=0,"",(C217*F217+C218*F218)/(C217+C218)),"")</f>
        <v>0.85115612915348815</v>
      </c>
      <c r="I217" s="20">
        <f t="shared" si="13"/>
        <v>0.14176913348818437</v>
      </c>
      <c r="J217" s="21">
        <f>IFERROR(IF(G217="","",G217+IF(G218="",0,G218)),"")</f>
        <v>6067.9723000000004</v>
      </c>
      <c r="K217" s="21">
        <f t="shared" si="14"/>
        <v>-5166.8023000000003</v>
      </c>
      <c r="L217" s="22">
        <v>901.17</v>
      </c>
    </row>
    <row r="218" spans="1:12" ht="14.25" customHeight="1" x14ac:dyDescent="0.3">
      <c r="A218" s="23">
        <v>46220</v>
      </c>
      <c r="B218" s="24" t="s">
        <v>17</v>
      </c>
      <c r="C218" s="25">
        <v>1656</v>
      </c>
      <c r="D218" s="26">
        <v>0.24329999999999999</v>
      </c>
      <c r="E218" s="26">
        <v>7.0000000000000007E-2</v>
      </c>
      <c r="F218" s="20">
        <f t="shared" si="11"/>
        <v>0.71228935470612409</v>
      </c>
      <c r="G218" s="21">
        <f t="shared" si="12"/>
        <v>286.98479999999995</v>
      </c>
      <c r="H218" s="27"/>
      <c r="I218" s="27" t="str">
        <f t="shared" si="13"/>
        <v/>
      </c>
      <c r="J218" s="28"/>
      <c r="K218" s="28" t="str">
        <f t="shared" si="14"/>
        <v/>
      </c>
      <c r="L218" s="22"/>
    </row>
    <row r="219" spans="1:12" ht="14.25" customHeight="1" x14ac:dyDescent="0.3">
      <c r="A219" s="16">
        <v>46221</v>
      </c>
      <c r="B219" s="17" t="s">
        <v>16</v>
      </c>
      <c r="C219" s="18">
        <v>1874</v>
      </c>
      <c r="D219" s="26">
        <v>0.53300000000000003</v>
      </c>
      <c r="E219" s="26">
        <v>0.08</v>
      </c>
      <c r="F219" s="20">
        <f t="shared" si="11"/>
        <v>0.84990619136960599</v>
      </c>
      <c r="G219" s="21">
        <f t="shared" si="12"/>
        <v>848.92200000000003</v>
      </c>
      <c r="H219" s="20">
        <f>IFERROR(IF((C219+C220)=0,"",(C219*F219+C220*F220)/(C219+C220)),"")</f>
        <v>0.84108590736053324</v>
      </c>
      <c r="I219" s="20">
        <f t="shared" si="13"/>
        <v>0.20449671213102213</v>
      </c>
      <c r="J219" s="21">
        <f>IFERROR(IF(G219="","",G219+IF(G220="",0,G220)),"")</f>
        <v>2440.6660000000002</v>
      </c>
      <c r="K219" s="21">
        <f t="shared" si="14"/>
        <v>-1846.2460000000001</v>
      </c>
      <c r="L219" s="22">
        <v>594.41999999999996</v>
      </c>
    </row>
    <row r="220" spans="1:12" ht="14.25" customHeight="1" x14ac:dyDescent="0.3">
      <c r="A220" s="23">
        <v>46221</v>
      </c>
      <c r="B220" s="24" t="s">
        <v>17</v>
      </c>
      <c r="C220" s="25">
        <v>2432</v>
      </c>
      <c r="D220" s="26">
        <v>0.78449999999999998</v>
      </c>
      <c r="E220" s="26">
        <v>0.13</v>
      </c>
      <c r="F220" s="20">
        <f t="shared" si="11"/>
        <v>0.83428935627788403</v>
      </c>
      <c r="G220" s="21">
        <f t="shared" si="12"/>
        <v>1591.7440000000001</v>
      </c>
      <c r="H220" s="27"/>
      <c r="I220" s="27" t="str">
        <f t="shared" si="13"/>
        <v/>
      </c>
      <c r="J220" s="28"/>
      <c r="K220" s="28" t="str">
        <f t="shared" si="14"/>
        <v/>
      </c>
      <c r="L220" s="22"/>
    </row>
    <row r="221" spans="1:12" ht="14.25" customHeight="1" x14ac:dyDescent="0.3">
      <c r="A221" s="16">
        <v>46222</v>
      </c>
      <c r="B221" s="17" t="s">
        <v>16</v>
      </c>
      <c r="C221" s="18">
        <v>2099</v>
      </c>
      <c r="D221" s="26">
        <v>0.2243</v>
      </c>
      <c r="E221" s="26">
        <v>0.09</v>
      </c>
      <c r="F221" s="20">
        <f t="shared" si="11"/>
        <v>0.59875167186803391</v>
      </c>
      <c r="G221" s="21">
        <f t="shared" si="12"/>
        <v>281.89570000000003</v>
      </c>
      <c r="H221" s="20">
        <f>IFERROR(IF((C221+C222)=0,"",(C221*F221+C222*F222)/(C221+C222)),"")</f>
        <v>0.59473803392807745</v>
      </c>
      <c r="I221" s="20">
        <f t="shared" si="13"/>
        <v>0.73809960252458673</v>
      </c>
      <c r="J221" s="21">
        <f>IFERROR(IF(G221="","",G221+IF(G222="",0,G222)),"")</f>
        <v>406.67079999999999</v>
      </c>
      <c r="K221" s="21">
        <f t="shared" si="14"/>
        <v>97.45920000000001</v>
      </c>
      <c r="L221" s="22">
        <v>504.13</v>
      </c>
    </row>
    <row r="222" spans="1:12" ht="14.25" customHeight="1" x14ac:dyDescent="0.3">
      <c r="A222" s="23">
        <v>46222</v>
      </c>
      <c r="B222" s="24" t="s">
        <v>17</v>
      </c>
      <c r="C222" s="25">
        <v>1249</v>
      </c>
      <c r="D222" s="26">
        <v>0.1699</v>
      </c>
      <c r="E222" s="26">
        <v>7.0000000000000007E-2</v>
      </c>
      <c r="F222" s="20">
        <f t="shared" si="11"/>
        <v>0.58799293702177746</v>
      </c>
      <c r="G222" s="21">
        <f t="shared" si="12"/>
        <v>124.77509999999998</v>
      </c>
      <c r="H222" s="27"/>
      <c r="I222" s="27" t="str">
        <f t="shared" si="13"/>
        <v/>
      </c>
      <c r="J222" s="28"/>
      <c r="K222" s="28" t="str">
        <f t="shared" si="14"/>
        <v/>
      </c>
      <c r="L222" s="22"/>
    </row>
    <row r="223" spans="1:12" ht="14.25" customHeight="1" x14ac:dyDescent="0.3">
      <c r="A223" s="16">
        <v>46223</v>
      </c>
      <c r="B223" s="17" t="s">
        <v>16</v>
      </c>
      <c r="C223" s="18">
        <v>1424</v>
      </c>
      <c r="D223" s="26">
        <v>0.3014</v>
      </c>
      <c r="E223" s="26">
        <v>0.05</v>
      </c>
      <c r="F223" s="20">
        <f t="shared" si="11"/>
        <v>0.834107498341075</v>
      </c>
      <c r="G223" s="21">
        <f t="shared" si="12"/>
        <v>357.99360000000001</v>
      </c>
      <c r="H223" s="20">
        <f>IFERROR(IF((C223+C224)=0,"",(C223*F223+C224*F224)/(C223+C224)),"")</f>
        <v>0.80288272187269005</v>
      </c>
      <c r="I223" s="20">
        <f t="shared" si="13"/>
        <v>0.58690197835741764</v>
      </c>
      <c r="J223" s="21">
        <f>IFERROR(IF(G223="","",G223+IF(G224="",0,G224)),"")</f>
        <v>581.16480000000001</v>
      </c>
      <c r="K223" s="21">
        <f t="shared" si="14"/>
        <v>-157.8648</v>
      </c>
      <c r="L223" s="22">
        <v>423.3</v>
      </c>
    </row>
    <row r="224" spans="1:12" ht="14.25" customHeight="1" x14ac:dyDescent="0.3">
      <c r="A224" s="23">
        <v>46223</v>
      </c>
      <c r="B224" s="24" t="s">
        <v>17</v>
      </c>
      <c r="C224" s="25">
        <v>1148</v>
      </c>
      <c r="D224" s="26">
        <v>0.25440000000000002</v>
      </c>
      <c r="E224" s="26">
        <v>0.06</v>
      </c>
      <c r="F224" s="20">
        <f t="shared" si="11"/>
        <v>0.76415094339622647</v>
      </c>
      <c r="G224" s="21">
        <f t="shared" si="12"/>
        <v>223.1712</v>
      </c>
      <c r="H224" s="27"/>
      <c r="I224" s="27" t="str">
        <f t="shared" si="13"/>
        <v/>
      </c>
      <c r="J224" s="28"/>
      <c r="K224" s="28" t="str">
        <f t="shared" si="14"/>
        <v/>
      </c>
      <c r="L224" s="22"/>
    </row>
    <row r="225" spans="1:12" ht="14.25" customHeight="1" x14ac:dyDescent="0.3">
      <c r="A225" s="16">
        <v>46224</v>
      </c>
      <c r="B225" s="17" t="s">
        <v>16</v>
      </c>
      <c r="C225" s="18">
        <v>1759</v>
      </c>
      <c r="D225" s="26">
        <v>0.23530000000000001</v>
      </c>
      <c r="E225" s="26">
        <v>0.12</v>
      </c>
      <c r="F225" s="20">
        <f t="shared" si="11"/>
        <v>0.49001274968125802</v>
      </c>
      <c r="G225" s="21">
        <f t="shared" si="12"/>
        <v>202.81270000000001</v>
      </c>
      <c r="H225" s="20" t="str">
        <f>IFERROR(IF((C225+C226)=0,"",(C225*F225+C226*F226)/(C225+C226)),"")</f>
        <v/>
      </c>
      <c r="I225" s="20">
        <f t="shared" si="13"/>
        <v>0.78334312250493932</v>
      </c>
      <c r="J225" s="21">
        <f>IFERROR(IF(G225="","",G225+IF(G226="",0,G226)),"")</f>
        <v>202.81270000000001</v>
      </c>
      <c r="K225" s="21">
        <f t="shared" si="14"/>
        <v>121.40730000000002</v>
      </c>
      <c r="L225" s="22">
        <v>324.22000000000003</v>
      </c>
    </row>
    <row r="226" spans="1:12" ht="14.25" customHeight="1" x14ac:dyDescent="0.3">
      <c r="A226" s="23">
        <v>46224</v>
      </c>
      <c r="B226" s="24" t="s">
        <v>17</v>
      </c>
      <c r="C226" s="25">
        <v>1538</v>
      </c>
      <c r="D226" s="26"/>
      <c r="E226" s="26"/>
      <c r="F226" s="20" t="str">
        <f t="shared" si="11"/>
        <v/>
      </c>
      <c r="G226" s="21" t="str">
        <f t="shared" si="12"/>
        <v/>
      </c>
      <c r="H226" s="27"/>
      <c r="I226" s="27" t="str">
        <f t="shared" si="13"/>
        <v/>
      </c>
      <c r="J226" s="28"/>
      <c r="K226" s="28" t="str">
        <f t="shared" si="14"/>
        <v/>
      </c>
      <c r="L226" s="22"/>
    </row>
    <row r="227" spans="1:12" ht="14.25" customHeight="1" x14ac:dyDescent="0.3">
      <c r="A227" s="16">
        <v>46225</v>
      </c>
      <c r="B227" s="17" t="s">
        <v>16</v>
      </c>
      <c r="C227" s="18">
        <v>1189</v>
      </c>
      <c r="D227" s="26">
        <v>0.16930000000000001</v>
      </c>
      <c r="E227" s="26">
        <v>7.0000000000000007E-2</v>
      </c>
      <c r="F227" s="20">
        <f t="shared" si="11"/>
        <v>0.5865327820437094</v>
      </c>
      <c r="G227" s="21">
        <f t="shared" si="12"/>
        <v>118.06770000000002</v>
      </c>
      <c r="H227" s="20">
        <f>IFERROR(IF((C227+C228)=0,"",(C227*F227+C228*F228)/(C227+C228)),"")</f>
        <v>0.72450172639341881</v>
      </c>
      <c r="I227" s="20">
        <f t="shared" si="13"/>
        <v>0.34698415767375662</v>
      </c>
      <c r="J227" s="21">
        <f>IFERROR(IF(G227="","",G227+IF(G228="",0,G228)),"")</f>
        <v>580.61910000000012</v>
      </c>
      <c r="K227" s="21">
        <f t="shared" si="14"/>
        <v>-316.08910000000014</v>
      </c>
      <c r="L227" s="22">
        <v>264.52999999999997</v>
      </c>
    </row>
    <row r="228" spans="1:12" ht="14.25" customHeight="1" x14ac:dyDescent="0.3">
      <c r="A228" s="23">
        <v>46225</v>
      </c>
      <c r="B228" s="24" t="s">
        <v>17</v>
      </c>
      <c r="C228" s="25">
        <v>1642</v>
      </c>
      <c r="D228" s="26">
        <v>0.3417</v>
      </c>
      <c r="E228" s="26">
        <v>0.06</v>
      </c>
      <c r="F228" s="20">
        <f t="shared" si="11"/>
        <v>0.82440737489025462</v>
      </c>
      <c r="G228" s="21">
        <f t="shared" si="12"/>
        <v>462.55140000000006</v>
      </c>
      <c r="H228" s="27"/>
      <c r="I228" s="27" t="str">
        <f t="shared" si="13"/>
        <v/>
      </c>
      <c r="J228" s="28"/>
      <c r="K228" s="28" t="str">
        <f t="shared" si="14"/>
        <v/>
      </c>
      <c r="L228" s="22"/>
    </row>
    <row r="229" spans="1:12" ht="14.25" customHeight="1" x14ac:dyDescent="0.3">
      <c r="A229" s="16">
        <v>46226</v>
      </c>
      <c r="B229" s="17" t="s">
        <v>16</v>
      </c>
      <c r="C229" s="18">
        <v>2181</v>
      </c>
      <c r="D229" s="26">
        <v>0.33160000000000001</v>
      </c>
      <c r="E229" s="26">
        <v>0.13</v>
      </c>
      <c r="F229" s="20">
        <f t="shared" si="11"/>
        <v>0.60796139927623638</v>
      </c>
      <c r="G229" s="21">
        <f t="shared" si="12"/>
        <v>439.68959999999998</v>
      </c>
      <c r="H229" s="20">
        <f>IFERROR(IF((C229+C230)=0,"",(C229*F229+C230*F230)/(C229+C230)),"")</f>
        <v>0.64319791473772348</v>
      </c>
      <c r="I229" s="20">
        <f t="shared" si="13"/>
        <v>0.59583788444101993</v>
      </c>
      <c r="J229" s="21">
        <f>IFERROR(IF(G229="","",G229+IF(G230="",0,G230)),"")</f>
        <v>691.62959999999998</v>
      </c>
      <c r="K229" s="21">
        <f t="shared" si="14"/>
        <v>-49.459600000000023</v>
      </c>
      <c r="L229" s="22">
        <v>642.16999999999996</v>
      </c>
    </row>
    <row r="230" spans="1:12" ht="14.25" customHeight="1" x14ac:dyDescent="0.3">
      <c r="A230" s="23">
        <v>46226</v>
      </c>
      <c r="B230" s="24" t="s">
        <v>17</v>
      </c>
      <c r="C230" s="25">
        <v>1140</v>
      </c>
      <c r="D230" s="26">
        <v>0.311</v>
      </c>
      <c r="E230" s="26">
        <v>0.09</v>
      </c>
      <c r="F230" s="20">
        <f t="shared" si="11"/>
        <v>0.71061093247588425</v>
      </c>
      <c r="G230" s="21">
        <f t="shared" si="12"/>
        <v>251.94000000000003</v>
      </c>
      <c r="H230" s="27"/>
      <c r="I230" s="27" t="str">
        <f t="shared" si="13"/>
        <v/>
      </c>
      <c r="J230" s="28"/>
      <c r="K230" s="28" t="str">
        <f t="shared" si="14"/>
        <v/>
      </c>
      <c r="L230" s="22"/>
    </row>
    <row r="231" spans="1:12" ht="14.25" customHeight="1" x14ac:dyDescent="0.3">
      <c r="A231" s="16">
        <v>46227</v>
      </c>
      <c r="B231" s="17" t="s">
        <v>16</v>
      </c>
      <c r="C231" s="18">
        <v>1528</v>
      </c>
      <c r="D231" s="26">
        <v>0.31979999999999997</v>
      </c>
      <c r="E231" s="26">
        <v>0.12</v>
      </c>
      <c r="F231" s="20">
        <f t="shared" si="11"/>
        <v>0.62476547842401498</v>
      </c>
      <c r="G231" s="21">
        <f t="shared" si="12"/>
        <v>305.29439999999994</v>
      </c>
      <c r="H231" s="20">
        <f>IFERROR(IF((C231+C232)=0,"",(C231*F231+C232*F232)/(C231+C232)),"")</f>
        <v>0.43437472309107045</v>
      </c>
      <c r="I231" s="20">
        <f t="shared" si="13"/>
        <v>1.0544735517289485</v>
      </c>
      <c r="J231" s="21">
        <f>IFERROR(IF(G231="","",G231+IF(G232="",0,G232)),"")</f>
        <v>328.44839999999994</v>
      </c>
      <c r="K231" s="21">
        <f t="shared" si="14"/>
        <v>297.41160000000008</v>
      </c>
      <c r="L231" s="22">
        <v>625.86</v>
      </c>
    </row>
    <row r="232" spans="1:12" ht="14.25" customHeight="1" x14ac:dyDescent="0.3">
      <c r="A232" s="23">
        <v>46227</v>
      </c>
      <c r="B232" s="24" t="s">
        <v>17</v>
      </c>
      <c r="C232" s="25">
        <v>1362</v>
      </c>
      <c r="D232" s="26">
        <v>7.6999999999999999E-2</v>
      </c>
      <c r="E232" s="26">
        <v>0.06</v>
      </c>
      <c r="F232" s="20">
        <f t="shared" si="11"/>
        <v>0.2207792207792208</v>
      </c>
      <c r="G232" s="21">
        <f t="shared" si="12"/>
        <v>23.154</v>
      </c>
      <c r="H232" s="27"/>
      <c r="I232" s="27" t="str">
        <f t="shared" si="13"/>
        <v/>
      </c>
      <c r="J232" s="28"/>
      <c r="K232" s="28" t="str">
        <f t="shared" si="14"/>
        <v/>
      </c>
      <c r="L232" s="22"/>
    </row>
    <row r="233" spans="1:12" ht="14.25" customHeight="1" x14ac:dyDescent="0.3">
      <c r="A233" s="16">
        <v>46228</v>
      </c>
      <c r="B233" s="17" t="s">
        <v>16</v>
      </c>
      <c r="C233" s="18">
        <v>1042</v>
      </c>
      <c r="D233" s="26">
        <v>9.8599999999999993E-2</v>
      </c>
      <c r="E233" s="26">
        <v>0.04</v>
      </c>
      <c r="F233" s="20">
        <f t="shared" si="11"/>
        <v>0.59432048681541583</v>
      </c>
      <c r="G233" s="21">
        <f t="shared" si="12"/>
        <v>61.061199999999992</v>
      </c>
      <c r="H233" s="20">
        <f>IFERROR(IF((C233+C234)=0,"",(C233*F233+C234*F234)/(C233+C234)),"")</f>
        <v>0.53154604773740388</v>
      </c>
      <c r="I233" s="20">
        <f t="shared" si="13"/>
        <v>0.70546673302185059</v>
      </c>
      <c r="J233" s="21">
        <f>IFERROR(IF(G233="","",G233+IF(G234="",0,G234)),"")</f>
        <v>132.0804</v>
      </c>
      <c r="K233" s="21">
        <f t="shared" si="14"/>
        <v>43.129600000000011</v>
      </c>
      <c r="L233" s="22">
        <v>175.21</v>
      </c>
    </row>
    <row r="234" spans="1:12" ht="14.25" customHeight="1" x14ac:dyDescent="0.3">
      <c r="A234" s="23">
        <v>46228</v>
      </c>
      <c r="B234" s="24" t="s">
        <v>17</v>
      </c>
      <c r="C234" s="25">
        <v>1492</v>
      </c>
      <c r="D234" s="26">
        <v>9.7600000000000006E-2</v>
      </c>
      <c r="E234" s="26">
        <v>0.05</v>
      </c>
      <c r="F234" s="20">
        <f t="shared" si="11"/>
        <v>0.48770491803278687</v>
      </c>
      <c r="G234" s="21">
        <f t="shared" si="12"/>
        <v>71.019199999999998</v>
      </c>
      <c r="H234" s="27"/>
      <c r="I234" s="27" t="str">
        <f t="shared" si="13"/>
        <v/>
      </c>
      <c r="J234" s="28"/>
      <c r="K234" s="28" t="str">
        <f t="shared" si="14"/>
        <v/>
      </c>
      <c r="L234" s="22"/>
    </row>
    <row r="235" spans="1:12" ht="14.25" customHeight="1" x14ac:dyDescent="0.3">
      <c r="A235" s="16">
        <v>46229</v>
      </c>
      <c r="B235" s="17" t="s">
        <v>16</v>
      </c>
      <c r="C235" s="18">
        <v>1940</v>
      </c>
      <c r="D235" s="26">
        <v>0.10730000000000001</v>
      </c>
      <c r="E235" s="26">
        <v>0.06</v>
      </c>
      <c r="F235" s="20">
        <f t="shared" si="11"/>
        <v>0.44082013047530294</v>
      </c>
      <c r="G235" s="21">
        <f t="shared" si="12"/>
        <v>91.762000000000015</v>
      </c>
      <c r="H235" s="20">
        <f>IFERROR(IF((C235+C236)=0,"",(C235*F235+C236*F236)/(C235+C236)),"")</f>
        <v>0.51030974936540241</v>
      </c>
      <c r="I235" s="20">
        <f t="shared" si="13"/>
        <v>0.67329653410849377</v>
      </c>
      <c r="J235" s="21">
        <f>IFERROR(IF(G235="","",G235+IF(G236="",0,G236)),"")</f>
        <v>264.99800000000005</v>
      </c>
      <c r="K235" s="21">
        <f t="shared" si="14"/>
        <v>78.731999999999971</v>
      </c>
      <c r="L235" s="22">
        <v>343.73</v>
      </c>
    </row>
    <row r="236" spans="1:12" ht="14.25" customHeight="1" x14ac:dyDescent="0.3">
      <c r="A236" s="23">
        <v>46229</v>
      </c>
      <c r="B236" s="24" t="s">
        <v>17</v>
      </c>
      <c r="C236" s="25">
        <v>2152</v>
      </c>
      <c r="D236" s="26">
        <v>0.14050000000000001</v>
      </c>
      <c r="E236" s="26">
        <v>0.06</v>
      </c>
      <c r="F236" s="20">
        <f t="shared" si="11"/>
        <v>0.57295373665480431</v>
      </c>
      <c r="G236" s="21">
        <f t="shared" si="12"/>
        <v>173.23600000000005</v>
      </c>
      <c r="H236" s="27"/>
      <c r="I236" s="27" t="str">
        <f t="shared" si="13"/>
        <v/>
      </c>
      <c r="J236" s="28"/>
      <c r="K236" s="28" t="str">
        <f t="shared" si="14"/>
        <v/>
      </c>
      <c r="L236" s="22"/>
    </row>
    <row r="237" spans="1:12" ht="14.25" customHeight="1" x14ac:dyDescent="0.3">
      <c r="A237" s="16">
        <v>46230</v>
      </c>
      <c r="B237" s="17" t="s">
        <v>16</v>
      </c>
      <c r="C237" s="18">
        <v>1427</v>
      </c>
      <c r="D237" s="26">
        <v>0.26829999999999998</v>
      </c>
      <c r="E237" s="26">
        <v>0.05</v>
      </c>
      <c r="F237" s="20">
        <f t="shared" si="11"/>
        <v>0.81364144614237799</v>
      </c>
      <c r="G237" s="21">
        <f t="shared" si="12"/>
        <v>311.51409999999998</v>
      </c>
      <c r="H237" s="20">
        <f>IFERROR(IF((C237+C238)=0,"",(C237*F237+C238*F238)/(C237+C238)),"")</f>
        <v>0.63872034157372759</v>
      </c>
      <c r="I237" s="20">
        <f t="shared" si="13"/>
        <v>0.32389871843605483</v>
      </c>
      <c r="J237" s="21">
        <f>IFERROR(IF(G237="","",G237+IF(G238="",0,G238)),"")</f>
        <v>418.97469999999998</v>
      </c>
      <c r="K237" s="21">
        <f t="shared" si="14"/>
        <v>-225.29469999999998</v>
      </c>
      <c r="L237" s="22">
        <v>193.68</v>
      </c>
    </row>
    <row r="238" spans="1:12" ht="14.25" customHeight="1" x14ac:dyDescent="0.3">
      <c r="A238" s="23">
        <v>46230</v>
      </c>
      <c r="B238" s="24" t="s">
        <v>17</v>
      </c>
      <c r="C238" s="25">
        <v>1794</v>
      </c>
      <c r="D238" s="26">
        <v>0.11990000000000001</v>
      </c>
      <c r="E238" s="26">
        <v>0.06</v>
      </c>
      <c r="F238" s="20">
        <f t="shared" si="11"/>
        <v>0.499582985821518</v>
      </c>
      <c r="G238" s="21">
        <f t="shared" si="12"/>
        <v>107.46060000000003</v>
      </c>
      <c r="H238" s="27"/>
      <c r="I238" s="27" t="str">
        <f t="shared" si="13"/>
        <v/>
      </c>
      <c r="J238" s="28"/>
      <c r="K238" s="28" t="str">
        <f t="shared" si="14"/>
        <v/>
      </c>
      <c r="L238" s="22"/>
    </row>
    <row r="239" spans="1:12" ht="14.25" customHeight="1" x14ac:dyDescent="0.3">
      <c r="A239" s="16">
        <v>46231</v>
      </c>
      <c r="B239" s="17" t="s">
        <v>16</v>
      </c>
      <c r="C239" s="18">
        <v>1566</v>
      </c>
      <c r="D239" s="26">
        <v>0.28179999999999999</v>
      </c>
      <c r="E239" s="26">
        <v>0.06</v>
      </c>
      <c r="F239" s="20">
        <f t="shared" si="11"/>
        <v>0.78708303761533005</v>
      </c>
      <c r="G239" s="21">
        <f t="shared" si="12"/>
        <v>347.33879999999999</v>
      </c>
      <c r="H239" s="20">
        <f>IFERROR(IF((C239+C240)=0,"",(C239*F239+C240*F240)/(C239+C240)),"")</f>
        <v>0.65130269720352452</v>
      </c>
      <c r="I239" s="20">
        <f t="shared" si="13"/>
        <v>0.42817274751176199</v>
      </c>
      <c r="J239" s="21">
        <f>IFERROR(IF(G239="","",G239+IF(G240="",0,G240)),"")</f>
        <v>447.11720000000003</v>
      </c>
      <c r="K239" s="21">
        <f t="shared" si="14"/>
        <v>-170.7072</v>
      </c>
      <c r="L239" s="22">
        <v>276.41000000000003</v>
      </c>
    </row>
    <row r="240" spans="1:12" ht="14.25" customHeight="1" x14ac:dyDescent="0.3">
      <c r="A240" s="23">
        <v>46231</v>
      </c>
      <c r="B240" s="24" t="s">
        <v>17</v>
      </c>
      <c r="C240" s="25">
        <v>1306</v>
      </c>
      <c r="D240" s="26">
        <v>0.15640000000000001</v>
      </c>
      <c r="E240" s="26">
        <v>0.08</v>
      </c>
      <c r="F240" s="20">
        <f t="shared" si="11"/>
        <v>0.48849104859335041</v>
      </c>
      <c r="G240" s="21">
        <f t="shared" si="12"/>
        <v>99.778400000000019</v>
      </c>
      <c r="H240" s="27"/>
      <c r="I240" s="27" t="str">
        <f t="shared" si="13"/>
        <v/>
      </c>
      <c r="J240" s="28"/>
      <c r="K240" s="28" t="str">
        <f t="shared" si="14"/>
        <v/>
      </c>
      <c r="L240" s="22"/>
    </row>
    <row r="241" spans="1:12" ht="14.25" customHeight="1" x14ac:dyDescent="0.3">
      <c r="A241" s="16">
        <v>46232</v>
      </c>
      <c r="B241" s="17" t="s">
        <v>16</v>
      </c>
      <c r="C241" s="18">
        <v>822</v>
      </c>
      <c r="D241" s="26">
        <v>0.19500000000000001</v>
      </c>
      <c r="E241" s="26">
        <v>7.0000000000000007E-2</v>
      </c>
      <c r="F241" s="20">
        <f t="shared" si="11"/>
        <v>0.64102564102564097</v>
      </c>
      <c r="G241" s="21">
        <f t="shared" si="12"/>
        <v>102.74999999999999</v>
      </c>
      <c r="H241" s="20">
        <f>IFERROR(IF((C241+C242)=0,"",(C241*F241+C242*F242)/(C241+C242)),"")</f>
        <v>0.79478150363684663</v>
      </c>
      <c r="I241" s="20">
        <f t="shared" ref="I241:I272" si="15">IFERROR(IF(OR(L241="",L241=0,(C241+C242)=0),"",L241/((C241+C242)*IF((C241+C242)=0,1,(C241*D241+C242*D242)/(C241+C242)))),"")</f>
        <v>0.40131768142247831</v>
      </c>
      <c r="J241" s="21">
        <f>IFERROR(IF(G241="","",G241+IF(G242="",0,G242)),"")</f>
        <v>1281.2505000000001</v>
      </c>
      <c r="K241" s="21">
        <f t="shared" ref="K241:K272" si="16">IFERROR(IF(OR(L241="",J241=""),"",L241-J241),"")</f>
        <v>-667.92050000000006</v>
      </c>
      <c r="L241" s="22">
        <v>613.33000000000004</v>
      </c>
    </row>
    <row r="242" spans="1:12" ht="14.25" customHeight="1" x14ac:dyDescent="0.3">
      <c r="A242" s="23">
        <v>46232</v>
      </c>
      <c r="B242" s="24" t="s">
        <v>17</v>
      </c>
      <c r="C242" s="25">
        <v>1895</v>
      </c>
      <c r="D242" s="26">
        <v>0.72189999999999999</v>
      </c>
      <c r="E242" s="26">
        <v>0.1</v>
      </c>
      <c r="F242" s="20">
        <f t="shared" si="11"/>
        <v>0.86147665881701074</v>
      </c>
      <c r="G242" s="21">
        <f t="shared" si="12"/>
        <v>1178.5005000000001</v>
      </c>
      <c r="H242" s="27"/>
      <c r="I242" s="27" t="str">
        <f t="shared" si="15"/>
        <v/>
      </c>
      <c r="J242" s="28"/>
      <c r="K242" s="28" t="str">
        <f t="shared" si="16"/>
        <v/>
      </c>
      <c r="L242" s="22"/>
    </row>
    <row r="243" spans="1:12" ht="14.25" customHeight="1" x14ac:dyDescent="0.3">
      <c r="A243" s="16">
        <v>46233</v>
      </c>
      <c r="B243" s="17" t="s">
        <v>16</v>
      </c>
      <c r="C243" s="18">
        <v>1167</v>
      </c>
      <c r="D243" s="26">
        <v>0.312</v>
      </c>
      <c r="E243" s="26">
        <v>0.1</v>
      </c>
      <c r="F243" s="20">
        <f t="shared" si="11"/>
        <v>0.67948717948717952</v>
      </c>
      <c r="G243" s="21">
        <f t="shared" si="12"/>
        <v>247.404</v>
      </c>
      <c r="H243" s="20">
        <f>IFERROR(IF((C243+C244)=0,"",(C243*F243+C244*F244)/(C243+C244)),"")</f>
        <v>0.59613664554000334</v>
      </c>
      <c r="I243" s="20">
        <f t="shared" si="15"/>
        <v>0.62556426960327693</v>
      </c>
      <c r="J243" s="21">
        <f>IFERROR(IF(G243="","",G243+IF(G244="",0,G244)),"")</f>
        <v>474.35519999999997</v>
      </c>
      <c r="K243" s="21">
        <f t="shared" si="16"/>
        <v>13.994800000000055</v>
      </c>
      <c r="L243" s="22">
        <v>488.35</v>
      </c>
    </row>
    <row r="244" spans="1:12" ht="14.25" customHeight="1" x14ac:dyDescent="0.3">
      <c r="A244" s="23">
        <v>46233</v>
      </c>
      <c r="B244" s="24" t="s">
        <v>17</v>
      </c>
      <c r="C244" s="25">
        <v>1896</v>
      </c>
      <c r="D244" s="26">
        <v>0.21970000000000001</v>
      </c>
      <c r="E244" s="26">
        <v>0.1</v>
      </c>
      <c r="F244" s="20">
        <f t="shared" si="11"/>
        <v>0.54483386436049153</v>
      </c>
      <c r="G244" s="21">
        <f t="shared" si="12"/>
        <v>226.95119999999997</v>
      </c>
      <c r="H244" s="27"/>
      <c r="I244" s="27" t="str">
        <f t="shared" si="15"/>
        <v/>
      </c>
      <c r="J244" s="28"/>
      <c r="K244" s="28" t="str">
        <f t="shared" si="16"/>
        <v/>
      </c>
      <c r="L244" s="22"/>
    </row>
    <row r="245" spans="1:12" ht="14.25" customHeight="1" x14ac:dyDescent="0.3">
      <c r="A245" s="16">
        <v>46234</v>
      </c>
      <c r="B245" s="17" t="s">
        <v>16</v>
      </c>
      <c r="C245" s="18">
        <v>1728</v>
      </c>
      <c r="D245" s="26">
        <v>0.31080000000000002</v>
      </c>
      <c r="E245" s="26">
        <v>0.06</v>
      </c>
      <c r="F245" s="20">
        <f t="shared" si="11"/>
        <v>0.806949806949807</v>
      </c>
      <c r="G245" s="21">
        <f t="shared" si="12"/>
        <v>433.38240000000008</v>
      </c>
      <c r="H245" s="20">
        <f>IFERROR(IF((C245+C246)=0,"",(C245*F245+C246*F246)/(C245+C246)),"")</f>
        <v>0.62600017657308005</v>
      </c>
      <c r="I245" s="20">
        <f t="shared" si="15"/>
        <v>0.55029824994217569</v>
      </c>
      <c r="J245" s="21">
        <f>IFERROR(IF(G245="","",G245+IF(G246="",0,G246)),"")</f>
        <v>674.89140000000009</v>
      </c>
      <c r="K245" s="21">
        <f t="shared" si="16"/>
        <v>-103.41140000000007</v>
      </c>
      <c r="L245" s="22">
        <v>571.48</v>
      </c>
    </row>
    <row r="246" spans="1:12" ht="14.25" customHeight="1" x14ac:dyDescent="0.3">
      <c r="A246" s="23">
        <v>46234</v>
      </c>
      <c r="B246" s="24" t="s">
        <v>17</v>
      </c>
      <c r="C246" s="25">
        <v>2166</v>
      </c>
      <c r="D246" s="26">
        <v>0.23150000000000001</v>
      </c>
      <c r="E246" s="26">
        <v>0.12</v>
      </c>
      <c r="F246" s="20">
        <f t="shared" si="11"/>
        <v>0.48164146868250546</v>
      </c>
      <c r="G246" s="21">
        <f t="shared" si="12"/>
        <v>241.50900000000004</v>
      </c>
      <c r="H246" s="27"/>
      <c r="I246" s="27" t="str">
        <f t="shared" si="15"/>
        <v/>
      </c>
      <c r="J246" s="28"/>
      <c r="K246" s="28" t="str">
        <f t="shared" si="16"/>
        <v/>
      </c>
      <c r="L246" s="22"/>
    </row>
    <row r="247" spans="1:12" ht="14.25" customHeight="1" x14ac:dyDescent="0.3">
      <c r="A247" s="16">
        <v>46235</v>
      </c>
      <c r="B247" s="17" t="s">
        <v>16</v>
      </c>
      <c r="C247" s="18">
        <v>1369</v>
      </c>
      <c r="D247" s="26">
        <v>0.24629999999999999</v>
      </c>
      <c r="E247" s="26">
        <v>0.08</v>
      </c>
      <c r="F247" s="20">
        <f t="shared" si="11"/>
        <v>0.67519285424279341</v>
      </c>
      <c r="G247" s="21">
        <f t="shared" si="12"/>
        <v>227.66470000000001</v>
      </c>
      <c r="H247" s="20">
        <f>IFERROR(IF((C247+C248)=0,"",(C247*F247+C248*F248)/(C247+C248)),"")</f>
        <v>0.63948744644648514</v>
      </c>
      <c r="I247" s="20">
        <f t="shared" si="15"/>
        <v>0.58403514723580574</v>
      </c>
      <c r="J247" s="21">
        <f>IFERROR(IF(G247="","",G247+IF(G248="",0,G248)),"")</f>
        <v>398.76239999999996</v>
      </c>
      <c r="K247" s="21">
        <f t="shared" si="16"/>
        <v>-36.54239999999993</v>
      </c>
      <c r="L247" s="22">
        <v>362.22</v>
      </c>
    </row>
    <row r="248" spans="1:12" ht="14.25" customHeight="1" x14ac:dyDescent="0.3">
      <c r="A248" s="23">
        <v>46235</v>
      </c>
      <c r="B248" s="24" t="s">
        <v>17</v>
      </c>
      <c r="C248" s="25">
        <v>1399</v>
      </c>
      <c r="D248" s="26">
        <v>0.20230000000000001</v>
      </c>
      <c r="E248" s="26">
        <v>0.08</v>
      </c>
      <c r="F248" s="20">
        <f t="shared" si="11"/>
        <v>0.60454770143351455</v>
      </c>
      <c r="G248" s="21">
        <f t="shared" si="12"/>
        <v>171.09769999999997</v>
      </c>
      <c r="H248" s="27"/>
      <c r="I248" s="27" t="str">
        <f t="shared" si="15"/>
        <v/>
      </c>
      <c r="J248" s="28"/>
      <c r="K248" s="28" t="str">
        <f t="shared" si="16"/>
        <v/>
      </c>
      <c r="L248" s="22"/>
    </row>
    <row r="249" spans="1:12" ht="14.25" customHeight="1" x14ac:dyDescent="0.3">
      <c r="A249" s="16">
        <v>46236</v>
      </c>
      <c r="B249" s="17" t="s">
        <v>16</v>
      </c>
      <c r="C249" s="18">
        <v>1315</v>
      </c>
      <c r="D249" s="26">
        <v>0.26669999999999999</v>
      </c>
      <c r="E249" s="26">
        <v>7.0000000000000007E-2</v>
      </c>
      <c r="F249" s="20">
        <f t="shared" si="11"/>
        <v>0.73753280839895008</v>
      </c>
      <c r="G249" s="21">
        <f t="shared" si="12"/>
        <v>258.66049999999996</v>
      </c>
      <c r="H249" s="20">
        <f>IFERROR(IF((C249+C250)=0,"",(C249*F249+C250*F250)/(C249+C250)),"")</f>
        <v>0.63845038693834766</v>
      </c>
      <c r="I249" s="20">
        <f t="shared" si="15"/>
        <v>0.74859477707764654</v>
      </c>
      <c r="J249" s="21">
        <f>IFERROR(IF(G249="","",G249+IF(G250="",0,G250)),"")</f>
        <v>319.23799999999994</v>
      </c>
      <c r="K249" s="21">
        <f t="shared" si="16"/>
        <v>32.892000000000053</v>
      </c>
      <c r="L249" s="22">
        <v>352.13</v>
      </c>
    </row>
    <row r="250" spans="1:12" ht="14.25" customHeight="1" x14ac:dyDescent="0.3">
      <c r="A250" s="23">
        <v>46236</v>
      </c>
      <c r="B250" s="24" t="s">
        <v>17</v>
      </c>
      <c r="C250" s="25">
        <v>985</v>
      </c>
      <c r="D250" s="26">
        <v>0.1215</v>
      </c>
      <c r="E250" s="26">
        <v>0.06</v>
      </c>
      <c r="F250" s="20">
        <f t="shared" si="11"/>
        <v>0.50617283950617287</v>
      </c>
      <c r="G250" s="21">
        <f t="shared" si="12"/>
        <v>60.577500000000001</v>
      </c>
      <c r="H250" s="27"/>
      <c r="I250" s="27" t="str">
        <f t="shared" si="15"/>
        <v/>
      </c>
      <c r="J250" s="28"/>
      <c r="K250" s="28" t="str">
        <f t="shared" si="16"/>
        <v/>
      </c>
      <c r="L250" s="22"/>
    </row>
    <row r="251" spans="1:12" ht="14.25" customHeight="1" x14ac:dyDescent="0.3">
      <c r="A251" s="16">
        <v>46237</v>
      </c>
      <c r="B251" s="17" t="s">
        <v>16</v>
      </c>
      <c r="C251" s="18">
        <v>1264</v>
      </c>
      <c r="D251" s="26">
        <v>0.20610000000000001</v>
      </c>
      <c r="E251" s="26">
        <v>7.0000000000000007E-2</v>
      </c>
      <c r="F251" s="20">
        <f t="shared" si="11"/>
        <v>0.66035904900533715</v>
      </c>
      <c r="G251" s="21">
        <f t="shared" si="12"/>
        <v>172.03039999999999</v>
      </c>
      <c r="H251" s="20">
        <f>IFERROR(IF((C251+C252)=0,"",(C251*F251+C252*F252)/(C251+C252)),"")</f>
        <v>0.66299919586551936</v>
      </c>
      <c r="I251" s="20">
        <f t="shared" si="15"/>
        <v>0.78029821285518819</v>
      </c>
      <c r="J251" s="21">
        <f>IFERROR(IF(G251="","",G251+IF(G252="",0,G252)),"")</f>
        <v>314.47059999999999</v>
      </c>
      <c r="K251" s="21">
        <f t="shared" si="16"/>
        <v>55.859399999999994</v>
      </c>
      <c r="L251" s="22">
        <v>370.33</v>
      </c>
    </row>
    <row r="252" spans="1:12" ht="14.25" customHeight="1" x14ac:dyDescent="0.3">
      <c r="A252" s="23">
        <v>46237</v>
      </c>
      <c r="B252" s="24" t="s">
        <v>17</v>
      </c>
      <c r="C252" s="25">
        <v>1433</v>
      </c>
      <c r="D252" s="26">
        <v>0.14940000000000001</v>
      </c>
      <c r="E252" s="26">
        <v>0.05</v>
      </c>
      <c r="F252" s="20">
        <f t="shared" si="11"/>
        <v>0.66532797858099058</v>
      </c>
      <c r="G252" s="21">
        <f t="shared" si="12"/>
        <v>142.4402</v>
      </c>
      <c r="H252" s="27"/>
      <c r="I252" s="27" t="str">
        <f t="shared" si="15"/>
        <v/>
      </c>
      <c r="J252" s="28"/>
      <c r="K252" s="28" t="str">
        <f t="shared" si="16"/>
        <v/>
      </c>
      <c r="L252" s="22"/>
    </row>
    <row r="253" spans="1:12" ht="14.25" customHeight="1" x14ac:dyDescent="0.3">
      <c r="A253" s="16">
        <v>46238</v>
      </c>
      <c r="B253" s="17" t="s">
        <v>16</v>
      </c>
      <c r="C253" s="18">
        <v>1440</v>
      </c>
      <c r="D253" s="26">
        <v>0.21010000000000001</v>
      </c>
      <c r="E253" s="26">
        <v>0.1</v>
      </c>
      <c r="F253" s="20">
        <f t="shared" si="11"/>
        <v>0.52403617325083296</v>
      </c>
      <c r="G253" s="21">
        <f t="shared" si="12"/>
        <v>158.54400000000004</v>
      </c>
      <c r="H253" s="20">
        <f>IFERROR(IF((C253+C254)=0,"",(C253*F253+C254*F254)/(C253+C254)),"")</f>
        <v>0.53548957429609612</v>
      </c>
      <c r="I253" s="20">
        <f t="shared" si="15"/>
        <v>0.65863844098646751</v>
      </c>
      <c r="J253" s="21">
        <f>IFERROR(IF(G253="","",G253+IF(G254="",0,G254)),"")</f>
        <v>379.26050000000004</v>
      </c>
      <c r="K253" s="21">
        <f t="shared" si="16"/>
        <v>87.029499999999985</v>
      </c>
      <c r="L253" s="22">
        <v>466.29</v>
      </c>
    </row>
    <row r="254" spans="1:12" ht="14.25" customHeight="1" x14ac:dyDescent="0.3">
      <c r="A254" s="23">
        <v>46238</v>
      </c>
      <c r="B254" s="24" t="s">
        <v>17</v>
      </c>
      <c r="C254" s="25">
        <v>1847</v>
      </c>
      <c r="D254" s="26">
        <v>0.2195</v>
      </c>
      <c r="E254" s="26">
        <v>0.1</v>
      </c>
      <c r="F254" s="20">
        <f t="shared" si="11"/>
        <v>0.54441913439635536</v>
      </c>
      <c r="G254" s="21">
        <f t="shared" si="12"/>
        <v>220.7165</v>
      </c>
      <c r="H254" s="27"/>
      <c r="I254" s="27" t="str">
        <f t="shared" si="15"/>
        <v/>
      </c>
      <c r="J254" s="28"/>
      <c r="K254" s="28" t="str">
        <f t="shared" si="16"/>
        <v/>
      </c>
      <c r="L254" s="22"/>
    </row>
    <row r="255" spans="1:12" ht="14.25" customHeight="1" x14ac:dyDescent="0.3">
      <c r="A255" s="16">
        <v>46239</v>
      </c>
      <c r="B255" s="17" t="s">
        <v>16</v>
      </c>
      <c r="C255" s="18">
        <v>1923</v>
      </c>
      <c r="D255" s="26">
        <v>0.26779999999999998</v>
      </c>
      <c r="E255" s="26">
        <v>0.09</v>
      </c>
      <c r="F255" s="20">
        <f t="shared" si="11"/>
        <v>0.66392830470500375</v>
      </c>
      <c r="G255" s="21">
        <f t="shared" si="12"/>
        <v>341.90939999999995</v>
      </c>
      <c r="H255" s="20">
        <f>IFERROR(IF((C255+C256)=0,"",(C255*F255+C256*F256)/(C255+C256)),"")</f>
        <v>0.40663304594775074</v>
      </c>
      <c r="I255" s="20">
        <f t="shared" si="15"/>
        <v>0.83735309175200379</v>
      </c>
      <c r="J255" s="21">
        <f>IFERROR(IF(G255="","",G255+IF(G256="",0,G256)),"")</f>
        <v>397.16189999999995</v>
      </c>
      <c r="K255" s="21">
        <f t="shared" si="16"/>
        <v>307.2881000000001</v>
      </c>
      <c r="L255" s="22">
        <v>704.45</v>
      </c>
    </row>
    <row r="256" spans="1:12" ht="14.25" customHeight="1" x14ac:dyDescent="0.3">
      <c r="A256" s="23">
        <v>46239</v>
      </c>
      <c r="B256" s="24" t="s">
        <v>17</v>
      </c>
      <c r="C256" s="25">
        <v>2085</v>
      </c>
      <c r="D256" s="26">
        <v>0.1565</v>
      </c>
      <c r="E256" s="26">
        <v>0.13</v>
      </c>
      <c r="F256" s="20">
        <f t="shared" si="11"/>
        <v>0.16932907348242809</v>
      </c>
      <c r="G256" s="21">
        <f t="shared" si="12"/>
        <v>55.252499999999998</v>
      </c>
      <c r="H256" s="27"/>
      <c r="I256" s="27" t="str">
        <f t="shared" si="15"/>
        <v/>
      </c>
      <c r="J256" s="28"/>
      <c r="K256" s="28" t="str">
        <f t="shared" si="16"/>
        <v/>
      </c>
      <c r="L256" s="22"/>
    </row>
    <row r="257" spans="1:12" ht="14.25" customHeight="1" x14ac:dyDescent="0.3">
      <c r="A257" s="16">
        <v>46240</v>
      </c>
      <c r="B257" s="17" t="s">
        <v>16</v>
      </c>
      <c r="C257" s="18">
        <v>1471</v>
      </c>
      <c r="D257" s="26">
        <v>0.16569999999999999</v>
      </c>
      <c r="E257" s="26">
        <v>0.1</v>
      </c>
      <c r="F257" s="20">
        <f t="shared" si="11"/>
        <v>0.39649969824984904</v>
      </c>
      <c r="G257" s="21">
        <f t="shared" si="12"/>
        <v>96.644699999999972</v>
      </c>
      <c r="H257" s="20">
        <f>IFERROR(IF((C257+C258)=0,"",(C257*F257+C258*F258)/(C257+C258)),"")</f>
        <v>0.55608416809964023</v>
      </c>
      <c r="I257" s="20">
        <f t="shared" si="15"/>
        <v>0.50234279634481516</v>
      </c>
      <c r="J257" s="21">
        <f>IFERROR(IF(G257="","",G257+IF(G258="",0,G258)),"")</f>
        <v>278.16569999999996</v>
      </c>
      <c r="K257" s="21">
        <f t="shared" si="16"/>
        <v>-33.265699999999953</v>
      </c>
      <c r="L257" s="22">
        <v>244.9</v>
      </c>
    </row>
    <row r="258" spans="1:12" ht="14.25" customHeight="1" x14ac:dyDescent="0.3">
      <c r="A258" s="23">
        <v>46240</v>
      </c>
      <c r="B258" s="24" t="s">
        <v>17</v>
      </c>
      <c r="C258" s="25">
        <v>1245</v>
      </c>
      <c r="D258" s="26">
        <v>0.1958</v>
      </c>
      <c r="E258" s="26">
        <v>0.05</v>
      </c>
      <c r="F258" s="20">
        <f t="shared" si="11"/>
        <v>0.7446373850868232</v>
      </c>
      <c r="G258" s="21">
        <f t="shared" si="12"/>
        <v>181.52099999999999</v>
      </c>
      <c r="H258" s="27"/>
      <c r="I258" s="27" t="str">
        <f t="shared" si="15"/>
        <v/>
      </c>
      <c r="J258" s="28"/>
      <c r="K258" s="28" t="str">
        <f t="shared" si="16"/>
        <v/>
      </c>
      <c r="L258" s="22"/>
    </row>
    <row r="259" spans="1:12" ht="14.25" customHeight="1" x14ac:dyDescent="0.3">
      <c r="A259" s="16">
        <v>46241</v>
      </c>
      <c r="B259" s="17" t="s">
        <v>16</v>
      </c>
      <c r="C259" s="18">
        <v>1297</v>
      </c>
      <c r="D259" s="26">
        <v>0.19939999999999999</v>
      </c>
      <c r="E259" s="26">
        <v>0.13</v>
      </c>
      <c r="F259" s="20">
        <f t="shared" ref="F259:F322" si="17">IFERROR(IF(D259=0,"",(D259-E259)/D259),"")</f>
        <v>0.34804413239719151</v>
      </c>
      <c r="G259" s="21">
        <f t="shared" ref="G259:G322" si="18">IFERROR(IF(OR(C259="",D259=0),"",C259*D259*F259),"")</f>
        <v>90.01179999999998</v>
      </c>
      <c r="H259" s="20">
        <f>IFERROR(IF((C259+C260)=0,"",(C259*F259+C260*F260)/(C259+C260)),"")</f>
        <v>0.52648654703945486</v>
      </c>
      <c r="I259" s="20">
        <f t="shared" si="15"/>
        <v>0.68964491215102264</v>
      </c>
      <c r="J259" s="21">
        <f>IFERROR(IF(G259="","",G259+IF(G260="",0,G260)),"")</f>
        <v>274.55259999999998</v>
      </c>
      <c r="K259" s="21">
        <f t="shared" si="16"/>
        <v>77.747400000000027</v>
      </c>
      <c r="L259" s="22">
        <v>352.3</v>
      </c>
    </row>
    <row r="260" spans="1:12" ht="14.25" customHeight="1" x14ac:dyDescent="0.3">
      <c r="A260" s="23">
        <v>46241</v>
      </c>
      <c r="B260" s="24" t="s">
        <v>17</v>
      </c>
      <c r="C260" s="25">
        <v>1128</v>
      </c>
      <c r="D260" s="26">
        <v>0.22359999999999999</v>
      </c>
      <c r="E260" s="26">
        <v>0.06</v>
      </c>
      <c r="F260" s="20">
        <f t="shared" si="17"/>
        <v>0.73166368515205726</v>
      </c>
      <c r="G260" s="21">
        <f t="shared" si="18"/>
        <v>184.54079999999999</v>
      </c>
      <c r="H260" s="27"/>
      <c r="I260" s="27" t="str">
        <f t="shared" si="15"/>
        <v/>
      </c>
      <c r="J260" s="28"/>
      <c r="K260" s="28" t="str">
        <f t="shared" si="16"/>
        <v/>
      </c>
      <c r="L260" s="22"/>
    </row>
    <row r="261" spans="1:12" ht="14.25" customHeight="1" x14ac:dyDescent="0.3">
      <c r="A261" s="16">
        <v>46242</v>
      </c>
      <c r="B261" s="17" t="s">
        <v>16</v>
      </c>
      <c r="C261" s="18">
        <v>1484</v>
      </c>
      <c r="D261" s="26">
        <v>0.1676</v>
      </c>
      <c r="E261" s="26">
        <v>0.09</v>
      </c>
      <c r="F261" s="20">
        <f t="shared" si="17"/>
        <v>0.46300715990453462</v>
      </c>
      <c r="G261" s="21">
        <f t="shared" si="18"/>
        <v>115.1584</v>
      </c>
      <c r="H261" s="20">
        <f>IFERROR(IF((C261+C262)=0,"",(C261*F261+C262*F262)/(C261+C262)),"")</f>
        <v>0.3316165825587844</v>
      </c>
      <c r="I261" s="20">
        <f t="shared" si="15"/>
        <v>0.49903956364929808</v>
      </c>
      <c r="J261" s="21">
        <f>IFERROR(IF(G261="","",G261+IF(G262="",0,G262)),"")</f>
        <v>137.42419999999998</v>
      </c>
      <c r="K261" s="21">
        <f t="shared" si="16"/>
        <v>45.525800000000004</v>
      </c>
      <c r="L261" s="22">
        <v>182.95</v>
      </c>
    </row>
    <row r="262" spans="1:12" ht="14.25" customHeight="1" x14ac:dyDescent="0.3">
      <c r="A262" s="23">
        <v>46242</v>
      </c>
      <c r="B262" s="24" t="s">
        <v>17</v>
      </c>
      <c r="C262" s="25">
        <v>1366</v>
      </c>
      <c r="D262" s="26">
        <v>8.6300000000000002E-2</v>
      </c>
      <c r="E262" s="26">
        <v>7.0000000000000007E-2</v>
      </c>
      <c r="F262" s="20">
        <f t="shared" si="17"/>
        <v>0.18887601390498257</v>
      </c>
      <c r="G262" s="21">
        <f t="shared" si="18"/>
        <v>22.265799999999995</v>
      </c>
      <c r="H262" s="27"/>
      <c r="I262" s="27" t="str">
        <f t="shared" si="15"/>
        <v/>
      </c>
      <c r="J262" s="28"/>
      <c r="K262" s="28" t="str">
        <f t="shared" si="16"/>
        <v/>
      </c>
      <c r="L262" s="22"/>
    </row>
    <row r="263" spans="1:12" ht="14.25" customHeight="1" x14ac:dyDescent="0.3">
      <c r="A263" s="16">
        <v>46243</v>
      </c>
      <c r="B263" s="17" t="s">
        <v>16</v>
      </c>
      <c r="C263" s="18">
        <v>1588</v>
      </c>
      <c r="D263" s="26">
        <v>0.34520000000000001</v>
      </c>
      <c r="E263" s="26">
        <v>7.0000000000000007E-2</v>
      </c>
      <c r="F263" s="20">
        <f t="shared" si="17"/>
        <v>0.79721900347624564</v>
      </c>
      <c r="G263" s="21">
        <f t="shared" si="18"/>
        <v>437.01759999999996</v>
      </c>
      <c r="H263" s="20">
        <f>IFERROR(IF((C263+C264)=0,"",(C263*F263+C264*F264)/(C263+C264)),"")</f>
        <v>0.70484936347352378</v>
      </c>
      <c r="I263" s="20">
        <f t="shared" si="15"/>
        <v>0.43715421789705544</v>
      </c>
      <c r="J263" s="21">
        <f>IFERROR(IF(G263="","",G263+IF(G264="",0,G264)),"")</f>
        <v>639.15519999999992</v>
      </c>
      <c r="K263" s="21">
        <f t="shared" si="16"/>
        <v>-259.37519999999995</v>
      </c>
      <c r="L263" s="22">
        <v>379.78</v>
      </c>
    </row>
    <row r="264" spans="1:12" ht="14.25" customHeight="1" x14ac:dyDescent="0.3">
      <c r="A264" s="23">
        <v>46243</v>
      </c>
      <c r="B264" s="24" t="s">
        <v>17</v>
      </c>
      <c r="C264" s="25">
        <v>1974</v>
      </c>
      <c r="D264" s="26">
        <v>0.16239999999999999</v>
      </c>
      <c r="E264" s="26">
        <v>0.06</v>
      </c>
      <c r="F264" s="20">
        <f t="shared" si="17"/>
        <v>0.63054187192118227</v>
      </c>
      <c r="G264" s="21">
        <f t="shared" si="18"/>
        <v>202.13759999999999</v>
      </c>
      <c r="H264" s="27"/>
      <c r="I264" s="27" t="str">
        <f t="shared" si="15"/>
        <v/>
      </c>
      <c r="J264" s="28"/>
      <c r="K264" s="28" t="str">
        <f t="shared" si="16"/>
        <v/>
      </c>
      <c r="L264" s="22"/>
    </row>
    <row r="265" spans="1:12" ht="14.25" customHeight="1" x14ac:dyDescent="0.3">
      <c r="A265" s="16">
        <v>46244</v>
      </c>
      <c r="B265" s="17" t="s">
        <v>16</v>
      </c>
      <c r="C265" s="18">
        <v>2251</v>
      </c>
      <c r="D265" s="26">
        <v>0.28960000000000002</v>
      </c>
      <c r="E265" s="26">
        <v>0.13</v>
      </c>
      <c r="F265" s="20">
        <f t="shared" si="17"/>
        <v>0.55110497237569067</v>
      </c>
      <c r="G265" s="21">
        <f t="shared" si="18"/>
        <v>359.25960000000009</v>
      </c>
      <c r="H265" s="20">
        <f>IFERROR(IF((C265+C266)=0,"",(C265*F265+C266*F266)/(C265+C266)),"")</f>
        <v>0.45767580929405155</v>
      </c>
      <c r="I265" s="20">
        <f t="shared" si="15"/>
        <v>0.50090316802439916</v>
      </c>
      <c r="J265" s="21">
        <f>IFERROR(IF(G265="","",G265+IF(G266="",0,G266)),"")</f>
        <v>465.58260000000007</v>
      </c>
      <c r="K265" s="21">
        <f t="shared" si="16"/>
        <v>18.977399999999932</v>
      </c>
      <c r="L265" s="22">
        <v>484.56</v>
      </c>
    </row>
    <row r="266" spans="1:12" ht="14.25" customHeight="1" x14ac:dyDescent="0.3">
      <c r="A266" s="23">
        <v>46244</v>
      </c>
      <c r="B266" s="24" t="s">
        <v>17</v>
      </c>
      <c r="C266" s="25">
        <v>1743</v>
      </c>
      <c r="D266" s="26">
        <v>0.18099999999999999</v>
      </c>
      <c r="E266" s="26">
        <v>0.12</v>
      </c>
      <c r="F266" s="20">
        <f t="shared" si="17"/>
        <v>0.33701657458563539</v>
      </c>
      <c r="G266" s="21">
        <f t="shared" si="18"/>
        <v>106.32300000000001</v>
      </c>
      <c r="H266" s="27"/>
      <c r="I266" s="27" t="str">
        <f t="shared" si="15"/>
        <v/>
      </c>
      <c r="J266" s="28"/>
      <c r="K266" s="28" t="str">
        <f t="shared" si="16"/>
        <v/>
      </c>
      <c r="L266" s="22"/>
    </row>
    <row r="267" spans="1:12" ht="14.25" customHeight="1" x14ac:dyDescent="0.3">
      <c r="A267" s="16">
        <v>46245</v>
      </c>
      <c r="B267" s="17" t="s">
        <v>16</v>
      </c>
      <c r="C267" s="18">
        <v>1708</v>
      </c>
      <c r="D267" s="26">
        <v>0.34910000000000002</v>
      </c>
      <c r="E267" s="26">
        <v>0.14000000000000001</v>
      </c>
      <c r="F267" s="20">
        <f t="shared" si="17"/>
        <v>0.59896877685476935</v>
      </c>
      <c r="G267" s="21">
        <f t="shared" si="18"/>
        <v>357.14280000000002</v>
      </c>
      <c r="H267" s="20">
        <f>IFERROR(IF((C267+C268)=0,"",(C267*F267+C268*F268)/(C267+C268)),"")</f>
        <v>0.54719516563033233</v>
      </c>
      <c r="I267" s="20">
        <f t="shared" si="15"/>
        <v>0.46768008723898635</v>
      </c>
      <c r="J267" s="21">
        <f>IFERROR(IF(G267="","",G267+IF(G268="",0,G268)),"")</f>
        <v>822.65030000000002</v>
      </c>
      <c r="K267" s="21">
        <f t="shared" si="16"/>
        <v>-116.64030000000002</v>
      </c>
      <c r="L267" s="22">
        <v>706.01</v>
      </c>
    </row>
    <row r="268" spans="1:12" ht="14.25" customHeight="1" x14ac:dyDescent="0.3">
      <c r="A268" s="23">
        <v>46245</v>
      </c>
      <c r="B268" s="24" t="s">
        <v>17</v>
      </c>
      <c r="C268" s="25">
        <v>2357</v>
      </c>
      <c r="D268" s="26">
        <v>0.38750000000000001</v>
      </c>
      <c r="E268" s="26">
        <v>0.19</v>
      </c>
      <c r="F268" s="20">
        <f t="shared" si="17"/>
        <v>0.50967741935483868</v>
      </c>
      <c r="G268" s="21">
        <f t="shared" si="18"/>
        <v>465.50749999999994</v>
      </c>
      <c r="H268" s="27"/>
      <c r="I268" s="27" t="str">
        <f t="shared" si="15"/>
        <v/>
      </c>
      <c r="J268" s="28"/>
      <c r="K268" s="28" t="str">
        <f t="shared" si="16"/>
        <v/>
      </c>
      <c r="L268" s="22"/>
    </row>
    <row r="269" spans="1:12" ht="14.25" customHeight="1" x14ac:dyDescent="0.3">
      <c r="A269" s="16">
        <v>46246</v>
      </c>
      <c r="B269" s="17" t="s">
        <v>16</v>
      </c>
      <c r="C269" s="18">
        <v>2271</v>
      </c>
      <c r="D269" s="26">
        <v>0.28889999999999999</v>
      </c>
      <c r="E269" s="26">
        <v>0.12</v>
      </c>
      <c r="F269" s="20">
        <f t="shared" si="17"/>
        <v>0.5846313603322949</v>
      </c>
      <c r="G269" s="21">
        <f t="shared" si="18"/>
        <v>383.57190000000003</v>
      </c>
      <c r="H269" s="20">
        <f>IFERROR(IF((C269+C270)=0,"",(C269*F269+C270*F270)/(C269+C270)),"")</f>
        <v>0.53744702826900881</v>
      </c>
      <c r="I269" s="20">
        <f t="shared" si="15"/>
        <v>0.71849381588688077</v>
      </c>
      <c r="J269" s="21">
        <f>IFERROR(IF(G269="","",G269+IF(G270="",0,G270)),"")</f>
        <v>539.40390000000002</v>
      </c>
      <c r="K269" s="21">
        <f t="shared" si="16"/>
        <v>162.59609999999998</v>
      </c>
      <c r="L269" s="22">
        <v>702</v>
      </c>
    </row>
    <row r="270" spans="1:12" ht="14.25" customHeight="1" x14ac:dyDescent="0.3">
      <c r="A270" s="23">
        <v>46246</v>
      </c>
      <c r="B270" s="24" t="s">
        <v>17</v>
      </c>
      <c r="C270" s="25">
        <v>2064</v>
      </c>
      <c r="D270" s="26">
        <v>0.1555</v>
      </c>
      <c r="E270" s="26">
        <v>0.08</v>
      </c>
      <c r="F270" s="20">
        <f t="shared" si="17"/>
        <v>0.48553054662379419</v>
      </c>
      <c r="G270" s="21">
        <f t="shared" si="18"/>
        <v>155.83199999999999</v>
      </c>
      <c r="H270" s="27"/>
      <c r="I270" s="27" t="str">
        <f t="shared" si="15"/>
        <v/>
      </c>
      <c r="J270" s="28"/>
      <c r="K270" s="28" t="str">
        <f t="shared" si="16"/>
        <v/>
      </c>
      <c r="L270" s="22"/>
    </row>
    <row r="271" spans="1:12" ht="14.25" customHeight="1" x14ac:dyDescent="0.3">
      <c r="A271" s="16">
        <v>46247</v>
      </c>
      <c r="B271" s="17" t="s">
        <v>16</v>
      </c>
      <c r="C271" s="18">
        <v>1786</v>
      </c>
      <c r="D271" s="26">
        <v>0.68959999999999999</v>
      </c>
      <c r="E271" s="26">
        <v>0.18</v>
      </c>
      <c r="F271" s="20">
        <f t="shared" si="17"/>
        <v>0.73897911832946639</v>
      </c>
      <c r="G271" s="21">
        <f t="shared" si="18"/>
        <v>910.14560000000006</v>
      </c>
      <c r="H271" s="20">
        <f>IFERROR(IF((C271+C272)=0,"",(C271*F271+C272*F272)/(C271+C272)),"")</f>
        <v>0.71710388223991828</v>
      </c>
      <c r="I271" s="20">
        <f t="shared" si="15"/>
        <v>0.394328561856365</v>
      </c>
      <c r="J271" s="21">
        <f>IFERROR(IF(G271="","",G271+IF(G272="",0,G272)),"")</f>
        <v>1565.1514</v>
      </c>
      <c r="K271" s="21">
        <f t="shared" si="16"/>
        <v>-709.35140000000001</v>
      </c>
      <c r="L271" s="22">
        <v>855.8</v>
      </c>
    </row>
    <row r="272" spans="1:12" ht="14.25" customHeight="1" x14ac:dyDescent="0.3">
      <c r="A272" s="23">
        <v>46247</v>
      </c>
      <c r="B272" s="24" t="s">
        <v>17</v>
      </c>
      <c r="C272" s="25">
        <v>2026</v>
      </c>
      <c r="D272" s="26">
        <v>0.46329999999999999</v>
      </c>
      <c r="E272" s="26">
        <v>0.14000000000000001</v>
      </c>
      <c r="F272" s="20">
        <f t="shared" si="17"/>
        <v>0.69781998704942794</v>
      </c>
      <c r="G272" s="21">
        <f t="shared" si="18"/>
        <v>655.00579999999991</v>
      </c>
      <c r="H272" s="27"/>
      <c r="I272" s="27" t="str">
        <f t="shared" si="15"/>
        <v/>
      </c>
      <c r="J272" s="28"/>
      <c r="K272" s="28" t="str">
        <f t="shared" si="16"/>
        <v/>
      </c>
      <c r="L272" s="22"/>
    </row>
    <row r="273" spans="1:12" ht="14.25" customHeight="1" x14ac:dyDescent="0.3">
      <c r="A273" s="16">
        <v>46248</v>
      </c>
      <c r="B273" s="17" t="s">
        <v>16</v>
      </c>
      <c r="C273" s="18">
        <v>1840</v>
      </c>
      <c r="D273" s="26">
        <v>0.28129999999999999</v>
      </c>
      <c r="E273" s="26">
        <v>0.19</v>
      </c>
      <c r="F273" s="20">
        <f t="shared" si="17"/>
        <v>0.32456452186277995</v>
      </c>
      <c r="G273" s="21">
        <f t="shared" si="18"/>
        <v>167.99199999999999</v>
      </c>
      <c r="H273" s="20">
        <f>IFERROR(IF((C273+C274)=0,"",(C273*F273+C274*F274)/(C273+C274)),"")</f>
        <v>0.57047450463441929</v>
      </c>
      <c r="I273" s="20">
        <f t="shared" ref="I273:I302" si="19">IFERROR(IF(OR(L273="",L273=0,(C273+C274)=0),"",L273/((C273+C274)*IF((C273+C274)=0,1,(C273*D273+C274*D274)/(C273+C274)))),"")</f>
        <v>0.4447006644420412</v>
      </c>
      <c r="J273" s="21">
        <f>IFERROR(IF(G273="","",G273+IF(G274="",0,G274)),"")</f>
        <v>1228.9840000000002</v>
      </c>
      <c r="K273" s="21">
        <f t="shared" ref="K273:K304" si="20">IFERROR(IF(OR(L273="",J273=""),"",L273-J273),"")</f>
        <v>-383.5440000000001</v>
      </c>
      <c r="L273" s="22">
        <v>845.44</v>
      </c>
    </row>
    <row r="274" spans="1:12" ht="14.25" customHeight="1" x14ac:dyDescent="0.3">
      <c r="A274" s="23">
        <v>46248</v>
      </c>
      <c r="B274" s="24" t="s">
        <v>17</v>
      </c>
      <c r="C274" s="25">
        <v>2304</v>
      </c>
      <c r="D274" s="26">
        <v>0.60050000000000003</v>
      </c>
      <c r="E274" s="26">
        <v>0.14000000000000001</v>
      </c>
      <c r="F274" s="20">
        <f t="shared" si="17"/>
        <v>0.7668609492089925</v>
      </c>
      <c r="G274" s="21">
        <f t="shared" si="18"/>
        <v>1060.9920000000002</v>
      </c>
      <c r="H274" s="27"/>
      <c r="I274" s="27" t="str">
        <f t="shared" si="19"/>
        <v/>
      </c>
      <c r="J274" s="28"/>
      <c r="K274" s="28" t="str">
        <f t="shared" si="20"/>
        <v/>
      </c>
      <c r="L274" s="22"/>
    </row>
    <row r="275" spans="1:12" ht="14.25" customHeight="1" x14ac:dyDescent="0.3">
      <c r="A275" s="16">
        <v>46249</v>
      </c>
      <c r="B275" s="17" t="s">
        <v>16</v>
      </c>
      <c r="C275" s="18">
        <v>1976</v>
      </c>
      <c r="D275" s="26">
        <v>0.2472</v>
      </c>
      <c r="E275" s="26">
        <v>0.15</v>
      </c>
      <c r="F275" s="20">
        <f t="shared" si="17"/>
        <v>0.39320388349514568</v>
      </c>
      <c r="G275" s="21">
        <f t="shared" si="18"/>
        <v>192.06720000000001</v>
      </c>
      <c r="H275" s="20">
        <f>IFERROR(IF((C275+C276)=0,"",(C275*F275+C276*F276)/(C275+C276)),"")</f>
        <v>0.46662784161378024</v>
      </c>
      <c r="I275" s="20">
        <f t="shared" si="19"/>
        <v>0.90646099528588886</v>
      </c>
      <c r="J275" s="21">
        <f>IFERROR(IF(G275="","",G275+IF(G276="",0,G276)),"")</f>
        <v>523.70880000000011</v>
      </c>
      <c r="K275" s="21">
        <f t="shared" si="20"/>
        <v>485.18119999999988</v>
      </c>
      <c r="L275" s="22">
        <v>1008.89</v>
      </c>
    </row>
    <row r="276" spans="1:12" ht="14.25" customHeight="1" x14ac:dyDescent="0.3">
      <c r="A276" s="23">
        <v>46249</v>
      </c>
      <c r="B276" s="24" t="s">
        <v>17</v>
      </c>
      <c r="C276" s="25">
        <v>2253</v>
      </c>
      <c r="D276" s="26">
        <v>0.2772</v>
      </c>
      <c r="E276" s="26">
        <v>0.13</v>
      </c>
      <c r="F276" s="20">
        <f t="shared" si="17"/>
        <v>0.53102453102453107</v>
      </c>
      <c r="G276" s="21">
        <f t="shared" si="18"/>
        <v>331.64160000000004</v>
      </c>
      <c r="H276" s="27"/>
      <c r="I276" s="27" t="str">
        <f t="shared" si="19"/>
        <v/>
      </c>
      <c r="J276" s="28"/>
      <c r="K276" s="28" t="str">
        <f t="shared" si="20"/>
        <v/>
      </c>
      <c r="L276" s="22"/>
    </row>
    <row r="277" spans="1:12" ht="14.25" customHeight="1" x14ac:dyDescent="0.3">
      <c r="A277" s="16">
        <v>46250</v>
      </c>
      <c r="B277" s="17" t="s">
        <v>16</v>
      </c>
      <c r="C277" s="18">
        <v>1665.86</v>
      </c>
      <c r="D277" s="26">
        <v>0.29429244357212903</v>
      </c>
      <c r="E277" s="26">
        <v>0.08</v>
      </c>
      <c r="F277" s="20">
        <f t="shared" si="17"/>
        <v>0.72816155580157604</v>
      </c>
      <c r="G277" s="21">
        <f t="shared" si="18"/>
        <v>356.98121004906676</v>
      </c>
      <c r="H277" s="20">
        <f>IFERROR(IF((C277+C278)=0,"",(C277*F277+C278*F278)/(C277+C278)),"")</f>
        <v>0.62156096430790631</v>
      </c>
      <c r="I277" s="20">
        <f t="shared" si="19"/>
        <v>0.66489834058184516</v>
      </c>
      <c r="J277" s="21">
        <f>IFERROR(IF(G277="","",G277+IF(G278="",0,G278)),"")</f>
        <v>478.5323557670053</v>
      </c>
      <c r="K277" s="21">
        <f t="shared" si="20"/>
        <v>4.7976442329946849</v>
      </c>
      <c r="L277" s="22">
        <v>483.33</v>
      </c>
    </row>
    <row r="278" spans="1:12" ht="14.25" customHeight="1" x14ac:dyDescent="0.3">
      <c r="A278" s="23">
        <v>46250</v>
      </c>
      <c r="B278" s="24" t="s">
        <v>17</v>
      </c>
      <c r="C278" s="25">
        <v>1644.6</v>
      </c>
      <c r="D278" s="26">
        <v>0.14390924584576101</v>
      </c>
      <c r="E278" s="26">
        <v>7.0000000000000007E-2</v>
      </c>
      <c r="F278" s="20">
        <f t="shared" si="17"/>
        <v>0.51358233038741252</v>
      </c>
      <c r="G278" s="21">
        <f t="shared" si="18"/>
        <v>121.55114571793854</v>
      </c>
      <c r="H278" s="27"/>
      <c r="I278" s="27" t="str">
        <f t="shared" si="19"/>
        <v/>
      </c>
      <c r="J278" s="28"/>
      <c r="K278" s="28" t="str">
        <f t="shared" si="20"/>
        <v/>
      </c>
      <c r="L278" s="22"/>
    </row>
    <row r="279" spans="1:12" ht="14.25" customHeight="1" x14ac:dyDescent="0.3">
      <c r="A279" s="16">
        <v>46251</v>
      </c>
      <c r="B279" s="17" t="s">
        <v>16</v>
      </c>
      <c r="C279" s="18">
        <v>1672.22</v>
      </c>
      <c r="D279" s="26">
        <v>0.11781420765027301</v>
      </c>
      <c r="E279" s="26">
        <v>0.04</v>
      </c>
      <c r="F279" s="20">
        <f t="shared" si="17"/>
        <v>0.66048237476808835</v>
      </c>
      <c r="G279" s="21">
        <f t="shared" si="18"/>
        <v>130.12247431693953</v>
      </c>
      <c r="H279" s="20">
        <f>IFERROR(IF((C279+C280)=0,"",(C279*F279+C280*F280)/(C279+C280)),"")</f>
        <v>0.58012516488651344</v>
      </c>
      <c r="I279" s="20">
        <f t="shared" si="19"/>
        <v>0.90394930061840717</v>
      </c>
      <c r="J279" s="21">
        <f>IFERROR(IF(G279="","",G279+IF(G280="",0,G280)),"")</f>
        <v>275.39227431693951</v>
      </c>
      <c r="K279" s="21">
        <f t="shared" si="20"/>
        <v>155.2277256830605</v>
      </c>
      <c r="L279" s="22">
        <v>430.62</v>
      </c>
    </row>
    <row r="280" spans="1:12" ht="14.25" customHeight="1" x14ac:dyDescent="0.3">
      <c r="A280" s="23">
        <v>46251</v>
      </c>
      <c r="B280" s="24" t="s">
        <v>17</v>
      </c>
      <c r="C280" s="25">
        <v>2234.92</v>
      </c>
      <c r="D280" s="26">
        <v>0.125</v>
      </c>
      <c r="E280" s="26">
        <v>0.06</v>
      </c>
      <c r="F280" s="20">
        <f t="shared" si="17"/>
        <v>0.52</v>
      </c>
      <c r="G280" s="21">
        <f t="shared" si="18"/>
        <v>145.2698</v>
      </c>
      <c r="H280" s="27"/>
      <c r="I280" s="27" t="str">
        <f t="shared" si="19"/>
        <v/>
      </c>
      <c r="J280" s="28"/>
      <c r="K280" s="28" t="str">
        <f t="shared" si="20"/>
        <v/>
      </c>
      <c r="L280" s="22"/>
    </row>
    <row r="281" spans="1:12" ht="14.25" customHeight="1" x14ac:dyDescent="0.3">
      <c r="A281" s="16">
        <v>46252</v>
      </c>
      <c r="B281" s="17" t="s">
        <v>16</v>
      </c>
      <c r="C281" s="18">
        <v>1917.21</v>
      </c>
      <c r="D281" s="26">
        <v>7.6845585375340295E-2</v>
      </c>
      <c r="E281" s="26">
        <v>0.03</v>
      </c>
      <c r="F281" s="20">
        <f t="shared" si="17"/>
        <v>0.60960672166826924</v>
      </c>
      <c r="G281" s="21">
        <f t="shared" si="18"/>
        <v>89.812824737456168</v>
      </c>
      <c r="H281" s="20">
        <f>IFERROR(IF((C281+C282)=0,"",(C281*F281+C282*F282)/(C281+C282)),"")</f>
        <v>0.73750391644258184</v>
      </c>
      <c r="I281" s="20">
        <f t="shared" si="19"/>
        <v>0.49734320605403259</v>
      </c>
      <c r="J281" s="21">
        <f>IFERROR(IF(G281="","",G281+IF(G282="",0,G282)),"")</f>
        <v>500.37432645323361</v>
      </c>
      <c r="K281" s="21">
        <f t="shared" si="20"/>
        <v>-200.60432645323363</v>
      </c>
      <c r="L281" s="22">
        <v>299.77</v>
      </c>
    </row>
    <row r="282" spans="1:12" ht="14.25" customHeight="1" x14ac:dyDescent="0.3">
      <c r="A282" s="23">
        <v>46252</v>
      </c>
      <c r="B282" s="24" t="s">
        <v>17</v>
      </c>
      <c r="C282" s="25">
        <v>1495.07</v>
      </c>
      <c r="D282" s="26">
        <v>0.304610220067139</v>
      </c>
      <c r="E282" s="26">
        <v>0.03</v>
      </c>
      <c r="F282" s="20">
        <f t="shared" si="17"/>
        <v>0.90151348174270796</v>
      </c>
      <c r="G282" s="21">
        <f t="shared" si="18"/>
        <v>410.56150171577741</v>
      </c>
      <c r="H282" s="27"/>
      <c r="I282" s="27" t="str">
        <f t="shared" si="19"/>
        <v/>
      </c>
      <c r="J282" s="28"/>
      <c r="K282" s="28" t="str">
        <f t="shared" si="20"/>
        <v/>
      </c>
      <c r="L282" s="22"/>
    </row>
    <row r="283" spans="1:12" ht="14.25" customHeight="1" x14ac:dyDescent="0.3">
      <c r="A283" s="16">
        <v>46253</v>
      </c>
      <c r="B283" s="17" t="s">
        <v>16</v>
      </c>
      <c r="C283" s="18">
        <v>1834.87</v>
      </c>
      <c r="D283" s="26">
        <v>0.25843855421686801</v>
      </c>
      <c r="E283" s="26">
        <v>0.06</v>
      </c>
      <c r="F283" s="20">
        <f t="shared" si="17"/>
        <v>0.76783649722149749</v>
      </c>
      <c r="G283" s="21">
        <f t="shared" si="18"/>
        <v>364.10894997590458</v>
      </c>
      <c r="H283" s="20">
        <f>IFERROR(IF((C283+C284)=0,"",(C283*F283+C284*F284)/(C283+C284)),"")</f>
        <v>0.72558069385002999</v>
      </c>
      <c r="I283" s="20">
        <f t="shared" si="19"/>
        <v>0.4130865262082713</v>
      </c>
      <c r="J283" s="21">
        <f>IFERROR(IF(G283="","",G283+IF(G284="",0,G284)),"")</f>
        <v>602.5107734520949</v>
      </c>
      <c r="K283" s="21">
        <f t="shared" si="20"/>
        <v>-261.31077345209491</v>
      </c>
      <c r="L283" s="22">
        <v>341.2</v>
      </c>
    </row>
    <row r="284" spans="1:12" ht="14.25" customHeight="1" x14ac:dyDescent="0.3">
      <c r="A284" s="23">
        <v>46253</v>
      </c>
      <c r="B284" s="24" t="s">
        <v>17</v>
      </c>
      <c r="C284" s="25">
        <v>1619.63</v>
      </c>
      <c r="D284" s="26">
        <v>0.217195238095238</v>
      </c>
      <c r="E284" s="26">
        <v>7.0000000000000007E-2</v>
      </c>
      <c r="F284" s="20">
        <f t="shared" si="17"/>
        <v>0.67770932450505339</v>
      </c>
      <c r="G284" s="21">
        <f t="shared" si="18"/>
        <v>238.40182347619029</v>
      </c>
      <c r="H284" s="27"/>
      <c r="I284" s="27" t="str">
        <f t="shared" si="19"/>
        <v/>
      </c>
      <c r="J284" s="28"/>
      <c r="K284" s="28" t="str">
        <f t="shared" si="20"/>
        <v/>
      </c>
      <c r="L284" s="22"/>
    </row>
    <row r="285" spans="1:12" ht="14.25" customHeight="1" x14ac:dyDescent="0.3">
      <c r="A285" s="16">
        <v>46254</v>
      </c>
      <c r="B285" s="17" t="s">
        <v>16</v>
      </c>
      <c r="C285" s="18">
        <v>2098.61</v>
      </c>
      <c r="D285" s="26">
        <v>0.41700332963373998</v>
      </c>
      <c r="E285" s="26">
        <v>0.08</v>
      </c>
      <c r="F285" s="20">
        <f t="shared" si="17"/>
        <v>0.80815500904929183</v>
      </c>
      <c r="G285" s="21">
        <f t="shared" si="18"/>
        <v>707.23855760266304</v>
      </c>
      <c r="H285" s="20">
        <f>IFERROR(IF((C285+C286)=0,"",(C285*F285+C286*F286)/(C285+C286)),"")</f>
        <v>0.69552719237960114</v>
      </c>
      <c r="I285" s="20">
        <f t="shared" si="19"/>
        <v>0.45490393373017957</v>
      </c>
      <c r="J285" s="21">
        <f>IFERROR(IF(G285="","",G285+IF(G286="",0,G286)),"")</f>
        <v>802.52866407934653</v>
      </c>
      <c r="K285" s="21">
        <f t="shared" si="20"/>
        <v>-322.4286640793465</v>
      </c>
      <c r="L285" s="22">
        <v>480.1</v>
      </c>
    </row>
    <row r="286" spans="1:12" ht="14.25" customHeight="1" x14ac:dyDescent="0.3">
      <c r="A286" s="23">
        <v>46254</v>
      </c>
      <c r="B286" s="24" t="s">
        <v>17</v>
      </c>
      <c r="C286" s="25">
        <v>1416.17</v>
      </c>
      <c r="D286" s="26">
        <v>0.127287194670614</v>
      </c>
      <c r="E286" s="26">
        <v>0.06</v>
      </c>
      <c r="F286" s="20">
        <f t="shared" si="17"/>
        <v>0.52862501090338021</v>
      </c>
      <c r="G286" s="21">
        <f t="shared" si="18"/>
        <v>95.290106476683448</v>
      </c>
      <c r="H286" s="27"/>
      <c r="I286" s="27" t="str">
        <f t="shared" si="19"/>
        <v/>
      </c>
      <c r="J286" s="28"/>
      <c r="K286" s="28" t="str">
        <f t="shared" si="20"/>
        <v/>
      </c>
      <c r="L286" s="22"/>
    </row>
    <row r="287" spans="1:12" ht="14.25" customHeight="1" x14ac:dyDescent="0.3">
      <c r="A287" s="16">
        <v>46255</v>
      </c>
      <c r="B287" s="17" t="s">
        <v>16</v>
      </c>
      <c r="C287" s="18">
        <v>1022.97</v>
      </c>
      <c r="D287" s="26">
        <v>9.3195380173243497E-2</v>
      </c>
      <c r="E287" s="26">
        <v>7.0000000000000007E-2</v>
      </c>
      <c r="F287" s="20">
        <f t="shared" si="17"/>
        <v>0.24888980687803355</v>
      </c>
      <c r="G287" s="21">
        <f t="shared" si="18"/>
        <v>23.728178055822898</v>
      </c>
      <c r="H287" s="20">
        <f>IFERROR(IF((C287+C288)=0,"",(C287*F287+C288*F288)/(C287+C288)),"")</f>
        <v>0.35548400454605988</v>
      </c>
      <c r="I287" s="20">
        <f t="shared" si="19"/>
        <v>2.004470133890853</v>
      </c>
      <c r="J287" s="21">
        <f>IFERROR(IF(G287="","",G287+IF(G288="",0,G288)),"")</f>
        <v>76.07634796443881</v>
      </c>
      <c r="K287" s="21">
        <f t="shared" si="20"/>
        <v>341.44365203556117</v>
      </c>
      <c r="L287" s="22">
        <v>417.52</v>
      </c>
    </row>
    <row r="288" spans="1:12" ht="14.25" customHeight="1" x14ac:dyDescent="0.3">
      <c r="A288" s="23">
        <v>46255</v>
      </c>
      <c r="B288" s="24" t="s">
        <v>17</v>
      </c>
      <c r="C288" s="25">
        <v>1010.17</v>
      </c>
      <c r="D288" s="26">
        <v>0.111821148825065</v>
      </c>
      <c r="E288" s="26">
        <v>0.06</v>
      </c>
      <c r="F288" s="20">
        <f t="shared" si="17"/>
        <v>0.46342887163621377</v>
      </c>
      <c r="G288" s="21">
        <f t="shared" si="18"/>
        <v>52.348169908615915</v>
      </c>
      <c r="H288" s="27"/>
      <c r="I288" s="27" t="str">
        <f t="shared" si="19"/>
        <v/>
      </c>
      <c r="J288" s="28"/>
      <c r="K288" s="28" t="str">
        <f t="shared" si="20"/>
        <v/>
      </c>
      <c r="L288" s="22"/>
    </row>
    <row r="289" spans="1:12" ht="14.25" customHeight="1" x14ac:dyDescent="0.3">
      <c r="A289" s="16">
        <v>46256</v>
      </c>
      <c r="B289" s="17" t="s">
        <v>16</v>
      </c>
      <c r="C289" s="18">
        <v>1566.67</v>
      </c>
      <c r="D289" s="26">
        <v>0.2</v>
      </c>
      <c r="E289" s="26">
        <v>7.0000000000000007E-2</v>
      </c>
      <c r="F289" s="20">
        <f t="shared" si="17"/>
        <v>0.65</v>
      </c>
      <c r="G289" s="21">
        <f t="shared" si="18"/>
        <v>203.66710000000003</v>
      </c>
      <c r="H289" s="20">
        <f>IFERROR(IF((C289+C290)=0,"",(C289*F289+C290*F290)/(C289+C290)),"")</f>
        <v>0.57538467229010393</v>
      </c>
      <c r="I289" s="20">
        <f t="shared" si="19"/>
        <v>0.81255431887969154</v>
      </c>
      <c r="J289" s="21">
        <f>IFERROR(IF(G289="","",G289+IF(G290="",0,G290)),"")</f>
        <v>416.81003823665958</v>
      </c>
      <c r="K289" s="21">
        <f t="shared" si="20"/>
        <v>172.94996176334041</v>
      </c>
      <c r="L289" s="22">
        <v>589.76</v>
      </c>
    </row>
    <row r="290" spans="1:12" ht="14.25" customHeight="1" x14ac:dyDescent="0.3">
      <c r="A290" s="23">
        <v>46256</v>
      </c>
      <c r="B290" s="24" t="s">
        <v>17</v>
      </c>
      <c r="C290" s="25">
        <v>1993.33</v>
      </c>
      <c r="D290" s="26">
        <v>0.20692807424594001</v>
      </c>
      <c r="E290" s="26">
        <v>0.1</v>
      </c>
      <c r="F290" s="20">
        <f t="shared" si="17"/>
        <v>0.51674029556208445</v>
      </c>
      <c r="G290" s="21">
        <f t="shared" si="18"/>
        <v>213.14293823665957</v>
      </c>
      <c r="H290" s="27"/>
      <c r="I290" s="27" t="str">
        <f t="shared" si="19"/>
        <v/>
      </c>
      <c r="J290" s="28"/>
      <c r="K290" s="28" t="str">
        <f t="shared" si="20"/>
        <v/>
      </c>
      <c r="L290" s="22"/>
    </row>
    <row r="291" spans="1:12" ht="14.25" customHeight="1" x14ac:dyDescent="0.3">
      <c r="A291" s="16">
        <v>46257</v>
      </c>
      <c r="B291" s="17" t="s">
        <v>16</v>
      </c>
      <c r="C291" s="18">
        <v>1757</v>
      </c>
      <c r="D291" s="26">
        <v>0.53510073260073299</v>
      </c>
      <c r="E291" s="26">
        <v>0.11</v>
      </c>
      <c r="F291" s="20">
        <f t="shared" si="17"/>
        <v>0.79443122892885887</v>
      </c>
      <c r="G291" s="21">
        <f t="shared" si="18"/>
        <v>746.90198717948783</v>
      </c>
      <c r="H291" s="20">
        <f>IFERROR(IF((C291+C292)=0,"",(C291*F291+C292*F292)/(C291+C292)),"")</f>
        <v>0.71541035854242818</v>
      </c>
      <c r="I291" s="20">
        <f t="shared" si="19"/>
        <v>0.52285124606062983</v>
      </c>
      <c r="J291" s="21">
        <f>IFERROR(IF(G291="","",G291+IF(G292="",0,G292)),"")</f>
        <v>1465.5981702458498</v>
      </c>
      <c r="K291" s="21">
        <f t="shared" si="20"/>
        <v>-377.48817024584991</v>
      </c>
      <c r="L291" s="22">
        <v>1088.1099999999999</v>
      </c>
    </row>
    <row r="292" spans="1:12" ht="14.25" customHeight="1" x14ac:dyDescent="0.3">
      <c r="A292" s="23">
        <v>46257</v>
      </c>
      <c r="B292" s="24" t="s">
        <v>17</v>
      </c>
      <c r="C292" s="25">
        <v>1624</v>
      </c>
      <c r="D292" s="26">
        <v>0.70254691075514897</v>
      </c>
      <c r="E292" s="26">
        <v>0.26</v>
      </c>
      <c r="F292" s="20">
        <f t="shared" si="17"/>
        <v>0.62991795135710882</v>
      </c>
      <c r="G292" s="21">
        <f t="shared" si="18"/>
        <v>718.69618306636198</v>
      </c>
      <c r="H292" s="27"/>
      <c r="I292" s="27" t="str">
        <f t="shared" si="19"/>
        <v/>
      </c>
      <c r="J292" s="28"/>
      <c r="K292" s="28" t="str">
        <f t="shared" si="20"/>
        <v/>
      </c>
      <c r="L292" s="22"/>
    </row>
    <row r="293" spans="1:12" ht="14.25" customHeight="1" x14ac:dyDescent="0.3">
      <c r="A293" s="16">
        <v>46258</v>
      </c>
      <c r="B293" s="17" t="s">
        <v>16</v>
      </c>
      <c r="C293" s="18">
        <v>1966.76</v>
      </c>
      <c r="D293" s="26">
        <v>0.452326320939335</v>
      </c>
      <c r="E293" s="26">
        <v>0.22</v>
      </c>
      <c r="F293" s="20">
        <f t="shared" si="17"/>
        <v>0.51362547387662216</v>
      </c>
      <c r="G293" s="21">
        <f t="shared" si="18"/>
        <v>456.93011497064651</v>
      </c>
      <c r="H293" s="20">
        <f>IFERROR(IF((C293+C294)=0,"",(C293*F293+C294*F294)/(C293+C294)),"")</f>
        <v>0.58525063801589206</v>
      </c>
      <c r="I293" s="20">
        <f t="shared" si="19"/>
        <v>0.76282106952081263</v>
      </c>
      <c r="J293" s="21">
        <f>IFERROR(IF(G293="","",G293+IF(G294="",0,G294)),"")</f>
        <v>1276.7685933833454</v>
      </c>
      <c r="K293" s="21">
        <f t="shared" si="20"/>
        <v>337.56140661665449</v>
      </c>
      <c r="L293" s="22">
        <v>1614.33</v>
      </c>
    </row>
    <row r="294" spans="1:12" ht="14.25" customHeight="1" x14ac:dyDescent="0.3">
      <c r="A294" s="23">
        <v>46258</v>
      </c>
      <c r="B294" s="24" t="s">
        <v>17</v>
      </c>
      <c r="C294" s="25">
        <v>1695.03</v>
      </c>
      <c r="D294" s="26">
        <v>0.72367195767195802</v>
      </c>
      <c r="E294" s="26">
        <v>0.24</v>
      </c>
      <c r="F294" s="20">
        <f t="shared" si="17"/>
        <v>0.66835802126135102</v>
      </c>
      <c r="G294" s="21">
        <f t="shared" si="18"/>
        <v>819.83847841269903</v>
      </c>
      <c r="H294" s="27"/>
      <c r="I294" s="27" t="str">
        <f t="shared" si="19"/>
        <v/>
      </c>
      <c r="J294" s="28"/>
      <c r="K294" s="28" t="str">
        <f t="shared" si="20"/>
        <v/>
      </c>
      <c r="L294" s="22"/>
    </row>
    <row r="295" spans="1:12" ht="14.25" customHeight="1" x14ac:dyDescent="0.3">
      <c r="A295" s="16">
        <v>46259</v>
      </c>
      <c r="B295" s="17" t="s">
        <v>16</v>
      </c>
      <c r="C295" s="18">
        <v>883.11</v>
      </c>
      <c r="D295" s="26">
        <v>1.25</v>
      </c>
      <c r="E295" s="26">
        <v>0.14000000000000001</v>
      </c>
      <c r="F295" s="20">
        <f t="shared" si="17"/>
        <v>0.8879999999999999</v>
      </c>
      <c r="G295" s="21">
        <f t="shared" si="18"/>
        <v>980.25209999999993</v>
      </c>
      <c r="H295" s="20">
        <f>IFERROR(IF((C295+C296)=0,"",(C295*F295+C296*F296)/(C295+C296)),"")</f>
        <v>0.81868266525287492</v>
      </c>
      <c r="I295" s="20">
        <f t="shared" si="19"/>
        <v>0.85261690780837729</v>
      </c>
      <c r="J295" s="21">
        <f>IFERROR(IF(G295="","",G295+IF(G296="",0,G296)),"")</f>
        <v>1731.3285191235057</v>
      </c>
      <c r="K295" s="21">
        <f t="shared" si="20"/>
        <v>22.191480876494325</v>
      </c>
      <c r="L295" s="22">
        <v>1753.52</v>
      </c>
    </row>
    <row r="296" spans="1:12" ht="14.25" customHeight="1" x14ac:dyDescent="0.3">
      <c r="A296" s="23">
        <v>46259</v>
      </c>
      <c r="B296" s="24" t="s">
        <v>17</v>
      </c>
      <c r="C296" s="25">
        <v>2016.69</v>
      </c>
      <c r="D296" s="26">
        <v>0.47243027888446198</v>
      </c>
      <c r="E296" s="26">
        <v>0.1</v>
      </c>
      <c r="F296" s="20">
        <f t="shared" si="17"/>
        <v>0.78832855456232076</v>
      </c>
      <c r="G296" s="21">
        <f t="shared" si="18"/>
        <v>751.07641912350573</v>
      </c>
      <c r="H296" s="27"/>
      <c r="I296" s="27" t="str">
        <f t="shared" si="19"/>
        <v/>
      </c>
      <c r="J296" s="28"/>
      <c r="K296" s="28" t="str">
        <f t="shared" si="20"/>
        <v/>
      </c>
      <c r="L296" s="22"/>
    </row>
    <row r="297" spans="1:12" ht="14.25" customHeight="1" x14ac:dyDescent="0.3">
      <c r="A297" s="16">
        <v>46260</v>
      </c>
      <c r="B297" s="17" t="s">
        <v>16</v>
      </c>
      <c r="C297" s="18">
        <v>1764.47</v>
      </c>
      <c r="D297" s="26"/>
      <c r="E297" s="26"/>
      <c r="F297" s="20" t="str">
        <f t="shared" si="17"/>
        <v/>
      </c>
      <c r="G297" s="21" t="str">
        <f t="shared" si="18"/>
        <v/>
      </c>
      <c r="H297" s="20" t="str">
        <f>IFERROR(IF((C297+C298)=0,"",(C297*F297+C298*F298)/(C297+C298)),"")</f>
        <v/>
      </c>
      <c r="I297" s="20" t="str">
        <f t="shared" si="19"/>
        <v/>
      </c>
      <c r="J297" s="21" t="str">
        <f>IFERROR(IF(G297="","",G297+IF(G298="",0,G298)),"")</f>
        <v/>
      </c>
      <c r="K297" s="21" t="str">
        <f t="shared" si="20"/>
        <v/>
      </c>
      <c r="L297" s="22"/>
    </row>
    <row r="298" spans="1:12" ht="14.25" customHeight="1" x14ac:dyDescent="0.3">
      <c r="A298" s="23">
        <v>46260</v>
      </c>
      <c r="B298" s="24" t="s">
        <v>17</v>
      </c>
      <c r="C298" s="25">
        <v>2036.08</v>
      </c>
      <c r="D298" s="26"/>
      <c r="E298" s="26"/>
      <c r="F298" s="20" t="str">
        <f t="shared" si="17"/>
        <v/>
      </c>
      <c r="G298" s="21" t="str">
        <f t="shared" si="18"/>
        <v/>
      </c>
      <c r="H298" s="27"/>
      <c r="I298" s="27" t="str">
        <f t="shared" si="19"/>
        <v/>
      </c>
      <c r="J298" s="28"/>
      <c r="K298" s="28" t="str">
        <f t="shared" si="20"/>
        <v/>
      </c>
      <c r="L298" s="22"/>
    </row>
    <row r="299" spans="1:12" ht="14.25" customHeight="1" x14ac:dyDescent="0.3">
      <c r="A299" s="16"/>
      <c r="B299" s="17" t="s">
        <v>16</v>
      </c>
      <c r="C299" s="18"/>
      <c r="D299" s="26"/>
      <c r="E299" s="26"/>
      <c r="F299" s="20" t="str">
        <f t="shared" si="17"/>
        <v/>
      </c>
      <c r="G299" s="21" t="str">
        <f t="shared" si="18"/>
        <v/>
      </c>
      <c r="H299" s="20" t="str">
        <f>IFERROR(IF((C299+C300)=0,"",(C299*F299+C300*F300)/(C299+C300)),"")</f>
        <v/>
      </c>
      <c r="I299" s="20" t="str">
        <f t="shared" si="19"/>
        <v/>
      </c>
      <c r="J299" s="21" t="str">
        <f>IFERROR(IF(G299="","",G299+IF(G300="",0,G300)),"")</f>
        <v/>
      </c>
      <c r="K299" s="21" t="str">
        <f t="shared" si="20"/>
        <v/>
      </c>
      <c r="L299" s="22"/>
    </row>
    <row r="300" spans="1:12" ht="14.25" customHeight="1" x14ac:dyDescent="0.3">
      <c r="A300" s="23"/>
      <c r="B300" s="24" t="s">
        <v>17</v>
      </c>
      <c r="C300" s="25"/>
      <c r="D300" s="26"/>
      <c r="E300" s="26"/>
      <c r="F300" s="20" t="str">
        <f t="shared" si="17"/>
        <v/>
      </c>
      <c r="G300" s="21" t="str">
        <f t="shared" si="18"/>
        <v/>
      </c>
      <c r="H300" s="27"/>
      <c r="I300" s="27" t="str">
        <f t="shared" si="19"/>
        <v/>
      </c>
      <c r="J300" s="28"/>
      <c r="K300" s="28" t="str">
        <f t="shared" si="20"/>
        <v/>
      </c>
      <c r="L300" s="22"/>
    </row>
    <row r="301" spans="1:12" ht="14.25" customHeight="1" x14ac:dyDescent="0.3">
      <c r="A301" s="16"/>
      <c r="B301" s="17" t="s">
        <v>16</v>
      </c>
      <c r="C301" s="18"/>
      <c r="D301" s="26"/>
      <c r="E301" s="26"/>
      <c r="F301" s="20" t="str">
        <f t="shared" si="17"/>
        <v/>
      </c>
      <c r="G301" s="21" t="str">
        <f t="shared" si="18"/>
        <v/>
      </c>
      <c r="H301" s="20" t="str">
        <f>IFERROR(IF((C301+C302)=0,"",(C301*F301+C302*F302)/(C301+C302)),"")</f>
        <v/>
      </c>
      <c r="I301" s="20" t="str">
        <f t="shared" si="19"/>
        <v/>
      </c>
      <c r="J301" s="21" t="str">
        <f>IFERROR(IF(G301="","",G301+IF(G302="",0,G302)),"")</f>
        <v/>
      </c>
      <c r="K301" s="21" t="str">
        <f t="shared" si="20"/>
        <v/>
      </c>
      <c r="L301" s="22"/>
    </row>
    <row r="302" spans="1:12" ht="14.25" customHeight="1" x14ac:dyDescent="0.3">
      <c r="A302" s="23"/>
      <c r="B302" s="24" t="s">
        <v>17</v>
      </c>
      <c r="C302" s="25"/>
      <c r="D302" s="26"/>
      <c r="E302" s="26"/>
      <c r="F302" s="20" t="str">
        <f t="shared" si="17"/>
        <v/>
      </c>
      <c r="G302" s="21" t="str">
        <f t="shared" si="18"/>
        <v/>
      </c>
      <c r="H302" s="27"/>
      <c r="I302" s="27" t="str">
        <f t="shared" si="19"/>
        <v/>
      </c>
      <c r="J302" s="28"/>
      <c r="K302" s="28" t="str">
        <f t="shared" si="20"/>
        <v/>
      </c>
      <c r="L302" s="22"/>
    </row>
  </sheetData>
  <mergeCells count="4">
    <mergeCell ref="A1:B1"/>
    <mergeCell ref="C1:F1"/>
    <mergeCell ref="G1:H1"/>
    <mergeCell ref="I1:L1"/>
  </mergeCells>
  <conditionalFormatting sqref="K3:K98">
    <cfRule type="cellIs" dxfId="1" priority="2" operator="greaterThan">
      <formula>0</formula>
    </cfRule>
    <cfRule type="cellIs" dxfId="0" priority="3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227"/>
  </sheetPr>
  <dimension ref="A1:X73"/>
  <sheetViews>
    <sheetView zoomScaleNormal="100" workbookViewId="0">
      <pane ySplit="2" topLeftCell="A6" activePane="bottomLeft" state="frozen"/>
      <selection pane="bottomLeft"/>
    </sheetView>
  </sheetViews>
  <sheetFormatPr defaultColWidth="8.6640625" defaultRowHeight="14.4" x14ac:dyDescent="0.3"/>
  <cols>
    <col min="1" max="1" width="12" customWidth="1"/>
    <col min="2" max="2" width="8" customWidth="1"/>
    <col min="3" max="8" width="10" customWidth="1"/>
    <col min="9" max="10" width="11" customWidth="1"/>
    <col min="11" max="13" width="8" customWidth="1"/>
    <col min="14" max="14" width="9" customWidth="1"/>
    <col min="15" max="16" width="10" customWidth="1"/>
    <col min="17" max="21" width="9" customWidth="1"/>
    <col min="22" max="22" width="11" customWidth="1"/>
    <col min="23" max="23" width="14" customWidth="1"/>
    <col min="24" max="24" width="9" customWidth="1"/>
  </cols>
  <sheetData>
    <row r="1" spans="1:24" ht="19.5" customHeight="1" x14ac:dyDescent="0.3">
      <c r="A1" s="7" t="s">
        <v>0</v>
      </c>
      <c r="B1" s="7"/>
      <c r="C1" s="6" t="s">
        <v>25</v>
      </c>
      <c r="D1" s="6"/>
      <c r="E1" s="6"/>
      <c r="F1" s="5" t="s">
        <v>26</v>
      </c>
      <c r="G1" s="5"/>
      <c r="H1" s="5"/>
      <c r="I1" s="5"/>
      <c r="J1" s="5"/>
      <c r="K1" s="4" t="s">
        <v>27</v>
      </c>
      <c r="L1" s="4"/>
      <c r="M1" s="4"/>
      <c r="N1" s="4"/>
      <c r="O1" s="4" t="s">
        <v>28</v>
      </c>
      <c r="P1" s="4"/>
      <c r="Q1" s="4"/>
      <c r="R1" s="6" t="s">
        <v>29</v>
      </c>
      <c r="S1" s="6"/>
      <c r="T1" s="6"/>
      <c r="U1" s="6"/>
      <c r="V1" s="3" t="s">
        <v>30</v>
      </c>
      <c r="W1" s="3"/>
      <c r="X1" s="3"/>
    </row>
    <row r="2" spans="1:24" ht="33.75" customHeight="1" x14ac:dyDescent="0.3">
      <c r="A2" s="32" t="s">
        <v>4</v>
      </c>
      <c r="B2" s="32" t="s">
        <v>5</v>
      </c>
      <c r="C2" s="32" t="s">
        <v>31</v>
      </c>
      <c r="D2" s="32" t="s">
        <v>32</v>
      </c>
      <c r="E2" s="32" t="s">
        <v>33</v>
      </c>
      <c r="F2" s="32" t="s">
        <v>34</v>
      </c>
      <c r="G2" s="32" t="s">
        <v>35</v>
      </c>
      <c r="H2" s="32" t="s">
        <v>36</v>
      </c>
      <c r="I2" s="32" t="s">
        <v>37</v>
      </c>
      <c r="J2" s="32" t="s">
        <v>38</v>
      </c>
      <c r="K2" s="32" t="s">
        <v>39</v>
      </c>
      <c r="L2" s="32" t="s">
        <v>40</v>
      </c>
      <c r="M2" s="32" t="s">
        <v>41</v>
      </c>
      <c r="N2" s="32" t="s">
        <v>42</v>
      </c>
      <c r="O2" s="32" t="s">
        <v>43</v>
      </c>
      <c r="P2" s="32" t="s">
        <v>44</v>
      </c>
      <c r="Q2" s="32" t="s">
        <v>45</v>
      </c>
      <c r="R2" s="32" t="s">
        <v>46</v>
      </c>
      <c r="S2" s="32" t="s">
        <v>47</v>
      </c>
      <c r="T2" s="32" t="s">
        <v>48</v>
      </c>
      <c r="U2" s="32" t="s">
        <v>49</v>
      </c>
      <c r="V2" s="32" t="s">
        <v>50</v>
      </c>
      <c r="W2" s="32" t="s">
        <v>51</v>
      </c>
      <c r="X2" s="32" t="s">
        <v>52</v>
      </c>
    </row>
    <row r="3" spans="1:24" ht="15" customHeight="1" x14ac:dyDescent="0.3">
      <c r="A3" s="33">
        <v>46246</v>
      </c>
      <c r="B3" s="34" t="s">
        <v>53</v>
      </c>
      <c r="C3" s="35"/>
      <c r="D3" s="35"/>
      <c r="E3" s="35"/>
      <c r="F3" s="36">
        <v>1.2</v>
      </c>
      <c r="G3" s="36">
        <v>30.96</v>
      </c>
      <c r="H3" s="36">
        <v>18.100000000000001</v>
      </c>
      <c r="I3" s="36">
        <v>220.48</v>
      </c>
      <c r="J3" s="36">
        <v>270.74</v>
      </c>
      <c r="K3" s="37">
        <f t="shared" ref="K3:K34" si="0">IFERROR(F3/$J3,"")</f>
        <v>4.4322966683903375E-3</v>
      </c>
      <c r="L3" s="37">
        <f t="shared" ref="L3:L34" si="1">IFERROR(G3/$J3,"")</f>
        <v>0.11435325404447071</v>
      </c>
      <c r="M3" s="37">
        <f t="shared" ref="M3:M34" si="2">IFERROR(H3/$J3,"")</f>
        <v>6.6853808081554264E-2</v>
      </c>
      <c r="N3" s="37">
        <f t="shared" ref="N3:N34" si="3">IFERROR(I3/$J3,"")</f>
        <v>0.8143606412055846</v>
      </c>
      <c r="O3" s="37">
        <f t="shared" ref="O3:O34" si="4">IFERROR(K3+L3,"")</f>
        <v>0.11878555071286104</v>
      </c>
      <c r="P3" s="37">
        <f t="shared" ref="P3:P34" si="5">IFERROR(M3,"")</f>
        <v>6.6853808081554264E-2</v>
      </c>
      <c r="Q3" s="37">
        <f t="shared" ref="Q3:Q34" si="6">IFERROR(N3,"")</f>
        <v>0.8143606412055846</v>
      </c>
      <c r="R3" s="38">
        <f t="shared" ref="R3:R34" si="7">IFERROR(O3*C3,"")</f>
        <v>0</v>
      </c>
      <c r="S3" s="38">
        <f t="shared" ref="S3:S34" si="8">IFERROR(P3*D3,"")</f>
        <v>0</v>
      </c>
      <c r="T3" s="38">
        <f t="shared" ref="T3:T34" si="9">IFERROR(Q3*E3,"")</f>
        <v>0</v>
      </c>
      <c r="U3" s="38">
        <f t="shared" ref="U3:U34" si="10">IFERROR(R3+S3+T3,"")</f>
        <v>0</v>
      </c>
      <c r="V3" s="39" t="str">
        <f t="shared" ref="V3:V34" si="11">IFERROR(IF(U3=0,"",R3/U3),"")</f>
        <v/>
      </c>
      <c r="W3" s="39" t="str">
        <f t="shared" ref="W3:W34" si="12">IFERROR(IF(U3=0,"",S3/U3),"")</f>
        <v/>
      </c>
      <c r="X3" s="39" t="str">
        <f t="shared" ref="X3:X34" si="13">IFERROR(IF(U3=0,"",T3/U3),"")</f>
        <v/>
      </c>
    </row>
    <row r="4" spans="1:24" ht="15" customHeight="1" x14ac:dyDescent="0.3">
      <c r="A4" s="33">
        <v>46247</v>
      </c>
      <c r="B4" s="34" t="s">
        <v>54</v>
      </c>
      <c r="C4" s="35">
        <v>0.39</v>
      </c>
      <c r="D4" s="35">
        <v>0.28000000000000003</v>
      </c>
      <c r="E4" s="35">
        <v>0.1</v>
      </c>
      <c r="F4" s="36">
        <v>2.0099999999999998</v>
      </c>
      <c r="G4" s="36">
        <v>29.01</v>
      </c>
      <c r="H4" s="36">
        <v>17.2</v>
      </c>
      <c r="I4" s="36">
        <v>211.78</v>
      </c>
      <c r="J4" s="36">
        <v>260</v>
      </c>
      <c r="K4" s="37">
        <f t="shared" si="0"/>
        <v>7.7307692307692303E-3</v>
      </c>
      <c r="L4" s="37">
        <f t="shared" si="1"/>
        <v>0.11157692307692309</v>
      </c>
      <c r="M4" s="37">
        <f t="shared" si="2"/>
        <v>6.6153846153846146E-2</v>
      </c>
      <c r="N4" s="37">
        <f t="shared" si="3"/>
        <v>0.81453846153846154</v>
      </c>
      <c r="O4" s="37">
        <f t="shared" si="4"/>
        <v>0.11930769230769232</v>
      </c>
      <c r="P4" s="37">
        <f t="shared" si="5"/>
        <v>6.6153846153846146E-2</v>
      </c>
      <c r="Q4" s="37">
        <f t="shared" si="6"/>
        <v>0.81453846153846154</v>
      </c>
      <c r="R4" s="38">
        <f t="shared" si="7"/>
        <v>4.6530000000000009E-2</v>
      </c>
      <c r="S4" s="38">
        <f t="shared" si="8"/>
        <v>1.8523076923076923E-2</v>
      </c>
      <c r="T4" s="38">
        <f t="shared" si="9"/>
        <v>8.1453846153846154E-2</v>
      </c>
      <c r="U4" s="38">
        <f t="shared" si="10"/>
        <v>0.14650692307692309</v>
      </c>
      <c r="V4" s="39">
        <f t="shared" si="11"/>
        <v>0.31759591303115109</v>
      </c>
      <c r="W4" s="39">
        <f t="shared" si="12"/>
        <v>0.12643141043479172</v>
      </c>
      <c r="X4" s="39">
        <f t="shared" si="13"/>
        <v>0.55597267653405713</v>
      </c>
    </row>
    <row r="5" spans="1:24" ht="15" customHeight="1" x14ac:dyDescent="0.3">
      <c r="A5" s="33">
        <v>46247</v>
      </c>
      <c r="B5" s="34" t="s">
        <v>53</v>
      </c>
      <c r="C5" s="35">
        <v>0.15</v>
      </c>
      <c r="D5" s="35">
        <v>0.19</v>
      </c>
      <c r="E5" s="35">
        <v>0.09</v>
      </c>
      <c r="F5" s="36">
        <v>2.78</v>
      </c>
      <c r="G5" s="36">
        <v>10.23</v>
      </c>
      <c r="H5" s="36">
        <v>11.07</v>
      </c>
      <c r="I5" s="36">
        <v>230.6</v>
      </c>
      <c r="J5" s="36">
        <v>254.68</v>
      </c>
      <c r="K5" s="37">
        <f t="shared" si="0"/>
        <v>1.0915658866027956E-2</v>
      </c>
      <c r="L5" s="37">
        <f t="shared" si="1"/>
        <v>4.0168054028584893E-2</v>
      </c>
      <c r="M5" s="37">
        <f t="shared" si="2"/>
        <v>4.3466310664363121E-2</v>
      </c>
      <c r="N5" s="37">
        <f t="shared" si="3"/>
        <v>0.90544997644102398</v>
      </c>
      <c r="O5" s="37">
        <f t="shared" si="4"/>
        <v>5.1083712894612845E-2</v>
      </c>
      <c r="P5" s="37">
        <f t="shared" si="5"/>
        <v>4.3466310664363121E-2</v>
      </c>
      <c r="Q5" s="37">
        <f t="shared" si="6"/>
        <v>0.90544997644102398</v>
      </c>
      <c r="R5" s="38">
        <f t="shared" si="7"/>
        <v>7.6625569341919261E-3</v>
      </c>
      <c r="S5" s="38">
        <f t="shared" si="8"/>
        <v>8.2585990262289931E-3</v>
      </c>
      <c r="T5" s="38">
        <f t="shared" si="9"/>
        <v>8.1490497879692161E-2</v>
      </c>
      <c r="U5" s="38">
        <f t="shared" si="10"/>
        <v>9.7411653840113077E-2</v>
      </c>
      <c r="V5" s="39">
        <f t="shared" si="11"/>
        <v>7.8661603946986541E-2</v>
      </c>
      <c r="W5" s="39">
        <f t="shared" si="12"/>
        <v>8.4780400503047304E-2</v>
      </c>
      <c r="X5" s="39">
        <f t="shared" si="13"/>
        <v>0.83655799554996613</v>
      </c>
    </row>
    <row r="6" spans="1:24" ht="15" customHeight="1" x14ac:dyDescent="0.3">
      <c r="A6" s="33">
        <v>46248</v>
      </c>
      <c r="B6" s="34" t="s">
        <v>54</v>
      </c>
      <c r="C6" s="35">
        <v>0.2</v>
      </c>
      <c r="D6" s="35">
        <v>0.19</v>
      </c>
      <c r="E6" s="35">
        <v>0.11</v>
      </c>
      <c r="F6" s="36">
        <v>6.49</v>
      </c>
      <c r="G6" s="36">
        <v>49.46</v>
      </c>
      <c r="H6" s="36">
        <v>23.05</v>
      </c>
      <c r="I6" s="36">
        <v>184.56</v>
      </c>
      <c r="J6" s="36">
        <v>263.56</v>
      </c>
      <c r="K6" s="37">
        <f t="shared" si="0"/>
        <v>2.4624373956594326E-2</v>
      </c>
      <c r="L6" s="37">
        <f t="shared" si="1"/>
        <v>0.18766125360449235</v>
      </c>
      <c r="M6" s="37">
        <f t="shared" si="2"/>
        <v>8.7456366671725599E-2</v>
      </c>
      <c r="N6" s="37">
        <f t="shared" si="3"/>
        <v>0.70025800576718777</v>
      </c>
      <c r="O6" s="37">
        <f t="shared" si="4"/>
        <v>0.21228562756108668</v>
      </c>
      <c r="P6" s="37">
        <f t="shared" si="5"/>
        <v>8.7456366671725599E-2</v>
      </c>
      <c r="Q6" s="37">
        <f t="shared" si="6"/>
        <v>0.70025800576718777</v>
      </c>
      <c r="R6" s="38">
        <f t="shared" si="7"/>
        <v>4.2457125512217336E-2</v>
      </c>
      <c r="S6" s="38">
        <f t="shared" si="8"/>
        <v>1.6616709667627863E-2</v>
      </c>
      <c r="T6" s="38">
        <f t="shared" si="9"/>
        <v>7.7028380634390659E-2</v>
      </c>
      <c r="U6" s="38">
        <f t="shared" si="10"/>
        <v>0.13610221581423587</v>
      </c>
      <c r="V6" s="39">
        <f t="shared" si="11"/>
        <v>0.3119502886724968</v>
      </c>
      <c r="W6" s="39">
        <f t="shared" si="12"/>
        <v>0.12208992754613042</v>
      </c>
      <c r="X6" s="39">
        <f t="shared" si="13"/>
        <v>0.56595978378137268</v>
      </c>
    </row>
    <row r="7" spans="1:24" ht="15" customHeight="1" x14ac:dyDescent="0.3">
      <c r="A7" s="33">
        <v>46248</v>
      </c>
      <c r="B7" s="34" t="s">
        <v>53</v>
      </c>
      <c r="C7" s="35">
        <v>0.23</v>
      </c>
      <c r="D7" s="35">
        <v>0.25</v>
      </c>
      <c r="E7" s="35">
        <v>0.1</v>
      </c>
      <c r="F7" s="36">
        <v>4.2699999999999996</v>
      </c>
      <c r="G7" s="36">
        <v>9.56</v>
      </c>
      <c r="H7" s="36">
        <v>12.83</v>
      </c>
      <c r="I7" s="36">
        <v>238.11</v>
      </c>
      <c r="J7" s="36">
        <v>264.77</v>
      </c>
      <c r="K7" s="37">
        <f t="shared" si="0"/>
        <v>1.612720474373985E-2</v>
      </c>
      <c r="L7" s="37">
        <f t="shared" si="1"/>
        <v>3.6106809683876577E-2</v>
      </c>
      <c r="M7" s="37">
        <f t="shared" si="2"/>
        <v>4.8457151489972435E-2</v>
      </c>
      <c r="N7" s="37">
        <f t="shared" si="3"/>
        <v>0.89930883408241125</v>
      </c>
      <c r="O7" s="37">
        <f t="shared" si="4"/>
        <v>5.2234014427616424E-2</v>
      </c>
      <c r="P7" s="37">
        <f t="shared" si="5"/>
        <v>4.8457151489972435E-2</v>
      </c>
      <c r="Q7" s="37">
        <f t="shared" si="6"/>
        <v>0.89930883408241125</v>
      </c>
      <c r="R7" s="38">
        <f t="shared" si="7"/>
        <v>1.2013823318351779E-2</v>
      </c>
      <c r="S7" s="38">
        <f t="shared" si="8"/>
        <v>1.2114287872493109E-2</v>
      </c>
      <c r="T7" s="38">
        <f t="shared" si="9"/>
        <v>8.9930883408241125E-2</v>
      </c>
      <c r="U7" s="38">
        <f t="shared" si="10"/>
        <v>0.11405899459908601</v>
      </c>
      <c r="V7" s="39">
        <f t="shared" si="11"/>
        <v>0.10532990721669967</v>
      </c>
      <c r="W7" s="39">
        <f t="shared" si="12"/>
        <v>0.10621071941826658</v>
      </c>
      <c r="X7" s="39">
        <f t="shared" si="13"/>
        <v>0.78845937336503369</v>
      </c>
    </row>
    <row r="8" spans="1:24" ht="15" customHeight="1" x14ac:dyDescent="0.3">
      <c r="A8" s="33">
        <v>46249</v>
      </c>
      <c r="B8" s="34" t="s">
        <v>54</v>
      </c>
      <c r="C8" s="35">
        <v>0.44</v>
      </c>
      <c r="D8" s="35">
        <v>0.26</v>
      </c>
      <c r="E8" s="35">
        <v>0.16</v>
      </c>
      <c r="F8" s="36">
        <v>3.97</v>
      </c>
      <c r="G8" s="36">
        <v>31.68</v>
      </c>
      <c r="H8" s="36">
        <v>21.74</v>
      </c>
      <c r="I8" s="36">
        <v>194.17</v>
      </c>
      <c r="J8" s="36">
        <v>251.56</v>
      </c>
      <c r="K8" s="37">
        <f t="shared" si="0"/>
        <v>1.5781523294641438E-2</v>
      </c>
      <c r="L8" s="37">
        <f t="shared" si="1"/>
        <v>0.12593417077436794</v>
      </c>
      <c r="M8" s="37">
        <f t="shared" si="2"/>
        <v>8.6420734615996184E-2</v>
      </c>
      <c r="N8" s="37">
        <f t="shared" si="3"/>
        <v>0.77186357131499439</v>
      </c>
      <c r="O8" s="37">
        <f t="shared" si="4"/>
        <v>0.14171569406900938</v>
      </c>
      <c r="P8" s="37">
        <f t="shared" si="5"/>
        <v>8.6420734615996184E-2</v>
      </c>
      <c r="Q8" s="37">
        <f t="shared" si="6"/>
        <v>0.77186357131499439</v>
      </c>
      <c r="R8" s="38">
        <f t="shared" si="7"/>
        <v>6.2354905390364132E-2</v>
      </c>
      <c r="S8" s="38">
        <f t="shared" si="8"/>
        <v>2.246939100015901E-2</v>
      </c>
      <c r="T8" s="38">
        <f t="shared" si="9"/>
        <v>0.12349817141039911</v>
      </c>
      <c r="U8" s="38">
        <f t="shared" si="10"/>
        <v>0.20832246780092223</v>
      </c>
      <c r="V8" s="39">
        <f t="shared" si="11"/>
        <v>0.29931915673134174</v>
      </c>
      <c r="W8" s="39">
        <f t="shared" si="12"/>
        <v>0.10785870212343721</v>
      </c>
      <c r="X8" s="39">
        <f t="shared" si="13"/>
        <v>0.59282214114522114</v>
      </c>
    </row>
    <row r="9" spans="1:24" ht="15" customHeight="1" x14ac:dyDescent="0.3">
      <c r="A9" s="33">
        <v>46249</v>
      </c>
      <c r="B9" s="34" t="s">
        <v>53</v>
      </c>
      <c r="C9" s="35">
        <v>0.17</v>
      </c>
      <c r="D9" s="35">
        <v>0.23</v>
      </c>
      <c r="E9" s="35">
        <v>0.1</v>
      </c>
      <c r="F9" s="36">
        <v>3.88</v>
      </c>
      <c r="G9" s="36">
        <v>25.23</v>
      </c>
      <c r="H9" s="36">
        <v>15.12</v>
      </c>
      <c r="I9" s="36">
        <v>226.34</v>
      </c>
      <c r="J9" s="36">
        <v>270.57</v>
      </c>
      <c r="K9" s="37">
        <f t="shared" si="0"/>
        <v>1.4340096832612632E-2</v>
      </c>
      <c r="L9" s="37">
        <f t="shared" si="1"/>
        <v>9.3247588424437297E-2</v>
      </c>
      <c r="M9" s="37">
        <f t="shared" si="2"/>
        <v>5.588202683224304E-2</v>
      </c>
      <c r="N9" s="37">
        <f t="shared" si="3"/>
        <v>0.83653028791070705</v>
      </c>
      <c r="O9" s="37">
        <f t="shared" si="4"/>
        <v>0.10758768525704993</v>
      </c>
      <c r="P9" s="37">
        <f t="shared" si="5"/>
        <v>5.588202683224304E-2</v>
      </c>
      <c r="Q9" s="37">
        <f t="shared" si="6"/>
        <v>0.83653028791070705</v>
      </c>
      <c r="R9" s="38">
        <f t="shared" si="7"/>
        <v>1.828990649369849E-2</v>
      </c>
      <c r="S9" s="38">
        <f t="shared" si="8"/>
        <v>1.28528661714159E-2</v>
      </c>
      <c r="T9" s="38">
        <f t="shared" si="9"/>
        <v>8.3653028791070713E-2</v>
      </c>
      <c r="U9" s="38">
        <f t="shared" si="10"/>
        <v>0.11479580145618511</v>
      </c>
      <c r="V9" s="39">
        <f t="shared" si="11"/>
        <v>0.15932556993976232</v>
      </c>
      <c r="W9" s="39">
        <f t="shared" si="12"/>
        <v>0.11196285934134569</v>
      </c>
      <c r="X9" s="39">
        <f t="shared" si="13"/>
        <v>0.72871157071889192</v>
      </c>
    </row>
    <row r="10" spans="1:24" ht="15" customHeight="1" x14ac:dyDescent="0.3">
      <c r="A10" s="33">
        <v>46250</v>
      </c>
      <c r="B10" s="34" t="s">
        <v>54</v>
      </c>
      <c r="C10" s="35">
        <v>0.19</v>
      </c>
      <c r="D10" s="35">
        <v>0.12</v>
      </c>
      <c r="E10" s="35">
        <v>0.08</v>
      </c>
      <c r="F10" s="36">
        <v>4.42</v>
      </c>
      <c r="G10" s="36">
        <v>8.77</v>
      </c>
      <c r="H10" s="36">
        <v>15.22</v>
      </c>
      <c r="I10" s="36">
        <v>224.8</v>
      </c>
      <c r="J10" s="36">
        <v>253.21</v>
      </c>
      <c r="K10" s="37">
        <f t="shared" si="0"/>
        <v>1.7455866671932389E-2</v>
      </c>
      <c r="L10" s="37">
        <f t="shared" si="1"/>
        <v>3.4635282966707474E-2</v>
      </c>
      <c r="M10" s="37">
        <f t="shared" si="2"/>
        <v>6.0108210576201575E-2</v>
      </c>
      <c r="N10" s="37">
        <f t="shared" si="3"/>
        <v>0.88780063978515855</v>
      </c>
      <c r="O10" s="37">
        <f t="shared" si="4"/>
        <v>5.2091149638639866E-2</v>
      </c>
      <c r="P10" s="37">
        <f t="shared" si="5"/>
        <v>6.0108210576201575E-2</v>
      </c>
      <c r="Q10" s="37">
        <f t="shared" si="6"/>
        <v>0.88780063978515855</v>
      </c>
      <c r="R10" s="38">
        <f t="shared" si="7"/>
        <v>9.897318431341574E-3</v>
      </c>
      <c r="S10" s="38">
        <f t="shared" si="8"/>
        <v>7.2129852691441886E-3</v>
      </c>
      <c r="T10" s="38">
        <f t="shared" si="9"/>
        <v>7.1024051182812686E-2</v>
      </c>
      <c r="U10" s="38">
        <f t="shared" si="10"/>
        <v>8.8134354883298446E-2</v>
      </c>
      <c r="V10" s="39">
        <f t="shared" si="11"/>
        <v>0.11229807541505164</v>
      </c>
      <c r="W10" s="39">
        <f t="shared" si="12"/>
        <v>8.1840790446530601E-2</v>
      </c>
      <c r="X10" s="39">
        <f t="shared" si="13"/>
        <v>0.80586113413841776</v>
      </c>
    </row>
    <row r="11" spans="1:24" ht="15" customHeight="1" x14ac:dyDescent="0.3">
      <c r="A11" s="33">
        <v>46250</v>
      </c>
      <c r="B11" s="34" t="s">
        <v>53</v>
      </c>
      <c r="C11" s="35">
        <v>0.11</v>
      </c>
      <c r="D11" s="35">
        <v>7.0000000000000007E-2</v>
      </c>
      <c r="E11" s="35">
        <v>0.04</v>
      </c>
      <c r="F11" s="36">
        <v>0.71</v>
      </c>
      <c r="G11" s="36">
        <v>28.41</v>
      </c>
      <c r="H11" s="36">
        <v>29.99</v>
      </c>
      <c r="I11" s="36">
        <v>210.89</v>
      </c>
      <c r="J11" s="36">
        <v>270</v>
      </c>
      <c r="K11" s="37">
        <f t="shared" si="0"/>
        <v>2.6296296296296293E-3</v>
      </c>
      <c r="L11" s="37">
        <f t="shared" si="1"/>
        <v>0.10522222222222222</v>
      </c>
      <c r="M11" s="37">
        <f t="shared" si="2"/>
        <v>0.11107407407407408</v>
      </c>
      <c r="N11" s="37">
        <f t="shared" si="3"/>
        <v>0.78107407407407403</v>
      </c>
      <c r="O11" s="37">
        <f t="shared" si="4"/>
        <v>0.10785185185185185</v>
      </c>
      <c r="P11" s="37">
        <f t="shared" si="5"/>
        <v>0.11107407407407408</v>
      </c>
      <c r="Q11" s="37">
        <f t="shared" si="6"/>
        <v>0.78107407407407403</v>
      </c>
      <c r="R11" s="38">
        <f t="shared" si="7"/>
        <v>1.1863703703703704E-2</v>
      </c>
      <c r="S11" s="38">
        <f t="shared" si="8"/>
        <v>7.7751851851851862E-3</v>
      </c>
      <c r="T11" s="38">
        <f t="shared" si="9"/>
        <v>3.1242962962962962E-2</v>
      </c>
      <c r="U11" s="38">
        <f t="shared" si="10"/>
        <v>5.0881851851851852E-2</v>
      </c>
      <c r="V11" s="39">
        <f t="shared" si="11"/>
        <v>0.23316179093178827</v>
      </c>
      <c r="W11" s="39">
        <f t="shared" si="12"/>
        <v>0.15280861254467504</v>
      </c>
      <c r="X11" s="39">
        <f t="shared" si="13"/>
        <v>0.61402959652353672</v>
      </c>
    </row>
    <row r="12" spans="1:24" ht="15" customHeight="1" x14ac:dyDescent="0.3">
      <c r="A12" s="33">
        <v>46251</v>
      </c>
      <c r="B12" s="34" t="s">
        <v>54</v>
      </c>
      <c r="C12" s="35">
        <v>0.05</v>
      </c>
      <c r="D12" s="35">
        <v>0.04</v>
      </c>
      <c r="E12" s="35">
        <v>0.04</v>
      </c>
      <c r="F12" s="36">
        <v>3.18</v>
      </c>
      <c r="G12" s="36">
        <v>7.82</v>
      </c>
      <c r="H12" s="36">
        <v>12.23</v>
      </c>
      <c r="I12" s="36">
        <v>229.95</v>
      </c>
      <c r="J12" s="36">
        <v>253.18</v>
      </c>
      <c r="K12" s="37">
        <f t="shared" si="0"/>
        <v>1.2560233825736631E-2</v>
      </c>
      <c r="L12" s="37">
        <f t="shared" si="1"/>
        <v>3.0887115885930957E-2</v>
      </c>
      <c r="M12" s="37">
        <f t="shared" si="2"/>
        <v>4.8305553361244966E-2</v>
      </c>
      <c r="N12" s="37">
        <f t="shared" si="3"/>
        <v>0.90824709692708738</v>
      </c>
      <c r="O12" s="37">
        <f t="shared" si="4"/>
        <v>4.3447349711667589E-2</v>
      </c>
      <c r="P12" s="37">
        <f t="shared" si="5"/>
        <v>4.8305553361244966E-2</v>
      </c>
      <c r="Q12" s="37">
        <f t="shared" si="6"/>
        <v>0.90824709692708738</v>
      </c>
      <c r="R12" s="38">
        <f t="shared" si="7"/>
        <v>2.1723674855833796E-3</v>
      </c>
      <c r="S12" s="38">
        <f t="shared" si="8"/>
        <v>1.9322221344497987E-3</v>
      </c>
      <c r="T12" s="38">
        <f t="shared" si="9"/>
        <v>3.6329883877083496E-2</v>
      </c>
      <c r="U12" s="38">
        <f t="shared" si="10"/>
        <v>4.0434473497116673E-2</v>
      </c>
      <c r="V12" s="39">
        <f t="shared" si="11"/>
        <v>5.3725628101433998E-2</v>
      </c>
      <c r="W12" s="39">
        <f t="shared" si="12"/>
        <v>4.7786504122220928E-2</v>
      </c>
      <c r="X12" s="39">
        <f t="shared" si="13"/>
        <v>0.89848786777634515</v>
      </c>
    </row>
    <row r="13" spans="1:24" ht="15" customHeight="1" x14ac:dyDescent="0.3">
      <c r="A13" s="33">
        <v>46251</v>
      </c>
      <c r="B13" s="34" t="s">
        <v>53</v>
      </c>
      <c r="C13" s="35">
        <v>7.0000000000000007E-2</v>
      </c>
      <c r="D13" s="35">
        <v>0.06</v>
      </c>
      <c r="E13" s="35">
        <v>0.05</v>
      </c>
      <c r="F13" s="36">
        <v>0.66</v>
      </c>
      <c r="G13" s="36">
        <v>13.84</v>
      </c>
      <c r="H13" s="36">
        <v>25.8</v>
      </c>
      <c r="I13" s="36">
        <v>229.7</v>
      </c>
      <c r="J13" s="36">
        <v>270</v>
      </c>
      <c r="K13" s="37">
        <f t="shared" si="0"/>
        <v>2.4444444444444444E-3</v>
      </c>
      <c r="L13" s="37">
        <f t="shared" si="1"/>
        <v>5.1259259259259261E-2</v>
      </c>
      <c r="M13" s="37">
        <f t="shared" si="2"/>
        <v>9.555555555555556E-2</v>
      </c>
      <c r="N13" s="37">
        <f t="shared" si="3"/>
        <v>0.85074074074074069</v>
      </c>
      <c r="O13" s="37">
        <f t="shared" si="4"/>
        <v>5.3703703703703705E-2</v>
      </c>
      <c r="P13" s="37">
        <f t="shared" si="5"/>
        <v>9.555555555555556E-2</v>
      </c>
      <c r="Q13" s="37">
        <f t="shared" si="6"/>
        <v>0.85074074074074069</v>
      </c>
      <c r="R13" s="38">
        <f t="shared" si="7"/>
        <v>3.7592592592592595E-3</v>
      </c>
      <c r="S13" s="38">
        <f t="shared" si="8"/>
        <v>5.7333333333333333E-3</v>
      </c>
      <c r="T13" s="38">
        <f t="shared" si="9"/>
        <v>4.253703703703704E-2</v>
      </c>
      <c r="U13" s="38">
        <f t="shared" si="10"/>
        <v>5.2029629629629634E-2</v>
      </c>
      <c r="V13" s="39">
        <f t="shared" si="11"/>
        <v>7.2252277904328019E-2</v>
      </c>
      <c r="W13" s="39">
        <f t="shared" si="12"/>
        <v>0.11019362186788154</v>
      </c>
      <c r="X13" s="39">
        <f t="shared" si="13"/>
        <v>0.8175541002277904</v>
      </c>
    </row>
    <row r="14" spans="1:24" ht="15" customHeight="1" x14ac:dyDescent="0.3">
      <c r="A14" s="33">
        <v>46252</v>
      </c>
      <c r="B14" s="34" t="s">
        <v>54</v>
      </c>
      <c r="C14" s="35">
        <v>0.06</v>
      </c>
      <c r="D14" s="35">
        <v>0.06</v>
      </c>
      <c r="E14" s="35">
        <v>0.03</v>
      </c>
      <c r="F14" s="36">
        <v>4.18</v>
      </c>
      <c r="G14" s="36">
        <v>9.7200000000000006</v>
      </c>
      <c r="H14" s="36">
        <v>17.32</v>
      </c>
      <c r="I14" s="36">
        <v>221.7</v>
      </c>
      <c r="J14" s="36">
        <v>252.92</v>
      </c>
      <c r="K14" s="37">
        <f t="shared" si="0"/>
        <v>1.6526965048236596E-2</v>
      </c>
      <c r="L14" s="37">
        <f t="shared" si="1"/>
        <v>3.8431124466234388E-2</v>
      </c>
      <c r="M14" s="37">
        <f t="shared" si="2"/>
        <v>6.8480151826664559E-2</v>
      </c>
      <c r="N14" s="37">
        <f t="shared" si="3"/>
        <v>0.87656175865886443</v>
      </c>
      <c r="O14" s="37">
        <f t="shared" si="4"/>
        <v>5.4958089514470981E-2</v>
      </c>
      <c r="P14" s="37">
        <f t="shared" si="5"/>
        <v>6.8480151826664559E-2</v>
      </c>
      <c r="Q14" s="37">
        <f t="shared" si="6"/>
        <v>0.87656175865886443</v>
      </c>
      <c r="R14" s="38">
        <f t="shared" si="7"/>
        <v>3.2974853708682586E-3</v>
      </c>
      <c r="S14" s="38">
        <f t="shared" si="8"/>
        <v>4.1088091095998732E-3</v>
      </c>
      <c r="T14" s="38">
        <f t="shared" si="9"/>
        <v>2.6296852759765933E-2</v>
      </c>
      <c r="U14" s="38">
        <f t="shared" si="10"/>
        <v>3.3703147240234065E-2</v>
      </c>
      <c r="V14" s="39">
        <f t="shared" si="11"/>
        <v>9.7839093404659669E-2</v>
      </c>
      <c r="W14" s="39">
        <f t="shared" si="12"/>
        <v>0.12191173365242486</v>
      </c>
      <c r="X14" s="39">
        <f t="shared" si="13"/>
        <v>0.78024917294291551</v>
      </c>
    </row>
    <row r="15" spans="1:24" ht="15" customHeight="1" x14ac:dyDescent="0.3">
      <c r="A15" s="33">
        <v>46252</v>
      </c>
      <c r="B15" s="34" t="s">
        <v>53</v>
      </c>
      <c r="C15" s="35">
        <v>0.03</v>
      </c>
      <c r="D15" s="35">
        <v>0.04</v>
      </c>
      <c r="E15" s="35">
        <v>0.03</v>
      </c>
      <c r="F15" s="36">
        <v>4.32</v>
      </c>
      <c r="G15" s="36">
        <v>37.549999999999997</v>
      </c>
      <c r="H15" s="36">
        <v>14.63</v>
      </c>
      <c r="I15" s="36">
        <v>218.62</v>
      </c>
      <c r="J15" s="36">
        <v>275.12</v>
      </c>
      <c r="K15" s="37">
        <f t="shared" si="0"/>
        <v>1.5702239022971794E-2</v>
      </c>
      <c r="L15" s="37">
        <f t="shared" si="1"/>
        <v>0.13648589706309971</v>
      </c>
      <c r="M15" s="37">
        <f t="shared" si="2"/>
        <v>5.31767955801105E-2</v>
      </c>
      <c r="N15" s="37">
        <f t="shared" si="3"/>
        <v>0.79463506833381803</v>
      </c>
      <c r="O15" s="37">
        <f t="shared" si="4"/>
        <v>0.15218813608607151</v>
      </c>
      <c r="P15" s="37">
        <f t="shared" si="5"/>
        <v>5.31767955801105E-2</v>
      </c>
      <c r="Q15" s="37">
        <f t="shared" si="6"/>
        <v>0.79463506833381803</v>
      </c>
      <c r="R15" s="38">
        <f t="shared" si="7"/>
        <v>4.5656440825821449E-3</v>
      </c>
      <c r="S15" s="38">
        <f t="shared" si="8"/>
        <v>2.1270718232044199E-3</v>
      </c>
      <c r="T15" s="38">
        <f t="shared" si="9"/>
        <v>2.3839052050014541E-2</v>
      </c>
      <c r="U15" s="38">
        <f t="shared" si="10"/>
        <v>3.0531767955801106E-2</v>
      </c>
      <c r="V15" s="39">
        <f t="shared" si="11"/>
        <v>0.14953749449398204</v>
      </c>
      <c r="W15" s="39">
        <f t="shared" si="12"/>
        <v>6.9667496041619537E-2</v>
      </c>
      <c r="X15" s="39">
        <f t="shared" si="13"/>
        <v>0.78079500946439839</v>
      </c>
    </row>
    <row r="16" spans="1:24" ht="15" customHeight="1" x14ac:dyDescent="0.3">
      <c r="A16" s="33">
        <v>46253</v>
      </c>
      <c r="B16" s="34" t="s">
        <v>54</v>
      </c>
      <c r="C16" s="35">
        <v>0.04</v>
      </c>
      <c r="D16" s="35">
        <v>7.0000000000000007E-2</v>
      </c>
      <c r="E16" s="35">
        <v>0.04</v>
      </c>
      <c r="F16" s="36">
        <v>1.63</v>
      </c>
      <c r="G16" s="36">
        <v>35.9</v>
      </c>
      <c r="H16" s="36">
        <v>22.94</v>
      </c>
      <c r="I16" s="36">
        <v>209.53</v>
      </c>
      <c r="J16" s="36">
        <v>270</v>
      </c>
      <c r="K16" s="37">
        <f t="shared" si="0"/>
        <v>6.0370370370370369E-3</v>
      </c>
      <c r="L16" s="37">
        <f t="shared" si="1"/>
        <v>0.13296296296296295</v>
      </c>
      <c r="M16" s="37">
        <f t="shared" si="2"/>
        <v>8.4962962962962962E-2</v>
      </c>
      <c r="N16" s="37">
        <f t="shared" si="3"/>
        <v>0.77603703703703708</v>
      </c>
      <c r="O16" s="37">
        <f t="shared" si="4"/>
        <v>0.13899999999999998</v>
      </c>
      <c r="P16" s="37">
        <f t="shared" si="5"/>
        <v>8.4962962962962962E-2</v>
      </c>
      <c r="Q16" s="37">
        <f t="shared" si="6"/>
        <v>0.77603703703703708</v>
      </c>
      <c r="R16" s="38">
        <f t="shared" si="7"/>
        <v>5.5599999999999998E-3</v>
      </c>
      <c r="S16" s="38">
        <f t="shared" si="8"/>
        <v>5.9474074074074082E-3</v>
      </c>
      <c r="T16" s="38">
        <f t="shared" si="9"/>
        <v>3.1041481481481482E-2</v>
      </c>
      <c r="U16" s="38">
        <f t="shared" si="10"/>
        <v>4.2548888888888886E-2</v>
      </c>
      <c r="V16" s="39">
        <f t="shared" si="11"/>
        <v>0.13067321251370972</v>
      </c>
      <c r="W16" s="39">
        <f t="shared" si="12"/>
        <v>0.1397782072039136</v>
      </c>
      <c r="X16" s="39">
        <f t="shared" si="13"/>
        <v>0.72954858028237679</v>
      </c>
    </row>
    <row r="17" spans="1:24" ht="15" customHeight="1" x14ac:dyDescent="0.3">
      <c r="A17" s="33">
        <v>46253</v>
      </c>
      <c r="B17" s="34" t="s">
        <v>53</v>
      </c>
      <c r="C17" s="35">
        <v>0.12</v>
      </c>
      <c r="D17" s="35">
        <v>0.16</v>
      </c>
      <c r="E17" s="35">
        <v>0.08</v>
      </c>
      <c r="F17" s="36">
        <v>2.96</v>
      </c>
      <c r="G17" s="36">
        <v>12.33</v>
      </c>
      <c r="H17" s="36">
        <v>13.7</v>
      </c>
      <c r="I17" s="36">
        <v>221.01</v>
      </c>
      <c r="J17" s="36">
        <v>250</v>
      </c>
      <c r="K17" s="37">
        <f t="shared" si="0"/>
        <v>1.184E-2</v>
      </c>
      <c r="L17" s="37">
        <f t="shared" si="1"/>
        <v>4.9320000000000003E-2</v>
      </c>
      <c r="M17" s="37">
        <f t="shared" si="2"/>
        <v>5.4799999999999995E-2</v>
      </c>
      <c r="N17" s="37">
        <f t="shared" si="3"/>
        <v>0.88403999999999994</v>
      </c>
      <c r="O17" s="37">
        <f t="shared" si="4"/>
        <v>6.1160000000000006E-2</v>
      </c>
      <c r="P17" s="37">
        <f t="shared" si="5"/>
        <v>5.4799999999999995E-2</v>
      </c>
      <c r="Q17" s="37">
        <f t="shared" si="6"/>
        <v>0.88403999999999994</v>
      </c>
      <c r="R17" s="38">
        <f t="shared" si="7"/>
        <v>7.3392000000000006E-3</v>
      </c>
      <c r="S17" s="38">
        <f t="shared" si="8"/>
        <v>8.7679999999999998E-3</v>
      </c>
      <c r="T17" s="38">
        <f t="shared" si="9"/>
        <v>7.07232E-2</v>
      </c>
      <c r="U17" s="38">
        <f t="shared" si="10"/>
        <v>8.6830400000000002E-2</v>
      </c>
      <c r="V17" s="39">
        <f t="shared" si="11"/>
        <v>8.4523392728813873E-2</v>
      </c>
      <c r="W17" s="39">
        <f t="shared" si="12"/>
        <v>0.10097845915716154</v>
      </c>
      <c r="X17" s="39">
        <f t="shared" si="13"/>
        <v>0.81449814811402454</v>
      </c>
    </row>
    <row r="18" spans="1:24" ht="15" customHeight="1" x14ac:dyDescent="0.3">
      <c r="A18" s="33">
        <v>46254</v>
      </c>
      <c r="B18" s="34" t="s">
        <v>54</v>
      </c>
      <c r="C18" s="35">
        <v>0.09</v>
      </c>
      <c r="D18" s="35">
        <v>0.1</v>
      </c>
      <c r="E18" s="35">
        <v>0.05</v>
      </c>
      <c r="F18" s="36">
        <v>1.9</v>
      </c>
      <c r="G18" s="36">
        <v>29.86</v>
      </c>
      <c r="H18" s="36">
        <v>24.28</v>
      </c>
      <c r="I18" s="36">
        <v>213.96</v>
      </c>
      <c r="J18" s="36">
        <v>270</v>
      </c>
      <c r="K18" s="37">
        <f t="shared" si="0"/>
        <v>7.037037037037037E-3</v>
      </c>
      <c r="L18" s="37">
        <f t="shared" si="1"/>
        <v>0.11059259259259259</v>
      </c>
      <c r="M18" s="37">
        <f t="shared" si="2"/>
        <v>8.9925925925925937E-2</v>
      </c>
      <c r="N18" s="37">
        <f t="shared" si="3"/>
        <v>0.79244444444444451</v>
      </c>
      <c r="O18" s="37">
        <f t="shared" si="4"/>
        <v>0.11762962962962963</v>
      </c>
      <c r="P18" s="37">
        <f t="shared" si="5"/>
        <v>8.9925925925925937E-2</v>
      </c>
      <c r="Q18" s="37">
        <f t="shared" si="6"/>
        <v>0.79244444444444451</v>
      </c>
      <c r="R18" s="38">
        <f t="shared" si="7"/>
        <v>1.0586666666666666E-2</v>
      </c>
      <c r="S18" s="38">
        <f t="shared" si="8"/>
        <v>8.9925925925925937E-3</v>
      </c>
      <c r="T18" s="38">
        <f t="shared" si="9"/>
        <v>3.9622222222222225E-2</v>
      </c>
      <c r="U18" s="38">
        <f t="shared" si="10"/>
        <v>5.9201481481481487E-2</v>
      </c>
      <c r="V18" s="39">
        <f t="shared" si="11"/>
        <v>0.17882435374490124</v>
      </c>
      <c r="W18" s="39">
        <f t="shared" si="12"/>
        <v>0.15189810064813195</v>
      </c>
      <c r="X18" s="39">
        <f t="shared" si="13"/>
        <v>0.66927754560696684</v>
      </c>
    </row>
    <row r="19" spans="1:24" ht="15" customHeight="1" x14ac:dyDescent="0.3">
      <c r="A19" s="33">
        <v>46254</v>
      </c>
      <c r="B19" s="34" t="s">
        <v>53</v>
      </c>
      <c r="C19" s="35">
        <v>0.15</v>
      </c>
      <c r="D19" s="35">
        <v>0.14000000000000001</v>
      </c>
      <c r="E19" s="35">
        <v>0.06</v>
      </c>
      <c r="F19" s="36">
        <v>1.63</v>
      </c>
      <c r="G19" s="36">
        <v>29.11</v>
      </c>
      <c r="H19" s="36">
        <v>24.62</v>
      </c>
      <c r="I19" s="36">
        <v>195.07</v>
      </c>
      <c r="J19" s="36">
        <v>250.43</v>
      </c>
      <c r="K19" s="37">
        <f t="shared" si="0"/>
        <v>6.508804855648284E-3</v>
      </c>
      <c r="L19" s="37">
        <f t="shared" si="1"/>
        <v>0.11624006708461446</v>
      </c>
      <c r="M19" s="37">
        <f t="shared" si="2"/>
        <v>9.8310905242982069E-2</v>
      </c>
      <c r="N19" s="37">
        <f t="shared" si="3"/>
        <v>0.77894022281675512</v>
      </c>
      <c r="O19" s="37">
        <f t="shared" si="4"/>
        <v>0.12274887194026274</v>
      </c>
      <c r="P19" s="37">
        <f t="shared" si="5"/>
        <v>9.8310905242982069E-2</v>
      </c>
      <c r="Q19" s="37">
        <f t="shared" si="6"/>
        <v>0.77894022281675512</v>
      </c>
      <c r="R19" s="38">
        <f t="shared" si="7"/>
        <v>1.8412330791039409E-2</v>
      </c>
      <c r="S19" s="38">
        <f t="shared" si="8"/>
        <v>1.3763526734017491E-2</v>
      </c>
      <c r="T19" s="38">
        <f t="shared" si="9"/>
        <v>4.6736413369005303E-2</v>
      </c>
      <c r="U19" s="38">
        <f t="shared" si="10"/>
        <v>7.8912270894062206E-2</v>
      </c>
      <c r="V19" s="39">
        <f t="shared" si="11"/>
        <v>0.23332658637789694</v>
      </c>
      <c r="W19" s="39">
        <f t="shared" si="12"/>
        <v>0.17441554498532541</v>
      </c>
      <c r="X19" s="39">
        <f t="shared" si="13"/>
        <v>0.59225786863677765</v>
      </c>
    </row>
    <row r="20" spans="1:24" ht="15" customHeight="1" x14ac:dyDescent="0.3">
      <c r="A20" s="33">
        <v>46255</v>
      </c>
      <c r="B20" s="34" t="s">
        <v>54</v>
      </c>
      <c r="C20" s="35">
        <v>0.24</v>
      </c>
      <c r="D20" s="35">
        <v>0.14000000000000001</v>
      </c>
      <c r="E20" s="35">
        <v>0.08</v>
      </c>
      <c r="F20" s="36">
        <v>2.44</v>
      </c>
      <c r="G20" s="36">
        <v>25.01</v>
      </c>
      <c r="H20" s="36">
        <v>31.22</v>
      </c>
      <c r="I20" s="36">
        <v>197.98</v>
      </c>
      <c r="J20" s="36">
        <v>256.64999999999998</v>
      </c>
      <c r="K20" s="37">
        <f t="shared" si="0"/>
        <v>9.5071108513539847E-3</v>
      </c>
      <c r="L20" s="37">
        <f t="shared" si="1"/>
        <v>9.7447886226378344E-2</v>
      </c>
      <c r="M20" s="37">
        <f t="shared" si="2"/>
        <v>0.12164426261445549</v>
      </c>
      <c r="N20" s="37">
        <f t="shared" si="3"/>
        <v>0.77140074030781225</v>
      </c>
      <c r="O20" s="37">
        <f t="shared" si="4"/>
        <v>0.10695499707773233</v>
      </c>
      <c r="P20" s="37">
        <f t="shared" si="5"/>
        <v>0.12164426261445549</v>
      </c>
      <c r="Q20" s="37">
        <f t="shared" si="6"/>
        <v>0.77140074030781225</v>
      </c>
      <c r="R20" s="38">
        <f t="shared" si="7"/>
        <v>2.566919929865576E-2</v>
      </c>
      <c r="S20" s="38">
        <f t="shared" si="8"/>
        <v>1.703019676602377E-2</v>
      </c>
      <c r="T20" s="38">
        <f t="shared" si="9"/>
        <v>6.1712059224624978E-2</v>
      </c>
      <c r="U20" s="38">
        <f t="shared" si="10"/>
        <v>0.10441145528930451</v>
      </c>
      <c r="V20" s="39">
        <f t="shared" si="11"/>
        <v>0.24584658098607318</v>
      </c>
      <c r="W20" s="39">
        <f t="shared" si="12"/>
        <v>0.16310659322615795</v>
      </c>
      <c r="X20" s="39">
        <f t="shared" si="13"/>
        <v>0.59104682578776879</v>
      </c>
    </row>
    <row r="21" spans="1:24" ht="15" customHeight="1" x14ac:dyDescent="0.3">
      <c r="A21" s="33">
        <v>46255</v>
      </c>
      <c r="B21" s="34" t="s">
        <v>53</v>
      </c>
      <c r="C21" s="35">
        <v>0.03</v>
      </c>
      <c r="D21" s="35">
        <v>0.06</v>
      </c>
      <c r="E21" s="35">
        <v>0.03</v>
      </c>
      <c r="F21" s="36">
        <v>3.48</v>
      </c>
      <c r="G21" s="36">
        <v>15.67</v>
      </c>
      <c r="H21" s="36">
        <v>19.86</v>
      </c>
      <c r="I21" s="36">
        <v>218.37</v>
      </c>
      <c r="J21" s="36">
        <v>257.38</v>
      </c>
      <c r="K21" s="37">
        <f t="shared" si="0"/>
        <v>1.352086409200404E-2</v>
      </c>
      <c r="L21" s="37">
        <f t="shared" si="1"/>
        <v>6.0882741471753828E-2</v>
      </c>
      <c r="M21" s="37">
        <f t="shared" si="2"/>
        <v>7.7162172662988582E-2</v>
      </c>
      <c r="N21" s="37">
        <f t="shared" si="3"/>
        <v>0.84843422177325356</v>
      </c>
      <c r="O21" s="37">
        <f t="shared" si="4"/>
        <v>7.4403605563757871E-2</v>
      </c>
      <c r="P21" s="37">
        <f t="shared" si="5"/>
        <v>7.7162172662988582E-2</v>
      </c>
      <c r="Q21" s="37">
        <f t="shared" si="6"/>
        <v>0.84843422177325356</v>
      </c>
      <c r="R21" s="38">
        <f t="shared" si="7"/>
        <v>2.2321081669127362E-3</v>
      </c>
      <c r="S21" s="38">
        <f t="shared" si="8"/>
        <v>4.6297303597793152E-3</v>
      </c>
      <c r="T21" s="38">
        <f t="shared" si="9"/>
        <v>2.5453026653197607E-2</v>
      </c>
      <c r="U21" s="38">
        <f t="shared" si="10"/>
        <v>3.2314865179889657E-2</v>
      </c>
      <c r="V21" s="39">
        <f t="shared" si="11"/>
        <v>6.9073726734958887E-2</v>
      </c>
      <c r="W21" s="39">
        <f t="shared" si="12"/>
        <v>0.14326936949935076</v>
      </c>
      <c r="X21" s="39">
        <f t="shared" si="13"/>
        <v>0.78765690376569042</v>
      </c>
    </row>
    <row r="22" spans="1:24" ht="15" customHeight="1" x14ac:dyDescent="0.3">
      <c r="A22" s="33">
        <v>46256</v>
      </c>
      <c r="B22" s="34" t="s">
        <v>54</v>
      </c>
      <c r="C22" s="35">
        <v>7.0000000000000007E-2</v>
      </c>
      <c r="D22" s="35">
        <v>0.1</v>
      </c>
      <c r="E22" s="35">
        <v>0.08</v>
      </c>
      <c r="F22" s="36">
        <v>4.0599999999999996</v>
      </c>
      <c r="G22" s="36">
        <v>39.549999999999997</v>
      </c>
      <c r="H22" s="36">
        <v>8.0399999999999991</v>
      </c>
      <c r="I22" s="36">
        <v>218.98</v>
      </c>
      <c r="J22" s="36">
        <v>270.63</v>
      </c>
      <c r="K22" s="37">
        <f t="shared" si="0"/>
        <v>1.5002032295015334E-2</v>
      </c>
      <c r="L22" s="37">
        <f t="shared" si="1"/>
        <v>0.14614048701178731</v>
      </c>
      <c r="M22" s="37">
        <f t="shared" si="2"/>
        <v>2.9708458042345634E-2</v>
      </c>
      <c r="N22" s="37">
        <f t="shared" si="3"/>
        <v>0.80914902265085165</v>
      </c>
      <c r="O22" s="37">
        <f t="shared" si="4"/>
        <v>0.16114251930680265</v>
      </c>
      <c r="P22" s="37">
        <f t="shared" si="5"/>
        <v>2.9708458042345634E-2</v>
      </c>
      <c r="Q22" s="37">
        <f t="shared" si="6"/>
        <v>0.80914902265085165</v>
      </c>
      <c r="R22" s="38">
        <f t="shared" si="7"/>
        <v>1.1279976351476187E-2</v>
      </c>
      <c r="S22" s="38">
        <f t="shared" si="8"/>
        <v>2.9708458042345637E-3</v>
      </c>
      <c r="T22" s="38">
        <f t="shared" si="9"/>
        <v>6.4731921812068133E-2</v>
      </c>
      <c r="U22" s="38">
        <f t="shared" si="10"/>
        <v>7.8982743967778879E-2</v>
      </c>
      <c r="V22" s="39">
        <f t="shared" si="11"/>
        <v>0.14281570612535149</v>
      </c>
      <c r="W22" s="39">
        <f t="shared" si="12"/>
        <v>3.7613859116448579E-2</v>
      </c>
      <c r="X22" s="39">
        <f t="shared" si="13"/>
        <v>0.81957043475820002</v>
      </c>
    </row>
    <row r="23" spans="1:24" ht="15" customHeight="1" x14ac:dyDescent="0.3">
      <c r="A23" s="33">
        <v>46256</v>
      </c>
      <c r="B23" s="34" t="s">
        <v>53</v>
      </c>
      <c r="C23" s="35">
        <v>0.09</v>
      </c>
      <c r="D23" s="35">
        <v>0.15</v>
      </c>
      <c r="E23" s="35">
        <v>0.09</v>
      </c>
      <c r="F23" s="36">
        <v>5.92</v>
      </c>
      <c r="G23" s="36">
        <v>8.3699999999999992</v>
      </c>
      <c r="H23" s="36">
        <v>15.79</v>
      </c>
      <c r="I23" s="36">
        <v>227.16</v>
      </c>
      <c r="J23" s="36">
        <v>257.24</v>
      </c>
      <c r="K23" s="37">
        <f t="shared" si="0"/>
        <v>2.3013528222671435E-2</v>
      </c>
      <c r="L23" s="37">
        <f t="shared" si="1"/>
        <v>3.253770797698647E-2</v>
      </c>
      <c r="M23" s="37">
        <f t="shared" si="2"/>
        <v>6.1382366661483431E-2</v>
      </c>
      <c r="N23" s="37">
        <f t="shared" si="3"/>
        <v>0.88306639713885859</v>
      </c>
      <c r="O23" s="37">
        <f t="shared" si="4"/>
        <v>5.5551236199657905E-2</v>
      </c>
      <c r="P23" s="37">
        <f t="shared" si="5"/>
        <v>6.1382366661483431E-2</v>
      </c>
      <c r="Q23" s="37">
        <f t="shared" si="6"/>
        <v>0.88306639713885859</v>
      </c>
      <c r="R23" s="38">
        <f t="shared" si="7"/>
        <v>4.9996112579692113E-3</v>
      </c>
      <c r="S23" s="38">
        <f t="shared" si="8"/>
        <v>9.2073549992225147E-3</v>
      </c>
      <c r="T23" s="38">
        <f t="shared" si="9"/>
        <v>7.9475975742497276E-2</v>
      </c>
      <c r="U23" s="38">
        <f t="shared" si="10"/>
        <v>9.3682941999689004E-2</v>
      </c>
      <c r="V23" s="39">
        <f t="shared" si="11"/>
        <v>5.3367359641478894E-2</v>
      </c>
      <c r="W23" s="39">
        <f t="shared" si="12"/>
        <v>9.8282086393626275E-2</v>
      </c>
      <c r="X23" s="39">
        <f t="shared" si="13"/>
        <v>0.84835055396489478</v>
      </c>
    </row>
    <row r="24" spans="1:24" ht="15" customHeight="1" x14ac:dyDescent="0.3">
      <c r="A24" s="33">
        <v>46257</v>
      </c>
      <c r="B24" s="34" t="s">
        <v>54</v>
      </c>
      <c r="C24" s="35">
        <v>0.19</v>
      </c>
      <c r="D24" s="35">
        <v>0.18</v>
      </c>
      <c r="E24" s="35">
        <v>0.06</v>
      </c>
      <c r="F24" s="36">
        <v>1.97</v>
      </c>
      <c r="G24" s="36">
        <v>38.17</v>
      </c>
      <c r="H24" s="36">
        <v>4.8499999999999996</v>
      </c>
      <c r="I24" s="36">
        <v>222.15</v>
      </c>
      <c r="J24" s="36">
        <v>267.14</v>
      </c>
      <c r="K24" s="37">
        <f t="shared" si="0"/>
        <v>7.3744104215018348E-3</v>
      </c>
      <c r="L24" s="37">
        <f t="shared" si="1"/>
        <v>0.14288388111102793</v>
      </c>
      <c r="M24" s="37">
        <f t="shared" si="2"/>
        <v>1.8155274387961367E-2</v>
      </c>
      <c r="N24" s="37">
        <f t="shared" si="3"/>
        <v>0.83158643407950894</v>
      </c>
      <c r="O24" s="37">
        <f t="shared" si="4"/>
        <v>0.15025829153252976</v>
      </c>
      <c r="P24" s="37">
        <f t="shared" si="5"/>
        <v>1.8155274387961367E-2</v>
      </c>
      <c r="Q24" s="37">
        <f t="shared" si="6"/>
        <v>0.83158643407950894</v>
      </c>
      <c r="R24" s="38">
        <f t="shared" si="7"/>
        <v>2.8549075391180654E-2</v>
      </c>
      <c r="S24" s="38">
        <f t="shared" si="8"/>
        <v>3.2679493898330461E-3</v>
      </c>
      <c r="T24" s="38">
        <f t="shared" si="9"/>
        <v>4.9895186044770536E-2</v>
      </c>
      <c r="U24" s="38">
        <f t="shared" si="10"/>
        <v>8.1712210825784226E-2</v>
      </c>
      <c r="V24" s="39">
        <f t="shared" si="11"/>
        <v>0.34938566834336604</v>
      </c>
      <c r="W24" s="39">
        <f t="shared" si="12"/>
        <v>3.9993403149995874E-2</v>
      </c>
      <c r="X24" s="39">
        <f t="shared" si="13"/>
        <v>0.61062092850663818</v>
      </c>
    </row>
    <row r="25" spans="1:24" ht="15" customHeight="1" x14ac:dyDescent="0.3">
      <c r="A25" s="33">
        <v>46257</v>
      </c>
      <c r="B25" s="34" t="s">
        <v>53</v>
      </c>
      <c r="C25" s="35">
        <v>0.3</v>
      </c>
      <c r="D25" s="35">
        <v>0.34</v>
      </c>
      <c r="E25" s="35">
        <v>0.14000000000000001</v>
      </c>
      <c r="F25" s="36">
        <v>2.67</v>
      </c>
      <c r="G25" s="36">
        <v>7.48</v>
      </c>
      <c r="H25" s="36">
        <v>11.25</v>
      </c>
      <c r="I25" s="36">
        <v>231.01</v>
      </c>
      <c r="J25" s="36">
        <v>252.41</v>
      </c>
      <c r="K25" s="37">
        <f t="shared" si="0"/>
        <v>1.0578027811893348E-2</v>
      </c>
      <c r="L25" s="37">
        <f t="shared" si="1"/>
        <v>2.9634325105978371E-2</v>
      </c>
      <c r="M25" s="37">
        <f t="shared" si="2"/>
        <v>4.4570341904045005E-2</v>
      </c>
      <c r="N25" s="37">
        <f t="shared" si="3"/>
        <v>0.91521730517808331</v>
      </c>
      <c r="O25" s="37">
        <f t="shared" si="4"/>
        <v>4.0212352917871716E-2</v>
      </c>
      <c r="P25" s="37">
        <f t="shared" si="5"/>
        <v>4.4570341904045005E-2</v>
      </c>
      <c r="Q25" s="37">
        <f t="shared" si="6"/>
        <v>0.91521730517808331</v>
      </c>
      <c r="R25" s="38">
        <f t="shared" si="7"/>
        <v>1.2063705875361515E-2</v>
      </c>
      <c r="S25" s="38">
        <f t="shared" si="8"/>
        <v>1.5153916247375302E-2</v>
      </c>
      <c r="T25" s="38">
        <f t="shared" si="9"/>
        <v>0.12813042272493166</v>
      </c>
      <c r="U25" s="38">
        <f t="shared" si="10"/>
        <v>0.15534804484766848</v>
      </c>
      <c r="V25" s="39">
        <f t="shared" si="11"/>
        <v>7.7655987799466475E-2</v>
      </c>
      <c r="W25" s="39">
        <f t="shared" si="12"/>
        <v>9.7548162014108139E-2</v>
      </c>
      <c r="X25" s="39">
        <f t="shared" si="13"/>
        <v>0.82479585018642543</v>
      </c>
    </row>
    <row r="26" spans="1:24" ht="15" customHeight="1" x14ac:dyDescent="0.3">
      <c r="A26" s="40">
        <v>46258</v>
      </c>
      <c r="B26" s="34" t="s">
        <v>54</v>
      </c>
      <c r="C26" s="35">
        <v>0.42</v>
      </c>
      <c r="D26" s="35">
        <v>0.33</v>
      </c>
      <c r="E26" s="35">
        <v>0.22</v>
      </c>
      <c r="F26" s="36">
        <v>1.39</v>
      </c>
      <c r="G26" s="36">
        <v>27.29</v>
      </c>
      <c r="H26" s="36">
        <v>25.62</v>
      </c>
      <c r="I26" s="36">
        <v>196</v>
      </c>
      <c r="J26" s="36">
        <v>250.3</v>
      </c>
      <c r="K26" s="37">
        <f t="shared" si="0"/>
        <v>5.5533359968038352E-3</v>
      </c>
      <c r="L26" s="37">
        <f t="shared" si="1"/>
        <v>0.10902916500199759</v>
      </c>
      <c r="M26" s="37">
        <f t="shared" si="2"/>
        <v>0.1023571713943268</v>
      </c>
      <c r="N26" s="37">
        <f t="shared" si="3"/>
        <v>0.78306032760687172</v>
      </c>
      <c r="O26" s="37">
        <f t="shared" si="4"/>
        <v>0.11458250099880143</v>
      </c>
      <c r="P26" s="37">
        <f t="shared" si="5"/>
        <v>0.1023571713943268</v>
      </c>
      <c r="Q26" s="37">
        <f t="shared" si="6"/>
        <v>0.78306032760687172</v>
      </c>
      <c r="R26" s="38">
        <f t="shared" si="7"/>
        <v>4.8124650419496602E-2</v>
      </c>
      <c r="S26" s="38">
        <f t="shared" si="8"/>
        <v>3.3777866560127844E-2</v>
      </c>
      <c r="T26" s="38">
        <f t="shared" si="9"/>
        <v>0.17227327207351179</v>
      </c>
      <c r="U26" s="38">
        <f t="shared" si="10"/>
        <v>0.2541757890531362</v>
      </c>
      <c r="V26" s="39">
        <f t="shared" si="11"/>
        <v>0.18933609136720728</v>
      </c>
      <c r="W26" s="39">
        <f t="shared" si="12"/>
        <v>0.13289175450564444</v>
      </c>
      <c r="X26" s="39">
        <f t="shared" si="13"/>
        <v>0.67777215412714842</v>
      </c>
    </row>
    <row r="27" spans="1:24" ht="15" customHeight="1" x14ac:dyDescent="0.3">
      <c r="A27" s="40">
        <v>46258</v>
      </c>
      <c r="B27" s="34" t="s">
        <v>53</v>
      </c>
      <c r="C27" s="35">
        <v>0.39</v>
      </c>
      <c r="D27" s="35">
        <v>0.3</v>
      </c>
      <c r="E27" s="35">
        <v>0.18</v>
      </c>
      <c r="F27" s="36">
        <v>0.55000000000000004</v>
      </c>
      <c r="G27" s="36">
        <v>24.5</v>
      </c>
      <c r="H27" s="36">
        <v>23.36</v>
      </c>
      <c r="I27" s="36">
        <v>181.59</v>
      </c>
      <c r="J27" s="36">
        <v>230</v>
      </c>
      <c r="K27" s="37">
        <f t="shared" si="0"/>
        <v>2.3913043478260873E-3</v>
      </c>
      <c r="L27" s="37">
        <f t="shared" si="1"/>
        <v>0.10652173913043478</v>
      </c>
      <c r="M27" s="37">
        <f t="shared" si="2"/>
        <v>0.10156521739130435</v>
      </c>
      <c r="N27" s="37">
        <f t="shared" si="3"/>
        <v>0.78952173913043477</v>
      </c>
      <c r="O27" s="37">
        <f t="shared" si="4"/>
        <v>0.10891304347826086</v>
      </c>
      <c r="P27" s="37">
        <f t="shared" si="5"/>
        <v>0.10156521739130435</v>
      </c>
      <c r="Q27" s="37">
        <f t="shared" si="6"/>
        <v>0.78952173913043477</v>
      </c>
      <c r="R27" s="38">
        <f t="shared" si="7"/>
        <v>4.247608695652174E-2</v>
      </c>
      <c r="S27" s="38">
        <f t="shared" si="8"/>
        <v>3.0469565217391303E-2</v>
      </c>
      <c r="T27" s="38">
        <f t="shared" si="9"/>
        <v>0.14211391304347826</v>
      </c>
      <c r="U27" s="38">
        <f t="shared" si="10"/>
        <v>0.21505956521739131</v>
      </c>
      <c r="V27" s="39">
        <f t="shared" si="11"/>
        <v>0.19750847591263895</v>
      </c>
      <c r="W27" s="39">
        <f t="shared" si="12"/>
        <v>0.14167965599015034</v>
      </c>
      <c r="X27" s="39">
        <f t="shared" si="13"/>
        <v>0.66081186809721071</v>
      </c>
    </row>
    <row r="28" spans="1:24" ht="15" customHeight="1" x14ac:dyDescent="0.3">
      <c r="A28" s="40">
        <v>46259</v>
      </c>
      <c r="B28" s="34" t="s">
        <v>54</v>
      </c>
      <c r="C28" s="35">
        <v>0.12</v>
      </c>
      <c r="D28" s="35">
        <v>0.35</v>
      </c>
      <c r="E28" s="35">
        <v>0.11</v>
      </c>
      <c r="F28" s="36">
        <v>2.75</v>
      </c>
      <c r="G28" s="36">
        <v>5.42</v>
      </c>
      <c r="H28" s="36">
        <v>9.81</v>
      </c>
      <c r="I28" s="36">
        <v>234.39</v>
      </c>
      <c r="J28" s="36">
        <v>252.37</v>
      </c>
      <c r="K28" s="37">
        <f t="shared" si="0"/>
        <v>1.0896699290723937E-2</v>
      </c>
      <c r="L28" s="37">
        <f t="shared" si="1"/>
        <v>2.1476403692990451E-2</v>
      </c>
      <c r="M28" s="37">
        <f t="shared" si="2"/>
        <v>3.8871498197091577E-2</v>
      </c>
      <c r="N28" s="37">
        <f t="shared" si="3"/>
        <v>0.928755398819194</v>
      </c>
      <c r="O28" s="37">
        <f t="shared" si="4"/>
        <v>3.2373102983714389E-2</v>
      </c>
      <c r="P28" s="37">
        <f t="shared" si="5"/>
        <v>3.8871498197091577E-2</v>
      </c>
      <c r="Q28" s="37">
        <f t="shared" si="6"/>
        <v>0.928755398819194</v>
      </c>
      <c r="R28" s="38">
        <f t="shared" si="7"/>
        <v>3.8847723580457266E-3</v>
      </c>
      <c r="S28" s="38">
        <f t="shared" si="8"/>
        <v>1.3605024368982052E-2</v>
      </c>
      <c r="T28" s="38">
        <f t="shared" si="9"/>
        <v>0.10216309387011134</v>
      </c>
      <c r="U28" s="38">
        <f t="shared" si="10"/>
        <v>0.11965289059713913</v>
      </c>
      <c r="V28" s="39">
        <f t="shared" si="11"/>
        <v>3.2467016372595768E-2</v>
      </c>
      <c r="W28" s="39">
        <f t="shared" si="12"/>
        <v>0.11370410109680497</v>
      </c>
      <c r="X28" s="39">
        <f t="shared" si="13"/>
        <v>0.85382888253059919</v>
      </c>
    </row>
    <row r="29" spans="1:24" ht="15" customHeight="1" x14ac:dyDescent="0.3">
      <c r="A29" s="40">
        <v>46259</v>
      </c>
      <c r="B29" s="34" t="s">
        <v>53</v>
      </c>
      <c r="C29" s="35">
        <v>0.11</v>
      </c>
      <c r="D29" s="35">
        <v>0.2</v>
      </c>
      <c r="E29" s="35">
        <v>0.12</v>
      </c>
      <c r="F29" s="36">
        <v>2.0299999999999998</v>
      </c>
      <c r="G29" s="36">
        <v>29.31</v>
      </c>
      <c r="H29" s="36">
        <v>34.92</v>
      </c>
      <c r="I29" s="36">
        <v>188.93</v>
      </c>
      <c r="J29" s="36">
        <v>255.19</v>
      </c>
      <c r="K29" s="37">
        <f t="shared" si="0"/>
        <v>7.954857165249421E-3</v>
      </c>
      <c r="L29" s="37">
        <f t="shared" si="1"/>
        <v>0.11485559778988204</v>
      </c>
      <c r="M29" s="37">
        <f t="shared" si="2"/>
        <v>0.13683921783768957</v>
      </c>
      <c r="N29" s="37">
        <f t="shared" si="3"/>
        <v>0.74035032720717897</v>
      </c>
      <c r="O29" s="37">
        <f t="shared" si="4"/>
        <v>0.12281045495513146</v>
      </c>
      <c r="P29" s="37">
        <f t="shared" si="5"/>
        <v>0.13683921783768957</v>
      </c>
      <c r="Q29" s="37">
        <f t="shared" si="6"/>
        <v>0.74035032720717897</v>
      </c>
      <c r="R29" s="38">
        <f t="shared" si="7"/>
        <v>1.350915004506446E-2</v>
      </c>
      <c r="S29" s="38">
        <f t="shared" si="8"/>
        <v>2.7367843567537915E-2</v>
      </c>
      <c r="T29" s="38">
        <f t="shared" si="9"/>
        <v>8.8842039264861478E-2</v>
      </c>
      <c r="U29" s="38">
        <f t="shared" si="10"/>
        <v>0.12971903287746384</v>
      </c>
      <c r="V29" s="39">
        <f t="shared" si="11"/>
        <v>0.10414161858441832</v>
      </c>
      <c r="W29" s="39">
        <f t="shared" si="12"/>
        <v>0.21097785699181348</v>
      </c>
      <c r="X29" s="39">
        <f t="shared" si="13"/>
        <v>0.68488052442376834</v>
      </c>
    </row>
    <row r="30" spans="1:24" ht="15" customHeight="1" x14ac:dyDescent="0.3">
      <c r="A30" s="40">
        <v>46260</v>
      </c>
      <c r="B30" s="34" t="s">
        <v>54</v>
      </c>
      <c r="C30" s="35"/>
      <c r="D30" s="35"/>
      <c r="E30" s="35"/>
      <c r="F30" s="36">
        <v>1.45</v>
      </c>
      <c r="G30" s="36">
        <v>6.94</v>
      </c>
      <c r="H30" s="36">
        <v>10.24</v>
      </c>
      <c r="I30" s="36">
        <v>236.99</v>
      </c>
      <c r="J30" s="36">
        <v>255.62</v>
      </c>
      <c r="K30" s="37">
        <f t="shared" si="0"/>
        <v>5.6724825913465294E-3</v>
      </c>
      <c r="L30" s="37">
        <f t="shared" si="1"/>
        <v>2.7149675299272358E-2</v>
      </c>
      <c r="M30" s="37">
        <f t="shared" si="2"/>
        <v>4.0059463265785147E-2</v>
      </c>
      <c r="N30" s="37">
        <f t="shared" si="3"/>
        <v>0.92711837884359594</v>
      </c>
      <c r="O30" s="37">
        <f t="shared" si="4"/>
        <v>3.2822157890618889E-2</v>
      </c>
      <c r="P30" s="37">
        <f t="shared" si="5"/>
        <v>4.0059463265785147E-2</v>
      </c>
      <c r="Q30" s="37">
        <f t="shared" si="6"/>
        <v>0.92711837884359594</v>
      </c>
      <c r="R30" s="38">
        <f t="shared" si="7"/>
        <v>0</v>
      </c>
      <c r="S30" s="38">
        <f t="shared" si="8"/>
        <v>0</v>
      </c>
      <c r="T30" s="38">
        <f t="shared" si="9"/>
        <v>0</v>
      </c>
      <c r="U30" s="38">
        <f t="shared" si="10"/>
        <v>0</v>
      </c>
      <c r="V30" s="39" t="str">
        <f t="shared" si="11"/>
        <v/>
      </c>
      <c r="W30" s="39" t="str">
        <f t="shared" si="12"/>
        <v/>
      </c>
      <c r="X30" s="39" t="str">
        <f t="shared" si="13"/>
        <v/>
      </c>
    </row>
    <row r="31" spans="1:24" ht="15" customHeight="1" x14ac:dyDescent="0.3">
      <c r="A31" s="33"/>
      <c r="B31" s="34"/>
      <c r="C31" s="35"/>
      <c r="D31" s="35"/>
      <c r="E31" s="35"/>
      <c r="F31" s="36"/>
      <c r="G31" s="36"/>
      <c r="H31" s="36"/>
      <c r="I31" s="36"/>
      <c r="J31" s="36"/>
      <c r="K31" s="37" t="str">
        <f t="shared" si="0"/>
        <v/>
      </c>
      <c r="L31" s="37" t="str">
        <f t="shared" si="1"/>
        <v/>
      </c>
      <c r="M31" s="37" t="str">
        <f t="shared" si="2"/>
        <v/>
      </c>
      <c r="N31" s="37" t="str">
        <f t="shared" si="3"/>
        <v/>
      </c>
      <c r="O31" s="37" t="str">
        <f t="shared" si="4"/>
        <v/>
      </c>
      <c r="P31" s="37" t="str">
        <f t="shared" si="5"/>
        <v/>
      </c>
      <c r="Q31" s="37" t="str">
        <f t="shared" si="6"/>
        <v/>
      </c>
      <c r="R31" s="38" t="str">
        <f t="shared" si="7"/>
        <v/>
      </c>
      <c r="S31" s="38" t="str">
        <f t="shared" si="8"/>
        <v/>
      </c>
      <c r="T31" s="38" t="str">
        <f t="shared" si="9"/>
        <v/>
      </c>
      <c r="U31" s="38" t="str">
        <f t="shared" si="10"/>
        <v/>
      </c>
      <c r="V31" s="39" t="str">
        <f t="shared" si="11"/>
        <v/>
      </c>
      <c r="W31" s="39" t="str">
        <f t="shared" si="12"/>
        <v/>
      </c>
      <c r="X31" s="39" t="str">
        <f t="shared" si="13"/>
        <v/>
      </c>
    </row>
    <row r="32" spans="1:24" ht="15" customHeight="1" x14ac:dyDescent="0.3">
      <c r="A32" s="33"/>
      <c r="B32" s="34"/>
      <c r="C32" s="35"/>
      <c r="D32" s="35"/>
      <c r="E32" s="35"/>
      <c r="F32" s="36"/>
      <c r="G32" s="36"/>
      <c r="H32" s="36"/>
      <c r="I32" s="36"/>
      <c r="J32" s="36"/>
      <c r="K32" s="37" t="str">
        <f t="shared" si="0"/>
        <v/>
      </c>
      <c r="L32" s="37" t="str">
        <f t="shared" si="1"/>
        <v/>
      </c>
      <c r="M32" s="37" t="str">
        <f t="shared" si="2"/>
        <v/>
      </c>
      <c r="N32" s="37" t="str">
        <f t="shared" si="3"/>
        <v/>
      </c>
      <c r="O32" s="37" t="str">
        <f t="shared" si="4"/>
        <v/>
      </c>
      <c r="P32" s="37" t="str">
        <f t="shared" si="5"/>
        <v/>
      </c>
      <c r="Q32" s="37" t="str">
        <f t="shared" si="6"/>
        <v/>
      </c>
      <c r="R32" s="38" t="str">
        <f t="shared" si="7"/>
        <v/>
      </c>
      <c r="S32" s="38" t="str">
        <f t="shared" si="8"/>
        <v/>
      </c>
      <c r="T32" s="38" t="str">
        <f t="shared" si="9"/>
        <v/>
      </c>
      <c r="U32" s="38" t="str">
        <f t="shared" si="10"/>
        <v/>
      </c>
      <c r="V32" s="39" t="str">
        <f t="shared" si="11"/>
        <v/>
      </c>
      <c r="W32" s="39" t="str">
        <f t="shared" si="12"/>
        <v/>
      </c>
      <c r="X32" s="39" t="str">
        <f t="shared" si="13"/>
        <v/>
      </c>
    </row>
    <row r="33" spans="1:24" ht="15" customHeight="1" x14ac:dyDescent="0.3">
      <c r="A33" s="33"/>
      <c r="B33" s="34"/>
      <c r="C33" s="35"/>
      <c r="D33" s="35"/>
      <c r="E33" s="35"/>
      <c r="F33" s="36"/>
      <c r="G33" s="36"/>
      <c r="H33" s="36"/>
      <c r="I33" s="36"/>
      <c r="J33" s="36"/>
      <c r="K33" s="37" t="str">
        <f t="shared" si="0"/>
        <v/>
      </c>
      <c r="L33" s="37" t="str">
        <f t="shared" si="1"/>
        <v/>
      </c>
      <c r="M33" s="37" t="str">
        <f t="shared" si="2"/>
        <v/>
      </c>
      <c r="N33" s="37" t="str">
        <f t="shared" si="3"/>
        <v/>
      </c>
      <c r="O33" s="37" t="str">
        <f t="shared" si="4"/>
        <v/>
      </c>
      <c r="P33" s="37" t="str">
        <f t="shared" si="5"/>
        <v/>
      </c>
      <c r="Q33" s="37" t="str">
        <f t="shared" si="6"/>
        <v/>
      </c>
      <c r="R33" s="38" t="str">
        <f t="shared" si="7"/>
        <v/>
      </c>
      <c r="S33" s="38" t="str">
        <f t="shared" si="8"/>
        <v/>
      </c>
      <c r="T33" s="38" t="str">
        <f t="shared" si="9"/>
        <v/>
      </c>
      <c r="U33" s="38" t="str">
        <f t="shared" si="10"/>
        <v/>
      </c>
      <c r="V33" s="39" t="str">
        <f t="shared" si="11"/>
        <v/>
      </c>
      <c r="W33" s="39" t="str">
        <f t="shared" si="12"/>
        <v/>
      </c>
      <c r="X33" s="39" t="str">
        <f t="shared" si="13"/>
        <v/>
      </c>
    </row>
    <row r="34" spans="1:24" ht="15" customHeight="1" x14ac:dyDescent="0.3">
      <c r="A34" s="33"/>
      <c r="B34" s="34"/>
      <c r="C34" s="35"/>
      <c r="D34" s="35"/>
      <c r="E34" s="35"/>
      <c r="F34" s="36"/>
      <c r="G34" s="36"/>
      <c r="H34" s="36"/>
      <c r="I34" s="36"/>
      <c r="J34" s="36"/>
      <c r="K34" s="37" t="str">
        <f t="shared" si="0"/>
        <v/>
      </c>
      <c r="L34" s="37" t="str">
        <f t="shared" si="1"/>
        <v/>
      </c>
      <c r="M34" s="37" t="str">
        <f t="shared" si="2"/>
        <v/>
      </c>
      <c r="N34" s="37" t="str">
        <f t="shared" si="3"/>
        <v/>
      </c>
      <c r="O34" s="37" t="str">
        <f t="shared" si="4"/>
        <v/>
      </c>
      <c r="P34" s="37" t="str">
        <f t="shared" si="5"/>
        <v/>
      </c>
      <c r="Q34" s="37" t="str">
        <f t="shared" si="6"/>
        <v/>
      </c>
      <c r="R34" s="38" t="str">
        <f t="shared" si="7"/>
        <v/>
      </c>
      <c r="S34" s="38" t="str">
        <f t="shared" si="8"/>
        <v/>
      </c>
      <c r="T34" s="38" t="str">
        <f t="shared" si="9"/>
        <v/>
      </c>
      <c r="U34" s="38" t="str">
        <f t="shared" si="10"/>
        <v/>
      </c>
      <c r="V34" s="39" t="str">
        <f t="shared" si="11"/>
        <v/>
      </c>
      <c r="W34" s="39" t="str">
        <f t="shared" si="12"/>
        <v/>
      </c>
      <c r="X34" s="39" t="str">
        <f t="shared" si="13"/>
        <v/>
      </c>
    </row>
    <row r="35" spans="1:24" ht="15" customHeight="1" x14ac:dyDescent="0.3">
      <c r="A35" s="33"/>
      <c r="B35" s="34"/>
      <c r="C35" s="35"/>
      <c r="D35" s="35"/>
      <c r="E35" s="35"/>
      <c r="F35" s="36"/>
      <c r="G35" s="36"/>
      <c r="H35" s="36"/>
      <c r="I35" s="36"/>
      <c r="J35" s="36"/>
      <c r="K35" s="37" t="str">
        <f t="shared" ref="K35:K71" si="14">IFERROR(F35/$J35,"")</f>
        <v/>
      </c>
      <c r="L35" s="37" t="str">
        <f t="shared" ref="L35:L71" si="15">IFERROR(G35/$J35,"")</f>
        <v/>
      </c>
      <c r="M35" s="37" t="str">
        <f t="shared" ref="M35:M71" si="16">IFERROR(H35/$J35,"")</f>
        <v/>
      </c>
      <c r="N35" s="37" t="str">
        <f t="shared" ref="N35:N71" si="17">IFERROR(I35/$J35,"")</f>
        <v/>
      </c>
      <c r="O35" s="37" t="str">
        <f t="shared" ref="O35:O71" si="18">IFERROR(K35+L35,"")</f>
        <v/>
      </c>
      <c r="P35" s="37" t="str">
        <f t="shared" ref="P35:P71" si="19">IFERROR(M35,"")</f>
        <v/>
      </c>
      <c r="Q35" s="37" t="str">
        <f t="shared" ref="Q35:Q71" si="20">IFERROR(N35,"")</f>
        <v/>
      </c>
      <c r="R35" s="38" t="str">
        <f t="shared" ref="R35:R71" si="21">IFERROR(O35*C35,"")</f>
        <v/>
      </c>
      <c r="S35" s="38" t="str">
        <f t="shared" ref="S35:S71" si="22">IFERROR(P35*D35,"")</f>
        <v/>
      </c>
      <c r="T35" s="38" t="str">
        <f t="shared" ref="T35:T71" si="23">IFERROR(Q35*E35,"")</f>
        <v/>
      </c>
      <c r="U35" s="38" t="str">
        <f t="shared" ref="U35:U66" si="24">IFERROR(R35+S35+T35,"")</f>
        <v/>
      </c>
      <c r="V35" s="39" t="str">
        <f t="shared" ref="V35:V66" si="25">IFERROR(IF(U35=0,"",R35/U35),"")</f>
        <v/>
      </c>
      <c r="W35" s="39" t="str">
        <f t="shared" ref="W35:W71" si="26">IFERROR(IF(U35=0,"",S35/U35),"")</f>
        <v/>
      </c>
      <c r="X35" s="39" t="str">
        <f t="shared" ref="X35:X71" si="27">IFERROR(IF(U35=0,"",T35/U35),"")</f>
        <v/>
      </c>
    </row>
    <row r="36" spans="1:24" ht="15" customHeight="1" x14ac:dyDescent="0.3">
      <c r="A36" s="33"/>
      <c r="B36" s="34"/>
      <c r="C36" s="35"/>
      <c r="D36" s="35"/>
      <c r="E36" s="35"/>
      <c r="F36" s="36"/>
      <c r="G36" s="36"/>
      <c r="H36" s="36"/>
      <c r="I36" s="36"/>
      <c r="J36" s="36"/>
      <c r="K36" s="37" t="str">
        <f t="shared" si="14"/>
        <v/>
      </c>
      <c r="L36" s="37" t="str">
        <f t="shared" si="15"/>
        <v/>
      </c>
      <c r="M36" s="37" t="str">
        <f t="shared" si="16"/>
        <v/>
      </c>
      <c r="N36" s="37" t="str">
        <f t="shared" si="17"/>
        <v/>
      </c>
      <c r="O36" s="37" t="str">
        <f t="shared" si="18"/>
        <v/>
      </c>
      <c r="P36" s="37" t="str">
        <f t="shared" si="19"/>
        <v/>
      </c>
      <c r="Q36" s="37" t="str">
        <f t="shared" si="20"/>
        <v/>
      </c>
      <c r="R36" s="38" t="str">
        <f t="shared" si="21"/>
        <v/>
      </c>
      <c r="S36" s="38" t="str">
        <f t="shared" si="22"/>
        <v/>
      </c>
      <c r="T36" s="38" t="str">
        <f t="shared" si="23"/>
        <v/>
      </c>
      <c r="U36" s="38" t="str">
        <f t="shared" si="24"/>
        <v/>
      </c>
      <c r="V36" s="39" t="str">
        <f t="shared" si="25"/>
        <v/>
      </c>
      <c r="W36" s="39" t="str">
        <f t="shared" si="26"/>
        <v/>
      </c>
      <c r="X36" s="39" t="str">
        <f t="shared" si="27"/>
        <v/>
      </c>
    </row>
    <row r="37" spans="1:24" ht="15" customHeight="1" x14ac:dyDescent="0.3">
      <c r="A37" s="33"/>
      <c r="B37" s="34"/>
      <c r="C37" s="35"/>
      <c r="D37" s="35"/>
      <c r="E37" s="35"/>
      <c r="F37" s="36"/>
      <c r="G37" s="36"/>
      <c r="H37" s="36"/>
      <c r="I37" s="36"/>
      <c r="J37" s="36"/>
      <c r="K37" s="37" t="str">
        <f t="shared" si="14"/>
        <v/>
      </c>
      <c r="L37" s="37" t="str">
        <f t="shared" si="15"/>
        <v/>
      </c>
      <c r="M37" s="37" t="str">
        <f t="shared" si="16"/>
        <v/>
      </c>
      <c r="N37" s="37" t="str">
        <f t="shared" si="17"/>
        <v/>
      </c>
      <c r="O37" s="37" t="str">
        <f t="shared" si="18"/>
        <v/>
      </c>
      <c r="P37" s="37" t="str">
        <f t="shared" si="19"/>
        <v/>
      </c>
      <c r="Q37" s="37" t="str">
        <f t="shared" si="20"/>
        <v/>
      </c>
      <c r="R37" s="38" t="str">
        <f t="shared" si="21"/>
        <v/>
      </c>
      <c r="S37" s="38" t="str">
        <f t="shared" si="22"/>
        <v/>
      </c>
      <c r="T37" s="38" t="str">
        <f t="shared" si="23"/>
        <v/>
      </c>
      <c r="U37" s="38" t="str">
        <f t="shared" si="24"/>
        <v/>
      </c>
      <c r="V37" s="39" t="str">
        <f t="shared" si="25"/>
        <v/>
      </c>
      <c r="W37" s="39" t="str">
        <f t="shared" si="26"/>
        <v/>
      </c>
      <c r="X37" s="39" t="str">
        <f t="shared" si="27"/>
        <v/>
      </c>
    </row>
    <row r="38" spans="1:24" ht="15" customHeight="1" x14ac:dyDescent="0.3">
      <c r="A38" s="33"/>
      <c r="B38" s="34"/>
      <c r="C38" s="35"/>
      <c r="D38" s="35"/>
      <c r="E38" s="35"/>
      <c r="F38" s="36"/>
      <c r="G38" s="36"/>
      <c r="H38" s="36"/>
      <c r="I38" s="36"/>
      <c r="J38" s="36"/>
      <c r="K38" s="37" t="str">
        <f t="shared" si="14"/>
        <v/>
      </c>
      <c r="L38" s="37" t="str">
        <f t="shared" si="15"/>
        <v/>
      </c>
      <c r="M38" s="37" t="str">
        <f t="shared" si="16"/>
        <v/>
      </c>
      <c r="N38" s="37" t="str">
        <f t="shared" si="17"/>
        <v/>
      </c>
      <c r="O38" s="37" t="str">
        <f t="shared" si="18"/>
        <v/>
      </c>
      <c r="P38" s="37" t="str">
        <f t="shared" si="19"/>
        <v/>
      </c>
      <c r="Q38" s="37" t="str">
        <f t="shared" si="20"/>
        <v/>
      </c>
      <c r="R38" s="38" t="str">
        <f t="shared" si="21"/>
        <v/>
      </c>
      <c r="S38" s="38" t="str">
        <f t="shared" si="22"/>
        <v/>
      </c>
      <c r="T38" s="38" t="str">
        <f t="shared" si="23"/>
        <v/>
      </c>
      <c r="U38" s="38" t="str">
        <f t="shared" si="24"/>
        <v/>
      </c>
      <c r="V38" s="39" t="str">
        <f t="shared" si="25"/>
        <v/>
      </c>
      <c r="W38" s="39" t="str">
        <f t="shared" si="26"/>
        <v/>
      </c>
      <c r="X38" s="39" t="str">
        <f t="shared" si="27"/>
        <v/>
      </c>
    </row>
    <row r="39" spans="1:24" ht="15" customHeight="1" x14ac:dyDescent="0.3">
      <c r="A39" s="33"/>
      <c r="B39" s="34"/>
      <c r="C39" s="35"/>
      <c r="D39" s="35"/>
      <c r="E39" s="35"/>
      <c r="F39" s="36"/>
      <c r="G39" s="36"/>
      <c r="H39" s="36"/>
      <c r="I39" s="36"/>
      <c r="J39" s="36"/>
      <c r="K39" s="37" t="str">
        <f t="shared" si="14"/>
        <v/>
      </c>
      <c r="L39" s="37" t="str">
        <f t="shared" si="15"/>
        <v/>
      </c>
      <c r="M39" s="37" t="str">
        <f t="shared" si="16"/>
        <v/>
      </c>
      <c r="N39" s="37" t="str">
        <f t="shared" si="17"/>
        <v/>
      </c>
      <c r="O39" s="37" t="str">
        <f t="shared" si="18"/>
        <v/>
      </c>
      <c r="P39" s="37" t="str">
        <f t="shared" si="19"/>
        <v/>
      </c>
      <c r="Q39" s="37" t="str">
        <f t="shared" si="20"/>
        <v/>
      </c>
      <c r="R39" s="38" t="str">
        <f t="shared" si="21"/>
        <v/>
      </c>
      <c r="S39" s="38" t="str">
        <f t="shared" si="22"/>
        <v/>
      </c>
      <c r="T39" s="38" t="str">
        <f t="shared" si="23"/>
        <v/>
      </c>
      <c r="U39" s="38" t="str">
        <f t="shared" si="24"/>
        <v/>
      </c>
      <c r="V39" s="39" t="str">
        <f t="shared" si="25"/>
        <v/>
      </c>
      <c r="W39" s="39" t="str">
        <f t="shared" si="26"/>
        <v/>
      </c>
      <c r="X39" s="39" t="str">
        <f t="shared" si="27"/>
        <v/>
      </c>
    </row>
    <row r="40" spans="1:24" ht="15" customHeight="1" x14ac:dyDescent="0.3">
      <c r="A40" s="33"/>
      <c r="B40" s="34"/>
      <c r="C40" s="35"/>
      <c r="D40" s="35"/>
      <c r="E40" s="35"/>
      <c r="F40" s="36"/>
      <c r="G40" s="36"/>
      <c r="H40" s="36"/>
      <c r="I40" s="36"/>
      <c r="J40" s="36"/>
      <c r="K40" s="37" t="str">
        <f t="shared" si="14"/>
        <v/>
      </c>
      <c r="L40" s="37" t="str">
        <f t="shared" si="15"/>
        <v/>
      </c>
      <c r="M40" s="37" t="str">
        <f t="shared" si="16"/>
        <v/>
      </c>
      <c r="N40" s="37" t="str">
        <f t="shared" si="17"/>
        <v/>
      </c>
      <c r="O40" s="37" t="str">
        <f t="shared" si="18"/>
        <v/>
      </c>
      <c r="P40" s="37" t="str">
        <f t="shared" si="19"/>
        <v/>
      </c>
      <c r="Q40" s="37" t="str">
        <f t="shared" si="20"/>
        <v/>
      </c>
      <c r="R40" s="38" t="str">
        <f t="shared" si="21"/>
        <v/>
      </c>
      <c r="S40" s="38" t="str">
        <f t="shared" si="22"/>
        <v/>
      </c>
      <c r="T40" s="38" t="str">
        <f t="shared" si="23"/>
        <v/>
      </c>
      <c r="U40" s="38" t="str">
        <f t="shared" si="24"/>
        <v/>
      </c>
      <c r="V40" s="39" t="str">
        <f t="shared" si="25"/>
        <v/>
      </c>
      <c r="W40" s="39" t="str">
        <f t="shared" si="26"/>
        <v/>
      </c>
      <c r="X40" s="39" t="str">
        <f t="shared" si="27"/>
        <v/>
      </c>
    </row>
    <row r="41" spans="1:24" ht="15" customHeight="1" x14ac:dyDescent="0.3">
      <c r="A41" s="33"/>
      <c r="B41" s="34"/>
      <c r="C41" s="35"/>
      <c r="D41" s="35"/>
      <c r="E41" s="35"/>
      <c r="F41" s="36"/>
      <c r="G41" s="36"/>
      <c r="H41" s="36"/>
      <c r="I41" s="36"/>
      <c r="J41" s="36"/>
      <c r="K41" s="37" t="str">
        <f t="shared" si="14"/>
        <v/>
      </c>
      <c r="L41" s="37" t="str">
        <f t="shared" si="15"/>
        <v/>
      </c>
      <c r="M41" s="37" t="str">
        <f t="shared" si="16"/>
        <v/>
      </c>
      <c r="N41" s="37" t="str">
        <f t="shared" si="17"/>
        <v/>
      </c>
      <c r="O41" s="37" t="str">
        <f t="shared" si="18"/>
        <v/>
      </c>
      <c r="P41" s="37" t="str">
        <f t="shared" si="19"/>
        <v/>
      </c>
      <c r="Q41" s="37" t="str">
        <f t="shared" si="20"/>
        <v/>
      </c>
      <c r="R41" s="38" t="str">
        <f t="shared" si="21"/>
        <v/>
      </c>
      <c r="S41" s="38" t="str">
        <f t="shared" si="22"/>
        <v/>
      </c>
      <c r="T41" s="38" t="str">
        <f t="shared" si="23"/>
        <v/>
      </c>
      <c r="U41" s="38" t="str">
        <f t="shared" si="24"/>
        <v/>
      </c>
      <c r="V41" s="39" t="str">
        <f t="shared" si="25"/>
        <v/>
      </c>
      <c r="W41" s="39" t="str">
        <f t="shared" si="26"/>
        <v/>
      </c>
      <c r="X41" s="39" t="str">
        <f t="shared" si="27"/>
        <v/>
      </c>
    </row>
    <row r="42" spans="1:24" ht="15" customHeight="1" x14ac:dyDescent="0.3">
      <c r="A42" s="33"/>
      <c r="B42" s="34"/>
      <c r="C42" s="35"/>
      <c r="D42" s="35"/>
      <c r="E42" s="35"/>
      <c r="F42" s="36"/>
      <c r="G42" s="36"/>
      <c r="H42" s="36"/>
      <c r="I42" s="36"/>
      <c r="J42" s="36"/>
      <c r="K42" s="37" t="str">
        <f t="shared" si="14"/>
        <v/>
      </c>
      <c r="L42" s="37" t="str">
        <f t="shared" si="15"/>
        <v/>
      </c>
      <c r="M42" s="37" t="str">
        <f t="shared" si="16"/>
        <v/>
      </c>
      <c r="N42" s="37" t="str">
        <f t="shared" si="17"/>
        <v/>
      </c>
      <c r="O42" s="37" t="str">
        <f t="shared" si="18"/>
        <v/>
      </c>
      <c r="P42" s="37" t="str">
        <f t="shared" si="19"/>
        <v/>
      </c>
      <c r="Q42" s="37" t="str">
        <f t="shared" si="20"/>
        <v/>
      </c>
      <c r="R42" s="38" t="str">
        <f t="shared" si="21"/>
        <v/>
      </c>
      <c r="S42" s="38" t="str">
        <f t="shared" si="22"/>
        <v/>
      </c>
      <c r="T42" s="38" t="str">
        <f t="shared" si="23"/>
        <v/>
      </c>
      <c r="U42" s="38" t="str">
        <f t="shared" si="24"/>
        <v/>
      </c>
      <c r="V42" s="39" t="str">
        <f t="shared" si="25"/>
        <v/>
      </c>
      <c r="W42" s="39" t="str">
        <f t="shared" si="26"/>
        <v/>
      </c>
      <c r="X42" s="39" t="str">
        <f t="shared" si="27"/>
        <v/>
      </c>
    </row>
    <row r="43" spans="1:24" ht="15" customHeight="1" x14ac:dyDescent="0.3">
      <c r="A43" s="33"/>
      <c r="B43" s="34"/>
      <c r="C43" s="35"/>
      <c r="D43" s="35"/>
      <c r="E43" s="35"/>
      <c r="F43" s="36"/>
      <c r="G43" s="36"/>
      <c r="H43" s="36"/>
      <c r="I43" s="36"/>
      <c r="J43" s="36"/>
      <c r="K43" s="37" t="str">
        <f t="shared" si="14"/>
        <v/>
      </c>
      <c r="L43" s="37" t="str">
        <f t="shared" si="15"/>
        <v/>
      </c>
      <c r="M43" s="37" t="str">
        <f t="shared" si="16"/>
        <v/>
      </c>
      <c r="N43" s="37" t="str">
        <f t="shared" si="17"/>
        <v/>
      </c>
      <c r="O43" s="37" t="str">
        <f t="shared" si="18"/>
        <v/>
      </c>
      <c r="P43" s="37" t="str">
        <f t="shared" si="19"/>
        <v/>
      </c>
      <c r="Q43" s="37" t="str">
        <f t="shared" si="20"/>
        <v/>
      </c>
      <c r="R43" s="38" t="str">
        <f t="shared" si="21"/>
        <v/>
      </c>
      <c r="S43" s="38" t="str">
        <f t="shared" si="22"/>
        <v/>
      </c>
      <c r="T43" s="38" t="str">
        <f t="shared" si="23"/>
        <v/>
      </c>
      <c r="U43" s="38" t="str">
        <f t="shared" si="24"/>
        <v/>
      </c>
      <c r="V43" s="39" t="str">
        <f t="shared" si="25"/>
        <v/>
      </c>
      <c r="W43" s="39" t="str">
        <f t="shared" si="26"/>
        <v/>
      </c>
      <c r="X43" s="39" t="str">
        <f t="shared" si="27"/>
        <v/>
      </c>
    </row>
    <row r="44" spans="1:24" ht="15" customHeight="1" x14ac:dyDescent="0.3">
      <c r="A44" s="33"/>
      <c r="B44" s="34"/>
      <c r="C44" s="35"/>
      <c r="D44" s="35"/>
      <c r="E44" s="35"/>
      <c r="F44" s="36"/>
      <c r="G44" s="36"/>
      <c r="H44" s="36"/>
      <c r="I44" s="36"/>
      <c r="J44" s="36"/>
      <c r="K44" s="37" t="str">
        <f t="shared" si="14"/>
        <v/>
      </c>
      <c r="L44" s="37" t="str">
        <f t="shared" si="15"/>
        <v/>
      </c>
      <c r="M44" s="37" t="str">
        <f t="shared" si="16"/>
        <v/>
      </c>
      <c r="N44" s="37" t="str">
        <f t="shared" si="17"/>
        <v/>
      </c>
      <c r="O44" s="37" t="str">
        <f t="shared" si="18"/>
        <v/>
      </c>
      <c r="P44" s="37" t="str">
        <f t="shared" si="19"/>
        <v/>
      </c>
      <c r="Q44" s="37" t="str">
        <f t="shared" si="20"/>
        <v/>
      </c>
      <c r="R44" s="38" t="str">
        <f t="shared" si="21"/>
        <v/>
      </c>
      <c r="S44" s="38" t="str">
        <f t="shared" si="22"/>
        <v/>
      </c>
      <c r="T44" s="38" t="str">
        <f t="shared" si="23"/>
        <v/>
      </c>
      <c r="U44" s="38" t="str">
        <f t="shared" si="24"/>
        <v/>
      </c>
      <c r="V44" s="39" t="str">
        <f t="shared" si="25"/>
        <v/>
      </c>
      <c r="W44" s="39" t="str">
        <f t="shared" si="26"/>
        <v/>
      </c>
      <c r="X44" s="39" t="str">
        <f t="shared" si="27"/>
        <v/>
      </c>
    </row>
    <row r="45" spans="1:24" ht="15" customHeight="1" x14ac:dyDescent="0.3">
      <c r="A45" s="33"/>
      <c r="B45" s="34"/>
      <c r="C45" s="35"/>
      <c r="D45" s="35"/>
      <c r="E45" s="35"/>
      <c r="F45" s="36"/>
      <c r="G45" s="36"/>
      <c r="H45" s="36"/>
      <c r="I45" s="36"/>
      <c r="J45" s="36"/>
      <c r="K45" s="37" t="str">
        <f t="shared" si="14"/>
        <v/>
      </c>
      <c r="L45" s="37" t="str">
        <f t="shared" si="15"/>
        <v/>
      </c>
      <c r="M45" s="37" t="str">
        <f t="shared" si="16"/>
        <v/>
      </c>
      <c r="N45" s="37" t="str">
        <f t="shared" si="17"/>
        <v/>
      </c>
      <c r="O45" s="37" t="str">
        <f t="shared" si="18"/>
        <v/>
      </c>
      <c r="P45" s="37" t="str">
        <f t="shared" si="19"/>
        <v/>
      </c>
      <c r="Q45" s="37" t="str">
        <f t="shared" si="20"/>
        <v/>
      </c>
      <c r="R45" s="38" t="str">
        <f t="shared" si="21"/>
        <v/>
      </c>
      <c r="S45" s="38" t="str">
        <f t="shared" si="22"/>
        <v/>
      </c>
      <c r="T45" s="38" t="str">
        <f t="shared" si="23"/>
        <v/>
      </c>
      <c r="U45" s="38" t="str">
        <f t="shared" si="24"/>
        <v/>
      </c>
      <c r="V45" s="39" t="str">
        <f t="shared" si="25"/>
        <v/>
      </c>
      <c r="W45" s="39" t="str">
        <f t="shared" si="26"/>
        <v/>
      </c>
      <c r="X45" s="39" t="str">
        <f t="shared" si="27"/>
        <v/>
      </c>
    </row>
    <row r="46" spans="1:24" ht="15" customHeight="1" x14ac:dyDescent="0.3">
      <c r="A46" s="33"/>
      <c r="B46" s="34"/>
      <c r="C46" s="35"/>
      <c r="D46" s="35"/>
      <c r="E46" s="35"/>
      <c r="F46" s="36"/>
      <c r="G46" s="36"/>
      <c r="H46" s="36"/>
      <c r="I46" s="36"/>
      <c r="J46" s="36"/>
      <c r="K46" s="37" t="str">
        <f t="shared" si="14"/>
        <v/>
      </c>
      <c r="L46" s="37" t="str">
        <f t="shared" si="15"/>
        <v/>
      </c>
      <c r="M46" s="37" t="str">
        <f t="shared" si="16"/>
        <v/>
      </c>
      <c r="N46" s="37" t="str">
        <f t="shared" si="17"/>
        <v/>
      </c>
      <c r="O46" s="37" t="str">
        <f t="shared" si="18"/>
        <v/>
      </c>
      <c r="P46" s="37" t="str">
        <f t="shared" si="19"/>
        <v/>
      </c>
      <c r="Q46" s="37" t="str">
        <f t="shared" si="20"/>
        <v/>
      </c>
      <c r="R46" s="38" t="str">
        <f t="shared" si="21"/>
        <v/>
      </c>
      <c r="S46" s="38" t="str">
        <f t="shared" si="22"/>
        <v/>
      </c>
      <c r="T46" s="38" t="str">
        <f t="shared" si="23"/>
        <v/>
      </c>
      <c r="U46" s="38" t="str">
        <f t="shared" si="24"/>
        <v/>
      </c>
      <c r="V46" s="39" t="str">
        <f t="shared" si="25"/>
        <v/>
      </c>
      <c r="W46" s="39" t="str">
        <f t="shared" si="26"/>
        <v/>
      </c>
      <c r="X46" s="39" t="str">
        <f t="shared" si="27"/>
        <v/>
      </c>
    </row>
    <row r="47" spans="1:24" ht="15" customHeight="1" x14ac:dyDescent="0.3">
      <c r="A47" s="33"/>
      <c r="B47" s="34"/>
      <c r="C47" s="35"/>
      <c r="D47" s="35"/>
      <c r="E47" s="35"/>
      <c r="F47" s="36"/>
      <c r="G47" s="36"/>
      <c r="H47" s="36"/>
      <c r="I47" s="36"/>
      <c r="J47" s="36"/>
      <c r="K47" s="37" t="str">
        <f t="shared" si="14"/>
        <v/>
      </c>
      <c r="L47" s="37" t="str">
        <f t="shared" si="15"/>
        <v/>
      </c>
      <c r="M47" s="37" t="str">
        <f t="shared" si="16"/>
        <v/>
      </c>
      <c r="N47" s="37" t="str">
        <f t="shared" si="17"/>
        <v/>
      </c>
      <c r="O47" s="37" t="str">
        <f t="shared" si="18"/>
        <v/>
      </c>
      <c r="P47" s="37" t="str">
        <f t="shared" si="19"/>
        <v/>
      </c>
      <c r="Q47" s="37" t="str">
        <f t="shared" si="20"/>
        <v/>
      </c>
      <c r="R47" s="38" t="str">
        <f t="shared" si="21"/>
        <v/>
      </c>
      <c r="S47" s="38" t="str">
        <f t="shared" si="22"/>
        <v/>
      </c>
      <c r="T47" s="38" t="str">
        <f t="shared" si="23"/>
        <v/>
      </c>
      <c r="U47" s="38" t="str">
        <f t="shared" si="24"/>
        <v/>
      </c>
      <c r="V47" s="39" t="str">
        <f t="shared" si="25"/>
        <v/>
      </c>
      <c r="W47" s="39" t="str">
        <f t="shared" si="26"/>
        <v/>
      </c>
      <c r="X47" s="39" t="str">
        <f t="shared" si="27"/>
        <v/>
      </c>
    </row>
    <row r="48" spans="1:24" ht="15" customHeight="1" x14ac:dyDescent="0.3">
      <c r="A48" s="33"/>
      <c r="B48" s="34"/>
      <c r="C48" s="35"/>
      <c r="D48" s="35"/>
      <c r="E48" s="35"/>
      <c r="F48" s="36"/>
      <c r="G48" s="36"/>
      <c r="H48" s="36"/>
      <c r="I48" s="36"/>
      <c r="J48" s="36"/>
      <c r="K48" s="37" t="str">
        <f t="shared" si="14"/>
        <v/>
      </c>
      <c r="L48" s="37" t="str">
        <f t="shared" si="15"/>
        <v/>
      </c>
      <c r="M48" s="37" t="str">
        <f t="shared" si="16"/>
        <v/>
      </c>
      <c r="N48" s="37" t="str">
        <f t="shared" si="17"/>
        <v/>
      </c>
      <c r="O48" s="37" t="str">
        <f t="shared" si="18"/>
        <v/>
      </c>
      <c r="P48" s="37" t="str">
        <f t="shared" si="19"/>
        <v/>
      </c>
      <c r="Q48" s="37" t="str">
        <f t="shared" si="20"/>
        <v/>
      </c>
      <c r="R48" s="38" t="str">
        <f t="shared" si="21"/>
        <v/>
      </c>
      <c r="S48" s="38" t="str">
        <f t="shared" si="22"/>
        <v/>
      </c>
      <c r="T48" s="38" t="str">
        <f t="shared" si="23"/>
        <v/>
      </c>
      <c r="U48" s="38" t="str">
        <f t="shared" si="24"/>
        <v/>
      </c>
      <c r="V48" s="39" t="str">
        <f t="shared" si="25"/>
        <v/>
      </c>
      <c r="W48" s="39" t="str">
        <f t="shared" si="26"/>
        <v/>
      </c>
      <c r="X48" s="39" t="str">
        <f t="shared" si="27"/>
        <v/>
      </c>
    </row>
    <row r="49" spans="1:24" ht="15" customHeight="1" x14ac:dyDescent="0.3">
      <c r="A49" s="33"/>
      <c r="B49" s="34"/>
      <c r="C49" s="35"/>
      <c r="D49" s="35"/>
      <c r="E49" s="35"/>
      <c r="F49" s="36"/>
      <c r="G49" s="36"/>
      <c r="H49" s="36"/>
      <c r="I49" s="36"/>
      <c r="J49" s="36"/>
      <c r="K49" s="37" t="str">
        <f t="shared" si="14"/>
        <v/>
      </c>
      <c r="L49" s="37" t="str">
        <f t="shared" si="15"/>
        <v/>
      </c>
      <c r="M49" s="37" t="str">
        <f t="shared" si="16"/>
        <v/>
      </c>
      <c r="N49" s="37" t="str">
        <f t="shared" si="17"/>
        <v/>
      </c>
      <c r="O49" s="37" t="str">
        <f t="shared" si="18"/>
        <v/>
      </c>
      <c r="P49" s="37" t="str">
        <f t="shared" si="19"/>
        <v/>
      </c>
      <c r="Q49" s="37" t="str">
        <f t="shared" si="20"/>
        <v/>
      </c>
      <c r="R49" s="38" t="str">
        <f t="shared" si="21"/>
        <v/>
      </c>
      <c r="S49" s="38" t="str">
        <f t="shared" si="22"/>
        <v/>
      </c>
      <c r="T49" s="38" t="str">
        <f t="shared" si="23"/>
        <v/>
      </c>
      <c r="U49" s="38" t="str">
        <f t="shared" si="24"/>
        <v/>
      </c>
      <c r="V49" s="39" t="str">
        <f t="shared" si="25"/>
        <v/>
      </c>
      <c r="W49" s="39" t="str">
        <f t="shared" si="26"/>
        <v/>
      </c>
      <c r="X49" s="39" t="str">
        <f t="shared" si="27"/>
        <v/>
      </c>
    </row>
    <row r="50" spans="1:24" ht="15" customHeight="1" x14ac:dyDescent="0.3">
      <c r="A50" s="33"/>
      <c r="B50" s="34"/>
      <c r="C50" s="35"/>
      <c r="D50" s="35"/>
      <c r="E50" s="35"/>
      <c r="F50" s="36"/>
      <c r="G50" s="36"/>
      <c r="H50" s="36"/>
      <c r="I50" s="36"/>
      <c r="J50" s="36"/>
      <c r="K50" s="37" t="str">
        <f t="shared" si="14"/>
        <v/>
      </c>
      <c r="L50" s="37" t="str">
        <f t="shared" si="15"/>
        <v/>
      </c>
      <c r="M50" s="37" t="str">
        <f t="shared" si="16"/>
        <v/>
      </c>
      <c r="N50" s="37" t="str">
        <f t="shared" si="17"/>
        <v/>
      </c>
      <c r="O50" s="37" t="str">
        <f t="shared" si="18"/>
        <v/>
      </c>
      <c r="P50" s="37" t="str">
        <f t="shared" si="19"/>
        <v/>
      </c>
      <c r="Q50" s="37" t="str">
        <f t="shared" si="20"/>
        <v/>
      </c>
      <c r="R50" s="38" t="str">
        <f t="shared" si="21"/>
        <v/>
      </c>
      <c r="S50" s="38" t="str">
        <f t="shared" si="22"/>
        <v/>
      </c>
      <c r="T50" s="38" t="str">
        <f t="shared" si="23"/>
        <v/>
      </c>
      <c r="U50" s="38" t="str">
        <f t="shared" si="24"/>
        <v/>
      </c>
      <c r="V50" s="39" t="str">
        <f t="shared" si="25"/>
        <v/>
      </c>
      <c r="W50" s="39" t="str">
        <f t="shared" si="26"/>
        <v/>
      </c>
      <c r="X50" s="39" t="str">
        <f t="shared" si="27"/>
        <v/>
      </c>
    </row>
    <row r="51" spans="1:24" ht="15" customHeight="1" x14ac:dyDescent="0.3">
      <c r="A51" s="33"/>
      <c r="B51" s="34"/>
      <c r="C51" s="35"/>
      <c r="D51" s="35"/>
      <c r="E51" s="35"/>
      <c r="F51" s="36"/>
      <c r="G51" s="36"/>
      <c r="H51" s="36"/>
      <c r="I51" s="36"/>
      <c r="J51" s="36"/>
      <c r="K51" s="37" t="str">
        <f t="shared" si="14"/>
        <v/>
      </c>
      <c r="L51" s="37" t="str">
        <f t="shared" si="15"/>
        <v/>
      </c>
      <c r="M51" s="37" t="str">
        <f t="shared" si="16"/>
        <v/>
      </c>
      <c r="N51" s="37" t="str">
        <f t="shared" si="17"/>
        <v/>
      </c>
      <c r="O51" s="37" t="str">
        <f t="shared" si="18"/>
        <v/>
      </c>
      <c r="P51" s="37" t="str">
        <f t="shared" si="19"/>
        <v/>
      </c>
      <c r="Q51" s="37" t="str">
        <f t="shared" si="20"/>
        <v/>
      </c>
      <c r="R51" s="38" t="str">
        <f t="shared" si="21"/>
        <v/>
      </c>
      <c r="S51" s="38" t="str">
        <f t="shared" si="22"/>
        <v/>
      </c>
      <c r="T51" s="38" t="str">
        <f t="shared" si="23"/>
        <v/>
      </c>
      <c r="U51" s="38" t="str">
        <f t="shared" si="24"/>
        <v/>
      </c>
      <c r="V51" s="39" t="str">
        <f t="shared" si="25"/>
        <v/>
      </c>
      <c r="W51" s="39" t="str">
        <f t="shared" si="26"/>
        <v/>
      </c>
      <c r="X51" s="39" t="str">
        <f t="shared" si="27"/>
        <v/>
      </c>
    </row>
    <row r="52" spans="1:24" ht="15" customHeight="1" x14ac:dyDescent="0.3">
      <c r="A52" s="33"/>
      <c r="B52" s="34"/>
      <c r="C52" s="35"/>
      <c r="D52" s="35"/>
      <c r="E52" s="35"/>
      <c r="F52" s="36"/>
      <c r="G52" s="36"/>
      <c r="H52" s="36"/>
      <c r="I52" s="36"/>
      <c r="J52" s="36"/>
      <c r="K52" s="37" t="str">
        <f t="shared" si="14"/>
        <v/>
      </c>
      <c r="L52" s="37" t="str">
        <f t="shared" si="15"/>
        <v/>
      </c>
      <c r="M52" s="37" t="str">
        <f t="shared" si="16"/>
        <v/>
      </c>
      <c r="N52" s="37" t="str">
        <f t="shared" si="17"/>
        <v/>
      </c>
      <c r="O52" s="37" t="str">
        <f t="shared" si="18"/>
        <v/>
      </c>
      <c r="P52" s="37" t="str">
        <f t="shared" si="19"/>
        <v/>
      </c>
      <c r="Q52" s="37" t="str">
        <f t="shared" si="20"/>
        <v/>
      </c>
      <c r="R52" s="38" t="str">
        <f t="shared" si="21"/>
        <v/>
      </c>
      <c r="S52" s="38" t="str">
        <f t="shared" si="22"/>
        <v/>
      </c>
      <c r="T52" s="38" t="str">
        <f t="shared" si="23"/>
        <v/>
      </c>
      <c r="U52" s="38" t="str">
        <f t="shared" si="24"/>
        <v/>
      </c>
      <c r="V52" s="39" t="str">
        <f t="shared" si="25"/>
        <v/>
      </c>
      <c r="W52" s="39" t="str">
        <f t="shared" si="26"/>
        <v/>
      </c>
      <c r="X52" s="39" t="str">
        <f t="shared" si="27"/>
        <v/>
      </c>
    </row>
    <row r="53" spans="1:24" ht="15" customHeight="1" x14ac:dyDescent="0.3">
      <c r="A53" s="33"/>
      <c r="B53" s="34"/>
      <c r="C53" s="35"/>
      <c r="D53" s="35"/>
      <c r="E53" s="35"/>
      <c r="F53" s="36"/>
      <c r="G53" s="36"/>
      <c r="H53" s="36"/>
      <c r="I53" s="36"/>
      <c r="J53" s="36"/>
      <c r="K53" s="37" t="str">
        <f t="shared" si="14"/>
        <v/>
      </c>
      <c r="L53" s="37" t="str">
        <f t="shared" si="15"/>
        <v/>
      </c>
      <c r="M53" s="37" t="str">
        <f t="shared" si="16"/>
        <v/>
      </c>
      <c r="N53" s="37" t="str">
        <f t="shared" si="17"/>
        <v/>
      </c>
      <c r="O53" s="37" t="str">
        <f t="shared" si="18"/>
        <v/>
      </c>
      <c r="P53" s="37" t="str">
        <f t="shared" si="19"/>
        <v/>
      </c>
      <c r="Q53" s="37" t="str">
        <f t="shared" si="20"/>
        <v/>
      </c>
      <c r="R53" s="38" t="str">
        <f t="shared" si="21"/>
        <v/>
      </c>
      <c r="S53" s="38" t="str">
        <f t="shared" si="22"/>
        <v/>
      </c>
      <c r="T53" s="38" t="str">
        <f t="shared" si="23"/>
        <v/>
      </c>
      <c r="U53" s="38" t="str">
        <f t="shared" si="24"/>
        <v/>
      </c>
      <c r="V53" s="39" t="str">
        <f t="shared" si="25"/>
        <v/>
      </c>
      <c r="W53" s="39" t="str">
        <f t="shared" si="26"/>
        <v/>
      </c>
      <c r="X53" s="39" t="str">
        <f t="shared" si="27"/>
        <v/>
      </c>
    </row>
    <row r="54" spans="1:24" ht="15" customHeight="1" x14ac:dyDescent="0.3">
      <c r="A54" s="33"/>
      <c r="B54" s="34"/>
      <c r="C54" s="35"/>
      <c r="D54" s="35"/>
      <c r="E54" s="35"/>
      <c r="F54" s="36"/>
      <c r="G54" s="36"/>
      <c r="H54" s="36"/>
      <c r="I54" s="36"/>
      <c r="J54" s="36"/>
      <c r="K54" s="37" t="str">
        <f t="shared" si="14"/>
        <v/>
      </c>
      <c r="L54" s="37" t="str">
        <f t="shared" si="15"/>
        <v/>
      </c>
      <c r="M54" s="37" t="str">
        <f t="shared" si="16"/>
        <v/>
      </c>
      <c r="N54" s="37" t="str">
        <f t="shared" si="17"/>
        <v/>
      </c>
      <c r="O54" s="37" t="str">
        <f t="shared" si="18"/>
        <v/>
      </c>
      <c r="P54" s="37" t="str">
        <f t="shared" si="19"/>
        <v/>
      </c>
      <c r="Q54" s="37" t="str">
        <f t="shared" si="20"/>
        <v/>
      </c>
      <c r="R54" s="38" t="str">
        <f t="shared" si="21"/>
        <v/>
      </c>
      <c r="S54" s="38" t="str">
        <f t="shared" si="22"/>
        <v/>
      </c>
      <c r="T54" s="38" t="str">
        <f t="shared" si="23"/>
        <v/>
      </c>
      <c r="U54" s="38" t="str">
        <f t="shared" si="24"/>
        <v/>
      </c>
      <c r="V54" s="39" t="str">
        <f t="shared" si="25"/>
        <v/>
      </c>
      <c r="W54" s="39" t="str">
        <f t="shared" si="26"/>
        <v/>
      </c>
      <c r="X54" s="39" t="str">
        <f t="shared" si="27"/>
        <v/>
      </c>
    </row>
    <row r="55" spans="1:24" ht="15" customHeight="1" x14ac:dyDescent="0.3">
      <c r="A55" s="33"/>
      <c r="B55" s="34"/>
      <c r="C55" s="35"/>
      <c r="D55" s="35"/>
      <c r="E55" s="35"/>
      <c r="F55" s="36"/>
      <c r="G55" s="36"/>
      <c r="H55" s="36"/>
      <c r="I55" s="36"/>
      <c r="J55" s="36"/>
      <c r="K55" s="37" t="str">
        <f t="shared" si="14"/>
        <v/>
      </c>
      <c r="L55" s="37" t="str">
        <f t="shared" si="15"/>
        <v/>
      </c>
      <c r="M55" s="37" t="str">
        <f t="shared" si="16"/>
        <v/>
      </c>
      <c r="N55" s="37" t="str">
        <f t="shared" si="17"/>
        <v/>
      </c>
      <c r="O55" s="37" t="str">
        <f t="shared" si="18"/>
        <v/>
      </c>
      <c r="P55" s="37" t="str">
        <f t="shared" si="19"/>
        <v/>
      </c>
      <c r="Q55" s="37" t="str">
        <f t="shared" si="20"/>
        <v/>
      </c>
      <c r="R55" s="38" t="str">
        <f t="shared" si="21"/>
        <v/>
      </c>
      <c r="S55" s="38" t="str">
        <f t="shared" si="22"/>
        <v/>
      </c>
      <c r="T55" s="38" t="str">
        <f t="shared" si="23"/>
        <v/>
      </c>
      <c r="U55" s="38" t="str">
        <f t="shared" si="24"/>
        <v/>
      </c>
      <c r="V55" s="39" t="str">
        <f t="shared" si="25"/>
        <v/>
      </c>
      <c r="W55" s="39" t="str">
        <f t="shared" si="26"/>
        <v/>
      </c>
      <c r="X55" s="39" t="str">
        <f t="shared" si="27"/>
        <v/>
      </c>
    </row>
    <row r="56" spans="1:24" ht="15" customHeight="1" x14ac:dyDescent="0.3">
      <c r="A56" s="33"/>
      <c r="B56" s="34"/>
      <c r="C56" s="35"/>
      <c r="D56" s="35"/>
      <c r="E56" s="35"/>
      <c r="F56" s="36"/>
      <c r="G56" s="36"/>
      <c r="H56" s="36"/>
      <c r="I56" s="36"/>
      <c r="J56" s="36"/>
      <c r="K56" s="37" t="str">
        <f t="shared" si="14"/>
        <v/>
      </c>
      <c r="L56" s="37" t="str">
        <f t="shared" si="15"/>
        <v/>
      </c>
      <c r="M56" s="37" t="str">
        <f t="shared" si="16"/>
        <v/>
      </c>
      <c r="N56" s="37" t="str">
        <f t="shared" si="17"/>
        <v/>
      </c>
      <c r="O56" s="37" t="str">
        <f t="shared" si="18"/>
        <v/>
      </c>
      <c r="P56" s="37" t="str">
        <f t="shared" si="19"/>
        <v/>
      </c>
      <c r="Q56" s="37" t="str">
        <f t="shared" si="20"/>
        <v/>
      </c>
      <c r="R56" s="38" t="str">
        <f t="shared" si="21"/>
        <v/>
      </c>
      <c r="S56" s="38" t="str">
        <f t="shared" si="22"/>
        <v/>
      </c>
      <c r="T56" s="38" t="str">
        <f t="shared" si="23"/>
        <v/>
      </c>
      <c r="U56" s="38" t="str">
        <f t="shared" si="24"/>
        <v/>
      </c>
      <c r="V56" s="39" t="str">
        <f t="shared" si="25"/>
        <v/>
      </c>
      <c r="W56" s="39" t="str">
        <f t="shared" si="26"/>
        <v/>
      </c>
      <c r="X56" s="39" t="str">
        <f t="shared" si="27"/>
        <v/>
      </c>
    </row>
    <row r="57" spans="1:24" ht="15" customHeight="1" x14ac:dyDescent="0.3">
      <c r="A57" s="33"/>
      <c r="B57" s="34"/>
      <c r="C57" s="35"/>
      <c r="D57" s="35"/>
      <c r="E57" s="35"/>
      <c r="F57" s="36"/>
      <c r="G57" s="36"/>
      <c r="H57" s="36"/>
      <c r="I57" s="36"/>
      <c r="J57" s="36"/>
      <c r="K57" s="37" t="str">
        <f t="shared" si="14"/>
        <v/>
      </c>
      <c r="L57" s="37" t="str">
        <f t="shared" si="15"/>
        <v/>
      </c>
      <c r="M57" s="37" t="str">
        <f t="shared" si="16"/>
        <v/>
      </c>
      <c r="N57" s="37" t="str">
        <f t="shared" si="17"/>
        <v/>
      </c>
      <c r="O57" s="37" t="str">
        <f t="shared" si="18"/>
        <v/>
      </c>
      <c r="P57" s="37" t="str">
        <f t="shared" si="19"/>
        <v/>
      </c>
      <c r="Q57" s="37" t="str">
        <f t="shared" si="20"/>
        <v/>
      </c>
      <c r="R57" s="38" t="str">
        <f t="shared" si="21"/>
        <v/>
      </c>
      <c r="S57" s="38" t="str">
        <f t="shared" si="22"/>
        <v/>
      </c>
      <c r="T57" s="38" t="str">
        <f t="shared" si="23"/>
        <v/>
      </c>
      <c r="U57" s="38" t="str">
        <f t="shared" si="24"/>
        <v/>
      </c>
      <c r="V57" s="39" t="str">
        <f t="shared" si="25"/>
        <v/>
      </c>
      <c r="W57" s="39" t="str">
        <f t="shared" si="26"/>
        <v/>
      </c>
      <c r="X57" s="39" t="str">
        <f t="shared" si="27"/>
        <v/>
      </c>
    </row>
    <row r="58" spans="1:24" ht="15" customHeight="1" x14ac:dyDescent="0.3">
      <c r="A58" s="33"/>
      <c r="B58" s="34"/>
      <c r="C58" s="35"/>
      <c r="D58" s="35"/>
      <c r="E58" s="35"/>
      <c r="F58" s="36"/>
      <c r="G58" s="36"/>
      <c r="H58" s="36"/>
      <c r="I58" s="36"/>
      <c r="J58" s="36"/>
      <c r="K58" s="37" t="str">
        <f t="shared" si="14"/>
        <v/>
      </c>
      <c r="L58" s="37" t="str">
        <f t="shared" si="15"/>
        <v/>
      </c>
      <c r="M58" s="37" t="str">
        <f t="shared" si="16"/>
        <v/>
      </c>
      <c r="N58" s="37" t="str">
        <f t="shared" si="17"/>
        <v/>
      </c>
      <c r="O58" s="37" t="str">
        <f t="shared" si="18"/>
        <v/>
      </c>
      <c r="P58" s="37" t="str">
        <f t="shared" si="19"/>
        <v/>
      </c>
      <c r="Q58" s="37" t="str">
        <f t="shared" si="20"/>
        <v/>
      </c>
      <c r="R58" s="38" t="str">
        <f t="shared" si="21"/>
        <v/>
      </c>
      <c r="S58" s="38" t="str">
        <f t="shared" si="22"/>
        <v/>
      </c>
      <c r="T58" s="38" t="str">
        <f t="shared" si="23"/>
        <v/>
      </c>
      <c r="U58" s="38" t="str">
        <f t="shared" si="24"/>
        <v/>
      </c>
      <c r="V58" s="39" t="str">
        <f t="shared" si="25"/>
        <v/>
      </c>
      <c r="W58" s="39" t="str">
        <f t="shared" si="26"/>
        <v/>
      </c>
      <c r="X58" s="39" t="str">
        <f t="shared" si="27"/>
        <v/>
      </c>
    </row>
    <row r="59" spans="1:24" ht="15" customHeight="1" x14ac:dyDescent="0.3">
      <c r="A59" s="33"/>
      <c r="B59" s="34"/>
      <c r="C59" s="35"/>
      <c r="D59" s="35"/>
      <c r="E59" s="35"/>
      <c r="F59" s="36"/>
      <c r="G59" s="36"/>
      <c r="H59" s="36"/>
      <c r="I59" s="36"/>
      <c r="J59" s="36"/>
      <c r="K59" s="37" t="str">
        <f t="shared" si="14"/>
        <v/>
      </c>
      <c r="L59" s="37" t="str">
        <f t="shared" si="15"/>
        <v/>
      </c>
      <c r="M59" s="37" t="str">
        <f t="shared" si="16"/>
        <v/>
      </c>
      <c r="N59" s="37" t="str">
        <f t="shared" si="17"/>
        <v/>
      </c>
      <c r="O59" s="37" t="str">
        <f t="shared" si="18"/>
        <v/>
      </c>
      <c r="P59" s="37" t="str">
        <f t="shared" si="19"/>
        <v/>
      </c>
      <c r="Q59" s="37" t="str">
        <f t="shared" si="20"/>
        <v/>
      </c>
      <c r="R59" s="38" t="str">
        <f t="shared" si="21"/>
        <v/>
      </c>
      <c r="S59" s="38" t="str">
        <f t="shared" si="22"/>
        <v/>
      </c>
      <c r="T59" s="38" t="str">
        <f t="shared" si="23"/>
        <v/>
      </c>
      <c r="U59" s="38" t="str">
        <f t="shared" si="24"/>
        <v/>
      </c>
      <c r="V59" s="39" t="str">
        <f t="shared" si="25"/>
        <v/>
      </c>
      <c r="W59" s="39" t="str">
        <f t="shared" si="26"/>
        <v/>
      </c>
      <c r="X59" s="39" t="str">
        <f t="shared" si="27"/>
        <v/>
      </c>
    </row>
    <row r="60" spans="1:24" ht="15" customHeight="1" x14ac:dyDescent="0.3">
      <c r="A60" s="33"/>
      <c r="B60" s="34"/>
      <c r="C60" s="35"/>
      <c r="D60" s="35"/>
      <c r="E60" s="35"/>
      <c r="F60" s="36"/>
      <c r="G60" s="36"/>
      <c r="H60" s="36"/>
      <c r="I60" s="36"/>
      <c r="J60" s="36"/>
      <c r="K60" s="37" t="str">
        <f t="shared" si="14"/>
        <v/>
      </c>
      <c r="L60" s="37" t="str">
        <f t="shared" si="15"/>
        <v/>
      </c>
      <c r="M60" s="37" t="str">
        <f t="shared" si="16"/>
        <v/>
      </c>
      <c r="N60" s="37" t="str">
        <f t="shared" si="17"/>
        <v/>
      </c>
      <c r="O60" s="37" t="str">
        <f t="shared" si="18"/>
        <v/>
      </c>
      <c r="P60" s="37" t="str">
        <f t="shared" si="19"/>
        <v/>
      </c>
      <c r="Q60" s="37" t="str">
        <f t="shared" si="20"/>
        <v/>
      </c>
      <c r="R60" s="38" t="str">
        <f t="shared" si="21"/>
        <v/>
      </c>
      <c r="S60" s="38" t="str">
        <f t="shared" si="22"/>
        <v/>
      </c>
      <c r="T60" s="38" t="str">
        <f t="shared" si="23"/>
        <v/>
      </c>
      <c r="U60" s="38" t="str">
        <f t="shared" si="24"/>
        <v/>
      </c>
      <c r="V60" s="39" t="str">
        <f t="shared" si="25"/>
        <v/>
      </c>
      <c r="W60" s="39" t="str">
        <f t="shared" si="26"/>
        <v/>
      </c>
      <c r="X60" s="39" t="str">
        <f t="shared" si="27"/>
        <v/>
      </c>
    </row>
    <row r="61" spans="1:24" ht="15" customHeight="1" x14ac:dyDescent="0.3">
      <c r="A61" s="33"/>
      <c r="B61" s="34"/>
      <c r="C61" s="35"/>
      <c r="D61" s="35"/>
      <c r="E61" s="35"/>
      <c r="F61" s="36"/>
      <c r="G61" s="36"/>
      <c r="H61" s="36"/>
      <c r="I61" s="36"/>
      <c r="J61" s="36"/>
      <c r="K61" s="37" t="str">
        <f t="shared" si="14"/>
        <v/>
      </c>
      <c r="L61" s="37" t="str">
        <f t="shared" si="15"/>
        <v/>
      </c>
      <c r="M61" s="37" t="str">
        <f t="shared" si="16"/>
        <v/>
      </c>
      <c r="N61" s="37" t="str">
        <f t="shared" si="17"/>
        <v/>
      </c>
      <c r="O61" s="37" t="str">
        <f t="shared" si="18"/>
        <v/>
      </c>
      <c r="P61" s="37" t="str">
        <f t="shared" si="19"/>
        <v/>
      </c>
      <c r="Q61" s="37" t="str">
        <f t="shared" si="20"/>
        <v/>
      </c>
      <c r="R61" s="38" t="str">
        <f t="shared" si="21"/>
        <v/>
      </c>
      <c r="S61" s="38" t="str">
        <f t="shared" si="22"/>
        <v/>
      </c>
      <c r="T61" s="38" t="str">
        <f t="shared" si="23"/>
        <v/>
      </c>
      <c r="U61" s="38" t="str">
        <f t="shared" si="24"/>
        <v/>
      </c>
      <c r="V61" s="39" t="str">
        <f t="shared" si="25"/>
        <v/>
      </c>
      <c r="W61" s="39" t="str">
        <f t="shared" si="26"/>
        <v/>
      </c>
      <c r="X61" s="39" t="str">
        <f t="shared" si="27"/>
        <v/>
      </c>
    </row>
    <row r="62" spans="1:24" ht="15" customHeight="1" x14ac:dyDescent="0.3">
      <c r="A62" s="33"/>
      <c r="B62" s="34"/>
      <c r="C62" s="35"/>
      <c r="D62" s="35"/>
      <c r="E62" s="35"/>
      <c r="F62" s="36"/>
      <c r="G62" s="36"/>
      <c r="H62" s="36"/>
      <c r="I62" s="36"/>
      <c r="J62" s="36"/>
      <c r="K62" s="37" t="str">
        <f t="shared" si="14"/>
        <v/>
      </c>
      <c r="L62" s="37" t="str">
        <f t="shared" si="15"/>
        <v/>
      </c>
      <c r="M62" s="37" t="str">
        <f t="shared" si="16"/>
        <v/>
      </c>
      <c r="N62" s="37" t="str">
        <f t="shared" si="17"/>
        <v/>
      </c>
      <c r="O62" s="37" t="str">
        <f t="shared" si="18"/>
        <v/>
      </c>
      <c r="P62" s="37" t="str">
        <f t="shared" si="19"/>
        <v/>
      </c>
      <c r="Q62" s="37" t="str">
        <f t="shared" si="20"/>
        <v/>
      </c>
      <c r="R62" s="38" t="str">
        <f t="shared" si="21"/>
        <v/>
      </c>
      <c r="S62" s="38" t="str">
        <f t="shared" si="22"/>
        <v/>
      </c>
      <c r="T62" s="38" t="str">
        <f t="shared" si="23"/>
        <v/>
      </c>
      <c r="U62" s="38" t="str">
        <f t="shared" si="24"/>
        <v/>
      </c>
      <c r="V62" s="39" t="str">
        <f t="shared" si="25"/>
        <v/>
      </c>
      <c r="W62" s="39" t="str">
        <f t="shared" si="26"/>
        <v/>
      </c>
      <c r="X62" s="39" t="str">
        <f t="shared" si="27"/>
        <v/>
      </c>
    </row>
    <row r="63" spans="1:24" ht="15" customHeight="1" x14ac:dyDescent="0.3">
      <c r="A63" s="33"/>
      <c r="B63" s="34"/>
      <c r="C63" s="35"/>
      <c r="D63" s="35"/>
      <c r="E63" s="35"/>
      <c r="F63" s="36"/>
      <c r="G63" s="36"/>
      <c r="H63" s="36"/>
      <c r="I63" s="36"/>
      <c r="J63" s="36"/>
      <c r="K63" s="37" t="str">
        <f t="shared" si="14"/>
        <v/>
      </c>
      <c r="L63" s="37" t="str">
        <f t="shared" si="15"/>
        <v/>
      </c>
      <c r="M63" s="37" t="str">
        <f t="shared" si="16"/>
        <v/>
      </c>
      <c r="N63" s="37" t="str">
        <f t="shared" si="17"/>
        <v/>
      </c>
      <c r="O63" s="37" t="str">
        <f t="shared" si="18"/>
        <v/>
      </c>
      <c r="P63" s="37" t="str">
        <f t="shared" si="19"/>
        <v/>
      </c>
      <c r="Q63" s="37" t="str">
        <f t="shared" si="20"/>
        <v/>
      </c>
      <c r="R63" s="38" t="str">
        <f t="shared" si="21"/>
        <v/>
      </c>
      <c r="S63" s="38" t="str">
        <f t="shared" si="22"/>
        <v/>
      </c>
      <c r="T63" s="38" t="str">
        <f t="shared" si="23"/>
        <v/>
      </c>
      <c r="U63" s="38" t="str">
        <f t="shared" si="24"/>
        <v/>
      </c>
      <c r="V63" s="39" t="str">
        <f t="shared" si="25"/>
        <v/>
      </c>
      <c r="W63" s="39" t="str">
        <f t="shared" si="26"/>
        <v/>
      </c>
      <c r="X63" s="39" t="str">
        <f t="shared" si="27"/>
        <v/>
      </c>
    </row>
    <row r="64" spans="1:24" ht="15" customHeight="1" x14ac:dyDescent="0.3">
      <c r="A64" s="33"/>
      <c r="B64" s="34"/>
      <c r="C64" s="35"/>
      <c r="D64" s="35"/>
      <c r="E64" s="35"/>
      <c r="F64" s="36"/>
      <c r="G64" s="36"/>
      <c r="H64" s="36"/>
      <c r="I64" s="36"/>
      <c r="J64" s="36"/>
      <c r="K64" s="37" t="str">
        <f t="shared" si="14"/>
        <v/>
      </c>
      <c r="L64" s="37" t="str">
        <f t="shared" si="15"/>
        <v/>
      </c>
      <c r="M64" s="37" t="str">
        <f t="shared" si="16"/>
        <v/>
      </c>
      <c r="N64" s="37" t="str">
        <f t="shared" si="17"/>
        <v/>
      </c>
      <c r="O64" s="37" t="str">
        <f t="shared" si="18"/>
        <v/>
      </c>
      <c r="P64" s="37" t="str">
        <f t="shared" si="19"/>
        <v/>
      </c>
      <c r="Q64" s="37" t="str">
        <f t="shared" si="20"/>
        <v/>
      </c>
      <c r="R64" s="38" t="str">
        <f t="shared" si="21"/>
        <v/>
      </c>
      <c r="S64" s="38" t="str">
        <f t="shared" si="22"/>
        <v/>
      </c>
      <c r="T64" s="38" t="str">
        <f t="shared" si="23"/>
        <v/>
      </c>
      <c r="U64" s="38" t="str">
        <f t="shared" si="24"/>
        <v/>
      </c>
      <c r="V64" s="39" t="str">
        <f t="shared" si="25"/>
        <v/>
      </c>
      <c r="W64" s="39" t="str">
        <f t="shared" si="26"/>
        <v/>
      </c>
      <c r="X64" s="39" t="str">
        <f t="shared" si="27"/>
        <v/>
      </c>
    </row>
    <row r="65" spans="1:24" ht="15" customHeight="1" x14ac:dyDescent="0.3">
      <c r="A65" s="33"/>
      <c r="B65" s="34"/>
      <c r="C65" s="35"/>
      <c r="D65" s="35"/>
      <c r="E65" s="35"/>
      <c r="F65" s="36"/>
      <c r="G65" s="36"/>
      <c r="H65" s="36"/>
      <c r="I65" s="36"/>
      <c r="J65" s="36"/>
      <c r="K65" s="37" t="str">
        <f t="shared" si="14"/>
        <v/>
      </c>
      <c r="L65" s="37" t="str">
        <f t="shared" si="15"/>
        <v/>
      </c>
      <c r="M65" s="37" t="str">
        <f t="shared" si="16"/>
        <v/>
      </c>
      <c r="N65" s="37" t="str">
        <f t="shared" si="17"/>
        <v/>
      </c>
      <c r="O65" s="37" t="str">
        <f t="shared" si="18"/>
        <v/>
      </c>
      <c r="P65" s="37" t="str">
        <f t="shared" si="19"/>
        <v/>
      </c>
      <c r="Q65" s="37" t="str">
        <f t="shared" si="20"/>
        <v/>
      </c>
      <c r="R65" s="38" t="str">
        <f t="shared" si="21"/>
        <v/>
      </c>
      <c r="S65" s="38" t="str">
        <f t="shared" si="22"/>
        <v/>
      </c>
      <c r="T65" s="38" t="str">
        <f t="shared" si="23"/>
        <v/>
      </c>
      <c r="U65" s="38" t="str">
        <f t="shared" si="24"/>
        <v/>
      </c>
      <c r="V65" s="39" t="str">
        <f t="shared" si="25"/>
        <v/>
      </c>
      <c r="W65" s="39" t="str">
        <f t="shared" si="26"/>
        <v/>
      </c>
      <c r="X65" s="39" t="str">
        <f t="shared" si="27"/>
        <v/>
      </c>
    </row>
    <row r="66" spans="1:24" ht="15" customHeight="1" x14ac:dyDescent="0.3">
      <c r="A66" s="33"/>
      <c r="B66" s="34"/>
      <c r="C66" s="35"/>
      <c r="D66" s="35"/>
      <c r="E66" s="35"/>
      <c r="F66" s="36"/>
      <c r="G66" s="36"/>
      <c r="H66" s="36"/>
      <c r="I66" s="36"/>
      <c r="J66" s="36"/>
      <c r="K66" s="37" t="str">
        <f t="shared" si="14"/>
        <v/>
      </c>
      <c r="L66" s="37" t="str">
        <f t="shared" si="15"/>
        <v/>
      </c>
      <c r="M66" s="37" t="str">
        <f t="shared" si="16"/>
        <v/>
      </c>
      <c r="N66" s="37" t="str">
        <f t="shared" si="17"/>
        <v/>
      </c>
      <c r="O66" s="37" t="str">
        <f t="shared" si="18"/>
        <v/>
      </c>
      <c r="P66" s="37" t="str">
        <f t="shared" si="19"/>
        <v/>
      </c>
      <c r="Q66" s="37" t="str">
        <f t="shared" si="20"/>
        <v/>
      </c>
      <c r="R66" s="38" t="str">
        <f t="shared" si="21"/>
        <v/>
      </c>
      <c r="S66" s="38" t="str">
        <f t="shared" si="22"/>
        <v/>
      </c>
      <c r="T66" s="38" t="str">
        <f t="shared" si="23"/>
        <v/>
      </c>
      <c r="U66" s="38" t="str">
        <f t="shared" si="24"/>
        <v/>
      </c>
      <c r="V66" s="39" t="str">
        <f t="shared" si="25"/>
        <v/>
      </c>
      <c r="W66" s="39" t="str">
        <f t="shared" si="26"/>
        <v/>
      </c>
      <c r="X66" s="39" t="str">
        <f t="shared" si="27"/>
        <v/>
      </c>
    </row>
    <row r="67" spans="1:24" ht="15" customHeight="1" x14ac:dyDescent="0.3">
      <c r="A67" s="33"/>
      <c r="B67" s="34"/>
      <c r="C67" s="35"/>
      <c r="D67" s="35"/>
      <c r="E67" s="35"/>
      <c r="F67" s="36"/>
      <c r="G67" s="36"/>
      <c r="H67" s="36"/>
      <c r="I67" s="36"/>
      <c r="J67" s="36"/>
      <c r="K67" s="37" t="str">
        <f t="shared" si="14"/>
        <v/>
      </c>
      <c r="L67" s="37" t="str">
        <f t="shared" si="15"/>
        <v/>
      </c>
      <c r="M67" s="37" t="str">
        <f t="shared" si="16"/>
        <v/>
      </c>
      <c r="N67" s="37" t="str">
        <f t="shared" si="17"/>
        <v/>
      </c>
      <c r="O67" s="37" t="str">
        <f t="shared" si="18"/>
        <v/>
      </c>
      <c r="P67" s="37" t="str">
        <f t="shared" si="19"/>
        <v/>
      </c>
      <c r="Q67" s="37" t="str">
        <f t="shared" si="20"/>
        <v/>
      </c>
      <c r="R67" s="38" t="str">
        <f t="shared" si="21"/>
        <v/>
      </c>
      <c r="S67" s="38" t="str">
        <f t="shared" si="22"/>
        <v/>
      </c>
      <c r="T67" s="38" t="str">
        <f t="shared" si="23"/>
        <v/>
      </c>
      <c r="U67" s="38" t="str">
        <f t="shared" ref="U67:U98" si="28">IFERROR(R67+S67+T67,"")</f>
        <v/>
      </c>
      <c r="V67" s="39" t="str">
        <f t="shared" ref="V67:V98" si="29">IFERROR(IF(U67=0,"",R67/U67),"")</f>
        <v/>
      </c>
      <c r="W67" s="39" t="str">
        <f t="shared" si="26"/>
        <v/>
      </c>
      <c r="X67" s="39" t="str">
        <f t="shared" si="27"/>
        <v/>
      </c>
    </row>
    <row r="68" spans="1:24" ht="15" customHeight="1" x14ac:dyDescent="0.3">
      <c r="A68" s="33"/>
      <c r="B68" s="34"/>
      <c r="C68" s="35"/>
      <c r="D68" s="35"/>
      <c r="E68" s="35"/>
      <c r="F68" s="36"/>
      <c r="G68" s="36"/>
      <c r="H68" s="36"/>
      <c r="I68" s="36"/>
      <c r="J68" s="36"/>
      <c r="K68" s="37" t="str">
        <f t="shared" si="14"/>
        <v/>
      </c>
      <c r="L68" s="37" t="str">
        <f t="shared" si="15"/>
        <v/>
      </c>
      <c r="M68" s="37" t="str">
        <f t="shared" si="16"/>
        <v/>
      </c>
      <c r="N68" s="37" t="str">
        <f t="shared" si="17"/>
        <v/>
      </c>
      <c r="O68" s="37" t="str">
        <f t="shared" si="18"/>
        <v/>
      </c>
      <c r="P68" s="37" t="str">
        <f t="shared" si="19"/>
        <v/>
      </c>
      <c r="Q68" s="37" t="str">
        <f t="shared" si="20"/>
        <v/>
      </c>
      <c r="R68" s="38" t="str">
        <f t="shared" si="21"/>
        <v/>
      </c>
      <c r="S68" s="38" t="str">
        <f t="shared" si="22"/>
        <v/>
      </c>
      <c r="T68" s="38" t="str">
        <f t="shared" si="23"/>
        <v/>
      </c>
      <c r="U68" s="38" t="str">
        <f t="shared" si="28"/>
        <v/>
      </c>
      <c r="V68" s="39" t="str">
        <f t="shared" si="29"/>
        <v/>
      </c>
      <c r="W68" s="39" t="str">
        <f t="shared" si="26"/>
        <v/>
      </c>
      <c r="X68" s="39" t="str">
        <f t="shared" si="27"/>
        <v/>
      </c>
    </row>
    <row r="69" spans="1:24" ht="15" customHeight="1" x14ac:dyDescent="0.3">
      <c r="A69" s="33"/>
      <c r="B69" s="34"/>
      <c r="C69" s="35"/>
      <c r="D69" s="35"/>
      <c r="E69" s="35"/>
      <c r="F69" s="36"/>
      <c r="G69" s="36"/>
      <c r="H69" s="36"/>
      <c r="I69" s="36"/>
      <c r="J69" s="36"/>
      <c r="K69" s="37" t="str">
        <f t="shared" si="14"/>
        <v/>
      </c>
      <c r="L69" s="37" t="str">
        <f t="shared" si="15"/>
        <v/>
      </c>
      <c r="M69" s="37" t="str">
        <f t="shared" si="16"/>
        <v/>
      </c>
      <c r="N69" s="37" t="str">
        <f t="shared" si="17"/>
        <v/>
      </c>
      <c r="O69" s="37" t="str">
        <f t="shared" si="18"/>
        <v/>
      </c>
      <c r="P69" s="37" t="str">
        <f t="shared" si="19"/>
        <v/>
      </c>
      <c r="Q69" s="37" t="str">
        <f t="shared" si="20"/>
        <v/>
      </c>
      <c r="R69" s="38" t="str">
        <f t="shared" si="21"/>
        <v/>
      </c>
      <c r="S69" s="38" t="str">
        <f t="shared" si="22"/>
        <v/>
      </c>
      <c r="T69" s="38" t="str">
        <f t="shared" si="23"/>
        <v/>
      </c>
      <c r="U69" s="38" t="str">
        <f t="shared" si="28"/>
        <v/>
      </c>
      <c r="V69" s="39" t="str">
        <f t="shared" si="29"/>
        <v/>
      </c>
      <c r="W69" s="39" t="str">
        <f t="shared" si="26"/>
        <v/>
      </c>
      <c r="X69" s="39" t="str">
        <f t="shared" si="27"/>
        <v/>
      </c>
    </row>
    <row r="70" spans="1:24" ht="15" customHeight="1" x14ac:dyDescent="0.3">
      <c r="A70" s="33"/>
      <c r="B70" s="34"/>
      <c r="C70" s="35"/>
      <c r="D70" s="35"/>
      <c r="E70" s="35"/>
      <c r="F70" s="36"/>
      <c r="G70" s="36"/>
      <c r="H70" s="36"/>
      <c r="I70" s="36"/>
      <c r="J70" s="36"/>
      <c r="K70" s="37" t="str">
        <f t="shared" si="14"/>
        <v/>
      </c>
      <c r="L70" s="37" t="str">
        <f t="shared" si="15"/>
        <v/>
      </c>
      <c r="M70" s="37" t="str">
        <f t="shared" si="16"/>
        <v/>
      </c>
      <c r="N70" s="37" t="str">
        <f t="shared" si="17"/>
        <v/>
      </c>
      <c r="O70" s="37" t="str">
        <f t="shared" si="18"/>
        <v/>
      </c>
      <c r="P70" s="37" t="str">
        <f t="shared" si="19"/>
        <v/>
      </c>
      <c r="Q70" s="37" t="str">
        <f t="shared" si="20"/>
        <v/>
      </c>
      <c r="R70" s="38" t="str">
        <f t="shared" si="21"/>
        <v/>
      </c>
      <c r="S70" s="38" t="str">
        <f t="shared" si="22"/>
        <v/>
      </c>
      <c r="T70" s="38" t="str">
        <f t="shared" si="23"/>
        <v/>
      </c>
      <c r="U70" s="38" t="str">
        <f t="shared" si="28"/>
        <v/>
      </c>
      <c r="V70" s="39" t="str">
        <f t="shared" si="29"/>
        <v/>
      </c>
      <c r="W70" s="39" t="str">
        <f t="shared" si="26"/>
        <v/>
      </c>
      <c r="X70" s="39" t="str">
        <f t="shared" si="27"/>
        <v/>
      </c>
    </row>
    <row r="71" spans="1:24" ht="15" customHeight="1" x14ac:dyDescent="0.3">
      <c r="A71" s="33"/>
      <c r="B71" s="34"/>
      <c r="C71" s="35"/>
      <c r="D71" s="35"/>
      <c r="E71" s="35"/>
      <c r="F71" s="36"/>
      <c r="G71" s="36"/>
      <c r="H71" s="36"/>
      <c r="I71" s="36"/>
      <c r="J71" s="36"/>
      <c r="K71" s="37" t="str">
        <f t="shared" si="14"/>
        <v/>
      </c>
      <c r="L71" s="37" t="str">
        <f t="shared" si="15"/>
        <v/>
      </c>
      <c r="M71" s="37" t="str">
        <f t="shared" si="16"/>
        <v/>
      </c>
      <c r="N71" s="37" t="str">
        <f t="shared" si="17"/>
        <v/>
      </c>
      <c r="O71" s="37" t="str">
        <f t="shared" si="18"/>
        <v/>
      </c>
      <c r="P71" s="37" t="str">
        <f t="shared" si="19"/>
        <v/>
      </c>
      <c r="Q71" s="37" t="str">
        <f t="shared" si="20"/>
        <v/>
      </c>
      <c r="R71" s="38" t="str">
        <f t="shared" si="21"/>
        <v/>
      </c>
      <c r="S71" s="38" t="str">
        <f t="shared" si="22"/>
        <v/>
      </c>
      <c r="T71" s="38" t="str">
        <f t="shared" si="23"/>
        <v/>
      </c>
      <c r="U71" s="38" t="str">
        <f t="shared" si="28"/>
        <v/>
      </c>
      <c r="V71" s="39" t="str">
        <f t="shared" si="29"/>
        <v/>
      </c>
      <c r="W71" s="39" t="str">
        <f t="shared" si="26"/>
        <v/>
      </c>
      <c r="X71" s="39" t="str">
        <f t="shared" si="27"/>
        <v/>
      </c>
    </row>
    <row r="73" spans="1:24" ht="15.75" customHeight="1" x14ac:dyDescent="0.3">
      <c r="A73" s="2" t="s">
        <v>55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39">
        <f>IFERROR(AVERAGE(V3:V71),"")</f>
        <v>0.15692086834702149</v>
      </c>
      <c r="W73" s="39">
        <f>IFERROR(AVERAGE(W3:W71),"")</f>
        <v>0.11498768969311558</v>
      </c>
      <c r="X73" s="39">
        <f>IFERROR(AVERAGE(X3:X71),"")</f>
        <v>0.72809144195986286</v>
      </c>
    </row>
  </sheetData>
  <mergeCells count="8">
    <mergeCell ref="R1:U1"/>
    <mergeCell ref="V1:X1"/>
    <mergeCell ref="A73:U73"/>
    <mergeCell ref="A1:B1"/>
    <mergeCell ref="C1:E1"/>
    <mergeCell ref="F1:J1"/>
    <mergeCell ref="K1:N1"/>
    <mergeCell ref="O1:Q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1"/>
  <sheetViews>
    <sheetView showGridLines="0" zoomScaleNormal="100" workbookViewId="0">
      <pane xSplit="1" ySplit="1" topLeftCell="B116" activePane="bottomRight" state="frozen"/>
      <selection pane="topRight" activeCell="B1" sqref="B1"/>
      <selection pane="bottomLeft" activeCell="A116" sqref="A116"/>
      <selection pane="bottomRight" activeCell="H2" sqref="H2"/>
    </sheetView>
  </sheetViews>
  <sheetFormatPr defaultColWidth="8.6640625" defaultRowHeight="14.4" x14ac:dyDescent="0.3"/>
  <cols>
    <col min="1" max="1" width="15.6640625" style="41" customWidth="1"/>
    <col min="2" max="4" width="18" style="42" customWidth="1"/>
    <col min="5" max="5" width="12" style="42" customWidth="1"/>
    <col min="6" max="6" width="16.44140625" style="42" customWidth="1"/>
    <col min="7" max="7" width="18" style="42" customWidth="1"/>
    <col min="8" max="8" width="14" style="42" customWidth="1"/>
    <col min="9" max="12" width="18" style="42" customWidth="1"/>
    <col min="13" max="13" width="20.33203125" style="42" customWidth="1"/>
    <col min="14" max="14" width="13.109375" customWidth="1"/>
  </cols>
  <sheetData>
    <row r="1" spans="1:16" ht="39.75" customHeight="1" x14ac:dyDescent="0.3">
      <c r="A1" s="43" t="s">
        <v>4</v>
      </c>
      <c r="B1" s="44" t="s">
        <v>56</v>
      </c>
      <c r="C1" s="44" t="s">
        <v>57</v>
      </c>
      <c r="D1" s="44" t="s">
        <v>58</v>
      </c>
      <c r="E1" s="44" t="s">
        <v>59</v>
      </c>
      <c r="F1" s="44" t="s">
        <v>60</v>
      </c>
      <c r="G1" s="44" t="s">
        <v>61</v>
      </c>
      <c r="H1" s="44" t="s">
        <v>62</v>
      </c>
      <c r="I1" s="44" t="s">
        <v>63</v>
      </c>
      <c r="J1" s="44" t="s">
        <v>64</v>
      </c>
      <c r="K1" s="44" t="s">
        <v>65</v>
      </c>
      <c r="L1" s="44" t="s">
        <v>66</v>
      </c>
      <c r="M1" s="44" t="s">
        <v>67</v>
      </c>
      <c r="N1" s="44" t="s">
        <v>68</v>
      </c>
    </row>
    <row r="2" spans="1:16" ht="15" customHeight="1" x14ac:dyDescent="0.3">
      <c r="A2" s="45">
        <f>Dados!A3</f>
        <v>46113</v>
      </c>
      <c r="B2" s="46">
        <f>IFERROR(Dados!C3+Dados!C4,"")</f>
        <v>804</v>
      </c>
      <c r="C2" s="46">
        <f>Dados!L3</f>
        <v>158.37</v>
      </c>
      <c r="D2" s="47">
        <f>IFERROR(IF((Dados!C3+Dados!C4)=0,"",(Dados!C3*Dados!D3+Dados!C4*Dados!D4)/(Dados!C3+Dados!C4)),"")</f>
        <v>7.0000000000000007E-2</v>
      </c>
      <c r="E2" s="48">
        <f>IFERROR(IF((Dados!C3+Dados!C4)=0,"",(Dados!C3*Dados!E3+Dados!C4*Dados!E4)/(Dados!C3+Dados!C4)),"")</f>
        <v>0.05</v>
      </c>
      <c r="F2" s="48">
        <f>Dados!J3</f>
        <v>16.080000000000005</v>
      </c>
      <c r="G2" s="49">
        <f t="shared" ref="G2:G33" si="0">IFERROR(IF(D2=0,"",(D2-E2)/D2),"")</f>
        <v>0.28571428571428575</v>
      </c>
      <c r="H2" s="50">
        <f t="shared" ref="H2:H33" si="1">IFERROR(IF(OR(B2=0,D2=0),"",C2/(B2*D2)),"")</f>
        <v>2.8139658848614069</v>
      </c>
      <c r="I2" s="50">
        <f t="shared" ref="I2:I33" si="2">IFERROR(IF(OR(G2=0,H2=0),"",MAX(0,MIN(G2,H2)/MAX(G2,H2))),"")</f>
        <v>0.10153438151164997</v>
      </c>
      <c r="J2" s="51">
        <f>Dados!K3</f>
        <v>142.29</v>
      </c>
      <c r="K2" s="52">
        <f>IFERROR(Dados!K3/Dados!J3,"")</f>
        <v>8.8488805970149222</v>
      </c>
      <c r="L2" s="52">
        <f>IFERROR(Dados!L3/Dados!J3,"")</f>
        <v>9.8488805970149222</v>
      </c>
      <c r="M2" s="52">
        <f>Dados!H3</f>
        <v>0.28571428571428575</v>
      </c>
      <c r="N2" s="53" t="str">
        <f>IF(OR(Dados!L3="",Dados!J3=0)," — ",IF(IFERROR(Dados!L3/Dados!J3,0)&lt;0.75,"🔴 CRÍTICO",IF(IFERROR(Dados!L3/Dados!J3,0)&gt;1.3,"🔴 CRÍTICO",IF(OR(IFERROR(Dados!L3/Dados!J3,0)&lt;0.9,IFERROR(Dados!L3/Dados!J3,0)&gt;1.1),"🟡 ATENÇÃO","🟢 OK"))))</f>
        <v>🔴 CRÍTICO</v>
      </c>
    </row>
    <row r="3" spans="1:16" ht="15" customHeight="1" x14ac:dyDescent="0.3">
      <c r="A3" s="54">
        <f>Dados!A5</f>
        <v>46114</v>
      </c>
      <c r="B3" s="46">
        <f>IFERROR(Dados!C5+Dados!C6,"")</f>
        <v>640</v>
      </c>
      <c r="C3" s="55">
        <f>Dados!L5</f>
        <v>74.97</v>
      </c>
      <c r="D3" s="47">
        <f>IFERROR(IF((Dados!C5+Dados!C6)=0,"",(Dados!C5*Dados!D5+Dados!C6*Dados!D6)/(Dados!C5+Dados!C6)),"")</f>
        <v>0.26</v>
      </c>
      <c r="E3" s="48">
        <f>IFERROR(IF((Dados!C5+Dados!C6)=0,"",(Dados!C5*Dados!E5+Dados!C6*Dados!E6)/(Dados!C5+Dados!C6)),"")</f>
        <v>0.11000000000000001</v>
      </c>
      <c r="F3" s="48">
        <f>Dados!J5</f>
        <v>96.000000000000014</v>
      </c>
      <c r="G3" s="49">
        <f t="shared" si="0"/>
        <v>0.57692307692307687</v>
      </c>
      <c r="H3" s="50">
        <f t="shared" si="1"/>
        <v>0.45054086538461535</v>
      </c>
      <c r="I3" s="50">
        <f t="shared" si="2"/>
        <v>0.78093750000000006</v>
      </c>
      <c r="J3" s="56">
        <f>Dados!K5</f>
        <v>-21.030000000000015</v>
      </c>
      <c r="K3" s="57">
        <f>IFERROR(Dados!K5/Dados!J5,"")</f>
        <v>-0.21906250000000013</v>
      </c>
      <c r="L3" s="57">
        <f>IFERROR(Dados!L5/Dados!J5,"")</f>
        <v>0.78093749999999984</v>
      </c>
      <c r="M3" s="57">
        <f>Dados!H5</f>
        <v>0.57692307692307698</v>
      </c>
      <c r="N3" s="58" t="str">
        <f>IF(OR(Dados!L5="",Dados!J5=0)," — ",IF(IFERROR(Dados!L5/Dados!J5,0)&lt;0.75,"🔴 CRÍTICO",IF(IFERROR(Dados!L5/Dados!J5,0)&gt;1.3,"🔴 CRÍTICO",IF(OR(IFERROR(Dados!L5/Dados!J5,0)&lt;0.9,IFERROR(Dados!L5/Dados!J5,0)&gt;1.1),"🟡 ATENÇÃO","🟢 OK"))))</f>
        <v>🟡 ATENÇÃO</v>
      </c>
    </row>
    <row r="4" spans="1:16" ht="15" customHeight="1" x14ac:dyDescent="0.3">
      <c r="A4" s="45">
        <f>Dados!A7</f>
        <v>46115</v>
      </c>
      <c r="B4" s="46">
        <f>IFERROR(Dados!C7+Dados!C8,"")</f>
        <v>0</v>
      </c>
      <c r="C4" s="46">
        <f>Dados!L7</f>
        <v>0</v>
      </c>
      <c r="D4" s="47" t="str">
        <f>IFERROR(IF((Dados!C7+Dados!C8)=0,"",(Dados!C7*Dados!D7+Dados!C8*Dados!D8)/(Dados!C7+Dados!C8)),"")</f>
        <v/>
      </c>
      <c r="E4" s="59" t="str">
        <f>IFERROR(IF((Dados!C7+Dados!C8)=0,"",(Dados!C7*Dados!E7+Dados!C8*Dados!E8)/(Dados!C7+Dados!C8)),"")</f>
        <v/>
      </c>
      <c r="F4" s="48" t="str">
        <f>Dados!J7</f>
        <v/>
      </c>
      <c r="G4" s="49" t="str">
        <f t="shared" si="0"/>
        <v/>
      </c>
      <c r="H4" s="50" t="str">
        <f t="shared" si="1"/>
        <v/>
      </c>
      <c r="I4" s="50" t="str">
        <f t="shared" si="2"/>
        <v/>
      </c>
      <c r="J4" s="51" t="str">
        <f>Dados!K7</f>
        <v/>
      </c>
      <c r="K4" s="52" t="str">
        <f>IFERROR(Dados!K7/Dados!J7,"")</f>
        <v/>
      </c>
      <c r="L4" s="52" t="str">
        <f>IFERROR(Dados!L7/Dados!J7,"")</f>
        <v/>
      </c>
      <c r="M4" s="52" t="str">
        <f>Dados!H7</f>
        <v/>
      </c>
      <c r="N4" s="53" t="str">
        <f>IF(OR(Dados!L7="",Dados!J7=0)," — ",IF(IFERROR(Dados!L7/Dados!J7,0)&lt;0.75,"🔴 CRÍTICO",IF(IFERROR(Dados!L7/Dados!J7,0)&gt;1.3,"🔴 CRÍTICO",IF(OR(IFERROR(Dados!L7/Dados!J7,0)&lt;0.9,IFERROR(Dados!L7/Dados!J7,0)&gt;1.1),"🟡 ATENÇÃO","🟢 OK"))))</f>
        <v>🔴 CRÍTICO</v>
      </c>
    </row>
    <row r="5" spans="1:16" ht="15" customHeight="1" x14ac:dyDescent="0.3">
      <c r="A5" s="54">
        <f>Dados!A9</f>
        <v>46116</v>
      </c>
      <c r="B5" s="46">
        <f>IFERROR(Dados!C9+Dados!C10,"")</f>
        <v>1224</v>
      </c>
      <c r="C5" s="55">
        <f>Dados!L9</f>
        <v>129.19</v>
      </c>
      <c r="D5" s="47">
        <f>IFERROR(IF((Dados!C9+Dados!C10)=0,"",(Dados!C9*Dados!D9+Dados!C10*Dados!D10)/(Dados!C9+Dados!C10)),"")</f>
        <v>0.25124183006535944</v>
      </c>
      <c r="E5" s="48">
        <f>IFERROR(IF((Dados!C9+Dados!C10)=0,"",(Dados!C9*Dados!E9+Dados!C10*Dados!E10)/(Dados!C9+Dados!C10)),"")</f>
        <v>6.9673202614379093E-2</v>
      </c>
      <c r="F5" s="48">
        <f>Dados!J9</f>
        <v>222.23999999999998</v>
      </c>
      <c r="G5" s="49">
        <f t="shared" si="0"/>
        <v>0.72268470343392288</v>
      </c>
      <c r="H5" s="50">
        <f t="shared" si="1"/>
        <v>0.42010275754422477</v>
      </c>
      <c r="I5" s="50">
        <f t="shared" si="2"/>
        <v>0.58130849532037443</v>
      </c>
      <c r="J5" s="56">
        <f>Dados!K9</f>
        <v>-93.049999999999983</v>
      </c>
      <c r="K5" s="57">
        <f>IFERROR(Dados!K9/Dados!J9,"")</f>
        <v>-0.41869150467962557</v>
      </c>
      <c r="L5" s="57">
        <f>IFERROR(Dados!L9/Dados!J9,"")</f>
        <v>0.58130849532037443</v>
      </c>
      <c r="M5" s="57">
        <f>Dados!H9</f>
        <v>0.67413632119514466</v>
      </c>
      <c r="N5" s="58" t="str">
        <f>IF(OR(Dados!L9="",Dados!J9=0)," — ",IF(IFERROR(Dados!L9/Dados!J9,0)&lt;0.75,"🔴 CRÍTICO",IF(IFERROR(Dados!L9/Dados!J9,0)&gt;1.3,"🔴 CRÍTICO",IF(OR(IFERROR(Dados!L9/Dados!J9,0)&lt;0.9,IFERROR(Dados!L9/Dados!J9,0)&gt;1.1),"🟡 ATENÇÃO","🟢 OK"))))</f>
        <v>🔴 CRÍTICO</v>
      </c>
      <c r="P5">
        <f>(B5/C5)*100</f>
        <v>947.44175245762051</v>
      </c>
    </row>
    <row r="6" spans="1:16" ht="15" customHeight="1" x14ac:dyDescent="0.3">
      <c r="A6" s="45">
        <f>Dados!A11</f>
        <v>46117</v>
      </c>
      <c r="B6" s="46">
        <f>IFERROR(Dados!C11+Dados!C12,"")</f>
        <v>576</v>
      </c>
      <c r="C6" s="46">
        <f>Dados!L11</f>
        <v>60.79</v>
      </c>
      <c r="D6" s="47">
        <f>IFERROR(IF((Dados!C11+Dados!C12)=0,"",(Dados!C11*Dados!D11+Dados!C12*Dados!D12)/(Dados!C11+Dados!C12)),"")</f>
        <v>0.17000000000000004</v>
      </c>
      <c r="E6" s="59">
        <f>IFERROR(IF((Dados!C11+Dados!C12)=0,"",(Dados!C11*Dados!E11+Dados!C12*Dados!E12)/(Dados!C11+Dados!C12)),"")</f>
        <v>7.0000000000000007E-2</v>
      </c>
      <c r="F6" s="48">
        <f>Dados!J11</f>
        <v>57.600000000000009</v>
      </c>
      <c r="G6" s="49">
        <f t="shared" si="0"/>
        <v>0.58823529411764708</v>
      </c>
      <c r="H6" s="50">
        <f t="shared" si="1"/>
        <v>0.62081290849673187</v>
      </c>
      <c r="I6" s="50">
        <f t="shared" si="2"/>
        <v>0.94752426385918764</v>
      </c>
      <c r="J6" s="51">
        <f>Dados!K11</f>
        <v>3.1899999999999906</v>
      </c>
      <c r="K6" s="52">
        <f>IFERROR(Dados!K11/Dados!J11,"")</f>
        <v>5.5381944444444275E-2</v>
      </c>
      <c r="L6" s="52">
        <f>IFERROR(Dados!L11/Dados!J11,"")</f>
        <v>1.0553819444444443</v>
      </c>
      <c r="M6" s="52">
        <f>Dados!H11</f>
        <v>0.58823529411764708</v>
      </c>
      <c r="N6" s="53" t="str">
        <f>IF(OR(Dados!L11="",Dados!J11=0)," — ",IF(IFERROR(Dados!L11/Dados!J11,0)&lt;0.75,"🔴 CRÍTICO",IF(IFERROR(Dados!L11/Dados!J11,0)&gt;1.3,"🔴 CRÍTICO",IF(OR(IFERROR(Dados!L11/Dados!J11,0)&lt;0.9,IFERROR(Dados!L11/Dados!J11,0)&gt;1.1),"🟡 ATENÇÃO","🟢 OK"))))</f>
        <v>🟢 OK</v>
      </c>
    </row>
    <row r="7" spans="1:16" ht="15" customHeight="1" x14ac:dyDescent="0.3">
      <c r="A7" s="54">
        <f>Dados!A13</f>
        <v>46118</v>
      </c>
      <c r="B7" s="46">
        <f>IFERROR(Dados!C13+Dados!C14,"")</f>
        <v>1452</v>
      </c>
      <c r="C7" s="55">
        <f>Dados!L13</f>
        <v>77.900000000000006</v>
      </c>
      <c r="D7" s="47">
        <f>IFERROR(IF((Dados!C13+Dados!C14)=0,"",(Dados!C13*Dados!D13+Dados!C14*Dados!D14)/(Dados!C13+Dados!C14)),"")</f>
        <v>9.2506887052341599E-2</v>
      </c>
      <c r="E7" s="48">
        <f>IFERROR(IF((Dados!C13+Dados!C14)=0,"",(Dados!C13*Dados!E13+Dados!C14*Dados!E14)/(Dados!C13+Dados!C14)),"")</f>
        <v>6.2479338842975213E-2</v>
      </c>
      <c r="F7" s="48">
        <f>Dados!J13</f>
        <v>43.599999999999994</v>
      </c>
      <c r="G7" s="49">
        <f t="shared" si="0"/>
        <v>0.32459797498511012</v>
      </c>
      <c r="H7" s="50">
        <f t="shared" si="1"/>
        <v>0.5799583085169745</v>
      </c>
      <c r="I7" s="50">
        <f t="shared" si="2"/>
        <v>0.55969191270860053</v>
      </c>
      <c r="J7" s="56">
        <f>Dados!K13</f>
        <v>34.300000000000011</v>
      </c>
      <c r="K7" s="57">
        <f>IFERROR(Dados!K13/Dados!J13,"")</f>
        <v>0.78669724770642235</v>
      </c>
      <c r="L7" s="57">
        <f>IFERROR(Dados!L13/Dados!J13,"")</f>
        <v>1.7866972477064225</v>
      </c>
      <c r="M7" s="57">
        <f>Dados!H13</f>
        <v>0.3169268441995714</v>
      </c>
      <c r="N7" s="58" t="str">
        <f>IF(OR(Dados!L13="",Dados!J13=0)," — ",IF(IFERROR(Dados!L13/Dados!J13,0)&lt;0.75,"🔴 CRÍTICO",IF(IFERROR(Dados!L13/Dados!J13,0)&gt;1.3,"🔴 CRÍTICO",IF(OR(IFERROR(Dados!L13/Dados!J13,0)&lt;0.9,IFERROR(Dados!L13/Dados!J13,0)&gt;1.1),"🟡 ATENÇÃO","🟢 OK"))))</f>
        <v>🔴 CRÍTICO</v>
      </c>
    </row>
    <row r="8" spans="1:16" ht="15" customHeight="1" x14ac:dyDescent="0.3">
      <c r="A8" s="45">
        <f>Dados!A15</f>
        <v>46119</v>
      </c>
      <c r="B8" s="46">
        <f>IFERROR(Dados!C15+Dados!C16,"")</f>
        <v>1820</v>
      </c>
      <c r="C8" s="46">
        <f>Dados!L15</f>
        <v>73.12</v>
      </c>
      <c r="D8" s="47">
        <f>IFERROR(IF((Dados!C15+Dados!C16)=0,"",(Dados!C15*Dados!D15+Dados!C16*Dados!D16)/(Dados!C15+Dados!C16)),"")</f>
        <v>0.22087912087912087</v>
      </c>
      <c r="E8" s="59">
        <f>IFERROR(IF((Dados!C15+Dados!C16)=0,"",(Dados!C15*Dados!E15+Dados!C16*Dados!E16)/(Dados!C15+Dados!C16)),"")</f>
        <v>5.4175824175824172E-2</v>
      </c>
      <c r="F8" s="48">
        <f>Dados!J15</f>
        <v>303.40000000000003</v>
      </c>
      <c r="G8" s="49">
        <f t="shared" si="0"/>
        <v>0.75472636815920402</v>
      </c>
      <c r="H8" s="50">
        <f t="shared" si="1"/>
        <v>0.18189054726368159</v>
      </c>
      <c r="I8" s="50">
        <f t="shared" si="2"/>
        <v>0.24100197758734343</v>
      </c>
      <c r="J8" s="51">
        <f>Dados!K15</f>
        <v>-230.28000000000003</v>
      </c>
      <c r="K8" s="52">
        <f>IFERROR(Dados!K15/Dados!J15,"")</f>
        <v>-0.75899802241265657</v>
      </c>
      <c r="L8" s="52">
        <f>IFERROR(Dados!L15/Dados!J15,"")</f>
        <v>0.24100197758734343</v>
      </c>
      <c r="M8" s="52">
        <f>Dados!H15</f>
        <v>0.75417582417582429</v>
      </c>
      <c r="N8" s="53" t="str">
        <f>IF(OR(Dados!L15="",Dados!J15=0)," — ",IF(IFERROR(Dados!L15/Dados!J15,0)&lt;0.75,"🔴 CRÍTICO",IF(IFERROR(Dados!L15/Dados!J15,0)&gt;1.3,"🔴 CRÍTICO",IF(OR(IFERROR(Dados!L15/Dados!J15,0)&lt;0.9,IFERROR(Dados!L15/Dados!J15,0)&gt;1.1),"🟡 ATENÇÃO","🟢 OK"))))</f>
        <v>🔴 CRÍTICO</v>
      </c>
    </row>
    <row r="9" spans="1:16" ht="15" customHeight="1" x14ac:dyDescent="0.3">
      <c r="A9" s="54">
        <f>Dados!A17</f>
        <v>46120</v>
      </c>
      <c r="B9" s="46">
        <f>IFERROR(Dados!C17+Dados!C18,"")</f>
        <v>1436</v>
      </c>
      <c r="C9" s="55">
        <f>Dados!L17</f>
        <v>73.290000000000006</v>
      </c>
      <c r="D9" s="47">
        <f>IFERROR(IF((Dados!C17+Dados!C18)=0,"",(Dados!C17*Dados!D17+Dados!C18*Dados!D18)/(Dados!C17+Dados!C18)),"")</f>
        <v>0.18395543175487467</v>
      </c>
      <c r="E9" s="48">
        <f>IFERROR(IF((Dados!C17+Dados!C18)=0,"",(Dados!C17*Dados!E17+Dados!C18*Dados!E18)/(Dados!C17+Dados!C18)),"")</f>
        <v>6.5264623955431755E-2</v>
      </c>
      <c r="F9" s="48">
        <f>Dados!J17</f>
        <v>170.44</v>
      </c>
      <c r="G9" s="49">
        <f t="shared" si="0"/>
        <v>0.64521502119927321</v>
      </c>
      <c r="H9" s="50">
        <f t="shared" si="1"/>
        <v>0.27744548758328286</v>
      </c>
      <c r="I9" s="50">
        <f t="shared" si="2"/>
        <v>0.43000469373386524</v>
      </c>
      <c r="J9" s="56">
        <f>Dados!K17</f>
        <v>-97.149999999999991</v>
      </c>
      <c r="K9" s="57">
        <f>IFERROR(Dados!K17/Dados!J17,"")</f>
        <v>-0.5699953062661347</v>
      </c>
      <c r="L9" s="57">
        <f>IFERROR(Dados!L17/Dados!J17,"")</f>
        <v>0.43000469373386535</v>
      </c>
      <c r="M9" s="57">
        <f>Dados!H17</f>
        <v>0.5834784122562674</v>
      </c>
      <c r="N9" s="58" t="str">
        <f>IF(OR(Dados!L17="",Dados!J17=0)," — ",IF(IFERROR(Dados!L17/Dados!J17,0)&lt;0.75,"🔴 CRÍTICO",IF(IFERROR(Dados!L17/Dados!J17,0)&gt;1.3,"🔴 CRÍTICO",IF(OR(IFERROR(Dados!L17/Dados!J17,0)&lt;0.9,IFERROR(Dados!L17/Dados!J17,0)&gt;1.1),"🟡 ATENÇÃO","🟢 OK"))))</f>
        <v>🔴 CRÍTICO</v>
      </c>
    </row>
    <row r="10" spans="1:16" ht="15" customHeight="1" x14ac:dyDescent="0.3">
      <c r="A10" s="45">
        <f>Dados!A19</f>
        <v>46121</v>
      </c>
      <c r="B10" s="46">
        <f>IFERROR(Dados!C19+Dados!C20,"")</f>
        <v>912</v>
      </c>
      <c r="C10" s="46">
        <f>Dados!L19</f>
        <v>142</v>
      </c>
      <c r="D10" s="47">
        <f>IFERROR(IF((Dados!C19+Dados!C20)=0,"",(Dados!C19*Dados!D19+Dados!C20*Dados!D20)/(Dados!C19+Dados!C20)),"")</f>
        <v>0.37157894736842106</v>
      </c>
      <c r="E10" s="59">
        <f>IFERROR(IF((Dados!C19+Dados!C20)=0,"",(Dados!C19*Dados!E19+Dados!C20*Dados!E20)/(Dados!C19+Dados!C20)),"")</f>
        <v>0.10736842105263157</v>
      </c>
      <c r="F10" s="48">
        <f>Dados!J19</f>
        <v>240.96000000000004</v>
      </c>
      <c r="G10" s="49">
        <f t="shared" si="0"/>
        <v>0.71104815864022675</v>
      </c>
      <c r="H10" s="50">
        <f t="shared" si="1"/>
        <v>0.41902738432483477</v>
      </c>
      <c r="I10" s="50">
        <f t="shared" si="2"/>
        <v>0.58930942895086313</v>
      </c>
      <c r="J10" s="51">
        <f>Dados!K19</f>
        <v>-98.960000000000036</v>
      </c>
      <c r="K10" s="52">
        <f>IFERROR(Dados!K19/Dados!J19,"")</f>
        <v>-0.41069057104913687</v>
      </c>
      <c r="L10" s="52">
        <f>IFERROR(Dados!L19/Dados!J19,"")</f>
        <v>0.58930942895086313</v>
      </c>
      <c r="M10" s="52">
        <f>Dados!H19</f>
        <v>0.6811594202898551</v>
      </c>
      <c r="N10" s="53" t="str">
        <f>IF(OR(Dados!L19="",Dados!J19=0)," — ",IF(IFERROR(Dados!L19/Dados!J19,0)&lt;0.75,"🔴 CRÍTICO",IF(IFERROR(Dados!L19/Dados!J19,0)&gt;1.3,"🔴 CRÍTICO",IF(OR(IFERROR(Dados!L19/Dados!J19,0)&lt;0.9,IFERROR(Dados!L19/Dados!J19,0)&gt;1.1),"🟡 ATENÇÃO","🟢 OK"))))</f>
        <v>🔴 CRÍTICO</v>
      </c>
    </row>
    <row r="11" spans="1:16" ht="15" customHeight="1" x14ac:dyDescent="0.3">
      <c r="A11" s="54">
        <f>Dados!A21</f>
        <v>46122</v>
      </c>
      <c r="B11" s="46">
        <f>IFERROR(Dados!C21+Dados!C22,"")</f>
        <v>704</v>
      </c>
      <c r="C11" s="55">
        <f>Dados!L21</f>
        <v>109.57</v>
      </c>
      <c r="D11" s="47">
        <f>IFERROR(IF((Dados!C21+Dados!C22)=0,"",(Dados!C21*Dados!D21+Dados!C22*Dados!D22)/(Dados!C21+Dados!C22)),"")</f>
        <v>0.2</v>
      </c>
      <c r="E11" s="48">
        <f>IFERROR(IF((Dados!C21+Dados!C22)=0,"",(Dados!C21*Dados!E21+Dados!C22*Dados!E22)/(Dados!C21+Dados!C22)),"")</f>
        <v>5.9999999999999991E-2</v>
      </c>
      <c r="F11" s="48">
        <f>Dados!J21</f>
        <v>98.560000000000016</v>
      </c>
      <c r="G11" s="49">
        <f t="shared" si="0"/>
        <v>0.70000000000000007</v>
      </c>
      <c r="H11" s="50">
        <f t="shared" si="1"/>
        <v>0.77819602272727262</v>
      </c>
      <c r="I11" s="50">
        <f t="shared" si="2"/>
        <v>0.89951629095555374</v>
      </c>
      <c r="J11" s="56">
        <f>Dados!K21</f>
        <v>11.009999999999977</v>
      </c>
      <c r="K11" s="57">
        <f>IFERROR(Dados!K21/Dados!J21,"")</f>
        <v>0.11170860389610364</v>
      </c>
      <c r="L11" s="57">
        <f>IFERROR(Dados!L21/Dados!J21,"")</f>
        <v>1.1117086038961037</v>
      </c>
      <c r="M11" s="57">
        <f>Dados!H21</f>
        <v>0.70000000000000007</v>
      </c>
      <c r="N11" s="58" t="str">
        <f>IF(OR(Dados!L21="",Dados!J21=0)," — ",IF(IFERROR(Dados!L21/Dados!J21,0)&lt;0.75,"🔴 CRÍTICO",IF(IFERROR(Dados!L21/Dados!J21,0)&gt;1.3,"🔴 CRÍTICO",IF(OR(IFERROR(Dados!L21/Dados!J21,0)&lt;0.9,IFERROR(Dados!L21/Dados!J21,0)&gt;1.1),"🟡 ATENÇÃO","🟢 OK"))))</f>
        <v>🟡 ATENÇÃO</v>
      </c>
    </row>
    <row r="12" spans="1:16" ht="15" customHeight="1" x14ac:dyDescent="0.3">
      <c r="A12" s="45">
        <f>Dados!A23</f>
        <v>46123</v>
      </c>
      <c r="B12" s="46">
        <f>IFERROR(Dados!C23+Dados!C24,"")</f>
        <v>916</v>
      </c>
      <c r="C12" s="46">
        <f>Dados!L23</f>
        <v>92.72</v>
      </c>
      <c r="D12" s="47">
        <f>IFERROR(IF((Dados!C23+Dados!C24)=0,"",(Dados!C23*Dados!D23+Dados!C24*Dados!D24)/(Dados!C23+Dados!C24)),"")</f>
        <v>0.33231441048034932</v>
      </c>
      <c r="E12" s="59">
        <f>IFERROR(IF((Dados!C23+Dados!C24)=0,"",(Dados!C23*Dados!E23+Dados!C24*Dados!E24)/(Dados!C23+Dados!C24)),"")</f>
        <v>8.8209606986899572E-2</v>
      </c>
      <c r="F12" s="48">
        <f>Dados!J23</f>
        <v>223.60000000000002</v>
      </c>
      <c r="G12" s="49">
        <f t="shared" si="0"/>
        <v>0.73455978975032854</v>
      </c>
      <c r="H12" s="50">
        <f t="shared" si="1"/>
        <v>0.30459921156373193</v>
      </c>
      <c r="I12" s="50">
        <f t="shared" si="2"/>
        <v>0.41466905187835418</v>
      </c>
      <c r="J12" s="51">
        <f>Dados!K23</f>
        <v>-130.88000000000002</v>
      </c>
      <c r="K12" s="52">
        <f>IFERROR(Dados!K23/Dados!J23,"")</f>
        <v>-0.58533094812164588</v>
      </c>
      <c r="L12" s="52">
        <f>IFERROR(Dados!L23/Dados!J23,"")</f>
        <v>0.41466905187835418</v>
      </c>
      <c r="M12" s="52">
        <f>Dados!H23</f>
        <v>0.73533998752339358</v>
      </c>
      <c r="N12" s="53" t="str">
        <f>IF(OR(Dados!L23="",Dados!J23=0)," — ",IF(IFERROR(Dados!L23/Dados!J23,0)&lt;0.75,"🔴 CRÍTICO",IF(IFERROR(Dados!L23/Dados!J23,0)&gt;1.3,"🔴 CRÍTICO",IF(OR(IFERROR(Dados!L23/Dados!J23,0)&lt;0.9,IFERROR(Dados!L23/Dados!J23,0)&gt;1.1),"🟡 ATENÇÃO","🟢 OK"))))</f>
        <v>🔴 CRÍTICO</v>
      </c>
    </row>
    <row r="13" spans="1:16" ht="15" customHeight="1" x14ac:dyDescent="0.3">
      <c r="A13" s="54">
        <f>Dados!A25</f>
        <v>46124</v>
      </c>
      <c r="B13" s="46">
        <f>IFERROR(Dados!C25+Dados!C26,"")</f>
        <v>2040</v>
      </c>
      <c r="C13" s="55">
        <f>Dados!L25</f>
        <v>162.26</v>
      </c>
      <c r="D13" s="47">
        <f>IFERROR(IF((Dados!C25+Dados!C26)=0,"",(Dados!C25*Dados!D25+Dados!C26*Dados!D26)/(Dados!C25+Dados!C26)),"")</f>
        <v>1.1004313725490196</v>
      </c>
      <c r="E13" s="48">
        <f>IFERROR(IF((Dados!C25+Dados!C26)=0,"",(Dados!C25*Dados!E25+Dados!C26*Dados!E26)/(Dados!C25+Dados!C26)),"")</f>
        <v>0.13156862745098039</v>
      </c>
      <c r="F13" s="48">
        <f>Dados!J25</f>
        <v>1976.4800000000002</v>
      </c>
      <c r="G13" s="49">
        <f t="shared" si="0"/>
        <v>0.88043904351234803</v>
      </c>
      <c r="H13" s="50">
        <f t="shared" si="1"/>
        <v>7.2280032785716819E-2</v>
      </c>
      <c r="I13" s="50">
        <f t="shared" si="2"/>
        <v>8.2095442402655219E-2</v>
      </c>
      <c r="J13" s="56">
        <f>Dados!K25</f>
        <v>-1814.2200000000003</v>
      </c>
      <c r="K13" s="57">
        <f>IFERROR(Dados!K25/Dados!J25,"")</f>
        <v>-0.91790455759734479</v>
      </c>
      <c r="L13" s="57">
        <f>IFERROR(Dados!L25/Dados!J25,"")</f>
        <v>8.2095442402655205E-2</v>
      </c>
      <c r="M13" s="57">
        <f>Dados!H25</f>
        <v>0.87732856922296476</v>
      </c>
      <c r="N13" s="58" t="str">
        <f>IF(OR(Dados!L25="",Dados!J25=0)," — ",IF(IFERROR(Dados!L25/Dados!J25,0)&lt;0.75,"🔴 CRÍTICO",IF(IFERROR(Dados!L25/Dados!J25,0)&gt;1.3,"🔴 CRÍTICO",IF(OR(IFERROR(Dados!L25/Dados!J25,0)&lt;0.9,IFERROR(Dados!L25/Dados!J25,0)&gt;1.1),"🟡 ATENÇÃO","🟢 OK"))))</f>
        <v>🔴 CRÍTICO</v>
      </c>
    </row>
    <row r="14" spans="1:16" ht="15" customHeight="1" x14ac:dyDescent="0.3">
      <c r="A14" s="45">
        <f>Dados!A27</f>
        <v>46125</v>
      </c>
      <c r="B14" s="46">
        <f>IFERROR(Dados!C27+Dados!C28,"")</f>
        <v>1068</v>
      </c>
      <c r="C14" s="46">
        <f>Dados!L27</f>
        <v>204.89</v>
      </c>
      <c r="D14" s="47">
        <f>IFERROR(IF((Dados!C27+Dados!C28)=0,"",(Dados!C27*Dados!D27+Dados!C28*Dados!D28)/(Dados!C27+Dados!C28)),"")</f>
        <v>8.5168539325842701E-2</v>
      </c>
      <c r="E14" s="59">
        <f>IFERROR(IF((Dados!C27+Dados!C28)=0,"",(Dados!C27*Dados!E27+Dados!C28*Dados!E28)/(Dados!C27+Dados!C28)),"")</f>
        <v>8.8988764044943811E-2</v>
      </c>
      <c r="F14" s="48">
        <f>Dados!J27</f>
        <v>-4.0799999999999983</v>
      </c>
      <c r="G14" s="49">
        <f t="shared" si="0"/>
        <v>-4.4854881266490593E-2</v>
      </c>
      <c r="H14" s="50">
        <f t="shared" si="1"/>
        <v>2.2525285839929636</v>
      </c>
      <c r="I14" s="50">
        <f t="shared" si="2"/>
        <v>0</v>
      </c>
      <c r="J14" s="51">
        <f>Dados!K27</f>
        <v>208.96999999999997</v>
      </c>
      <c r="K14" s="52">
        <f>IFERROR(Dados!K27/Dados!J27,"")</f>
        <v>-51.218137254901976</v>
      </c>
      <c r="L14" s="52">
        <f>IFERROR(Dados!L27/Dados!J27,"")</f>
        <v>-50.218137254901976</v>
      </c>
      <c r="M14" s="52">
        <f>Dados!H27</f>
        <v>-6.9288389513108561E-2</v>
      </c>
      <c r="N14" s="53" t="str">
        <f>IF(OR(Dados!L27="",Dados!J27=0)," — ",IF(IFERROR(Dados!L27/Dados!J27,0)&lt;0.75,"🔴 CRÍTICO",IF(IFERROR(Dados!L27/Dados!J27,0)&gt;1.3,"🔴 CRÍTICO",IF(OR(IFERROR(Dados!L27/Dados!J27,0)&lt;0.9,IFERROR(Dados!L27/Dados!J27,0)&gt;1.1),"🟡 ATENÇÃO","🟢 OK"))))</f>
        <v>🔴 CRÍTICO</v>
      </c>
    </row>
    <row r="15" spans="1:16" ht="15" customHeight="1" x14ac:dyDescent="0.3">
      <c r="A15" s="54">
        <f>Dados!A29</f>
        <v>46126</v>
      </c>
      <c r="B15" s="46">
        <f>IFERROR(Dados!C29+Dados!C30,"")</f>
        <v>1148</v>
      </c>
      <c r="C15" s="55">
        <f>Dados!L29</f>
        <v>69.010000000000005</v>
      </c>
      <c r="D15" s="47">
        <f>IFERROR(IF((Dados!C29+Dados!C30)=0,"",(Dados!C29*Dados!D29+Dados!C30*Dados!D30)/(Dados!C29+Dados!C30)),"")</f>
        <v>0.20473867595818815</v>
      </c>
      <c r="E15" s="48">
        <f>IFERROR(IF((Dados!C29+Dados!C30)=0,"",(Dados!C29*Dados!E29+Dados!C30*Dados!E30)/(Dados!C29+Dados!C30)),"")</f>
        <v>4.7247386759581886E-2</v>
      </c>
      <c r="F15" s="48">
        <f>Dados!J29</f>
        <v>180.8</v>
      </c>
      <c r="G15" s="49">
        <f t="shared" si="0"/>
        <v>0.76923076923076927</v>
      </c>
      <c r="H15" s="50">
        <f t="shared" si="1"/>
        <v>0.29360959836623557</v>
      </c>
      <c r="I15" s="50">
        <f t="shared" si="2"/>
        <v>0.38169247787610622</v>
      </c>
      <c r="J15" s="56">
        <f>Dados!K29</f>
        <v>-111.79</v>
      </c>
      <c r="K15" s="57">
        <f>IFERROR(Dados!K29/Dados!J29,"")</f>
        <v>-0.61830752212389384</v>
      </c>
      <c r="L15" s="57">
        <f>IFERROR(Dados!L29/Dados!J29,"")</f>
        <v>0.38169247787610622</v>
      </c>
      <c r="M15" s="57">
        <f>Dados!H29</f>
        <v>0.76923076923076927</v>
      </c>
      <c r="N15" s="58" t="str">
        <f>IF(OR(Dados!L29="",Dados!J29=0)," — ",IF(IFERROR(Dados!L29/Dados!J29,0)&lt;0.75,"🔴 CRÍTICO",IF(IFERROR(Dados!L29/Dados!J29,0)&gt;1.3,"🔴 CRÍTICO",IF(OR(IFERROR(Dados!L29/Dados!J29,0)&lt;0.9,IFERROR(Dados!L29/Dados!J29,0)&gt;1.1),"🟡 ATENÇÃO","🟢 OK"))))</f>
        <v>🔴 CRÍTICO</v>
      </c>
    </row>
    <row r="16" spans="1:16" ht="15" customHeight="1" x14ac:dyDescent="0.3">
      <c r="A16" s="45">
        <f>Dados!A31</f>
        <v>46127</v>
      </c>
      <c r="B16" s="46">
        <f>IFERROR(Dados!C31+Dados!C32,"")</f>
        <v>996</v>
      </c>
      <c r="C16" s="46">
        <f>Dados!L31</f>
        <v>260.58999999999997</v>
      </c>
      <c r="D16" s="47">
        <f>IFERROR(IF((Dados!C31+Dados!C32)=0,"",(Dados!C31*Dados!D31+Dados!C32*Dados!D32)/(Dados!C31+Dados!C32)),"")</f>
        <v>0.49024096385542165</v>
      </c>
      <c r="E16" s="59">
        <f>IFERROR(IF((Dados!C31+Dados!C32)=0,"",(Dados!C31*Dados!E31+Dados!C32*Dados!E32)/(Dados!C31+Dados!C32)),"")</f>
        <v>5.6144578313253014E-2</v>
      </c>
      <c r="F16" s="48">
        <f>Dados!J31</f>
        <v>432.35999999999996</v>
      </c>
      <c r="G16" s="49">
        <f t="shared" si="0"/>
        <v>0.88547554681739982</v>
      </c>
      <c r="H16" s="50">
        <f t="shared" si="1"/>
        <v>0.53368968624559676</v>
      </c>
      <c r="I16" s="50">
        <f t="shared" si="2"/>
        <v>0.60271532981774445</v>
      </c>
      <c r="J16" s="51">
        <f>Dados!K31</f>
        <v>-171.76999999999998</v>
      </c>
      <c r="K16" s="52">
        <f>IFERROR(Dados!K31/Dados!J31,"")</f>
        <v>-0.39728467018225555</v>
      </c>
      <c r="L16" s="52">
        <f>IFERROR(Dados!L31/Dados!J31,"")</f>
        <v>0.60271532981774445</v>
      </c>
      <c r="M16" s="52">
        <f>Dados!H31</f>
        <v>0.81038035441565059</v>
      </c>
      <c r="N16" s="53" t="str">
        <f>IF(OR(Dados!L31="",Dados!J31=0)," — ",IF(IFERROR(Dados!L31/Dados!J31,0)&lt;0.75,"🔴 CRÍTICO",IF(IFERROR(Dados!L31/Dados!J31,0)&gt;1.3,"🔴 CRÍTICO",IF(OR(IFERROR(Dados!L31/Dados!J31,0)&lt;0.9,IFERROR(Dados!L31/Dados!J31,0)&gt;1.1),"🟡 ATENÇÃO","🟢 OK"))))</f>
        <v>🔴 CRÍTICO</v>
      </c>
    </row>
    <row r="17" spans="1:14" ht="15" customHeight="1" x14ac:dyDescent="0.3">
      <c r="A17" s="54">
        <f>Dados!A33</f>
        <v>46128</v>
      </c>
      <c r="B17" s="46">
        <f>IFERROR(Dados!C33+Dados!C34,"")</f>
        <v>856</v>
      </c>
      <c r="C17" s="55">
        <f>Dados!L33</f>
        <v>121.03</v>
      </c>
      <c r="D17" s="47">
        <f>IFERROR(IF((Dados!C33+Dados!C34)=0,"",(Dados!C33*Dados!D33+Dados!C34*Dados!D34)/(Dados!C33+Dados!C34)),"")</f>
        <v>0.18710280373831775</v>
      </c>
      <c r="E17" s="48">
        <f>IFERROR(IF((Dados!C33+Dados!C34)=0,"",(Dados!C33*Dados!E33+Dados!C34*Dados!E34)/(Dados!C33+Dados!C34)),"")</f>
        <v>7.0000000000000007E-2</v>
      </c>
      <c r="F17" s="48">
        <f>Dados!J33</f>
        <v>100.24000000000001</v>
      </c>
      <c r="G17" s="49">
        <f t="shared" si="0"/>
        <v>0.62587412587412583</v>
      </c>
      <c r="H17" s="50">
        <f t="shared" si="1"/>
        <v>0.75568181818181823</v>
      </c>
      <c r="I17" s="50">
        <f t="shared" si="2"/>
        <v>0.82822440717177548</v>
      </c>
      <c r="J17" s="56">
        <f>Dados!K33</f>
        <v>20.789999999999992</v>
      </c>
      <c r="K17" s="57">
        <f>IFERROR(Dados!K33/Dados!J33,"")</f>
        <v>0.20740223463687141</v>
      </c>
      <c r="L17" s="57">
        <f>IFERROR(Dados!L33/Dados!J33,"")</f>
        <v>1.2074022346368714</v>
      </c>
      <c r="M17" s="57">
        <f>Dados!H33</f>
        <v>0.6217873831775701</v>
      </c>
      <c r="N17" s="58" t="str">
        <f>IF(OR(Dados!L33="",Dados!J33=0)," — ",IF(IFERROR(Dados!L33/Dados!J33,0)&lt;0.75,"🔴 CRÍTICO",IF(IFERROR(Dados!L33/Dados!J33,0)&gt;1.3,"🔴 CRÍTICO",IF(OR(IFERROR(Dados!L33/Dados!J33,0)&lt;0.9,IFERROR(Dados!L33/Dados!J33,0)&gt;1.1),"🟡 ATENÇÃO","🟢 OK"))))</f>
        <v>🟡 ATENÇÃO</v>
      </c>
    </row>
    <row r="18" spans="1:14" ht="15" customHeight="1" x14ac:dyDescent="0.3">
      <c r="A18" s="45">
        <f>Dados!A35</f>
        <v>46129</v>
      </c>
      <c r="B18" s="46">
        <f>IFERROR(Dados!C35+Dados!C36,"")</f>
        <v>840</v>
      </c>
      <c r="C18" s="46">
        <f>Dados!L35</f>
        <v>339.56</v>
      </c>
      <c r="D18" s="47">
        <f>IFERROR(IF((Dados!C35+Dados!C36)=0,"",(Dados!C35*Dados!D35+Dados!C36*Dados!D36)/(Dados!C35+Dados!C36)),"")</f>
        <v>0.10166666666666667</v>
      </c>
      <c r="E18" s="59">
        <f>IFERROR(IF((Dados!C35+Dados!C36)=0,"",(Dados!C35*Dados!E35+Dados!C36*Dados!E36)/(Dados!C35+Dados!C36)),"")</f>
        <v>4.6119047619047622E-2</v>
      </c>
      <c r="F18" s="48">
        <f>Dados!J35</f>
        <v>46.66</v>
      </c>
      <c r="G18" s="49">
        <f t="shared" si="0"/>
        <v>0.54637002341920371</v>
      </c>
      <c r="H18" s="50">
        <f t="shared" si="1"/>
        <v>3.9761124121779856</v>
      </c>
      <c r="I18" s="50">
        <f t="shared" si="2"/>
        <v>0.13741312286488397</v>
      </c>
      <c r="J18" s="51">
        <f>Dados!K35</f>
        <v>292.89999999999998</v>
      </c>
      <c r="K18" s="52">
        <f>IFERROR(Dados!K35/Dados!J35,"")</f>
        <v>6.2773253321903129</v>
      </c>
      <c r="L18" s="52">
        <f>IFERROR(Dados!L35/Dados!J35,"")</f>
        <v>7.2773253321903137</v>
      </c>
      <c r="M18" s="52">
        <f>Dados!H35</f>
        <v>0.60528083028083035</v>
      </c>
      <c r="N18" s="53" t="str">
        <f>IF(OR(Dados!L35="",Dados!J35=0)," — ",IF(IFERROR(Dados!L35/Dados!J35,0)&lt;0.75,"🔴 CRÍTICO",IF(IFERROR(Dados!L35/Dados!J35,0)&gt;1.3,"🔴 CRÍTICO",IF(OR(IFERROR(Dados!L35/Dados!J35,0)&lt;0.9,IFERROR(Dados!L35/Dados!J35,0)&gt;1.1),"🟡 ATENÇÃO","🟢 OK"))))</f>
        <v>🔴 CRÍTICO</v>
      </c>
    </row>
    <row r="19" spans="1:14" ht="15" customHeight="1" x14ac:dyDescent="0.3">
      <c r="A19" s="54">
        <f>Dados!A37</f>
        <v>46130</v>
      </c>
      <c r="B19" s="46">
        <f>IFERROR(Dados!C37+Dados!C38,"")</f>
        <v>1316</v>
      </c>
      <c r="C19" s="55">
        <f>Dados!L37</f>
        <v>88.7</v>
      </c>
      <c r="D19" s="47">
        <f>IFERROR(IF((Dados!C37+Dados!C38)=0,"",(Dados!C37*Dados!D37+Dados!C38*Dados!D38)/(Dados!C37+Dados!C38)),"")</f>
        <v>0.15264437689969604</v>
      </c>
      <c r="E19" s="48">
        <f>IFERROR(IF((Dados!C37+Dados!C38)=0,"",(Dados!C37*Dados!E37+Dados!C38*Dados!E38)/(Dados!C37+Dados!C38)),"")</f>
        <v>0.06</v>
      </c>
      <c r="F19" s="48">
        <f>Dados!J37</f>
        <v>121.92000000000002</v>
      </c>
      <c r="G19" s="49">
        <f t="shared" si="0"/>
        <v>0.6069295101553166</v>
      </c>
      <c r="H19" s="50">
        <f t="shared" si="1"/>
        <v>0.44155714854639588</v>
      </c>
      <c r="I19" s="50">
        <f t="shared" si="2"/>
        <v>0.72752624671916011</v>
      </c>
      <c r="J19" s="56">
        <f>Dados!K37</f>
        <v>-33.220000000000013</v>
      </c>
      <c r="K19" s="57">
        <f>IFERROR(Dados!K37/Dados!J37,"")</f>
        <v>-0.27247375328083995</v>
      </c>
      <c r="L19" s="57">
        <f>IFERROR(Dados!L37/Dados!J37,"")</f>
        <v>0.72752624671916</v>
      </c>
      <c r="M19" s="57">
        <f>Dados!H37</f>
        <v>0.59652404333255404</v>
      </c>
      <c r="N19" s="58" t="str">
        <f>IF(OR(Dados!L37="",Dados!J37=0)," — ",IF(IFERROR(Dados!L37/Dados!J37,0)&lt;0.75,"🔴 CRÍTICO",IF(IFERROR(Dados!L37/Dados!J37,0)&gt;1.3,"🔴 CRÍTICO",IF(OR(IFERROR(Dados!L37/Dados!J37,0)&lt;0.9,IFERROR(Dados!L37/Dados!J37,0)&gt;1.1),"🟡 ATENÇÃO","🟢 OK"))))</f>
        <v>🔴 CRÍTICO</v>
      </c>
    </row>
    <row r="20" spans="1:14" ht="15" customHeight="1" x14ac:dyDescent="0.3">
      <c r="A20" s="45">
        <f>Dados!A39</f>
        <v>46131</v>
      </c>
      <c r="B20" s="46">
        <f>IFERROR(Dados!C39+Dados!C40,"")</f>
        <v>1275</v>
      </c>
      <c r="C20" s="46">
        <f>Dados!L39</f>
        <v>117.64</v>
      </c>
      <c r="D20" s="47">
        <f>IFERROR(IF((Dados!C39+Dados!C40)=0,"",(Dados!C39*Dados!D39+Dados!C40*Dados!D40)/(Dados!C39+Dados!C40)),"")</f>
        <v>0.19</v>
      </c>
      <c r="E20" s="59">
        <f>IFERROR(IF((Dados!C39+Dados!C40)=0,"",(Dados!C39*Dados!E39+Dados!C40*Dados!E40)/(Dados!C39+Dados!C40)),"")</f>
        <v>0.1</v>
      </c>
      <c r="F20" s="48">
        <f>Dados!J39</f>
        <v>114.75</v>
      </c>
      <c r="G20" s="49">
        <f t="shared" si="0"/>
        <v>0.47368421052631576</v>
      </c>
      <c r="H20" s="50">
        <f t="shared" si="1"/>
        <v>0.48561403508771928</v>
      </c>
      <c r="I20" s="50">
        <f t="shared" si="2"/>
        <v>0.97543352601156064</v>
      </c>
      <c r="J20" s="51">
        <f>Dados!K39</f>
        <v>2.8900000000000006</v>
      </c>
      <c r="K20" s="52">
        <f>IFERROR(Dados!K39/Dados!J39,"")</f>
        <v>2.5185185185185189E-2</v>
      </c>
      <c r="L20" s="52">
        <f>IFERROR(Dados!L39/Dados!J39,"")</f>
        <v>1.0251851851851852</v>
      </c>
      <c r="M20" s="52">
        <f>Dados!H39</f>
        <v>0.47368421052631576</v>
      </c>
      <c r="N20" s="53" t="str">
        <f>IF(OR(Dados!L39="",Dados!J39=0)," — ",IF(IFERROR(Dados!L39/Dados!J39,0)&lt;0.75,"🔴 CRÍTICO",IF(IFERROR(Dados!L39/Dados!J39,0)&gt;1.3,"🔴 CRÍTICO",IF(OR(IFERROR(Dados!L39/Dados!J39,0)&lt;0.9,IFERROR(Dados!L39/Dados!J39,0)&gt;1.1),"🟡 ATENÇÃO","🟢 OK"))))</f>
        <v>🟢 OK</v>
      </c>
    </row>
    <row r="21" spans="1:14" ht="15" customHeight="1" x14ac:dyDescent="0.3">
      <c r="A21" s="54">
        <f>Dados!A41</f>
        <v>46132</v>
      </c>
      <c r="B21" s="46">
        <f>IFERROR(Dados!C41+Dados!C42,"")</f>
        <v>756</v>
      </c>
      <c r="C21" s="55">
        <f>Dados!L41</f>
        <v>64.540000000000006</v>
      </c>
      <c r="D21" s="47">
        <f>IFERROR(IF((Dados!C41+Dados!C42)=0,"",(Dados!C41*Dados!D41+Dados!C42*Dados!D42)/(Dados!C41+Dados!C42)),"")</f>
        <v>0.63</v>
      </c>
      <c r="E21" s="48">
        <f>IFERROR(IF((Dados!C41+Dados!C42)=0,"",(Dados!C41*Dados!E41+Dados!C42*Dados!E42)/(Dados!C41+Dados!C42)),"")</f>
        <v>0.06</v>
      </c>
      <c r="F21" s="48" t="str">
        <f>Dados!J41</f>
        <v/>
      </c>
      <c r="G21" s="49">
        <f t="shared" si="0"/>
        <v>0.90476190476190488</v>
      </c>
      <c r="H21" s="50">
        <f t="shared" si="1"/>
        <v>0.13550852439741329</v>
      </c>
      <c r="I21" s="50">
        <f t="shared" si="2"/>
        <v>0.14977257959714099</v>
      </c>
      <c r="J21" s="56" t="str">
        <f>Dados!K41</f>
        <v/>
      </c>
      <c r="K21" s="57" t="str">
        <f>IFERROR(Dados!K41/Dados!J41,"")</f>
        <v/>
      </c>
      <c r="L21" s="57" t="str">
        <f>IFERROR(Dados!L41/Dados!J41,"")</f>
        <v/>
      </c>
      <c r="M21" s="57" t="str">
        <f>Dados!H41</f>
        <v/>
      </c>
      <c r="N21" s="58" t="str">
        <f>IF(OR(Dados!L41="",Dados!J41=0)," — ",IF(IFERROR(Dados!L41/Dados!J41,0)&lt;0.75,"🔴 CRÍTICO",IF(IFERROR(Dados!L41/Dados!J41,0)&gt;1.3,"🔴 CRÍTICO",IF(OR(IFERROR(Dados!L41/Dados!J41,0)&lt;0.9,IFERROR(Dados!L41/Dados!J41,0)&gt;1.1),"🟡 ATENÇÃO","🟢 OK"))))</f>
        <v>🔴 CRÍTICO</v>
      </c>
    </row>
    <row r="22" spans="1:14" ht="15" customHeight="1" x14ac:dyDescent="0.3">
      <c r="A22" s="45">
        <f>Dados!A43</f>
        <v>46133</v>
      </c>
      <c r="B22" s="46">
        <f>IFERROR(Dados!C43+Dados!C44,"")</f>
        <v>1695</v>
      </c>
      <c r="C22" s="46">
        <f>Dados!L43</f>
        <v>137.46</v>
      </c>
      <c r="D22" s="47">
        <f>IFERROR(IF((Dados!C43+Dados!C44)=0,"",(Dados!C43*Dados!D43+Dados!C44*Dados!D44)/(Dados!C43+Dados!C44)),"")</f>
        <v>0.22088495575221237</v>
      </c>
      <c r="E22" s="59">
        <f>IFERROR(IF((Dados!C43+Dados!C44)=0,"",(Dados!C43*Dados!E43+Dados!C44*Dados!E44)/(Dados!C43+Dados!C44)),"")</f>
        <v>6.43952802359882E-2</v>
      </c>
      <c r="F22" s="48">
        <f>Dados!J43</f>
        <v>265.25</v>
      </c>
      <c r="G22" s="49">
        <f t="shared" si="0"/>
        <v>0.70846688034188032</v>
      </c>
      <c r="H22" s="50">
        <f t="shared" si="1"/>
        <v>0.36714743589743593</v>
      </c>
      <c r="I22" s="50">
        <f t="shared" si="2"/>
        <v>0.51822808671065035</v>
      </c>
      <c r="J22" s="51">
        <f>Dados!K43</f>
        <v>-127.78999999999999</v>
      </c>
      <c r="K22" s="52">
        <f>IFERROR(Dados!K43/Dados!J43,"")</f>
        <v>-0.48177191328934965</v>
      </c>
      <c r="L22" s="52">
        <f>IFERROR(Dados!L43/Dados!J43,"")</f>
        <v>0.51822808671065035</v>
      </c>
      <c r="M22" s="52">
        <f>Dados!H43</f>
        <v>0.55094641101278263</v>
      </c>
      <c r="N22" s="53" t="str">
        <f>IF(OR(Dados!L43="",Dados!J43=0)," — ",IF(IFERROR(Dados!L43/Dados!J43,0)&lt;0.75,"🔴 CRÍTICO",IF(IFERROR(Dados!L43/Dados!J43,0)&gt;1.3,"🔴 CRÍTICO",IF(OR(IFERROR(Dados!L43/Dados!J43,0)&lt;0.9,IFERROR(Dados!L43/Dados!J43,0)&gt;1.1),"🟡 ATENÇÃO","🟢 OK"))))</f>
        <v>🔴 CRÍTICO</v>
      </c>
    </row>
    <row r="23" spans="1:14" ht="15" customHeight="1" x14ac:dyDescent="0.3">
      <c r="A23" s="54">
        <f>Dados!A45</f>
        <v>46134</v>
      </c>
      <c r="B23" s="46">
        <f>IFERROR(Dados!C45+Dados!C46,"")</f>
        <v>1230</v>
      </c>
      <c r="C23" s="55">
        <f>Dados!L45</f>
        <v>317.47000000000003</v>
      </c>
      <c r="D23" s="47">
        <f>IFERROR(IF((Dados!C45+Dados!C46)=0,"",(Dados!C45*Dados!D45+Dados!C46*Dados!D46)/(Dados!C45+Dados!C46)),"")</f>
        <v>0.30999999999999994</v>
      </c>
      <c r="E23" s="48">
        <f>IFERROR(IF((Dados!C45+Dados!C46)=0,"",(Dados!C45*Dados!E45+Dados!C46*Dados!E46)/(Dados!C45+Dados!C46)),"")</f>
        <v>7.0000000000000007E-2</v>
      </c>
      <c r="F23" s="48">
        <f>Dados!J45</f>
        <v>295.2</v>
      </c>
      <c r="G23" s="49">
        <f t="shared" si="0"/>
        <v>0.77419354838709675</v>
      </c>
      <c r="H23" s="50">
        <f t="shared" si="1"/>
        <v>0.83259900340938908</v>
      </c>
      <c r="I23" s="50">
        <f t="shared" si="2"/>
        <v>0.92985163952499428</v>
      </c>
      <c r="J23" s="56">
        <f>Dados!K45</f>
        <v>22.270000000000039</v>
      </c>
      <c r="K23" s="57">
        <f>IFERROR(Dados!K45/Dados!J45,"")</f>
        <v>7.5440379403794167E-2</v>
      </c>
      <c r="L23" s="57">
        <f>IFERROR(Dados!L45/Dados!J45,"")</f>
        <v>1.0754403794037941</v>
      </c>
      <c r="M23" s="57">
        <f>Dados!H45</f>
        <v>0.77419354838709675</v>
      </c>
      <c r="N23" s="58" t="str">
        <f>IF(OR(Dados!L45="",Dados!J45=0)," — ",IF(IFERROR(Dados!L45/Dados!J45,0)&lt;0.75,"🔴 CRÍTICO",IF(IFERROR(Dados!L45/Dados!J45,0)&gt;1.3,"🔴 CRÍTICO",IF(OR(IFERROR(Dados!L45/Dados!J45,0)&lt;0.9,IFERROR(Dados!L45/Dados!J45,0)&gt;1.1),"🟡 ATENÇÃO","🟢 OK"))))</f>
        <v>🟢 OK</v>
      </c>
    </row>
    <row r="24" spans="1:14" ht="15" customHeight="1" x14ac:dyDescent="0.3">
      <c r="A24" s="45">
        <f>Dados!A47</f>
        <v>46135</v>
      </c>
      <c r="B24" s="46">
        <f>IFERROR(Dados!C47+Dados!C48,"")</f>
        <v>2055</v>
      </c>
      <c r="C24" s="46">
        <f>Dados!L47</f>
        <v>270.08</v>
      </c>
      <c r="D24" s="47">
        <f>IFERROR(IF((Dados!C47+Dados!C48)=0,"",(Dados!C47*Dados!D47+Dados!C48*Dados!D48)/(Dados!C47+Dados!C48)),"")</f>
        <v>0.12343065693430659</v>
      </c>
      <c r="E24" s="59">
        <f>IFERROR(IF((Dados!C47+Dados!C48)=0,"",(Dados!C47*Dados!E47+Dados!C48*Dados!E48)/(Dados!C47+Dados!C48)),"")</f>
        <v>7.0000000000000007E-2</v>
      </c>
      <c r="F24" s="48">
        <f>Dados!J47</f>
        <v>109.80000000000001</v>
      </c>
      <c r="G24" s="49">
        <f t="shared" si="0"/>
        <v>0.43287995269071561</v>
      </c>
      <c r="H24" s="50">
        <f t="shared" si="1"/>
        <v>1.0647742952887835</v>
      </c>
      <c r="I24" s="50">
        <f t="shared" si="2"/>
        <v>0.40654620853080581</v>
      </c>
      <c r="J24" s="51">
        <f>Dados!K47</f>
        <v>160.27999999999997</v>
      </c>
      <c r="K24" s="52">
        <f>IFERROR(Dados!K47/Dados!J47,"")</f>
        <v>1.4597449908925315</v>
      </c>
      <c r="L24" s="52">
        <f>IFERROR(Dados!L47/Dados!J47,"")</f>
        <v>2.4597449908925313</v>
      </c>
      <c r="M24" s="52">
        <f>Dados!H47</f>
        <v>0.33394160583941607</v>
      </c>
      <c r="N24" s="53" t="str">
        <f>IF(OR(Dados!L47="",Dados!J47=0)," — ",IF(IFERROR(Dados!L47/Dados!J47,0)&lt;0.75,"🔴 CRÍTICO",IF(IFERROR(Dados!L47/Dados!J47,0)&gt;1.3,"🔴 CRÍTICO",IF(OR(IFERROR(Dados!L47/Dados!J47,0)&lt;0.9,IFERROR(Dados!L47/Dados!J47,0)&gt;1.1),"🟡 ATENÇÃO","🟢 OK"))))</f>
        <v>🔴 CRÍTICO</v>
      </c>
    </row>
    <row r="25" spans="1:14" ht="15" customHeight="1" x14ac:dyDescent="0.3">
      <c r="A25" s="54">
        <f>Dados!A49</f>
        <v>46136</v>
      </c>
      <c r="B25" s="46">
        <f>IFERROR(Dados!C49+Dados!C50,"")</f>
        <v>1125</v>
      </c>
      <c r="C25" s="55">
        <f>Dados!L49</f>
        <v>147.87</v>
      </c>
      <c r="D25" s="47">
        <f>IFERROR(IF((Dados!C49+Dados!C50)=0,"",(Dados!C49*Dados!D49+Dados!C50*Dados!D50)/(Dados!C49+Dados!C50)),"")</f>
        <v>0.1</v>
      </c>
      <c r="E25" s="48">
        <f>IFERROR(IF((Dados!C49+Dados!C50)=0,"",(Dados!C49*Dados!E49+Dados!C50*Dados!E50)/(Dados!C49+Dados!C50)),"")</f>
        <v>5.422222222222222E-2</v>
      </c>
      <c r="F25" s="48">
        <f>Dados!J49</f>
        <v>51.5</v>
      </c>
      <c r="G25" s="49">
        <f t="shared" si="0"/>
        <v>0.45777777777777784</v>
      </c>
      <c r="H25" s="50">
        <f t="shared" si="1"/>
        <v>1.3144</v>
      </c>
      <c r="I25" s="50">
        <f t="shared" si="2"/>
        <v>0.34827889362277681</v>
      </c>
      <c r="J25" s="56">
        <f>Dados!K49</f>
        <v>96.37</v>
      </c>
      <c r="K25" s="57">
        <f>IFERROR(Dados!K49/Dados!J49,"")</f>
        <v>1.8712621359223303</v>
      </c>
      <c r="L25" s="57">
        <f>IFERROR(Dados!L49/Dados!J49,"")</f>
        <v>2.87126213592233</v>
      </c>
      <c r="M25" s="57">
        <f>Dados!H49</f>
        <v>0.45777777777777778</v>
      </c>
      <c r="N25" s="58" t="str">
        <f>IF(OR(Dados!L49="",Dados!J49=0)," — ",IF(IFERROR(Dados!L49/Dados!J49,0)&lt;0.75,"🔴 CRÍTICO",IF(IFERROR(Dados!L49/Dados!J49,0)&gt;1.3,"🔴 CRÍTICO",IF(OR(IFERROR(Dados!L49/Dados!J49,0)&lt;0.9,IFERROR(Dados!L49/Dados!J49,0)&gt;1.1),"🟡 ATENÇÃO","🟢 OK"))))</f>
        <v>🔴 CRÍTICO</v>
      </c>
    </row>
    <row r="26" spans="1:14" ht="15" customHeight="1" x14ac:dyDescent="0.3">
      <c r="A26" s="45">
        <f>Dados!A51</f>
        <v>46137</v>
      </c>
      <c r="B26" s="46">
        <f>IFERROR(Dados!C51+Dados!C52,"")</f>
        <v>1665</v>
      </c>
      <c r="C26" s="46">
        <f>Dados!L51</f>
        <v>182.05</v>
      </c>
      <c r="D26" s="47">
        <f>IFERROR(IF((Dados!C51+Dados!C52)=0,"",(Dados!C51*Dados!D51+Dados!C52*Dados!D52)/(Dados!C51+Dados!C52)),"")</f>
        <v>0.70675675675675675</v>
      </c>
      <c r="E26" s="59">
        <f>IFERROR(IF((Dados!C51+Dados!C52)=0,"",(Dados!C51*Dados!E51+Dados!C52*Dados!E52)/(Dados!C51+Dados!C52)),"")</f>
        <v>0.11108108108108107</v>
      </c>
      <c r="F26" s="48">
        <f>Dados!J51</f>
        <v>991.8</v>
      </c>
      <c r="G26" s="49">
        <f t="shared" si="0"/>
        <v>0.84282982791587002</v>
      </c>
      <c r="H26" s="50">
        <f t="shared" si="1"/>
        <v>0.15470575738262163</v>
      </c>
      <c r="I26" s="50">
        <f t="shared" si="2"/>
        <v>0.18355515224843719</v>
      </c>
      <c r="J26" s="51">
        <f>Dados!K51</f>
        <v>-809.75</v>
      </c>
      <c r="K26" s="52">
        <f>IFERROR(Dados!K51/Dados!J51,"")</f>
        <v>-0.8164448477515629</v>
      </c>
      <c r="L26" s="52">
        <f>IFERROR(Dados!L51/Dados!J51,"")</f>
        <v>0.18355515224843721</v>
      </c>
      <c r="M26" s="52">
        <f>Dados!H51</f>
        <v>0.63695603616552221</v>
      </c>
      <c r="N26" s="53" t="str">
        <f>IF(OR(Dados!L51="",Dados!J51=0)," — ",IF(IFERROR(Dados!L51/Dados!J51,0)&lt;0.75,"🔴 CRÍTICO",IF(IFERROR(Dados!L51/Dados!J51,0)&gt;1.3,"🔴 CRÍTICO",IF(OR(IFERROR(Dados!L51/Dados!J51,0)&lt;0.9,IFERROR(Dados!L51/Dados!J51,0)&gt;1.1),"🟡 ATENÇÃO","🟢 OK"))))</f>
        <v>🔴 CRÍTICO</v>
      </c>
    </row>
    <row r="27" spans="1:14" ht="15" customHeight="1" x14ac:dyDescent="0.3">
      <c r="A27" s="54">
        <f>Dados!A53</f>
        <v>46138</v>
      </c>
      <c r="B27" s="46">
        <f>IFERROR(Dados!C53+Dados!C54,"")</f>
        <v>1595</v>
      </c>
      <c r="C27" s="55">
        <f>Dados!L53</f>
        <v>151.44999999999999</v>
      </c>
      <c r="D27" s="47">
        <f>IFERROR(IF((Dados!C53+Dados!C54)=0,"",(Dados!C53*Dados!D53+Dados!C54*Dados!D54)/(Dados!C53+Dados!C54)),"")</f>
        <v>0.16369905956112854</v>
      </c>
      <c r="E27" s="48">
        <f>IFERROR(IF((Dados!C53+Dados!C54)=0,"",(Dados!C53*Dados!E53+Dados!C54*Dados!E54)/(Dados!C53+Dados!C54)),"")</f>
        <v>8.3291536050156753E-2</v>
      </c>
      <c r="F27" s="48">
        <f>Dados!J53</f>
        <v>128.25</v>
      </c>
      <c r="G27" s="49">
        <f t="shared" si="0"/>
        <v>0.49119111451551128</v>
      </c>
      <c r="H27" s="50">
        <f t="shared" si="1"/>
        <v>0.58004595940252768</v>
      </c>
      <c r="I27" s="50">
        <f t="shared" si="2"/>
        <v>0.84681413007593276</v>
      </c>
      <c r="J27" s="56">
        <f>Dados!K53</f>
        <v>23.199999999999989</v>
      </c>
      <c r="K27" s="57">
        <f>IFERROR(Dados!K53/Dados!J53,"")</f>
        <v>0.18089668615984397</v>
      </c>
      <c r="L27" s="57">
        <f>IFERROR(Dados!L53/Dados!J53,"")</f>
        <v>1.180896686159844</v>
      </c>
      <c r="M27" s="57">
        <f>Dados!H53</f>
        <v>0.49846717683938779</v>
      </c>
      <c r="N27" s="58" t="str">
        <f>IF(OR(Dados!L53="",Dados!J53=0)," — ",IF(IFERROR(Dados!L53/Dados!J53,0)&lt;0.75,"🔴 CRÍTICO",IF(IFERROR(Dados!L53/Dados!J53,0)&gt;1.3,"🔴 CRÍTICO",IF(OR(IFERROR(Dados!L53/Dados!J53,0)&lt;0.9,IFERROR(Dados!L53/Dados!J53,0)&gt;1.1),"🟡 ATENÇÃO","🟢 OK"))))</f>
        <v>🟡 ATENÇÃO</v>
      </c>
    </row>
    <row r="28" spans="1:14" ht="15" customHeight="1" x14ac:dyDescent="0.3">
      <c r="A28" s="45">
        <f>Dados!A55</f>
        <v>46139</v>
      </c>
      <c r="B28" s="46">
        <f>IFERROR(Dados!C55+Dados!C56,"")</f>
        <v>625</v>
      </c>
      <c r="C28" s="46">
        <f>Dados!L55</f>
        <v>179.14</v>
      </c>
      <c r="D28" s="47">
        <f>IFERROR(IF((Dados!C55+Dados!C56)=0,"",(Dados!C55*Dados!D55+Dados!C56*Dados!D56)/(Dados!C55+Dados!C56)),"")</f>
        <v>0.24</v>
      </c>
      <c r="E28" s="59">
        <f>IFERROR(IF((Dados!C55+Dados!C56)=0,"",(Dados!C55*Dados!E55+Dados!C56*Dados!E56)/(Dados!C55+Dados!C56)),"")</f>
        <v>0.09</v>
      </c>
      <c r="F28" s="48">
        <f>Dados!J55</f>
        <v>93.75</v>
      </c>
      <c r="G28" s="49">
        <f t="shared" si="0"/>
        <v>0.625</v>
      </c>
      <c r="H28" s="50">
        <f t="shared" si="1"/>
        <v>1.1942666666666666</v>
      </c>
      <c r="I28" s="50">
        <f t="shared" si="2"/>
        <v>0.52333370548174618</v>
      </c>
      <c r="J28" s="51">
        <f>Dados!K55</f>
        <v>85.389999999999986</v>
      </c>
      <c r="K28" s="52">
        <f>IFERROR(Dados!K55/Dados!J55,"")</f>
        <v>0.91082666666666656</v>
      </c>
      <c r="L28" s="52">
        <f>IFERROR(Dados!L55/Dados!J55,"")</f>
        <v>1.9108266666666665</v>
      </c>
      <c r="M28" s="52">
        <f>Dados!H55</f>
        <v>0.625</v>
      </c>
      <c r="N28" s="53" t="str">
        <f>IF(OR(Dados!L55="",Dados!J55=0)," — ",IF(IFERROR(Dados!L55/Dados!J55,0)&lt;0.75,"🔴 CRÍTICO",IF(IFERROR(Dados!L55/Dados!J55,0)&gt;1.3,"🔴 CRÍTICO",IF(OR(IFERROR(Dados!L55/Dados!J55,0)&lt;0.9,IFERROR(Dados!L55/Dados!J55,0)&gt;1.1),"🟡 ATENÇÃO","🟢 OK"))))</f>
        <v>🔴 CRÍTICO</v>
      </c>
    </row>
    <row r="29" spans="1:14" ht="15" customHeight="1" x14ac:dyDescent="0.3">
      <c r="A29" s="54">
        <f>Dados!A57</f>
        <v>46140</v>
      </c>
      <c r="B29" s="46">
        <f>IFERROR(Dados!C57+Dados!C58,"")</f>
        <v>1460</v>
      </c>
      <c r="C29" s="55">
        <f>Dados!L57</f>
        <v>153.97999999999999</v>
      </c>
      <c r="D29" s="47">
        <f>IFERROR(IF((Dados!C57+Dados!C58)=0,"",(Dados!C57*Dados!D57+Dados!C58*Dados!D58)/(Dados!C57+Dados!C58)),"")</f>
        <v>0.22520547945205477</v>
      </c>
      <c r="E29" s="48">
        <f>IFERROR(IF((Dados!C57+Dados!C58)=0,"",(Dados!C57*Dados!E57+Dados!C58*Dados!E58)/(Dados!C57+Dados!C58)),"")</f>
        <v>8.2602739726027399E-2</v>
      </c>
      <c r="F29" s="48">
        <f>Dados!J57</f>
        <v>208.2</v>
      </c>
      <c r="G29" s="49">
        <f t="shared" si="0"/>
        <v>0.63321167883211682</v>
      </c>
      <c r="H29" s="50">
        <f t="shared" si="1"/>
        <v>0.46830900243309004</v>
      </c>
      <c r="I29" s="50">
        <f t="shared" si="2"/>
        <v>0.73957732949087418</v>
      </c>
      <c r="J29" s="56">
        <f>Dados!K57</f>
        <v>-54.22</v>
      </c>
      <c r="K29" s="57">
        <f>IFERROR(Dados!K57/Dados!J57,"")</f>
        <v>-0.26042267050912588</v>
      </c>
      <c r="L29" s="57">
        <f>IFERROR(Dados!L57/Dados!J57,"")</f>
        <v>0.73957732949087418</v>
      </c>
      <c r="M29" s="57">
        <f>Dados!H57</f>
        <v>0.63424657534246576</v>
      </c>
      <c r="N29" s="58" t="str">
        <f>IF(OR(Dados!L57="",Dados!J57=0)," — ",IF(IFERROR(Dados!L57/Dados!J57,0)&lt;0.75,"🔴 CRÍTICO",IF(IFERROR(Dados!L57/Dados!J57,0)&gt;1.3,"🔴 CRÍTICO",IF(OR(IFERROR(Dados!L57/Dados!J57,0)&lt;0.9,IFERROR(Dados!L57/Dados!J57,0)&gt;1.1),"🟡 ATENÇÃO","🟢 OK"))))</f>
        <v>🔴 CRÍTICO</v>
      </c>
    </row>
    <row r="30" spans="1:14" ht="15" customHeight="1" x14ac:dyDescent="0.3">
      <c r="A30" s="45">
        <f>Dados!A59</f>
        <v>46141</v>
      </c>
      <c r="B30" s="46">
        <f>IFERROR(Dados!C59+Dados!C60,"")</f>
        <v>996</v>
      </c>
      <c r="C30" s="46">
        <f>Dados!L59</f>
        <v>169.56</v>
      </c>
      <c r="D30" s="47">
        <f>IFERROR(IF((Dados!C59+Dados!C60)=0,"",(Dados!C59*Dados!D59+Dados!C60*Dados!D60)/(Dados!C59+Dados!C60)),"")</f>
        <v>0.19502008032128515</v>
      </c>
      <c r="E30" s="59">
        <f>IFERROR(IF((Dados!C59+Dados!C60)=0,"",(Dados!C59*Dados!E59+Dados!C60*Dados!E60)/(Dados!C59+Dados!C60)),"")</f>
        <v>5.4979919678714857E-2</v>
      </c>
      <c r="F30" s="48">
        <f>Dados!J59</f>
        <v>139.48000000000002</v>
      </c>
      <c r="G30" s="49">
        <f t="shared" si="0"/>
        <v>0.71808072487644159</v>
      </c>
      <c r="H30" s="50">
        <f t="shared" si="1"/>
        <v>0.87294069192751234</v>
      </c>
      <c r="I30" s="50">
        <f t="shared" si="2"/>
        <v>0.8225996697334278</v>
      </c>
      <c r="J30" s="51">
        <f>Dados!K59</f>
        <v>30.079999999999984</v>
      </c>
      <c r="K30" s="52">
        <f>IFERROR(Dados!K59/Dados!J59,"")</f>
        <v>0.21565815887582435</v>
      </c>
      <c r="L30" s="52">
        <f>IFERROR(Dados!L59/Dados!J59,"")</f>
        <v>1.2156581588758244</v>
      </c>
      <c r="M30" s="52">
        <f>Dados!H59</f>
        <v>0.71723737053477077</v>
      </c>
      <c r="N30" s="53" t="str">
        <f>IF(OR(Dados!L59="",Dados!J59=0)," — ",IF(IFERROR(Dados!L59/Dados!J59,0)&lt;0.75,"🔴 CRÍTICO",IF(IFERROR(Dados!L59/Dados!J59,0)&gt;1.3,"🔴 CRÍTICO",IF(OR(IFERROR(Dados!L59/Dados!J59,0)&lt;0.9,IFERROR(Dados!L59/Dados!J59,0)&gt;1.1),"🟡 ATENÇÃO","🟢 OK"))))</f>
        <v>🟡 ATENÇÃO</v>
      </c>
    </row>
    <row r="31" spans="1:14" ht="15" customHeight="1" x14ac:dyDescent="0.3">
      <c r="A31" s="54">
        <f>Dados!A61</f>
        <v>46142</v>
      </c>
      <c r="B31" s="46">
        <f>IFERROR(Dados!C61+Dados!C62,"")</f>
        <v>540</v>
      </c>
      <c r="C31" s="55">
        <f>Dados!L61</f>
        <v>126.24</v>
      </c>
      <c r="D31" s="47">
        <f>IFERROR(IF((Dados!C61+Dados!C62)=0,"",(Dados!C61*Dados!D61+Dados!C62*Dados!D62)/(Dados!C61+Dados!C62)),"")</f>
        <v>0.20777777777777781</v>
      </c>
      <c r="E31" s="48">
        <f>IFERROR(IF((Dados!C61+Dados!C62)=0,"",(Dados!C61*Dados!E61+Dados!C62*Dados!E62)/(Dados!C61+Dados!C62)),"")</f>
        <v>8.7555555555555553E-2</v>
      </c>
      <c r="F31" s="48">
        <f>Dados!J61</f>
        <v>64.92</v>
      </c>
      <c r="G31" s="49">
        <f t="shared" si="0"/>
        <v>0.57860962566844931</v>
      </c>
      <c r="H31" s="50">
        <f t="shared" si="1"/>
        <v>1.1251336898395721</v>
      </c>
      <c r="I31" s="50">
        <f t="shared" si="2"/>
        <v>0.51425855513308005</v>
      </c>
      <c r="J31" s="56">
        <f>Dados!K61</f>
        <v>61.319999999999993</v>
      </c>
      <c r="K31" s="57">
        <f>IFERROR(Dados!K61/Dados!J61,"")</f>
        <v>0.94454713493530484</v>
      </c>
      <c r="L31" s="57">
        <f>IFERROR(Dados!L61/Dados!J61,"")</f>
        <v>1.944547134935305</v>
      </c>
      <c r="M31" s="57">
        <f>Dados!H61</f>
        <v>0.34347395523866114</v>
      </c>
      <c r="N31" s="58" t="str">
        <f>IF(OR(Dados!L61="",Dados!J61=0)," — ",IF(IFERROR(Dados!L61/Dados!J61,0)&lt;0.75,"🔴 CRÍTICO",IF(IFERROR(Dados!L61/Dados!J61,0)&gt;1.3,"🔴 CRÍTICO",IF(OR(IFERROR(Dados!L61/Dados!J61,0)&lt;0.9,IFERROR(Dados!L61/Dados!J61,0)&gt;1.1),"🟡 ATENÇÃO","🟢 OK"))))</f>
        <v>🔴 CRÍTICO</v>
      </c>
    </row>
    <row r="32" spans="1:14" ht="15" customHeight="1" x14ac:dyDescent="0.3">
      <c r="A32" s="45">
        <f>Dados!A63</f>
        <v>46143</v>
      </c>
      <c r="B32" s="46">
        <f>IFERROR(Dados!C63+Dados!C64,"")</f>
        <v>1317</v>
      </c>
      <c r="C32" s="46">
        <f>Dados!L63</f>
        <v>127.34</v>
      </c>
      <c r="D32" s="47">
        <f>IFERROR(IF((Dados!C63+Dados!C64)=0,"",(Dados!C63*Dados!D63+Dados!C64*Dados!D64)/(Dados!C63+Dados!C64)),"")</f>
        <v>0.42999999999999994</v>
      </c>
      <c r="E32" s="59">
        <f>IFERROR(IF((Dados!C63+Dados!C64)=0,"",(Dados!C63*Dados!E63+Dados!C64*Dados!E64)/(Dados!C63+Dados!C64)),"")</f>
        <v>0.24</v>
      </c>
      <c r="F32" s="48">
        <f>Dados!J63</f>
        <v>250.23000000000002</v>
      </c>
      <c r="G32" s="49">
        <f t="shared" si="0"/>
        <v>0.44186046511627902</v>
      </c>
      <c r="H32" s="50">
        <f t="shared" si="1"/>
        <v>0.22485917606964387</v>
      </c>
      <c r="I32" s="50">
        <f t="shared" si="2"/>
        <v>0.50889181952603613</v>
      </c>
      <c r="J32" s="51">
        <f>Dados!K63</f>
        <v>-122.89000000000001</v>
      </c>
      <c r="K32" s="52">
        <f>IFERROR(Dados!K63/Dados!J63,"")</f>
        <v>-0.49110818047396398</v>
      </c>
      <c r="L32" s="52">
        <f>IFERROR(Dados!L63/Dados!J63,"")</f>
        <v>0.50889181952603602</v>
      </c>
      <c r="M32" s="52">
        <f>Dados!H63</f>
        <v>0.44186046511627908</v>
      </c>
      <c r="N32" s="53" t="str">
        <f>IF(OR(Dados!L63="",Dados!J63=0)," — ",IF(IFERROR(Dados!L63/Dados!J63,0)&lt;0.75,"🔴 CRÍTICO",IF(IFERROR(Dados!L63/Dados!J63,0)&gt;1.3,"🔴 CRÍTICO",IF(OR(IFERROR(Dados!L63/Dados!J63,0)&lt;0.9,IFERROR(Dados!L63/Dados!J63,0)&gt;1.1),"🟡 ATENÇÃO","🟢 OK"))))</f>
        <v>🔴 CRÍTICO</v>
      </c>
    </row>
    <row r="33" spans="1:14" ht="15" customHeight="1" x14ac:dyDescent="0.3">
      <c r="A33" s="54">
        <f>Dados!A65</f>
        <v>46144</v>
      </c>
      <c r="B33" s="46">
        <f>IFERROR(Dados!C65+Dados!C66,"")</f>
        <v>2186</v>
      </c>
      <c r="C33" s="55">
        <f>Dados!L65</f>
        <v>165.94</v>
      </c>
      <c r="D33" s="47">
        <f>IFERROR(IF((Dados!C65+Dados!C66)=0,"",(Dados!C65*Dados!D65+Dados!C66*Dados!D66)/(Dados!C65+Dados!C66)),"")</f>
        <v>0.32609332113449224</v>
      </c>
      <c r="E33" s="48">
        <f>IFERROR(IF((Dados!C65+Dados!C66)=0,"",(Dados!C65*Dados!E65+Dados!C66*Dados!E66)/(Dados!C65+Dados!C66)),"")</f>
        <v>0.14173833485818849</v>
      </c>
      <c r="F33" s="48">
        <f>Dados!J65</f>
        <v>403</v>
      </c>
      <c r="G33" s="49">
        <f t="shared" si="0"/>
        <v>0.56534425677571398</v>
      </c>
      <c r="H33" s="50">
        <f t="shared" si="1"/>
        <v>0.23278716121429774</v>
      </c>
      <c r="I33" s="50">
        <f t="shared" si="2"/>
        <v>0.41176178660049634</v>
      </c>
      <c r="J33" s="56">
        <f>Dados!K65</f>
        <v>-237.06</v>
      </c>
      <c r="K33" s="57">
        <f>IFERROR(Dados!K65/Dados!J65,"")</f>
        <v>-0.58823821339950377</v>
      </c>
      <c r="L33" s="57">
        <f>IFERROR(Dados!L65/Dados!J65,"")</f>
        <v>0.41176178660049628</v>
      </c>
      <c r="M33" s="57">
        <f>Dados!H65</f>
        <v>0.40735590118938703</v>
      </c>
      <c r="N33" s="58" t="str">
        <f>IF(OR(Dados!L65="",Dados!J65=0)," — ",IF(IFERROR(Dados!L65/Dados!J65,0)&lt;0.75,"🔴 CRÍTICO",IF(IFERROR(Dados!L65/Dados!J65,0)&gt;1.3,"🔴 CRÍTICO",IF(OR(IFERROR(Dados!L65/Dados!J65,0)&lt;0.9,IFERROR(Dados!L65/Dados!J65,0)&gt;1.1),"🟡 ATENÇÃO","🟢 OK"))))</f>
        <v>🔴 CRÍTICO</v>
      </c>
    </row>
    <row r="34" spans="1:14" ht="15" customHeight="1" x14ac:dyDescent="0.3">
      <c r="A34" s="45">
        <f>Dados!A67</f>
        <v>46145</v>
      </c>
      <c r="B34" s="46">
        <f>IFERROR(Dados!C67+Dados!C68,"")</f>
        <v>1749</v>
      </c>
      <c r="C34" s="46">
        <f>Dados!L67</f>
        <v>63.95</v>
      </c>
      <c r="D34" s="47">
        <f>IFERROR(IF((Dados!C67+Dados!C68)=0,"",(Dados!C67*Dados!D67+Dados!C68*Dados!D68)/(Dados!C67+Dados!C68)),"")</f>
        <v>0.29493424814179531</v>
      </c>
      <c r="E34" s="59">
        <f>IFERROR(IF((Dados!C67+Dados!C68)=0,"",(Dados!C67*Dados!E67+Dados!C68*Dados!E68)/(Dados!C67+Dados!C68)),"")</f>
        <v>0.11356203544882791</v>
      </c>
      <c r="F34" s="48">
        <f>Dados!J67</f>
        <v>317.22000000000008</v>
      </c>
      <c r="G34" s="49">
        <f t="shared" ref="G34:G65" si="3">IFERROR(IF(D34=0,"",(D34-E34)/D34),"")</f>
        <v>0.61495812655086846</v>
      </c>
      <c r="H34" s="50">
        <f t="shared" ref="H34:H65" si="4">IFERROR(IF(OR(B34=0,D34=0),"",C34/(B34*D34)),"")</f>
        <v>0.12397254962779156</v>
      </c>
      <c r="I34" s="50">
        <f t="shared" ref="I34:I65" si="5">IFERROR(IF(OR(G34=0,H34=0),"",MAX(0,MIN(G34,H34)/MAX(G34,H34))),"")</f>
        <v>0.20159510749637474</v>
      </c>
      <c r="J34" s="51">
        <f>Dados!K67</f>
        <v>-253.2700000000001</v>
      </c>
      <c r="K34" s="52">
        <f>IFERROR(Dados!K67/Dados!J67,"")</f>
        <v>-0.79840489250362534</v>
      </c>
      <c r="L34" s="52">
        <f>IFERROR(Dados!L67/Dados!J67,"")</f>
        <v>0.20159510749637471</v>
      </c>
      <c r="M34" s="52">
        <f>Dados!H67</f>
        <v>0.61199365712869236</v>
      </c>
      <c r="N34" s="53" t="str">
        <f>IF(OR(Dados!L67="",Dados!J67=0)," — ",IF(IFERROR(Dados!L67/Dados!J67,0)&lt;0.75,"🔴 CRÍTICO",IF(IFERROR(Dados!L67/Dados!J67,0)&gt;1.3,"🔴 CRÍTICO",IF(OR(IFERROR(Dados!L67/Dados!J67,0)&lt;0.9,IFERROR(Dados!L67/Dados!J67,0)&gt;1.1),"🟡 ATENÇÃO","🟢 OK"))))</f>
        <v>🔴 CRÍTICO</v>
      </c>
    </row>
    <row r="35" spans="1:14" ht="15" customHeight="1" x14ac:dyDescent="0.3">
      <c r="A35" s="54">
        <f>Dados!A69</f>
        <v>46146</v>
      </c>
      <c r="B35" s="46">
        <f>IFERROR(Dados!C69+Dados!C70,"")</f>
        <v>1376</v>
      </c>
      <c r="C35" s="55">
        <f>Dados!L69</f>
        <v>134.59</v>
      </c>
      <c r="D35" s="47">
        <f>IFERROR(IF((Dados!C69+Dados!C70)=0,"",(Dados!C69*Dados!D69+Dados!C70*Dados!D70)/(Dados!C69+Dados!C70)),"")</f>
        <v>0.20000000000000004</v>
      </c>
      <c r="E35" s="48">
        <f>IFERROR(IF((Dados!C69+Dados!C70)=0,"",(Dados!C69*Dados!E69+Dados!C70*Dados!E70)/(Dados!C69+Dados!C70)),"")</f>
        <v>0.10468023255813953</v>
      </c>
      <c r="F35" s="48">
        <f>Dados!J69</f>
        <v>131.16000000000003</v>
      </c>
      <c r="G35" s="49">
        <f t="shared" si="3"/>
        <v>0.47659883720930246</v>
      </c>
      <c r="H35" s="50">
        <f t="shared" si="4"/>
        <v>0.48906249999999996</v>
      </c>
      <c r="I35" s="50">
        <f t="shared" si="5"/>
        <v>0.97451519429378153</v>
      </c>
      <c r="J35" s="56">
        <f>Dados!K69</f>
        <v>3.4299999999999784</v>
      </c>
      <c r="K35" s="57">
        <f>IFERROR(Dados!K69/Dados!J69,"")</f>
        <v>2.6151265629765004E-2</v>
      </c>
      <c r="L35" s="57">
        <f>IFERROR(Dados!L69/Dados!J69,"")</f>
        <v>1.0261512656297651</v>
      </c>
      <c r="M35" s="57">
        <f>Dados!H69</f>
        <v>0.47659883720930246</v>
      </c>
      <c r="N35" s="58" t="str">
        <f>IF(OR(Dados!L69="",Dados!J69=0)," — ",IF(IFERROR(Dados!L69/Dados!J69,0)&lt;0.75,"🔴 CRÍTICO",IF(IFERROR(Dados!L69/Dados!J69,0)&gt;1.3,"🔴 CRÍTICO",IF(OR(IFERROR(Dados!L69/Dados!J69,0)&lt;0.9,IFERROR(Dados!L69/Dados!J69,0)&gt;1.1),"🟡 ATENÇÃO","🟢 OK"))))</f>
        <v>🟢 OK</v>
      </c>
    </row>
    <row r="36" spans="1:14" ht="15" customHeight="1" x14ac:dyDescent="0.3">
      <c r="A36" s="45">
        <f>Dados!A71</f>
        <v>46147</v>
      </c>
      <c r="B36" s="46">
        <f>IFERROR(Dados!C71+Dados!C72,"")</f>
        <v>1244</v>
      </c>
      <c r="C36" s="46">
        <f>Dados!L71</f>
        <v>130.69</v>
      </c>
      <c r="D36" s="47">
        <f>IFERROR(IF((Dados!C71+Dados!C72)=0,"",(Dados!C71*Dados!D71+Dados!C72*Dados!D72)/(Dados!C71+Dados!C72)),"")</f>
        <v>0.23999999999999996</v>
      </c>
      <c r="E36" s="59">
        <f>IFERROR(IF((Dados!C71+Dados!C72)=0,"",(Dados!C71*Dados!E71+Dados!C72*Dados!E72)/(Dados!C71+Dados!C72)),"")</f>
        <v>0.16</v>
      </c>
      <c r="F36" s="48">
        <f>Dados!J71</f>
        <v>99.519999999999982</v>
      </c>
      <c r="G36" s="49">
        <f t="shared" si="3"/>
        <v>0.3333333333333332</v>
      </c>
      <c r="H36" s="50">
        <f t="shared" si="4"/>
        <v>0.43773445873526268</v>
      </c>
      <c r="I36" s="50">
        <f t="shared" si="5"/>
        <v>0.76149667151273959</v>
      </c>
      <c r="J36" s="51">
        <f>Dados!K71</f>
        <v>31.170000000000016</v>
      </c>
      <c r="K36" s="52">
        <f>IFERROR(Dados!K71/Dados!J71,"")</f>
        <v>0.31320337620578798</v>
      </c>
      <c r="L36" s="52">
        <f>IFERROR(Dados!L71/Dados!J71,"")</f>
        <v>1.313203376205788</v>
      </c>
      <c r="M36" s="52">
        <f>Dados!H71</f>
        <v>0.33333333333333331</v>
      </c>
      <c r="N36" s="53" t="str">
        <f>IF(OR(Dados!L71="",Dados!J71=0)," — ",IF(IFERROR(Dados!L71/Dados!J71,0)&lt;0.75,"🔴 CRÍTICO",IF(IFERROR(Dados!L71/Dados!J71,0)&gt;1.3,"🔴 CRÍTICO",IF(OR(IFERROR(Dados!L71/Dados!J71,0)&lt;0.9,IFERROR(Dados!L71/Dados!J71,0)&gt;1.1),"🟡 ATENÇÃO","🟢 OK"))))</f>
        <v>🔴 CRÍTICO</v>
      </c>
    </row>
    <row r="37" spans="1:14" ht="15" customHeight="1" x14ac:dyDescent="0.3">
      <c r="A37" s="54">
        <f>Dados!A73</f>
        <v>46148</v>
      </c>
      <c r="B37" s="46">
        <f>IFERROR(Dados!C73+Dados!C74,"")</f>
        <v>1292</v>
      </c>
      <c r="C37" s="55">
        <f>Dados!L73</f>
        <v>208.94</v>
      </c>
      <c r="D37" s="47">
        <f>IFERROR(IF((Dados!C73+Dados!C74)=0,"",(Dados!C73*Dados!D73+Dados!C74*Dados!D74)/(Dados!C73+Dados!C74)),"")</f>
        <v>0.19572755417956655</v>
      </c>
      <c r="E37" s="48">
        <f>IFERROR(IF((Dados!C73+Dados!C74)=0,"",(Dados!C73*Dados!E73+Dados!C74*Dados!E74)/(Dados!C73+Dados!C74)),"")</f>
        <v>0.14130030959752321</v>
      </c>
      <c r="F37" s="48">
        <f>Dados!J73</f>
        <v>70.319999999999993</v>
      </c>
      <c r="G37" s="49">
        <f t="shared" si="3"/>
        <v>0.27807655805124964</v>
      </c>
      <c r="H37" s="50">
        <f t="shared" si="4"/>
        <v>0.82624169566592853</v>
      </c>
      <c r="I37" s="50">
        <f t="shared" si="5"/>
        <v>0.33655594907628988</v>
      </c>
      <c r="J37" s="56">
        <f>Dados!K73</f>
        <v>138.62</v>
      </c>
      <c r="K37" s="57">
        <f>IFERROR(Dados!K73/Dados!J73,"")</f>
        <v>1.9712741751990901</v>
      </c>
      <c r="L37" s="57">
        <f>IFERROR(Dados!L73/Dados!J73,"")</f>
        <v>2.9712741751990901</v>
      </c>
      <c r="M37" s="57">
        <f>Dados!H73</f>
        <v>0.30583812472357363</v>
      </c>
      <c r="N37" s="58" t="str">
        <f>IF(OR(Dados!L73="",Dados!J73=0)," — ",IF(IFERROR(Dados!L73/Dados!J73,0)&lt;0.75,"🔴 CRÍTICO",IF(IFERROR(Dados!L73/Dados!J73,0)&gt;1.3,"🔴 CRÍTICO",IF(OR(IFERROR(Dados!L73/Dados!J73,0)&lt;0.9,IFERROR(Dados!L73/Dados!J73,0)&gt;1.1),"🟡 ATENÇÃO","🟢 OK"))))</f>
        <v>🔴 CRÍTICO</v>
      </c>
    </row>
    <row r="38" spans="1:14" ht="15" customHeight="1" x14ac:dyDescent="0.3">
      <c r="A38" s="45">
        <f>Dados!A75</f>
        <v>46149</v>
      </c>
      <c r="B38" s="46">
        <f>IFERROR(Dados!C75+Dados!C76,"")</f>
        <v>1122</v>
      </c>
      <c r="C38" s="46">
        <f>Dados!L75</f>
        <v>268.49</v>
      </c>
      <c r="D38" s="47">
        <f>IFERROR(IF((Dados!C75+Dados!C76)=0,"",(Dados!C75*Dados!D75+Dados!C76*Dados!D76)/(Dados!C75+Dados!C76)),"")</f>
        <v>0.21288770053475936</v>
      </c>
      <c r="E38" s="59">
        <f>IFERROR(IF((Dados!C75+Dados!C76)=0,"",(Dados!C75*Dados!E75+Dados!C76*Dados!E76)/(Dados!C75+Dados!C76)),"")</f>
        <v>0.1181283422459893</v>
      </c>
      <c r="F38" s="48">
        <f>Dados!J75</f>
        <v>106.32000000000002</v>
      </c>
      <c r="G38" s="49">
        <f t="shared" si="3"/>
        <v>0.44511429289123339</v>
      </c>
      <c r="H38" s="50">
        <f t="shared" si="4"/>
        <v>1.1240475592397219</v>
      </c>
      <c r="I38" s="50">
        <f t="shared" si="5"/>
        <v>0.39599240195165564</v>
      </c>
      <c r="J38" s="51">
        <f>Dados!K75</f>
        <v>162.16999999999999</v>
      </c>
      <c r="K38" s="52">
        <f>IFERROR(Dados!K75/Dados!J75,"")</f>
        <v>1.5253009781790816</v>
      </c>
      <c r="L38" s="52">
        <f>IFERROR(Dados!L75/Dados!J75,"")</f>
        <v>2.5253009781790814</v>
      </c>
      <c r="M38" s="52">
        <f>Dados!H75</f>
        <v>0.49197860962566847</v>
      </c>
      <c r="N38" s="53" t="str">
        <f>IF(OR(Dados!L75="",Dados!J75=0)," — ",IF(IFERROR(Dados!L75/Dados!J75,0)&lt;0.75,"🔴 CRÍTICO",IF(IFERROR(Dados!L75/Dados!J75,0)&gt;1.3,"🔴 CRÍTICO",IF(OR(IFERROR(Dados!L75/Dados!J75,0)&lt;0.9,IFERROR(Dados!L75/Dados!J75,0)&gt;1.1),"🟡 ATENÇÃO","🟢 OK"))))</f>
        <v>🔴 CRÍTICO</v>
      </c>
    </row>
    <row r="39" spans="1:14" ht="15" customHeight="1" x14ac:dyDescent="0.3">
      <c r="A39" s="54">
        <f>Dados!A77</f>
        <v>46150</v>
      </c>
      <c r="B39" s="46">
        <f>IFERROR(Dados!C77+Dados!C78,"")</f>
        <v>1061</v>
      </c>
      <c r="C39" s="55">
        <f>Dados!L77</f>
        <v>135.54</v>
      </c>
      <c r="D39" s="47">
        <f>IFERROR(IF((Dados!C77+Dados!C78)=0,"",(Dados!C77*Dados!D77+Dados!C78*Dados!D78)/(Dados!C77+Dados!C78)),"")</f>
        <v>0.17729500471253534</v>
      </c>
      <c r="E39" s="48">
        <f>IFERROR(IF((Dados!C77+Dados!C78)=0,"",(Dados!C77*Dados!E77+Dados!C78*Dados!E78)/(Dados!C77+Dados!C78)),"")</f>
        <v>9.803958529688972E-2</v>
      </c>
      <c r="F39" s="48">
        <f>Dados!J77</f>
        <v>84.09</v>
      </c>
      <c r="G39" s="49">
        <f t="shared" si="3"/>
        <v>0.44702567646589764</v>
      </c>
      <c r="H39" s="50">
        <f t="shared" si="4"/>
        <v>0.7205358566796024</v>
      </c>
      <c r="I39" s="50">
        <f t="shared" si="5"/>
        <v>0.62040725984949097</v>
      </c>
      <c r="J39" s="56">
        <f>Dados!K77</f>
        <v>51.449999999999989</v>
      </c>
      <c r="K39" s="57">
        <f>IFERROR(Dados!K77/Dados!J77,"")</f>
        <v>0.61184445237245788</v>
      </c>
      <c r="L39" s="57">
        <f>IFERROR(Dados!L77/Dados!J77,"")</f>
        <v>1.611844452372458</v>
      </c>
      <c r="M39" s="57">
        <f>Dados!H77</f>
        <v>0.42791683585848239</v>
      </c>
      <c r="N39" s="58" t="str">
        <f>IF(OR(Dados!L77="",Dados!J77=0)," — ",IF(IFERROR(Dados!L77/Dados!J77,0)&lt;0.75,"🔴 CRÍTICO",IF(IFERROR(Dados!L77/Dados!J77,0)&gt;1.3,"🔴 CRÍTICO",IF(OR(IFERROR(Dados!L77/Dados!J77,0)&lt;0.9,IFERROR(Dados!L77/Dados!J77,0)&gt;1.1),"🟡 ATENÇÃO","🟢 OK"))))</f>
        <v>🔴 CRÍTICO</v>
      </c>
    </row>
    <row r="40" spans="1:14" ht="15" customHeight="1" x14ac:dyDescent="0.3">
      <c r="A40" s="45">
        <f>Dados!A79</f>
        <v>46151</v>
      </c>
      <c r="B40" s="46">
        <f>IFERROR(Dados!C79+Dados!C80,"")</f>
        <v>1625</v>
      </c>
      <c r="C40" s="46">
        <f>Dados!L79</f>
        <v>102.91</v>
      </c>
      <c r="D40" s="47">
        <f>IFERROR(IF((Dados!C79+Dados!C80)=0,"",(Dados!C79*Dados!D79+Dados!C80*Dados!D80)/(Dados!C79+Dados!C80)),"")</f>
        <v>0.11</v>
      </c>
      <c r="E40" s="59">
        <f>IFERROR(IF((Dados!C79+Dados!C80)=0,"",(Dados!C79*Dados!E79+Dados!C80*Dados!E80)/(Dados!C79+Dados!C80)),"")</f>
        <v>0.05</v>
      </c>
      <c r="F40" s="48">
        <f>Dados!J79</f>
        <v>97.5</v>
      </c>
      <c r="G40" s="49">
        <f t="shared" si="3"/>
        <v>0.54545454545454541</v>
      </c>
      <c r="H40" s="50">
        <f t="shared" si="4"/>
        <v>0.57572027972027973</v>
      </c>
      <c r="I40" s="50">
        <f t="shared" si="5"/>
        <v>0.94742979302302976</v>
      </c>
      <c r="J40" s="51">
        <f>Dados!K79</f>
        <v>5.4099999999999966</v>
      </c>
      <c r="K40" s="52">
        <f>IFERROR(Dados!K79/Dados!J79,"")</f>
        <v>5.5487179487179454E-2</v>
      </c>
      <c r="L40" s="52">
        <f>IFERROR(Dados!L79/Dados!J79,"")</f>
        <v>1.0554871794871794</v>
      </c>
      <c r="M40" s="52">
        <f>Dados!H79</f>
        <v>0.54545454545454541</v>
      </c>
      <c r="N40" s="53" t="str">
        <f>IF(OR(Dados!L79="",Dados!J79=0)," — ",IF(IFERROR(Dados!L79/Dados!J79,0)&lt;0.75,"🔴 CRÍTICO",IF(IFERROR(Dados!L79/Dados!J79,0)&gt;1.3,"🔴 CRÍTICO",IF(OR(IFERROR(Dados!L79/Dados!J79,0)&lt;0.9,IFERROR(Dados!L79/Dados!J79,0)&gt;1.1),"🟡 ATENÇÃO","🟢 OK"))))</f>
        <v>🟢 OK</v>
      </c>
    </row>
    <row r="41" spans="1:14" ht="15" customHeight="1" x14ac:dyDescent="0.3">
      <c r="A41" s="54">
        <f>Dados!A81</f>
        <v>46152</v>
      </c>
      <c r="B41" s="46">
        <f>IFERROR(Dados!C81+Dados!C82,"")</f>
        <v>916</v>
      </c>
      <c r="C41" s="55">
        <f>Dados!L81</f>
        <v>105.62</v>
      </c>
      <c r="D41" s="47">
        <f>IFERROR(IF((Dados!C81+Dados!C82)=0,"",(Dados!C81*Dados!D81+Dados!C82*Dados!D82)/(Dados!C81+Dados!C82)),"")</f>
        <v>7.4028384279475987E-2</v>
      </c>
      <c r="E41" s="48">
        <f>IFERROR(IF((Dados!C81+Dados!C82)=0,"",(Dados!C81*Dados!E81+Dados!C82*Dados!E82)/(Dados!C81+Dados!C82)),"")</f>
        <v>8.3165938864628822E-2</v>
      </c>
      <c r="F41" s="48">
        <f>Dados!J81</f>
        <v>-8.3700000000000045</v>
      </c>
      <c r="G41" s="49">
        <f t="shared" si="3"/>
        <v>-0.12343312195841316</v>
      </c>
      <c r="H41" s="50">
        <f t="shared" si="4"/>
        <v>1.5575873764931427</v>
      </c>
      <c r="I41" s="50">
        <f t="shared" si="5"/>
        <v>0</v>
      </c>
      <c r="J41" s="56">
        <f>Dados!K81</f>
        <v>113.99000000000001</v>
      </c>
      <c r="K41" s="57">
        <f>IFERROR(Dados!K81/Dados!J81,"")</f>
        <v>-13.618876941457581</v>
      </c>
      <c r="L41" s="57">
        <f>IFERROR(Dados!L81/Dados!J81,"")</f>
        <v>-12.618876941457581</v>
      </c>
      <c r="M41" s="57">
        <f>Dados!H81</f>
        <v>-0.30107847029244417</v>
      </c>
      <c r="N41" s="58" t="str">
        <f>IF(OR(Dados!L81="",Dados!J81=0)," — ",IF(IFERROR(Dados!L81/Dados!J81,0)&lt;0.75,"🔴 CRÍTICO",IF(IFERROR(Dados!L81/Dados!J81,0)&gt;1.3,"🔴 CRÍTICO",IF(OR(IFERROR(Dados!L81/Dados!J81,0)&lt;0.9,IFERROR(Dados!L81/Dados!J81,0)&gt;1.1),"🟡 ATENÇÃO","🟢 OK"))))</f>
        <v>🔴 CRÍTICO</v>
      </c>
    </row>
    <row r="42" spans="1:14" ht="15" customHeight="1" x14ac:dyDescent="0.3">
      <c r="A42" s="45">
        <f>Dados!A83</f>
        <v>46153</v>
      </c>
      <c r="B42" s="46">
        <f>IFERROR(Dados!C83+Dados!C84,"")</f>
        <v>683</v>
      </c>
      <c r="C42" s="46">
        <f>Dados!L83</f>
        <v>78.739999999999995</v>
      </c>
      <c r="D42" s="47">
        <f>IFERROR(IF((Dados!C83+Dados!C84)=0,"",(Dados!C83*Dados!D83+Dados!C84*Dados!D84)/(Dados!C83+Dados!C84)),"")</f>
        <v>0.35323572474377746</v>
      </c>
      <c r="E42" s="59">
        <f>IFERROR(IF((Dados!C83+Dados!C84)=0,"",(Dados!C83*Dados!E83+Dados!C84*Dados!E84)/(Dados!C83+Dados!C84)),"")</f>
        <v>0.11781844802342606</v>
      </c>
      <c r="F42" s="48">
        <f>Dados!J83</f>
        <v>160.79</v>
      </c>
      <c r="G42" s="49">
        <f t="shared" si="3"/>
        <v>0.6664594213711349</v>
      </c>
      <c r="H42" s="50">
        <f t="shared" si="4"/>
        <v>0.32636989140346512</v>
      </c>
      <c r="I42" s="50">
        <f t="shared" si="5"/>
        <v>0.48970707133528202</v>
      </c>
      <c r="J42" s="51">
        <f>Dados!K83</f>
        <v>-82.05</v>
      </c>
      <c r="K42" s="52">
        <f>IFERROR(Dados!K83/Dados!J83,"")</f>
        <v>-0.51029292866471798</v>
      </c>
      <c r="L42" s="52">
        <f>IFERROR(Dados!L83/Dados!J83,"")</f>
        <v>0.48970707133528202</v>
      </c>
      <c r="M42" s="52">
        <f>Dados!H83</f>
        <v>0.64529735759603979</v>
      </c>
      <c r="N42" s="53" t="str">
        <f>IF(OR(Dados!L83="",Dados!J83=0)," — ",IF(IFERROR(Dados!L83/Dados!J83,0)&lt;0.75,"🔴 CRÍTICO",IF(IFERROR(Dados!L83/Dados!J83,0)&gt;1.3,"🔴 CRÍTICO",IF(OR(IFERROR(Dados!L83/Dados!J83,0)&lt;0.9,IFERROR(Dados!L83/Dados!J83,0)&gt;1.1),"🟡 ATENÇÃO","🟢 OK"))))</f>
        <v>🔴 CRÍTICO</v>
      </c>
    </row>
    <row r="43" spans="1:14" ht="15" customHeight="1" x14ac:dyDescent="0.3">
      <c r="A43" s="54">
        <f>Dados!A85</f>
        <v>46154</v>
      </c>
      <c r="B43" s="46">
        <f>IFERROR(Dados!C85+Dados!C86,"")</f>
        <v>628</v>
      </c>
      <c r="C43" s="55">
        <f>Dados!L85</f>
        <v>162.99</v>
      </c>
      <c r="D43" s="47">
        <f>IFERROR(IF((Dados!C85+Dados!C86)=0,"",(Dados!C85*Dados!D85+Dados!C86*Dados!D86)/(Dados!C85+Dados!C86)),"")</f>
        <v>0.40503184713375801</v>
      </c>
      <c r="E43" s="48">
        <f>IFERROR(IF((Dados!C85+Dados!C86)=0,"",(Dados!C85*Dados!E85+Dados!C86*Dados!E86)/(Dados!C85+Dados!C86)),"")</f>
        <v>0.10133757961783439</v>
      </c>
      <c r="F43" s="48">
        <f>Dados!J85</f>
        <v>190.72</v>
      </c>
      <c r="G43" s="49">
        <f t="shared" si="3"/>
        <v>0.74980342821198298</v>
      </c>
      <c r="H43" s="50">
        <f t="shared" si="4"/>
        <v>0.64078471457776376</v>
      </c>
      <c r="I43" s="50">
        <f t="shared" si="5"/>
        <v>0.85460360738255037</v>
      </c>
      <c r="J43" s="56">
        <f>Dados!K85</f>
        <v>-27.72999999999999</v>
      </c>
      <c r="K43" s="57">
        <f>IFERROR(Dados!K85/Dados!J85,"")</f>
        <v>-0.1453963926174496</v>
      </c>
      <c r="L43" s="57">
        <f>IFERROR(Dados!L85/Dados!J85,"")</f>
        <v>0.85460360738255037</v>
      </c>
      <c r="M43" s="57">
        <f>Dados!H85</f>
        <v>0.74551090933730857</v>
      </c>
      <c r="N43" s="58" t="str">
        <f>IF(OR(Dados!L85="",Dados!J85=0)," — ",IF(IFERROR(Dados!L85/Dados!J85,0)&lt;0.75,"🔴 CRÍTICO",IF(IFERROR(Dados!L85/Dados!J85,0)&gt;1.3,"🔴 CRÍTICO",IF(OR(IFERROR(Dados!L85/Dados!J85,0)&lt;0.9,IFERROR(Dados!L85/Dados!J85,0)&gt;1.1),"🟡 ATENÇÃO","🟢 OK"))))</f>
        <v>🟡 ATENÇÃO</v>
      </c>
    </row>
    <row r="44" spans="1:14" ht="15" customHeight="1" x14ac:dyDescent="0.3">
      <c r="A44" s="45">
        <f>Dados!A87</f>
        <v>46155</v>
      </c>
      <c r="B44" s="46">
        <f>IFERROR(Dados!C87+Dados!C88,"")</f>
        <v>898</v>
      </c>
      <c r="C44" s="46">
        <f>Dados!L87</f>
        <v>82.17</v>
      </c>
      <c r="D44" s="47">
        <f>IFERROR(IF((Dados!C87+Dados!C88)=0,"",(Dados!C87*Dados!D87+Dados!C88*Dados!D88)/(Dados!C87+Dados!C88)),"")</f>
        <v>0.20094654788418706</v>
      </c>
      <c r="E44" s="59">
        <f>IFERROR(IF((Dados!C87+Dados!C88)=0,"",(Dados!C87*Dados!E87+Dados!C88*Dados!E88)/(Dados!C87+Dados!C88)),"")</f>
        <v>8.761692650334077E-2</v>
      </c>
      <c r="F44" s="48">
        <f>Dados!J87</f>
        <v>101.76999999999998</v>
      </c>
      <c r="G44" s="49">
        <f t="shared" si="3"/>
        <v>0.56397894153505113</v>
      </c>
      <c r="H44" s="50">
        <f t="shared" si="4"/>
        <v>0.45536159600997511</v>
      </c>
      <c r="I44" s="50">
        <f t="shared" si="5"/>
        <v>0.80740886312272797</v>
      </c>
      <c r="J44" s="51">
        <f>Dados!K87</f>
        <v>-19.59999999999998</v>
      </c>
      <c r="K44" s="52">
        <f>IFERROR(Dados!K87/Dados!J87,"")</f>
        <v>-0.19259113687727211</v>
      </c>
      <c r="L44" s="52">
        <f>IFERROR(Dados!L87/Dados!J87,"")</f>
        <v>0.80740886312272786</v>
      </c>
      <c r="M44" s="52">
        <f>Dados!H87</f>
        <v>0.56139228084547188</v>
      </c>
      <c r="N44" s="53" t="str">
        <f>IF(OR(Dados!L87="",Dados!J87=0)," — ",IF(IFERROR(Dados!L87/Dados!J87,0)&lt;0.75,"🔴 CRÍTICO",IF(IFERROR(Dados!L87/Dados!J87,0)&gt;1.3,"🔴 CRÍTICO",IF(OR(IFERROR(Dados!L87/Dados!J87,0)&lt;0.9,IFERROR(Dados!L87/Dados!J87,0)&gt;1.1),"🟡 ATENÇÃO","🟢 OK"))))</f>
        <v>🟡 ATENÇÃO</v>
      </c>
    </row>
    <row r="45" spans="1:14" ht="15" customHeight="1" x14ac:dyDescent="0.3">
      <c r="A45" s="54">
        <f>Dados!A89</f>
        <v>46156</v>
      </c>
      <c r="B45" s="46">
        <f>IFERROR(Dados!C89+Dados!C90,"")</f>
        <v>1436</v>
      </c>
      <c r="C45" s="55">
        <f>Dados!L89</f>
        <v>114.49</v>
      </c>
      <c r="D45" s="47">
        <f>IFERROR(IF((Dados!C89+Dados!C90)=0,"",(Dados!C89*Dados!D89+Dados!C90*Dados!D90)/(Dados!C89+Dados!C90)),"")</f>
        <v>0.28401114206128136</v>
      </c>
      <c r="E45" s="48">
        <f>IFERROR(IF((Dados!C89+Dados!C90)=0,"",(Dados!C89*Dados!E89+Dados!C90*Dados!E90)/(Dados!C89+Dados!C90)),"")</f>
        <v>6.8802228412256264E-2</v>
      </c>
      <c r="F45" s="48">
        <f>Dados!J89</f>
        <v>309.03999999999996</v>
      </c>
      <c r="G45" s="49">
        <f t="shared" si="3"/>
        <v>0.7577481365241272</v>
      </c>
      <c r="H45" s="50">
        <f t="shared" si="4"/>
        <v>0.28072283248332675</v>
      </c>
      <c r="I45" s="50">
        <f t="shared" si="5"/>
        <v>0.37046984209163852</v>
      </c>
      <c r="J45" s="56">
        <f>Dados!K89</f>
        <v>-194.54999999999995</v>
      </c>
      <c r="K45" s="57">
        <f>IFERROR(Dados!K89/Dados!J89,"")</f>
        <v>-0.62953015790836131</v>
      </c>
      <c r="L45" s="57">
        <f>IFERROR(Dados!L89/Dados!J89,"")</f>
        <v>0.37046984209163863</v>
      </c>
      <c r="M45" s="57">
        <f>Dados!H89</f>
        <v>0.75430547530550107</v>
      </c>
      <c r="N45" s="58" t="str">
        <f>IF(OR(Dados!L89="",Dados!J89=0)," — ",IF(IFERROR(Dados!L89/Dados!J89,0)&lt;0.75,"🔴 CRÍTICO",IF(IFERROR(Dados!L89/Dados!J89,0)&gt;1.3,"🔴 CRÍTICO",IF(OR(IFERROR(Dados!L89/Dados!J89,0)&lt;0.9,IFERROR(Dados!L89/Dados!J89,0)&gt;1.1),"🟡 ATENÇÃO","🟢 OK"))))</f>
        <v>🔴 CRÍTICO</v>
      </c>
    </row>
    <row r="46" spans="1:14" ht="15" customHeight="1" x14ac:dyDescent="0.3">
      <c r="A46" s="45">
        <f>Dados!A91</f>
        <v>46157</v>
      </c>
      <c r="B46" s="46">
        <f>IFERROR(Dados!C91+Dados!C92,"")</f>
        <v>1360</v>
      </c>
      <c r="C46" s="46">
        <f>Dados!L91</f>
        <v>292.45999999999998</v>
      </c>
      <c r="D46" s="47">
        <f>IFERROR(IF((Dados!C91+Dados!C92)=0,"",(Dados!C91*Dados!D91+Dados!C92*Dados!D92)/(Dados!C91+Dados!C92)),"")</f>
        <v>0.38362499999999999</v>
      </c>
      <c r="E46" s="59">
        <f>IFERROR(IF((Dados!C91+Dados!C92)=0,"",(Dados!C91*Dados!E91+Dados!C92*Dados!E92)/(Dados!C91+Dados!C92)),"")</f>
        <v>0.1468529411764706</v>
      </c>
      <c r="F46" s="48">
        <f>Dados!J91</f>
        <v>322.01</v>
      </c>
      <c r="G46" s="49">
        <f t="shared" si="3"/>
        <v>0.61719663427443305</v>
      </c>
      <c r="H46" s="50">
        <f t="shared" si="4"/>
        <v>0.56055814310083751</v>
      </c>
      <c r="I46" s="50">
        <f t="shared" si="5"/>
        <v>0.90823266358187638</v>
      </c>
      <c r="J46" s="51">
        <f>Dados!K91</f>
        <v>-29.550000000000011</v>
      </c>
      <c r="K46" s="52">
        <f>IFERROR(Dados!K91/Dados!J91,"")</f>
        <v>-9.1767336418123693E-2</v>
      </c>
      <c r="L46" s="52">
        <f>IFERROR(Dados!L91/Dados!J91,"")</f>
        <v>0.90823266358187627</v>
      </c>
      <c r="M46" s="52">
        <f>Dados!H91</f>
        <v>0.55776727357609712</v>
      </c>
      <c r="N46" s="53" t="str">
        <f>IF(OR(Dados!L91="",Dados!J91=0)," — ",IF(IFERROR(Dados!L91/Dados!J91,0)&lt;0.75,"🔴 CRÍTICO",IF(IFERROR(Dados!L91/Dados!J91,0)&gt;1.3,"🔴 CRÍTICO",IF(OR(IFERROR(Dados!L91/Dados!J91,0)&lt;0.9,IFERROR(Dados!L91/Dados!J91,0)&gt;1.1),"🟡 ATENÇÃO","🟢 OK"))))</f>
        <v>🟢 OK</v>
      </c>
    </row>
    <row r="47" spans="1:14" ht="15" customHeight="1" x14ac:dyDescent="0.3">
      <c r="A47" s="54">
        <f>Dados!A93</f>
        <v>46158</v>
      </c>
      <c r="B47" s="46">
        <f>IFERROR(Dados!C93+Dados!C94,"")</f>
        <v>1232</v>
      </c>
      <c r="C47" s="55">
        <f>Dados!L93</f>
        <v>306.69</v>
      </c>
      <c r="D47" s="47">
        <f>IFERROR(IF((Dados!C93+Dados!C94)=0,"",(Dados!C93*Dados!D93+Dados!C94*Dados!D94)/(Dados!C93+Dados!C94)),"")</f>
        <v>0.44948051948051948</v>
      </c>
      <c r="E47" s="48">
        <f>IFERROR(IF((Dados!C93+Dados!C94)=0,"",(Dados!C93*Dados!E93+Dados!C94*Dados!E94)/(Dados!C93+Dados!C94)),"")</f>
        <v>0.15571428571428572</v>
      </c>
      <c r="F47" s="48">
        <f>Dados!J93</f>
        <v>361.92</v>
      </c>
      <c r="G47" s="49">
        <f t="shared" si="3"/>
        <v>0.65356833285177696</v>
      </c>
      <c r="H47" s="50">
        <f t="shared" si="4"/>
        <v>0.55383198497544062</v>
      </c>
      <c r="I47" s="50">
        <f t="shared" si="5"/>
        <v>0.84739721485411135</v>
      </c>
      <c r="J47" s="56">
        <f>Dados!K93</f>
        <v>-55.230000000000018</v>
      </c>
      <c r="K47" s="57">
        <f>IFERROR(Dados!K93/Dados!J93,"")</f>
        <v>-0.15260278514588863</v>
      </c>
      <c r="L47" s="57">
        <f>IFERROR(Dados!L93/Dados!J93,"")</f>
        <v>0.84739721485411135</v>
      </c>
      <c r="M47" s="57">
        <f>Dados!H93</f>
        <v>0.61761252446183967</v>
      </c>
      <c r="N47" s="58" t="str">
        <f>IF(OR(Dados!L93="",Dados!J93=0)," — ",IF(IFERROR(Dados!L93/Dados!J93,0)&lt;0.75,"🔴 CRÍTICO",IF(IFERROR(Dados!L93/Dados!J93,0)&gt;1.3,"🔴 CRÍTICO",IF(OR(IFERROR(Dados!L93/Dados!J93,0)&lt;0.9,IFERROR(Dados!L93/Dados!J93,0)&gt;1.1),"🟡 ATENÇÃO","🟢 OK"))))</f>
        <v>🟡 ATENÇÃO</v>
      </c>
    </row>
    <row r="48" spans="1:14" ht="15" customHeight="1" x14ac:dyDescent="0.3">
      <c r="A48" s="45">
        <f>Dados!A95</f>
        <v>46159</v>
      </c>
      <c r="B48" s="46">
        <f>IFERROR(Dados!C95+Dados!C96,"")</f>
        <v>916</v>
      </c>
      <c r="C48" s="46">
        <f>Dados!L95</f>
        <v>316.18</v>
      </c>
      <c r="D48" s="47">
        <f>IFERROR(IF((Dados!C95+Dados!C96)=0,"",(Dados!C95*Dados!D95+Dados!C96*Dados!D96)/(Dados!C95+Dados!C96)),"")</f>
        <v>0.51720524017467251</v>
      </c>
      <c r="E48" s="59">
        <f>IFERROR(IF((Dados!C95+Dados!C96)=0,"",(Dados!C95*Dados!E95+Dados!C96*Dados!E96)/(Dados!C95+Dados!C96)),"")</f>
        <v>7.2052401746724892E-2</v>
      </c>
      <c r="F48" s="48">
        <f>Dados!J95</f>
        <v>407.76</v>
      </c>
      <c r="G48" s="49">
        <f t="shared" si="3"/>
        <v>0.8606889564336373</v>
      </c>
      <c r="H48" s="50">
        <f t="shared" si="4"/>
        <v>0.66738432961837224</v>
      </c>
      <c r="I48" s="50">
        <f t="shared" si="5"/>
        <v>0.7754071022169905</v>
      </c>
      <c r="J48" s="51">
        <f>Dados!K95</f>
        <v>-91.579999999999984</v>
      </c>
      <c r="K48" s="52">
        <f>IFERROR(Dados!K95/Dados!J95,"")</f>
        <v>-0.22459289778300959</v>
      </c>
      <c r="L48" s="52">
        <f>IFERROR(Dados!L95/Dados!J95,"")</f>
        <v>0.77540710221699038</v>
      </c>
      <c r="M48" s="52">
        <f>Dados!H95</f>
        <v>0.83178415470991907</v>
      </c>
      <c r="N48" s="53" t="str">
        <f>IF(OR(Dados!L95="",Dados!J95=0)," — ",IF(IFERROR(Dados!L95/Dados!J95,0)&lt;0.75,"🔴 CRÍTICO",IF(IFERROR(Dados!L95/Dados!J95,0)&gt;1.3,"🔴 CRÍTICO",IF(OR(IFERROR(Dados!L95/Dados!J95,0)&lt;0.9,IFERROR(Dados!L95/Dados!J95,0)&gt;1.1),"🟡 ATENÇÃO","🟢 OK"))))</f>
        <v>🟡 ATENÇÃO</v>
      </c>
    </row>
    <row r="49" spans="1:14" ht="15" customHeight="1" x14ac:dyDescent="0.3">
      <c r="A49" s="54">
        <f>Dados!A97</f>
        <v>46160</v>
      </c>
      <c r="B49" s="46">
        <f>IFERROR(Dados!C97+Dados!C98,"")</f>
        <v>914</v>
      </c>
      <c r="C49" s="55">
        <f>Dados!L97</f>
        <v>133.09</v>
      </c>
      <c r="D49" s="47">
        <f>IFERROR(IF((Dados!C97+Dados!C98)=0,"",(Dados!C97*Dados!D97+Dados!C98*Dados!D98)/(Dados!C97+Dados!C98)),"")</f>
        <v>0.24838074398249455</v>
      </c>
      <c r="E49" s="48">
        <f>IFERROR(IF((Dados!C97+Dados!C98)=0,"",(Dados!C97*Dados!E97+Dados!C98*Dados!E98)/(Dados!C97+Dados!C98)),"")</f>
        <v>8.2647702407002199E-2</v>
      </c>
      <c r="F49" s="48">
        <f>Dados!J97</f>
        <v>151.48000000000002</v>
      </c>
      <c r="G49" s="49">
        <f t="shared" si="3"/>
        <v>0.66725398643291334</v>
      </c>
      <c r="H49" s="50">
        <f t="shared" si="4"/>
        <v>0.58624790767333268</v>
      </c>
      <c r="I49" s="50">
        <f t="shared" si="5"/>
        <v>0.87859783469764985</v>
      </c>
      <c r="J49" s="56">
        <f>Dados!K97</f>
        <v>-18.390000000000015</v>
      </c>
      <c r="K49" s="57">
        <f>IFERROR(Dados!K97/Dados!J97,"")</f>
        <v>-0.12140216530235023</v>
      </c>
      <c r="L49" s="57">
        <f>IFERROR(Dados!L97/Dados!J97,"")</f>
        <v>0.87859783469764974</v>
      </c>
      <c r="M49" s="57">
        <f>Dados!H97</f>
        <v>0.6527706904455074</v>
      </c>
      <c r="N49" s="58" t="str">
        <f>IF(OR(Dados!L97="",Dados!J97=0)," — ",IF(IFERROR(Dados!L97/Dados!J97,0)&lt;0.75,"🔴 CRÍTICO",IF(IFERROR(Dados!L97/Dados!J97,0)&gt;1.3,"🔴 CRÍTICO",IF(OR(IFERROR(Dados!L97/Dados!J97,0)&lt;0.9,IFERROR(Dados!L97/Dados!J97,0)&gt;1.1),"🟡 ATENÇÃO","🟢 OK"))))</f>
        <v>🟡 ATENÇÃO</v>
      </c>
    </row>
    <row r="50" spans="1:14" ht="15" customHeight="1" x14ac:dyDescent="0.3">
      <c r="A50" s="45">
        <f>Dados!A99</f>
        <v>46161</v>
      </c>
      <c r="B50" s="46">
        <f>IFERROR(Dados!C99+Dados!C100,"")</f>
        <v>1144</v>
      </c>
      <c r="C50" s="46">
        <f>Dados!L99</f>
        <v>71.33</v>
      </c>
      <c r="D50" s="47">
        <f>IFERROR(IF((Dados!C99+Dados!C100)=0,"",(Dados!C99*Dados!D99+Dados!C100*Dados!D100)/(Dados!C99+Dados!C100)),"")</f>
        <v>0.17958041958041956</v>
      </c>
      <c r="E50" s="47">
        <f>IFERROR(IF((Dados!C99+Dados!C100)=0,"",(Dados!C99*Dados!E99+Dados!C100*Dados!E100)/(Dados!C99+Dados!C100)),"")</f>
        <v>9.8321678321678332E-2</v>
      </c>
      <c r="F50" s="48">
        <f>Dados!J99</f>
        <v>92.96</v>
      </c>
      <c r="G50" s="49">
        <f t="shared" si="3"/>
        <v>0.45249221183800614</v>
      </c>
      <c r="H50" s="50">
        <f t="shared" si="4"/>
        <v>0.34720599688473525</v>
      </c>
      <c r="I50" s="50">
        <f t="shared" si="5"/>
        <v>0.76731927710843395</v>
      </c>
      <c r="J50" s="51">
        <f>Dados!K99</f>
        <v>-21.629999999999995</v>
      </c>
      <c r="K50" s="52">
        <f>IFERROR(Dados!K99/Dados!J99,"")</f>
        <v>-0.23268072289156624</v>
      </c>
      <c r="L50" s="52">
        <f>IFERROR(Dados!L99/Dados!J99,"")</f>
        <v>0.76731927710843373</v>
      </c>
      <c r="M50" s="52">
        <f>Dados!H99</f>
        <v>0.46316222477213187</v>
      </c>
      <c r="N50" s="53" t="str">
        <f>IF(OR(Dados!L99="",Dados!J99=0)," — ",IF(IFERROR(Dados!L99/Dados!J99,0)&lt;0.75,"🔴 CRÍTICO",IF(IFERROR(Dados!L99/Dados!J99,0)&gt;1.3,"🔴 CRÍTICO",IF(OR(IFERROR(Dados!L99/Dados!J99,0)&lt;0.9,IFERROR(Dados!L99/Dados!J99,0)&gt;1.1),"🟡 ATENÇÃO","🟢 OK"))))</f>
        <v>🟡 ATENÇÃO</v>
      </c>
    </row>
    <row r="51" spans="1:14" ht="14.25" customHeight="1" x14ac:dyDescent="0.3">
      <c r="A51" s="45">
        <f>Dados!A101</f>
        <v>46162</v>
      </c>
      <c r="B51" s="46">
        <f>IFERROR(Dados!C101+Dados!C102,"")</f>
        <v>1143</v>
      </c>
      <c r="C51" s="46">
        <f>Dados!L101</f>
        <v>116.98</v>
      </c>
      <c r="D51" s="47">
        <f>IFERROR(IF((Dados!C101+Dados!C102)=0,"",(Dados!C101*Dados!D101+Dados!C102*Dados!D102)/(Dados!C101+Dados!C102)),"")</f>
        <v>0.55384076990376196</v>
      </c>
      <c r="E51" s="47">
        <f>IFERROR(IF((Dados!C101+Dados!C102)=0,"",(Dados!C101*Dados!E101+Dados!C102*Dados!E102)/(Dados!C101+Dados!C102)),"")</f>
        <v>0.15678915135608046</v>
      </c>
      <c r="F51" s="48">
        <f>Dados!J101</f>
        <v>453.83</v>
      </c>
      <c r="G51" s="49">
        <f t="shared" si="3"/>
        <v>0.71690572475672942</v>
      </c>
      <c r="H51" s="50">
        <f t="shared" si="4"/>
        <v>0.18479085049917859</v>
      </c>
      <c r="I51" s="50">
        <f t="shared" si="5"/>
        <v>0.25776171694246747</v>
      </c>
      <c r="J51" s="51">
        <f>Dados!K101</f>
        <v>-336.84999999999997</v>
      </c>
      <c r="K51" s="52">
        <f>IFERROR(Dados!K101/Dados!J101,"")</f>
        <v>-0.74223828305753248</v>
      </c>
      <c r="L51" s="52">
        <f>IFERROR(Dados!L101/Dados!J101,"")</f>
        <v>0.25776171694246747</v>
      </c>
      <c r="M51" s="52">
        <f>Dados!H101</f>
        <v>0.71358286410779848</v>
      </c>
      <c r="N51" s="53" t="str">
        <f>IF(OR(Dados!L101="",Dados!J101=0)," — ",IF(IFERROR(Dados!L101/Dados!J101,0)&lt;0.75,"🔴 CRÍTICO",IF(IFERROR(Dados!L101/Dados!J101,0)&gt;1.101,"🔴 CRÍTICO",IF(OR(IFERROR(Dados!L101/Dados!J101,0)&lt;0.9,IFERROR(Dados!L101/Dados!J101,0)&gt;1.1),"🟡 ATENÇÃO","🟢 OK"))))</f>
        <v>🔴 CRÍTICO</v>
      </c>
    </row>
    <row r="52" spans="1:14" ht="14.25" customHeight="1" x14ac:dyDescent="0.3">
      <c r="A52" s="45">
        <f>Dados!A103</f>
        <v>46163</v>
      </c>
      <c r="B52" s="46">
        <f>IFERROR(Dados!C103+Dados!C104,"")</f>
        <v>1189</v>
      </c>
      <c r="C52" s="46">
        <f>Dados!L103</f>
        <v>140.49</v>
      </c>
      <c r="D52" s="47">
        <f>IFERROR(IF((Dados!C103+Dados!C104)=0,"",(Dados!C103*Dados!D103+Dados!C104*Dados!D104)/(Dados!C103+Dados!C104)),"")</f>
        <v>0.35544995794785533</v>
      </c>
      <c r="E52" s="47">
        <f>IFERROR(IF((Dados!C103+Dados!C104)=0,"",(Dados!C103*Dados!E103+Dados!C104*Dados!E104)/(Dados!C103+Dados!C104)),"")</f>
        <v>0.15724978973927672</v>
      </c>
      <c r="F52" s="48">
        <f>Dados!J103</f>
        <v>235.65999999999997</v>
      </c>
      <c r="G52" s="49">
        <f t="shared" si="3"/>
        <v>0.55760357759742563</v>
      </c>
      <c r="H52" s="50">
        <f t="shared" si="4"/>
        <v>0.33241842746610512</v>
      </c>
      <c r="I52" s="50">
        <f t="shared" si="5"/>
        <v>0.59615547823135029</v>
      </c>
      <c r="J52" s="51">
        <f>Dados!K103</f>
        <v>-95.169999999999959</v>
      </c>
      <c r="K52" s="52">
        <f>IFERROR(Dados!K103/Dados!J103,"")</f>
        <v>-0.40384452176864966</v>
      </c>
      <c r="L52" s="52">
        <f>IFERROR(Dados!L103/Dados!J103,"")</f>
        <v>0.5961554782313504</v>
      </c>
      <c r="M52" s="52">
        <f>Dados!H103</f>
        <v>0.56039434845153935</v>
      </c>
      <c r="N52" s="53" t="str">
        <f>IF(OR(Dados!L103="",Dados!J103=0)," — ",IF(IFERROR(Dados!L103/Dados!J103,0)&lt;0.75,"🔴 CRÍTICO",IF(IFERROR(Dados!L103/Dados!J103,0)&gt;1.103,"🔴 CRÍTICO",IF(OR(IFERROR(Dados!L103/Dados!J103,0)&lt;0.9,IFERROR(Dados!L103/Dados!J103,0)&gt;1.1),"🟡 ATENÇÃO","🟢 OK"))))</f>
        <v>🔴 CRÍTICO</v>
      </c>
    </row>
    <row r="53" spans="1:14" ht="14.25" customHeight="1" x14ac:dyDescent="0.3">
      <c r="A53" s="45">
        <f>Dados!A105</f>
        <v>46164</v>
      </c>
      <c r="B53" s="46">
        <f>IFERROR(Dados!C105+Dados!C106,"")</f>
        <v>2054</v>
      </c>
      <c r="C53" s="46">
        <f>Dados!L105</f>
        <v>231.93</v>
      </c>
      <c r="D53" s="47">
        <f>IFERROR(IF((Dados!C105+Dados!C106)=0,"",(Dados!C105*Dados!D105+Dados!C106*Dados!D106)/(Dados!C105+Dados!C106)),"")</f>
        <v>0.25088607594936707</v>
      </c>
      <c r="E53" s="47">
        <f>IFERROR(IF((Dados!C105+Dados!C106)=0,"",(Dados!C105*Dados!E105+Dados!C106*Dados!E106)/(Dados!C105+Dados!C106)),"")</f>
        <v>0.219873417721519</v>
      </c>
      <c r="F53" s="48">
        <f>Dados!J105</f>
        <v>63.699999999999989</v>
      </c>
      <c r="G53" s="49">
        <f t="shared" si="3"/>
        <v>0.12361251261352159</v>
      </c>
      <c r="H53" s="50">
        <f t="shared" si="4"/>
        <v>0.45006985950477379</v>
      </c>
      <c r="I53" s="50">
        <f t="shared" si="5"/>
        <v>0.27465183460526854</v>
      </c>
      <c r="J53" s="51">
        <f>Dados!K105</f>
        <v>168.23000000000002</v>
      </c>
      <c r="K53" s="52">
        <f>IFERROR(Dados!K105/Dados!J105,"")</f>
        <v>2.6409733124018846</v>
      </c>
      <c r="L53" s="52">
        <f>IFERROR(Dados!L105/Dados!J105,"")</f>
        <v>3.6409733124018846</v>
      </c>
      <c r="M53" s="52">
        <f>Dados!H105</f>
        <v>0.13096397273612462</v>
      </c>
      <c r="N53" s="53" t="str">
        <f>IF(OR(Dados!L105="",Dados!J105=0)," — ",IF(IFERROR(Dados!L105/Dados!J105,0)&lt;0.75,"🔴 CRÍTICO",IF(IFERROR(Dados!L105/Dados!J105,0)&gt;1.105,"🔴 CRÍTICO",IF(OR(IFERROR(Dados!L105/Dados!J105,0)&lt;0.9,IFERROR(Dados!L105/Dados!J105,0)&gt;1.1),"🟡 ATENÇÃO","🟢 OK"))))</f>
        <v>🔴 CRÍTICO</v>
      </c>
    </row>
    <row r="54" spans="1:14" ht="14.25" customHeight="1" x14ac:dyDescent="0.3">
      <c r="A54" s="45">
        <f>Dados!A107</f>
        <v>46165</v>
      </c>
      <c r="B54" s="46">
        <f>IFERROR(Dados!C107+Dados!C108,"")</f>
        <v>1504</v>
      </c>
      <c r="C54" s="46">
        <f>Dados!L107</f>
        <v>197.77</v>
      </c>
      <c r="D54" s="47">
        <f>IFERROR(IF((Dados!C107+Dados!C108)=0,"",(Dados!C107*Dados!D107+Dados!C108*Dados!D108)/(Dados!C107+Dados!C108)),"")</f>
        <v>0.25720744680851065</v>
      </c>
      <c r="E54" s="47">
        <f>IFERROR(IF((Dados!C107+Dados!C108)=0,"",(Dados!C107*Dados!E107+Dados!C108*Dados!E108)/(Dados!C107+Dados!C108)),"")</f>
        <v>0.50034574468085102</v>
      </c>
      <c r="F54" s="48">
        <f>Dados!J107</f>
        <v>-365.68</v>
      </c>
      <c r="G54" s="49">
        <f t="shared" si="3"/>
        <v>-0.9453003825871158</v>
      </c>
      <c r="H54" s="50">
        <f t="shared" si="4"/>
        <v>0.51124495915624024</v>
      </c>
      <c r="I54" s="50">
        <f t="shared" si="5"/>
        <v>0</v>
      </c>
      <c r="J54" s="51">
        <f>Dados!K107</f>
        <v>563.45000000000005</v>
      </c>
      <c r="K54" s="52">
        <f>IFERROR(Dados!K107/Dados!J107,"")</f>
        <v>-1.5408280463793482</v>
      </c>
      <c r="L54" s="52">
        <f>IFERROR(Dados!L107/Dados!J107,"")</f>
        <v>-0.54082804637934812</v>
      </c>
      <c r="M54" s="52">
        <f>Dados!H107</f>
        <v>-0.38641199226305606</v>
      </c>
      <c r="N54" s="53" t="str">
        <f>IF(OR(Dados!L107="",Dados!J107=0)," — ",IF(IFERROR(Dados!L107/Dados!J107,0)&lt;0.75,"🔴 CRÍTICO",IF(IFERROR(Dados!L107/Dados!J107,0)&gt;1.107,"🔴 CRÍTICO",IF(OR(IFERROR(Dados!L107/Dados!J107,0)&lt;0.9,IFERROR(Dados!L107/Dados!J107,0)&gt;1.1),"🟡 ATENÇÃO","🟢 OK"))))</f>
        <v>🔴 CRÍTICO</v>
      </c>
    </row>
    <row r="55" spans="1:14" ht="14.25" customHeight="1" x14ac:dyDescent="0.3">
      <c r="A55" s="45">
        <f>Dados!A109</f>
        <v>46166</v>
      </c>
      <c r="B55" s="46">
        <f>IFERROR(Dados!C109+Dados!C110,"")</f>
        <v>370</v>
      </c>
      <c r="C55" s="46">
        <f>Dados!L109</f>
        <v>171.75</v>
      </c>
      <c r="D55" s="47">
        <f>IFERROR(IF((Dados!C109+Dados!C110)=0,"",(Dados!C109*Dados!D109+Dados!C110*Dados!D110)/(Dados!C109+Dados!C110)),"")</f>
        <v>1.0517567567567567</v>
      </c>
      <c r="E55" s="47">
        <f>IFERROR(IF((Dados!C109+Dados!C110)=0,"",(Dados!C109*Dados!E109+Dados!C110*Dados!E110)/(Dados!C109+Dados!C110)),"")</f>
        <v>0.06</v>
      </c>
      <c r="F55" s="48">
        <f>Dados!J109</f>
        <v>366.95000000000005</v>
      </c>
      <c r="G55" s="49">
        <f t="shared" si="3"/>
        <v>0.94295258897597323</v>
      </c>
      <c r="H55" s="50">
        <f t="shared" si="4"/>
        <v>0.44134652447642297</v>
      </c>
      <c r="I55" s="50">
        <f t="shared" si="5"/>
        <v>0.46804741790434667</v>
      </c>
      <c r="J55" s="51">
        <f>Dados!K109</f>
        <v>-195.20000000000005</v>
      </c>
      <c r="K55" s="52">
        <f>IFERROR(Dados!K109/Dados!J109,"")</f>
        <v>-0.53195258209565344</v>
      </c>
      <c r="L55" s="52">
        <f>IFERROR(Dados!L109/Dados!J109,"")</f>
        <v>0.46804741790434656</v>
      </c>
      <c r="M55" s="52">
        <f>Dados!H109</f>
        <v>0.94262502972180384</v>
      </c>
      <c r="N55" s="53" t="str">
        <f>IF(OR(Dados!L109="",Dados!J109=0)," — ",IF(IFERROR(Dados!L109/Dados!J109,0)&lt;0.75,"🔴 CRÍTICO",IF(IFERROR(Dados!L109/Dados!J109,0)&gt;1.109,"🔴 CRÍTICO",IF(OR(IFERROR(Dados!L109/Dados!J109,0)&lt;0.9,IFERROR(Dados!L109/Dados!J109,0)&gt;1.1),"🟡 ATENÇÃO","🟢 OK"))))</f>
        <v>🔴 CRÍTICO</v>
      </c>
    </row>
    <row r="56" spans="1:14" ht="14.25" customHeight="1" x14ac:dyDescent="0.3">
      <c r="A56" s="45">
        <f>Dados!A111</f>
        <v>46167</v>
      </c>
      <c r="B56" s="46">
        <f>IFERROR(Dados!C111+Dados!C112,"")</f>
        <v>404</v>
      </c>
      <c r="C56" s="46">
        <f>Dados!L111</f>
        <v>257.51</v>
      </c>
      <c r="D56" s="47">
        <f>IFERROR(IF((Dados!C111+Dados!C112)=0,"",(Dados!C111*Dados!D111+Dados!C112*Dados!D112)/(Dados!C111+Dados!C112)),"")</f>
        <v>0.6399009900990098</v>
      </c>
      <c r="E56" s="47">
        <f>IFERROR(IF((Dados!C111+Dados!C112)=0,"",(Dados!C111*Dados!E111+Dados!C112*Dados!E112)/(Dados!C111+Dados!C112)),"")</f>
        <v>0.08</v>
      </c>
      <c r="F56" s="48">
        <f>Dados!J111</f>
        <v>226.20000000000002</v>
      </c>
      <c r="G56" s="49">
        <f t="shared" si="3"/>
        <v>0.87498065913662393</v>
      </c>
      <c r="H56" s="50">
        <f t="shared" si="4"/>
        <v>0.99609314559801954</v>
      </c>
      <c r="I56" s="50">
        <f t="shared" si="5"/>
        <v>0.87841248883538503</v>
      </c>
      <c r="J56" s="51">
        <f>Dados!K111</f>
        <v>31.309999999999974</v>
      </c>
      <c r="K56" s="52">
        <f>IFERROR(Dados!K111/Dados!J111,"")</f>
        <v>0.13841732979664001</v>
      </c>
      <c r="L56" s="52">
        <f>IFERROR(Dados!L111/Dados!J111,"")</f>
        <v>1.13841732979664</v>
      </c>
      <c r="M56" s="52">
        <f>Dados!H111</f>
        <v>0.80714593198450291</v>
      </c>
      <c r="N56" s="53" t="str">
        <f>IF(OR(Dados!L111="",Dados!J111=0)," — ",IF(IFERROR(Dados!L111/Dados!J111,0)&lt;0.75,"🔴 CRÍTICO",IF(IFERROR(Dados!L111/Dados!J111,0)&gt;1.111,"🔴 CRÍTICO",IF(OR(IFERROR(Dados!L111/Dados!J111,0)&lt;0.9,IFERROR(Dados!L111/Dados!J111,0)&gt;1.1),"🟡 ATENÇÃO","🟢 OK"))))</f>
        <v>🔴 CRÍTICO</v>
      </c>
    </row>
    <row r="57" spans="1:14" ht="14.25" customHeight="1" x14ac:dyDescent="0.3">
      <c r="A57" s="45">
        <f>Dados!A113</f>
        <v>46168</v>
      </c>
      <c r="B57" s="46">
        <f>IFERROR(Dados!C113+Dados!C114,"")</f>
        <v>1939</v>
      </c>
      <c r="C57" s="46">
        <f>Dados!L113</f>
        <v>474</v>
      </c>
      <c r="D57" s="47">
        <f>IFERROR(IF((Dados!C113+Dados!C114)=0,"",(Dados!C113*Dados!D113+Dados!C114*Dados!D114)/(Dados!C113+Dados!C114)),"")</f>
        <v>0.50116039195461581</v>
      </c>
      <c r="E57" s="47">
        <f>IFERROR(IF((Dados!C113+Dados!C114)=0,"",(Dados!C113*Dados!E113+Dados!C114*Dados!E114)/(Dados!C113+Dados!C114)),"")</f>
        <v>0.20534811758638474</v>
      </c>
      <c r="F57" s="48">
        <f>Dados!J113</f>
        <v>573.58000000000015</v>
      </c>
      <c r="G57" s="49">
        <f t="shared" si="3"/>
        <v>0.5902546951376384</v>
      </c>
      <c r="H57" s="50">
        <f t="shared" si="4"/>
        <v>0.48777977874967837</v>
      </c>
      <c r="I57" s="50">
        <f t="shared" si="5"/>
        <v>0.82638864674500478</v>
      </c>
      <c r="J57" s="51">
        <f>Dados!K113</f>
        <v>-99.580000000000155</v>
      </c>
      <c r="K57" s="52">
        <f>IFERROR(Dados!K113/Dados!J113,"")</f>
        <v>-0.17361135325499516</v>
      </c>
      <c r="L57" s="52">
        <f>IFERROR(Dados!L113/Dados!J113,"")</f>
        <v>0.82638864674500478</v>
      </c>
      <c r="M57" s="52">
        <f>Dados!H113</f>
        <v>0.58914675376769243</v>
      </c>
      <c r="N57" s="53" t="str">
        <f>IF(OR(Dados!L113="",Dados!J113=0)," — ",IF(IFERROR(Dados!L113/Dados!J113,0)&lt;0.75,"🔴 CRÍTICO",IF(IFERROR(Dados!L113/Dados!J113,0)&gt;1.113,"🔴 CRÍTICO",IF(OR(IFERROR(Dados!L113/Dados!J113,0)&lt;0.9,IFERROR(Dados!L113/Dados!J113,0)&gt;1.1),"🟡 ATENÇÃO","🟢 OK"))))</f>
        <v>🟡 ATENÇÃO</v>
      </c>
    </row>
    <row r="58" spans="1:14" ht="14.25" customHeight="1" x14ac:dyDescent="0.3">
      <c r="A58" s="45">
        <f>Dados!A115</f>
        <v>46169</v>
      </c>
      <c r="B58" s="46">
        <f>IFERROR(Dados!C115+Dados!C116,"")</f>
        <v>1406</v>
      </c>
      <c r="C58" s="46">
        <f>Dados!L115</f>
        <v>194.03</v>
      </c>
      <c r="D58" s="47">
        <f>IFERROR(IF((Dados!C115+Dados!C116)=0,"",(Dados!C115*Dados!D115+Dados!C116*Dados!D116)/(Dados!C115+Dados!C116)),"")</f>
        <v>0.36356330014224747</v>
      </c>
      <c r="E58" s="47">
        <f>IFERROR(IF((Dados!C115+Dados!C116)=0,"",(Dados!C115*Dados!E115+Dados!C116*Dados!E116)/(Dados!C115+Dados!C116)),"")</f>
        <v>9.0825035561877682E-2</v>
      </c>
      <c r="F58" s="48">
        <f>Dados!J115</f>
        <v>383.47</v>
      </c>
      <c r="G58" s="49">
        <f t="shared" si="3"/>
        <v>0.75018095741142854</v>
      </c>
      <c r="H58" s="50">
        <f t="shared" si="4"/>
        <v>0.3795801788054855</v>
      </c>
      <c r="I58" s="50">
        <f t="shared" si="5"/>
        <v>0.50598482280230539</v>
      </c>
      <c r="J58" s="51">
        <f>Dados!K115</f>
        <v>-189.44000000000003</v>
      </c>
      <c r="K58" s="52">
        <f>IFERROR(Dados!K115/Dados!J115,"")</f>
        <v>-0.49401517719769478</v>
      </c>
      <c r="L58" s="52">
        <f>IFERROR(Dados!L115/Dados!J115,"")</f>
        <v>0.50598482280230528</v>
      </c>
      <c r="M58" s="52">
        <f>Dados!H115</f>
        <v>0.59921139976541637</v>
      </c>
      <c r="N58" s="53" t="str">
        <f>IF(OR(Dados!L115="",Dados!J115=0)," — ",IF(IFERROR(Dados!L115/Dados!J115,0)&lt;0.75,"🔴 CRÍTICO",IF(IFERROR(Dados!L115/Dados!J115,0)&gt;1.115,"🔴 CRÍTICO",IF(OR(IFERROR(Dados!L115/Dados!J115,0)&lt;0.9,IFERROR(Dados!L115/Dados!J115,0)&gt;1.1),"🟡 ATENÇÃO","🟢 OK"))))</f>
        <v>🔴 CRÍTICO</v>
      </c>
    </row>
    <row r="59" spans="1:14" ht="14.25" customHeight="1" x14ac:dyDescent="0.3">
      <c r="A59" s="45">
        <f>Dados!A117</f>
        <v>46170</v>
      </c>
      <c r="B59" s="46">
        <f>IFERROR(Dados!C117+Dados!C118,"")</f>
        <v>1179</v>
      </c>
      <c r="C59" s="46">
        <f>Dados!L117</f>
        <v>225.28</v>
      </c>
      <c r="D59" s="47">
        <f>IFERROR(IF((Dados!C117+Dados!C118)=0,"",(Dados!C117*Dados!D117+Dados!C118*Dados!D118)/(Dados!C117+Dados!C118)),"")</f>
        <v>0.48</v>
      </c>
      <c r="E59" s="47">
        <f>IFERROR(IF((Dados!C117+Dados!C118)=0,"",(Dados!C117*Dados!E117+Dados!C118*Dados!E118)/(Dados!C117+Dados!C118)),"")</f>
        <v>7.0000000000000007E-2</v>
      </c>
      <c r="F59" s="48">
        <f>Dados!J117</f>
        <v>483.38999999999993</v>
      </c>
      <c r="G59" s="49">
        <f t="shared" si="3"/>
        <v>0.85416666666666663</v>
      </c>
      <c r="H59" s="50">
        <f t="shared" si="4"/>
        <v>0.39807746677975686</v>
      </c>
      <c r="I59" s="50">
        <f t="shared" si="5"/>
        <v>0.46604191232752024</v>
      </c>
      <c r="J59" s="51">
        <f>Dados!K117</f>
        <v>-258.1099999999999</v>
      </c>
      <c r="K59" s="52">
        <f>IFERROR(Dados!K117/Dados!J117,"")</f>
        <v>-0.53395808767247965</v>
      </c>
      <c r="L59" s="52">
        <f>IFERROR(Dados!L117/Dados!J117,"")</f>
        <v>0.46604191232752029</v>
      </c>
      <c r="M59" s="52">
        <f>Dados!H117</f>
        <v>0.85416666666666652</v>
      </c>
      <c r="N59" s="53" t="str">
        <f>IF(OR(Dados!L117="",Dados!J117=0)," — ",IF(IFERROR(Dados!L117/Dados!J117,0)&lt;0.75,"🔴 CRÍTICO",IF(IFERROR(Dados!L117/Dados!J117,0)&gt;1.117,"🔴 CRÍTICO",IF(OR(IFERROR(Dados!L117/Dados!J117,0)&lt;0.9,IFERROR(Dados!L117/Dados!J117,0)&gt;1.1),"🟡 ATENÇÃO","🟢 OK"))))</f>
        <v>🔴 CRÍTICO</v>
      </c>
    </row>
    <row r="60" spans="1:14" ht="14.25" customHeight="1" x14ac:dyDescent="0.3">
      <c r="A60" s="45">
        <f>Dados!A119</f>
        <v>46171</v>
      </c>
      <c r="B60" s="46">
        <f>IFERROR(Dados!C119+Dados!C120,"")</f>
        <v>2207</v>
      </c>
      <c r="C60" s="46">
        <f>Dados!L119</f>
        <v>451.81</v>
      </c>
      <c r="D60" s="47">
        <f>IFERROR(IF((Dados!C119+Dados!C120)=0,"",(Dados!C119*Dados!D119+Dados!C120*Dados!D120)/(Dados!C119+Dados!C120)),"")</f>
        <v>0.40886270956048937</v>
      </c>
      <c r="E60" s="47">
        <f>IFERROR(IF((Dados!C119+Dados!C120)=0,"",(Dados!C119*Dados!E119+Dados!C120*Dados!E120)/(Dados!C119+Dados!C120)),"")</f>
        <v>9.095604893520616E-2</v>
      </c>
      <c r="F60" s="48">
        <f>Dados!J119</f>
        <v>701.62</v>
      </c>
      <c r="G60" s="49">
        <f t="shared" si="3"/>
        <v>0.77753889800079801</v>
      </c>
      <c r="H60" s="50">
        <f t="shared" si="4"/>
        <v>0.5006981692450907</v>
      </c>
      <c r="I60" s="50">
        <f t="shared" si="5"/>
        <v>0.64395256691656455</v>
      </c>
      <c r="J60" s="51">
        <f>Dados!K119</f>
        <v>-249.81</v>
      </c>
      <c r="K60" s="52">
        <f>IFERROR(Dados!K119/Dados!J119,"")</f>
        <v>-0.35604743308343551</v>
      </c>
      <c r="L60" s="52">
        <f>IFERROR(Dados!L119/Dados!J119,"")</f>
        <v>0.64395256691656455</v>
      </c>
      <c r="M60" s="52">
        <f>Dados!H119</f>
        <v>0.7538518854150934</v>
      </c>
      <c r="N60" s="53" t="str">
        <f>IF(OR(Dados!L119="",Dados!J119=0)," — ",IF(IFERROR(Dados!L119/Dados!J119,0)&lt;0.75,"🔴 CRÍTICO",IF(IFERROR(Dados!L119/Dados!J119,0)&gt;1.119,"🔴 CRÍTICO",IF(OR(IFERROR(Dados!L119/Dados!J119,0)&lt;0.9,IFERROR(Dados!L119/Dados!J119,0)&gt;1.1),"🟡 ATENÇÃO","🟢 OK"))))</f>
        <v>🔴 CRÍTICO</v>
      </c>
    </row>
    <row r="61" spans="1:14" ht="14.25" customHeight="1" x14ac:dyDescent="0.3">
      <c r="A61" s="45">
        <f>Dados!A121</f>
        <v>46172</v>
      </c>
      <c r="B61" s="46">
        <f>IFERROR(Dados!C121+Dados!C122,"")</f>
        <v>2480</v>
      </c>
      <c r="C61" s="46">
        <f>Dados!L121</f>
        <v>344.93</v>
      </c>
      <c r="D61" s="47">
        <f>IFERROR(IF((Dados!C121+Dados!C122)=0,"",(Dados!C121*Dados!D121+Dados!C122*Dados!D122)/(Dados!C121+Dados!C122)),"")</f>
        <v>0</v>
      </c>
      <c r="E61" s="47">
        <f>IFERROR(IF((Dados!C121+Dados!C122)=0,"",(Dados!C121*Dados!E121+Dados!C122*Dados!E122)/(Dados!C121+Dados!C122)),"")</f>
        <v>0</v>
      </c>
      <c r="F61" s="48" t="str">
        <f>Dados!J121</f>
        <v/>
      </c>
      <c r="G61" s="49" t="str">
        <f t="shared" si="3"/>
        <v/>
      </c>
      <c r="H61" s="50" t="str">
        <f t="shared" si="4"/>
        <v/>
      </c>
      <c r="I61" s="50" t="str">
        <f t="shared" si="5"/>
        <v/>
      </c>
      <c r="J61" s="51" t="str">
        <f>Dados!K121</f>
        <v/>
      </c>
      <c r="K61" s="52" t="str">
        <f>IFERROR(Dados!K121/Dados!J121,"")</f>
        <v/>
      </c>
      <c r="L61" s="52" t="str">
        <f>IFERROR(Dados!L121/Dados!J121,"")</f>
        <v/>
      </c>
      <c r="M61" s="52" t="str">
        <f>Dados!H121</f>
        <v/>
      </c>
      <c r="N61" s="53" t="str">
        <f>IF(OR(Dados!L121="",Dados!J121=0)," — ",IF(IFERROR(Dados!L121/Dados!J121,0)&lt;0.75,"🔴 CRÍTICO",IF(IFERROR(Dados!L121/Dados!J121,0)&gt;1.121,"🔴 CRÍTICO",IF(OR(IFERROR(Dados!L121/Dados!J121,0)&lt;0.9,IFERROR(Dados!L121/Dados!J121,0)&gt;1.1),"🟡 ATENÇÃO","🟢 OK"))))</f>
        <v>🔴 CRÍTICO</v>
      </c>
    </row>
    <row r="62" spans="1:14" ht="14.25" customHeight="1" x14ac:dyDescent="0.3">
      <c r="A62" s="45">
        <f>Dados!A123</f>
        <v>46173</v>
      </c>
      <c r="B62" s="46">
        <f>IFERROR(Dados!C123+Dados!C124,"")</f>
        <v>1117</v>
      </c>
      <c r="C62" s="46">
        <f>Dados!L123</f>
        <v>245.42</v>
      </c>
      <c r="D62" s="47">
        <f>IFERROR(IF((Dados!C123+Dados!C124)=0,"",(Dados!C123*Dados!D123+Dados!C124*Dados!D124)/(Dados!C123+Dados!C124)),"")</f>
        <v>0.31</v>
      </c>
      <c r="E62" s="47">
        <f>IFERROR(IF((Dados!C123+Dados!C124)=0,"",(Dados!C123*Dados!E123+Dados!C124*Dados!E124)/(Dados!C123+Dados!C124)),"")</f>
        <v>0.1</v>
      </c>
      <c r="F62" s="48">
        <f>Dados!J123</f>
        <v>234.57</v>
      </c>
      <c r="G62" s="49">
        <f t="shared" si="3"/>
        <v>0.67741935483870963</v>
      </c>
      <c r="H62" s="50">
        <f t="shared" si="4"/>
        <v>0.70875328500880819</v>
      </c>
      <c r="I62" s="50">
        <f t="shared" si="5"/>
        <v>0.95579007415858519</v>
      </c>
      <c r="J62" s="51">
        <f>Dados!K123</f>
        <v>10.849999999999994</v>
      </c>
      <c r="K62" s="52">
        <f>IFERROR(Dados!K123/Dados!J123,"")</f>
        <v>4.6254849298716781E-2</v>
      </c>
      <c r="L62" s="52">
        <f>IFERROR(Dados!L123/Dados!J123,"")</f>
        <v>1.0462548492987167</v>
      </c>
      <c r="M62" s="52">
        <f>Dados!H123</f>
        <v>0.67741935483870952</v>
      </c>
      <c r="N62" s="53" t="str">
        <f>IF(OR(Dados!L123="",Dados!J123=0)," — ",IF(IFERROR(Dados!L123/Dados!J123,0)&lt;0.75,"🔴 CRÍTICO",IF(IFERROR(Dados!L123/Dados!J123,0)&gt;1.123,"🔴 CRÍTICO",IF(OR(IFERROR(Dados!L123/Dados!J123,0)&lt;0.9,IFERROR(Dados!L123/Dados!J123,0)&gt;1.1),"🟡 ATENÇÃO","🟢 OK"))))</f>
        <v>🟢 OK</v>
      </c>
    </row>
    <row r="63" spans="1:14" ht="14.25" customHeight="1" x14ac:dyDescent="0.3">
      <c r="A63" s="45">
        <f>Dados!A125</f>
        <v>46174</v>
      </c>
      <c r="B63" s="46">
        <f>IFERROR(Dados!C125+Dados!C126,"")</f>
        <v>2294</v>
      </c>
      <c r="C63" s="46">
        <f>Dados!L125</f>
        <v>200.12</v>
      </c>
      <c r="D63" s="47">
        <f>IFERROR(IF((Dados!C125+Dados!C126)=0,"",(Dados!C125*Dados!D125+Dados!C126*Dados!D126)/(Dados!C125+Dados!C126)),"")</f>
        <v>1.1000000000000001</v>
      </c>
      <c r="E63" s="47">
        <f>IFERROR(IF((Dados!C125+Dados!C126)=0,"",(Dados!C125*Dados!E125+Dados!C126*Dados!E126)/(Dados!C125+Dados!C126)),"")</f>
        <v>7.0000000000000007E-2</v>
      </c>
      <c r="F63" s="48">
        <f>Dados!J125</f>
        <v>2362.8199999999997</v>
      </c>
      <c r="G63" s="49">
        <f t="shared" si="3"/>
        <v>0.93636363636363629</v>
      </c>
      <c r="H63" s="50">
        <f t="shared" si="4"/>
        <v>7.9305698660537369E-2</v>
      </c>
      <c r="I63" s="50">
        <f t="shared" si="5"/>
        <v>8.4695406336496221E-2</v>
      </c>
      <c r="J63" s="51">
        <f>Dados!K125</f>
        <v>-2162.6999999999998</v>
      </c>
      <c r="K63" s="52">
        <f>IFERROR(Dados!K125/Dados!J125,"")</f>
        <v>-0.91530459366350381</v>
      </c>
      <c r="L63" s="52">
        <f>IFERROR(Dados!L125/Dados!J125,"")</f>
        <v>8.4695406336496235E-2</v>
      </c>
      <c r="M63" s="52">
        <f>Dados!H125</f>
        <v>0.9363636363636364</v>
      </c>
      <c r="N63" s="53" t="str">
        <f>IF(OR(Dados!L125="",Dados!J125=0)," — ",IF(IFERROR(Dados!L125/Dados!J125,0)&lt;0.75,"🔴 CRÍTICO",IF(IFERROR(Dados!L125/Dados!J125,0)&gt;1.125,"🔴 CRÍTICO",IF(OR(IFERROR(Dados!L125/Dados!J125,0)&lt;0.9,IFERROR(Dados!L125/Dados!J125,0)&gt;1.1),"🟡 ATENÇÃO","🟢 OK"))))</f>
        <v>🔴 CRÍTICO</v>
      </c>
    </row>
    <row r="64" spans="1:14" ht="14.25" customHeight="1" x14ac:dyDescent="0.3">
      <c r="A64" s="45">
        <f>Dados!A127</f>
        <v>46175</v>
      </c>
      <c r="B64" s="46">
        <f>IFERROR(Dados!C127+Dados!C128,"")</f>
        <v>2678</v>
      </c>
      <c r="C64" s="46">
        <f>Dados!L127</f>
        <v>146.4</v>
      </c>
      <c r="D64" s="47">
        <f>IFERROR(IF((Dados!C127+Dados!C128)=0,"",(Dados!C127*Dados!D127+Dados!C128*Dados!D128)/(Dados!C127+Dados!C128)),"")</f>
        <v>0.1</v>
      </c>
      <c r="E64" s="47">
        <f>IFERROR(IF((Dados!C127+Dados!C128)=0,"",(Dados!C127*Dados!E127+Dados!C128*Dados!E128)/(Dados!C127+Dados!C128)),"")</f>
        <v>7.0000000000000007E-2</v>
      </c>
      <c r="F64" s="48">
        <f>Dados!J127</f>
        <v>80.34</v>
      </c>
      <c r="G64" s="49">
        <f t="shared" si="3"/>
        <v>0.3</v>
      </c>
      <c r="H64" s="50">
        <f t="shared" si="4"/>
        <v>0.54667662434652731</v>
      </c>
      <c r="I64" s="50">
        <f t="shared" si="5"/>
        <v>0.54877049180327864</v>
      </c>
      <c r="J64" s="51">
        <f>Dados!K127</f>
        <v>66.06</v>
      </c>
      <c r="K64" s="52">
        <f>IFERROR(Dados!K127/Dados!J127,"")</f>
        <v>0.82225541448842421</v>
      </c>
      <c r="L64" s="52">
        <f>IFERROR(Dados!L127/Dados!J127,"")</f>
        <v>1.8222554144884242</v>
      </c>
      <c r="M64" s="52">
        <f>Dados!H127</f>
        <v>0.3</v>
      </c>
      <c r="N64" s="53" t="str">
        <f>IF(OR(Dados!L127="",Dados!J127=0)," — ",IF(IFERROR(Dados!L127/Dados!J127,0)&lt;0.75,"🔴 CRÍTICO",IF(IFERROR(Dados!L127/Dados!J127,0)&gt;1.127,"🔴 CRÍTICO",IF(OR(IFERROR(Dados!L127/Dados!J127,0)&lt;0.9,IFERROR(Dados!L127/Dados!J127,0)&gt;1.1),"🟡 ATENÇÃO","🟢 OK"))))</f>
        <v>🔴 CRÍTICO</v>
      </c>
    </row>
    <row r="65" spans="1:14" ht="14.25" customHeight="1" x14ac:dyDescent="0.3">
      <c r="A65" s="45">
        <f>Dados!A129</f>
        <v>46176</v>
      </c>
      <c r="B65" s="46">
        <f>IFERROR(Dados!C129+Dados!C130,"")</f>
        <v>2184</v>
      </c>
      <c r="C65" s="46">
        <f>Dados!L129</f>
        <v>150.34</v>
      </c>
      <c r="D65" s="47">
        <f>IFERROR(IF((Dados!C129+Dados!C130)=0,"",(Dados!C129*Dados!D129+Dados!C130*Dados!D130)/(Dados!C129+Dados!C130)),"")</f>
        <v>0.69990842490842498</v>
      </c>
      <c r="E65" s="47">
        <f>IFERROR(IF((Dados!C129+Dados!C130)=0,"",(Dados!C129*Dados!E129+Dados!C130*Dados!E130)/(Dados!C129+Dados!C130)),"")</f>
        <v>0.17086996336996335</v>
      </c>
      <c r="F65" s="48">
        <f>Dados!J129</f>
        <v>1155.42</v>
      </c>
      <c r="G65" s="49">
        <f t="shared" si="3"/>
        <v>0.75586811461468006</v>
      </c>
      <c r="H65" s="50">
        <f t="shared" si="4"/>
        <v>9.835143268350123E-2</v>
      </c>
      <c r="I65" s="50">
        <f t="shared" si="5"/>
        <v>0.13011718682383894</v>
      </c>
      <c r="J65" s="51">
        <f>Dados!K129</f>
        <v>-1005.08</v>
      </c>
      <c r="K65" s="52">
        <f>IFERROR(Dados!K129/Dados!J129,"")</f>
        <v>-0.86988281317616101</v>
      </c>
      <c r="L65" s="52">
        <f>IFERROR(Dados!L129/Dados!J129,"")</f>
        <v>0.13011718682383894</v>
      </c>
      <c r="M65" s="52">
        <f>Dados!H129</f>
        <v>9.3421337160156451E-2</v>
      </c>
      <c r="N65" s="53" t="str">
        <f>IF(OR(Dados!L129="",Dados!J129=0)," — ",IF(IFERROR(Dados!L129/Dados!J129,0)&lt;0.75,"🔴 CRÍTICO",IF(IFERROR(Dados!L129/Dados!J129,0)&gt;1.129,"🔴 CRÍTICO",IF(OR(IFERROR(Dados!L129/Dados!J129,0)&lt;0.9,IFERROR(Dados!L129/Dados!J129,0)&gt;1.1),"🟡 ATENÇÃO","🟢 OK"))))</f>
        <v>🔴 CRÍTICO</v>
      </c>
    </row>
    <row r="66" spans="1:14" ht="14.25" customHeight="1" x14ac:dyDescent="0.3">
      <c r="A66" s="45">
        <f>Dados!A131</f>
        <v>46177</v>
      </c>
      <c r="B66" s="46">
        <f>IFERROR(Dados!C131+Dados!C132,"")</f>
        <v>1902</v>
      </c>
      <c r="C66" s="46">
        <f>Dados!L131</f>
        <v>190.35</v>
      </c>
      <c r="D66" s="47">
        <f>IFERROR(IF((Dados!C131+Dados!C132)=0,"",(Dados!C131*Dados!D131+Dados!C132*Dados!D132)/(Dados!C131+Dados!C132)),"")</f>
        <v>0.11</v>
      </c>
      <c r="E66" s="47">
        <f>IFERROR(IF((Dados!C131+Dados!C132)=0,"",(Dados!C131*Dados!E131+Dados!C132*Dados!E132)/(Dados!C131+Dados!C132)),"")</f>
        <v>0.05</v>
      </c>
      <c r="F66" s="48">
        <f>Dados!J131</f>
        <v>114.11999999999998</v>
      </c>
      <c r="G66" s="49">
        <f t="shared" ref="G66:G97" si="6">IFERROR(IF(D66=0,"",(D66-E66)/D66),"")</f>
        <v>0.54545454545454541</v>
      </c>
      <c r="H66" s="50">
        <f t="shared" ref="H66:H97" si="7">IFERROR(IF(OR(B66=0,D66=0),"",C66/(B66*D66)),"")</f>
        <v>0.9098078577573846</v>
      </c>
      <c r="I66" s="50">
        <f t="shared" ref="I66:I97" si="8">IFERROR(IF(OR(G66=0,H66=0),"",MAX(0,MIN(G66,H66)/MAX(G66,H66))),"")</f>
        <v>0.59952718676122929</v>
      </c>
      <c r="J66" s="51">
        <f>Dados!K131</f>
        <v>76.230000000000018</v>
      </c>
      <c r="K66" s="52">
        <f>IFERROR(Dados!K131/Dados!J131,"")</f>
        <v>0.66798107255520534</v>
      </c>
      <c r="L66" s="52">
        <f>IFERROR(Dados!L131/Dados!J131,"")</f>
        <v>1.6679810725552053</v>
      </c>
      <c r="M66" s="52">
        <f>Dados!H131</f>
        <v>0.5454545454545453</v>
      </c>
      <c r="N66" s="53" t="str">
        <f>IF(OR(Dados!L131="",Dados!J131=0)," — ",IF(IFERROR(Dados!L131/Dados!J131,0)&lt;0.75,"🔴 CRÍTICO",IF(IFERROR(Dados!L131/Dados!J131,0)&gt;1.131,"🔴 CRÍTICO",IF(OR(IFERROR(Dados!L131/Dados!J131,0)&lt;0.9,IFERROR(Dados!L131/Dados!J131,0)&gt;1.1),"🟡 ATENÇÃO","🟢 OK"))))</f>
        <v>🔴 CRÍTICO</v>
      </c>
    </row>
    <row r="67" spans="1:14" ht="14.25" customHeight="1" x14ac:dyDescent="0.3">
      <c r="A67" s="45">
        <f>Dados!A133</f>
        <v>46178</v>
      </c>
      <c r="B67" s="46">
        <f>IFERROR(Dados!C133+Dados!C134,"")</f>
        <v>2500</v>
      </c>
      <c r="C67" s="46">
        <f>Dados!L133</f>
        <v>490.85</v>
      </c>
      <c r="D67" s="47">
        <f>IFERROR(IF((Dados!C133+Dados!C134)=0,"",(Dados!C133*Dados!D133+Dados!C134*Dados!D134)/(Dados!C133+Dados!C134)),"")</f>
        <v>0.29182399999999997</v>
      </c>
      <c r="E67" s="47">
        <f>IFERROR(IF((Dados!C133+Dados!C134)=0,"",(Dados!C133*Dados!E133+Dados!C134*Dados!E134)/(Dados!C133+Dados!C134)),"")</f>
        <v>0.20455999999999999</v>
      </c>
      <c r="F67" s="48">
        <f>Dados!J133</f>
        <v>218.16000000000003</v>
      </c>
      <c r="G67" s="49">
        <f t="shared" si="6"/>
        <v>0.29902955205877513</v>
      </c>
      <c r="H67" s="50">
        <f t="shared" si="7"/>
        <v>0.67280278524041892</v>
      </c>
      <c r="I67" s="50">
        <f t="shared" si="8"/>
        <v>0.44445349903229087</v>
      </c>
      <c r="J67" s="51">
        <f>Dados!K133</f>
        <v>272.69</v>
      </c>
      <c r="K67" s="52">
        <f>IFERROR(Dados!K133/Dados!J133,"")</f>
        <v>1.2499541620828749</v>
      </c>
      <c r="L67" s="52">
        <f>IFERROR(Dados!L133/Dados!J133,"")</f>
        <v>2.2499541620828749</v>
      </c>
      <c r="M67" s="52">
        <f>Dados!H133</f>
        <v>0.33384727272727271</v>
      </c>
      <c r="N67" s="53" t="str">
        <f>IF(OR(Dados!L133="",Dados!J133=0)," — ",IF(IFERROR(Dados!L133/Dados!J133,0)&lt;0.75,"🔴 CRÍTICO",IF(IFERROR(Dados!L133/Dados!J133,0)&gt;1.133,"🔴 CRÍTICO",IF(OR(IFERROR(Dados!L133/Dados!J133,0)&lt;0.9,IFERROR(Dados!L133/Dados!J133,0)&gt;1.1),"🟡 ATENÇÃO","🟢 OK"))))</f>
        <v>🔴 CRÍTICO</v>
      </c>
    </row>
    <row r="68" spans="1:14" ht="14.25" customHeight="1" x14ac:dyDescent="0.3">
      <c r="A68" s="45">
        <f>Dados!A135</f>
        <v>46179</v>
      </c>
      <c r="B68" s="46">
        <f>IFERROR(Dados!C135+Dados!C136,"")</f>
        <v>1861</v>
      </c>
      <c r="C68" s="46">
        <f>Dados!L135</f>
        <v>233.85</v>
      </c>
      <c r="D68" s="47">
        <f>IFERROR(IF((Dados!C135+Dados!C136)=0,"",(Dados!C135*Dados!D135+Dados!C136*Dados!D136)/(Dados!C135+Dados!C136)),"")</f>
        <v>0.53904889844169801</v>
      </c>
      <c r="E68" s="47">
        <f>IFERROR(IF((Dados!C135+Dados!C136)=0,"",(Dados!C135*Dados!E135+Dados!C136*Dados!E136)/(Dados!C135+Dados!C136)),"")</f>
        <v>0.20716818914562066</v>
      </c>
      <c r="F68" s="48">
        <f>Dados!J135</f>
        <v>617.63000000000011</v>
      </c>
      <c r="G68" s="49">
        <f t="shared" si="6"/>
        <v>0.61567829978966682</v>
      </c>
      <c r="H68" s="50">
        <f t="shared" si="7"/>
        <v>0.23311103800950986</v>
      </c>
      <c r="I68" s="50">
        <f t="shared" si="8"/>
        <v>0.37862474296909149</v>
      </c>
      <c r="J68" s="51">
        <f>Dados!K135</f>
        <v>-383.78000000000009</v>
      </c>
      <c r="K68" s="52">
        <f>IFERROR(Dados!K135/Dados!J135,"")</f>
        <v>-0.62137525703090846</v>
      </c>
      <c r="L68" s="52">
        <f>IFERROR(Dados!L135/Dados!J135,"")</f>
        <v>0.37862474296909143</v>
      </c>
      <c r="M68" s="52">
        <f>Dados!H135</f>
        <v>0.60312086862328673</v>
      </c>
      <c r="N68" s="53" t="str">
        <f>IF(OR(Dados!L135="",Dados!J135=0)," — ",IF(IFERROR(Dados!L135/Dados!J135,0)&lt;0.75,"🔴 CRÍTICO",IF(IFERROR(Dados!L135/Dados!J135,0)&gt;1.135,"🔴 CRÍTICO",IF(OR(IFERROR(Dados!L135/Dados!J135,0)&lt;0.9,IFERROR(Dados!L135/Dados!J135,0)&gt;1.1),"🟡 ATENÇÃO","🟢 OK"))))</f>
        <v>🔴 CRÍTICO</v>
      </c>
    </row>
    <row r="69" spans="1:14" ht="14.25" customHeight="1" x14ac:dyDescent="0.3">
      <c r="A69" s="45">
        <f>Dados!A137</f>
        <v>46180</v>
      </c>
      <c r="B69" s="46">
        <f>IFERROR(Dados!C137+Dados!C138,"")</f>
        <v>400</v>
      </c>
      <c r="C69" s="46">
        <f>Dados!L137</f>
        <v>206.75</v>
      </c>
      <c r="D69" s="47">
        <f>IFERROR(IF((Dados!C137+Dados!C138)=0,"",(Dados!C137*Dados!D137+Dados!C138*Dados!D138)/(Dados!C137+Dados!C138)),"")</f>
        <v>0.42</v>
      </c>
      <c r="E69" s="47">
        <f>IFERROR(IF((Dados!C137+Dados!C138)=0,"",(Dados!C137*Dados!E137+Dados!C138*Dados!E138)/(Dados!C137+Dados!C138)),"")</f>
        <v>0.74</v>
      </c>
      <c r="F69" s="48" t="str">
        <f>Dados!J137</f>
        <v/>
      </c>
      <c r="G69" s="49">
        <f t="shared" si="6"/>
        <v>-0.76190476190476197</v>
      </c>
      <c r="H69" s="50">
        <f t="shared" si="7"/>
        <v>1.2306547619047619</v>
      </c>
      <c r="I69" s="50">
        <f t="shared" si="8"/>
        <v>0</v>
      </c>
      <c r="J69" s="51" t="str">
        <f>Dados!K137</f>
        <v/>
      </c>
      <c r="K69" s="52" t="str">
        <f>IFERROR(Dados!K137/Dados!J137,"")</f>
        <v/>
      </c>
      <c r="L69" s="52" t="str">
        <f>IFERROR(Dados!L137/Dados!J137,"")</f>
        <v/>
      </c>
      <c r="M69" s="52" t="str">
        <f>Dados!H137</f>
        <v/>
      </c>
      <c r="N69" s="53" t="str">
        <f>IF(OR(Dados!L137="",Dados!J137=0)," — ",IF(IFERROR(Dados!L137/Dados!J137,0)&lt;0.75,"🔴 CRÍTICO",IF(IFERROR(Dados!L137/Dados!J137,0)&gt;1.137,"🔴 CRÍTICO",IF(OR(IFERROR(Dados!L137/Dados!J137,0)&lt;0.9,IFERROR(Dados!L137/Dados!J137,0)&gt;1.1),"🟡 ATENÇÃO","🟢 OK"))))</f>
        <v>🔴 CRÍTICO</v>
      </c>
    </row>
    <row r="70" spans="1:14" ht="14.25" customHeight="1" x14ac:dyDescent="0.3">
      <c r="A70" s="45">
        <f>Dados!A139</f>
        <v>46181</v>
      </c>
      <c r="B70" s="46">
        <f>IFERROR(Dados!C139+Dados!C140,"")</f>
        <v>1600</v>
      </c>
      <c r="C70" s="46">
        <f>Dados!L139</f>
        <v>180.46</v>
      </c>
      <c r="D70" s="47">
        <f>IFERROR(IF((Dados!C139+Dados!C140)=0,"",(Dados!C139*Dados!D139+Dados!C140*Dados!D140)/(Dados!C139+Dados!C140)),"")</f>
        <v>0.78</v>
      </c>
      <c r="E70" s="47">
        <f>IFERROR(IF((Dados!C139+Dados!C140)=0,"",(Dados!C139*Dados!E139+Dados!C140*Dados!E140)/(Dados!C139+Dados!C140)),"")</f>
        <v>0.18</v>
      </c>
      <c r="F70" s="48">
        <f>Dados!J139</f>
        <v>960.00000000000011</v>
      </c>
      <c r="G70" s="49">
        <f t="shared" si="6"/>
        <v>0.76923076923076927</v>
      </c>
      <c r="H70" s="50">
        <f t="shared" si="7"/>
        <v>0.14459935897435899</v>
      </c>
      <c r="I70" s="50">
        <f t="shared" si="8"/>
        <v>0.18797916666666667</v>
      </c>
      <c r="J70" s="51">
        <f>Dados!K139</f>
        <v>-779.54000000000008</v>
      </c>
      <c r="K70" s="52">
        <f>IFERROR(Dados!K139/Dados!J139,"")</f>
        <v>-0.8120208333333333</v>
      </c>
      <c r="L70" s="52">
        <f>IFERROR(Dados!L139/Dados!J139,"")</f>
        <v>0.18797916666666664</v>
      </c>
      <c r="M70" s="52">
        <f>Dados!H139</f>
        <v>0.76923076923076938</v>
      </c>
      <c r="N70" s="53" t="str">
        <f>IF(OR(Dados!L139="",Dados!J139=0)," — ",IF(IFERROR(Dados!L139/Dados!J139,0)&lt;0.75,"🔴 CRÍTICO",IF(IFERROR(Dados!L139/Dados!J139,0)&gt;1.139,"🔴 CRÍTICO",IF(OR(IFERROR(Dados!L139/Dados!J139,0)&lt;0.9,IFERROR(Dados!L139/Dados!J139,0)&gt;1.1),"🟡 ATENÇÃO","🟢 OK"))))</f>
        <v>🔴 CRÍTICO</v>
      </c>
    </row>
    <row r="71" spans="1:14" ht="14.25" customHeight="1" x14ac:dyDescent="0.3">
      <c r="A71" s="45">
        <f>Dados!A141</f>
        <v>46182</v>
      </c>
      <c r="B71" s="46">
        <f>IFERROR(Dados!C141+Dados!C142,"")</f>
        <v>1731</v>
      </c>
      <c r="C71" s="46">
        <f>Dados!L141</f>
        <v>346.4</v>
      </c>
      <c r="D71" s="47">
        <f>IFERROR(IF((Dados!C141+Dados!C142)=0,"",(Dados!C141*Dados!D141+Dados!C142*Dados!D142)/(Dados!C141+Dados!C142)),"")</f>
        <v>0.60500000000000009</v>
      </c>
      <c r="E71" s="47">
        <f>IFERROR(IF((Dados!C141+Dados!C142)=0,"",(Dados!C141*Dados!E141+Dados!C142*Dados!E142)/(Dados!C141+Dados!C142)),"")</f>
        <v>0.12</v>
      </c>
      <c r="F71" s="48">
        <f>Dados!J141</f>
        <v>839.53499999999997</v>
      </c>
      <c r="G71" s="49">
        <f t="shared" si="6"/>
        <v>0.80165289256198347</v>
      </c>
      <c r="H71" s="50">
        <f t="shared" si="7"/>
        <v>0.33076948785157384</v>
      </c>
      <c r="I71" s="50">
        <f t="shared" si="8"/>
        <v>0.41260936113443747</v>
      </c>
      <c r="J71" s="51">
        <f>Dados!K141</f>
        <v>-493.13499999999999</v>
      </c>
      <c r="K71" s="52">
        <f>IFERROR(Dados!K141/Dados!J141,"")</f>
        <v>-0.58739063886556253</v>
      </c>
      <c r="L71" s="52">
        <f>IFERROR(Dados!L141/Dados!J141,"")</f>
        <v>0.41260936113443752</v>
      </c>
      <c r="M71" s="52">
        <f>Dados!H141</f>
        <v>0.80165289256198347</v>
      </c>
      <c r="N71" s="53" t="str">
        <f>IF(OR(Dados!L141="",Dados!J141=0)," — ",IF(IFERROR(Dados!L141/Dados!J141,0)&lt;0.75,"🔴 CRÍTICO",IF(IFERROR(Dados!L141/Dados!J141,0)&gt;1.141,"🔴 CRÍTICO",IF(OR(IFERROR(Dados!L141/Dados!J141,0)&lt;0.9,IFERROR(Dados!L141/Dados!J141,0)&gt;1.1),"🟡 ATENÇÃO","🟢 OK"))))</f>
        <v>🔴 CRÍTICO</v>
      </c>
    </row>
    <row r="72" spans="1:14" ht="14.25" customHeight="1" x14ac:dyDescent="0.3">
      <c r="A72" s="45">
        <f>Dados!A143</f>
        <v>46183</v>
      </c>
      <c r="B72" s="46">
        <f>IFERROR(Dados!C143+Dados!C144,"")</f>
        <v>1503</v>
      </c>
      <c r="C72" s="46">
        <f>Dados!L143</f>
        <v>135.93</v>
      </c>
      <c r="D72" s="47">
        <f>IFERROR(IF((Dados!C143+Dados!C144)=0,"",(Dados!C143*Dados!D143+Dados!C144*Dados!D144)/(Dados!C143+Dados!C144)),"")</f>
        <v>0.31334664005322688</v>
      </c>
      <c r="E72" s="47">
        <f>IFERROR(IF((Dados!C143+Dados!C144)=0,"",(Dados!C143*Dados!E143+Dados!C144*Dados!E144)/(Dados!C143+Dados!C144)),"")</f>
        <v>0.12763805721889554</v>
      </c>
      <c r="F72" s="48">
        <f>Dados!J143</f>
        <v>279.12</v>
      </c>
      <c r="G72" s="49">
        <f t="shared" si="6"/>
        <v>0.5926617971802276</v>
      </c>
      <c r="H72" s="50">
        <f t="shared" si="7"/>
        <v>0.28862323764226266</v>
      </c>
      <c r="I72" s="50">
        <f t="shared" si="8"/>
        <v>0.48699484092863293</v>
      </c>
      <c r="J72" s="51">
        <f>Dados!K143</f>
        <v>-143.19</v>
      </c>
      <c r="K72" s="52">
        <f>IFERROR(Dados!K143/Dados!J143,"")</f>
        <v>-0.51300515907136712</v>
      </c>
      <c r="L72" s="52">
        <f>IFERROR(Dados!L143/Dados!J143,"")</f>
        <v>0.48699484092863288</v>
      </c>
      <c r="M72" s="52">
        <f>Dados!H143</f>
        <v>0.60539872635681014</v>
      </c>
      <c r="N72" s="53" t="str">
        <f>IF(OR(Dados!L143="",Dados!J143=0)," — ",IF(IFERROR(Dados!L143/Dados!J143,0)&lt;0.75,"🔴 CRÍTICO",IF(IFERROR(Dados!L143/Dados!J143,0)&gt;1.143,"🔴 CRÍTICO",IF(OR(IFERROR(Dados!L143/Dados!J143,0)&lt;0.9,IFERROR(Dados!L143/Dados!J143,0)&gt;1.1),"🟡 ATENÇÃO","🟢 OK"))))</f>
        <v>🔴 CRÍTICO</v>
      </c>
    </row>
    <row r="73" spans="1:14" ht="14.25" customHeight="1" x14ac:dyDescent="0.3">
      <c r="A73" s="45">
        <f>Dados!A145</f>
        <v>46184</v>
      </c>
      <c r="B73" s="46">
        <f>IFERROR(Dados!C145+Dados!C146,"")</f>
        <v>1824</v>
      </c>
      <c r="C73" s="46">
        <f>Dados!L145</f>
        <v>219.11</v>
      </c>
      <c r="D73" s="47">
        <f>IFERROR(IF((Dados!C145+Dados!C146)=0,"",(Dados!C145*Dados!D145+Dados!C146*Dados!D146)/(Dados!C145+Dados!C146)),"")</f>
        <v>0.31560325194638056</v>
      </c>
      <c r="E73" s="47">
        <f>IFERROR(IF((Dados!C145+Dados!C146)=0,"",(Dados!C145*Dados!E145+Dados!C146*Dados!E146)/(Dados!C145+Dados!C146)),"")</f>
        <v>0.12</v>
      </c>
      <c r="F73" s="48">
        <f>Dados!J145</f>
        <v>356.78033155019818</v>
      </c>
      <c r="G73" s="49">
        <f t="shared" si="6"/>
        <v>0.61977578095301944</v>
      </c>
      <c r="H73" s="50">
        <f t="shared" si="7"/>
        <v>0.38062376021282857</v>
      </c>
      <c r="I73" s="50">
        <f t="shared" si="8"/>
        <v>0.61413138736649153</v>
      </c>
      <c r="J73" s="51">
        <f>Dados!K145</f>
        <v>-137.67033155019817</v>
      </c>
      <c r="K73" s="52">
        <f>IFERROR(Dados!K145/Dados!J145,"")</f>
        <v>-0.38586861263350852</v>
      </c>
      <c r="L73" s="52">
        <f>IFERROR(Dados!L145/Dados!J145,"")</f>
        <v>0.61413138736649142</v>
      </c>
      <c r="M73" s="52">
        <f>Dados!H145</f>
        <v>0.61746021935218531</v>
      </c>
      <c r="N73" s="53" t="str">
        <f>IF(OR(Dados!L145="",Dados!J145=0)," — ",IF(IFERROR(Dados!L145/Dados!J145,0)&lt;0.75,"🔴 CRÍTICO",IF(IFERROR(Dados!L145/Dados!J145,0)&gt;1.145,"🔴 CRÍTICO",IF(OR(IFERROR(Dados!L145/Dados!J145,0)&lt;0.9,IFERROR(Dados!L145/Dados!J145,0)&gt;1.1),"🟡 ATENÇÃO","🟢 OK"))))</f>
        <v>🔴 CRÍTICO</v>
      </c>
    </row>
    <row r="74" spans="1:14" ht="14.25" customHeight="1" x14ac:dyDescent="0.3">
      <c r="A74" s="45">
        <f>Dados!A147</f>
        <v>46185</v>
      </c>
      <c r="B74" s="46">
        <f>IFERROR(Dados!C147+Dados!C148,"")</f>
        <v>2338</v>
      </c>
      <c r="C74" s="46">
        <f>Dados!L147</f>
        <v>283.49</v>
      </c>
      <c r="D74" s="47">
        <f>IFERROR(IF((Dados!C147+Dados!C148)=0,"",(Dados!C147*Dados!D147+Dados!C148*Dados!D148)/(Dados!C147+Dados!C148)),"")</f>
        <v>0.45197928780661212</v>
      </c>
      <c r="E74" s="47">
        <f>IFERROR(IF((Dados!C147+Dados!C148)=0,"",(Dados!C147*Dados!E147+Dados!C148*Dados!E148)/(Dados!C147+Dados!C148)),"")</f>
        <v>0.10589820359281438</v>
      </c>
      <c r="F74" s="48">
        <f>Dados!J147</f>
        <v>809.13757489185923</v>
      </c>
      <c r="G74" s="49">
        <f t="shared" si="6"/>
        <v>0.76570120257783825</v>
      </c>
      <c r="H74" s="50">
        <f t="shared" si="7"/>
        <v>0.26827160257364452</v>
      </c>
      <c r="I74" s="50">
        <f t="shared" si="8"/>
        <v>0.35036069118145735</v>
      </c>
      <c r="J74" s="51">
        <f>Dados!K147</f>
        <v>-525.64757489185922</v>
      </c>
      <c r="K74" s="52">
        <f>IFERROR(Dados!K147/Dados!J147,"")</f>
        <v>-0.6496393088185427</v>
      </c>
      <c r="L74" s="52">
        <f>IFERROR(Dados!L147/Dados!J147,"")</f>
        <v>0.35036069118145735</v>
      </c>
      <c r="M74" s="52">
        <f>Dados!H147</f>
        <v>0.76492787611423907</v>
      </c>
      <c r="N74" s="53" t="str">
        <f>IF(OR(Dados!L147="",Dados!J147=0)," — ",IF(IFERROR(Dados!L147/Dados!J147,0)&lt;0.75,"🔴 CRÍTICO",IF(IFERROR(Dados!L147/Dados!J147,0)&gt;1.147,"🔴 CRÍTICO",IF(OR(IFERROR(Dados!L147/Dados!J147,0)&lt;0.9,IFERROR(Dados!L147/Dados!J147,0)&gt;1.1),"🟡 ATENÇÃO","🟢 OK"))))</f>
        <v>🔴 CRÍTICO</v>
      </c>
    </row>
    <row r="75" spans="1:14" ht="14.25" customHeight="1" x14ac:dyDescent="0.3">
      <c r="A75" s="45">
        <f>Dados!A149</f>
        <v>46186</v>
      </c>
      <c r="B75" s="46">
        <f>IFERROR(Dados!C149+Dados!C150,"")</f>
        <v>2375</v>
      </c>
      <c r="C75" s="46">
        <f>Dados!L149</f>
        <v>313.89</v>
      </c>
      <c r="D75" s="47">
        <f>IFERROR(IF((Dados!C149+Dados!C150)=0,"",(Dados!C149*Dados!D149+Dados!C150*Dados!D150)/(Dados!C149+Dados!C150)),"")</f>
        <v>0.48535614134440258</v>
      </c>
      <c r="E75" s="47">
        <f>IFERROR(IF((Dados!C149+Dados!C150)=0,"",(Dados!C149*Dados!E149+Dados!C150*Dados!E150)/(Dados!C149+Dados!C150)),"")</f>
        <v>0.11311578947368423</v>
      </c>
      <c r="F75" s="48">
        <f>Dados!J149</f>
        <v>884.07083569295605</v>
      </c>
      <c r="G75" s="49">
        <f t="shared" si="6"/>
        <v>0.76694270487571992</v>
      </c>
      <c r="H75" s="50">
        <f t="shared" si="7"/>
        <v>0.27230357106480646</v>
      </c>
      <c r="I75" s="50">
        <f t="shared" si="8"/>
        <v>0.35505073499451589</v>
      </c>
      <c r="J75" s="51">
        <f>Dados!K149</f>
        <v>-570.18083569295607</v>
      </c>
      <c r="K75" s="52">
        <f>IFERROR(Dados!K149/Dados!J149,"")</f>
        <v>-0.64494926500548411</v>
      </c>
      <c r="L75" s="52">
        <f>IFERROR(Dados!L149/Dados!J149,"")</f>
        <v>0.35505073499451595</v>
      </c>
      <c r="M75" s="52">
        <f>Dados!H149</f>
        <v>0.74084774762690708</v>
      </c>
      <c r="N75" s="53" t="str">
        <f>IF(OR(Dados!L149="",Dados!J149=0)," — ",IF(IFERROR(Dados!L149/Dados!J149,0)&lt;0.75,"🔴 CRÍTICO",IF(IFERROR(Dados!L149/Dados!J149,0)&gt;1.149,"🔴 CRÍTICO",IF(OR(IFERROR(Dados!L149/Dados!J149,0)&lt;0.9,IFERROR(Dados!L149/Dados!J149,0)&gt;1.1),"🟡 ATENÇÃO","🟢 OK"))))</f>
        <v>🔴 CRÍTICO</v>
      </c>
    </row>
    <row r="76" spans="1:14" ht="14.25" customHeight="1" x14ac:dyDescent="0.3">
      <c r="A76" s="45">
        <f>Dados!A151</f>
        <v>46187</v>
      </c>
      <c r="B76" s="46">
        <f>IFERROR(Dados!C151+Dados!C152,"")</f>
        <v>2813</v>
      </c>
      <c r="C76" s="46">
        <f>Dados!L151</f>
        <v>353.23</v>
      </c>
      <c r="D76" s="47">
        <f>IFERROR(IF((Dados!C151+Dados!C152)=0,"",(Dados!C151*Dados!D151+Dados!C152*Dados!D152)/(Dados!C151+Dados!C152)),"")</f>
        <v>0.4669072164948454</v>
      </c>
      <c r="E76" s="47">
        <f>IFERROR(IF((Dados!C151+Dados!C152)=0,"",(Dados!C151*Dados!E151+Dados!C152*Dados!E152)/(Dados!C151+Dados!C152)),"")</f>
        <v>0.25576253110558123</v>
      </c>
      <c r="F76" s="48">
        <f>Dados!J151</f>
        <v>593.95000000000005</v>
      </c>
      <c r="G76" s="49">
        <f t="shared" si="6"/>
        <v>0.4522197942759687</v>
      </c>
      <c r="H76" s="50">
        <f t="shared" si="7"/>
        <v>0.26894115318141326</v>
      </c>
      <c r="I76" s="50">
        <f t="shared" si="8"/>
        <v>0.59471335971041328</v>
      </c>
      <c r="J76" s="51">
        <f>Dados!K151</f>
        <v>-240.72000000000003</v>
      </c>
      <c r="K76" s="52">
        <f>IFERROR(Dados!K151/Dados!J151,"")</f>
        <v>-0.40528664028958666</v>
      </c>
      <c r="L76" s="52">
        <f>IFERROR(Dados!L151/Dados!J151,"")</f>
        <v>0.59471335971041328</v>
      </c>
      <c r="M76" s="52">
        <f>Dados!H151</f>
        <v>0.37178484508736909</v>
      </c>
      <c r="N76" s="53" t="str">
        <f>IF(OR(Dados!L151="",Dados!J151=0)," — ",IF(IFERROR(Dados!L151/Dados!J151,0)&lt;0.75,"🔴 CRÍTICO",IF(IFERROR(Dados!L151/Dados!J151,0)&gt;1.151,"🔴 CRÍTICO",IF(OR(IFERROR(Dados!L151/Dados!J151,0)&lt;0.9,IFERROR(Dados!L151/Dados!J151,0)&gt;1.1),"🟡 ATENÇÃO","🟢 OK"))))</f>
        <v>🔴 CRÍTICO</v>
      </c>
    </row>
    <row r="77" spans="1:14" ht="14.25" customHeight="1" x14ac:dyDescent="0.3">
      <c r="A77" s="45">
        <f>Dados!A153</f>
        <v>46188</v>
      </c>
      <c r="B77" s="46">
        <f>IFERROR(Dados!C153+Dados!C154,"")</f>
        <v>2645</v>
      </c>
      <c r="C77" s="46">
        <f>Dados!L153</f>
        <v>208.04</v>
      </c>
      <c r="D77" s="47">
        <f>IFERROR(IF((Dados!C153+Dados!C154)=0,"",(Dados!C153*Dados!D153+Dados!C154*Dados!D154)/(Dados!C153+Dados!C154)),"")</f>
        <v>0.24683931947069948</v>
      </c>
      <c r="E77" s="47">
        <f>IFERROR(IF((Dados!C153+Dados!C154)=0,"",(Dados!C153*Dados!E153+Dados!C154*Dados!E154)/(Dados!C153+Dados!C154)),"")</f>
        <v>6.4737240075614377E-2</v>
      </c>
      <c r="F77" s="48">
        <f>Dados!J153</f>
        <v>481.65999999999997</v>
      </c>
      <c r="G77" s="49">
        <f t="shared" si="6"/>
        <v>0.73773529997396192</v>
      </c>
      <c r="H77" s="50">
        <f t="shared" si="7"/>
        <v>0.31864479468210566</v>
      </c>
      <c r="I77" s="50">
        <f t="shared" si="8"/>
        <v>0.43192293318938663</v>
      </c>
      <c r="J77" s="51">
        <f>Dados!K153</f>
        <v>-273.62</v>
      </c>
      <c r="K77" s="52">
        <f>IFERROR(Dados!K153/Dados!J153,"")</f>
        <v>-0.56807706681061332</v>
      </c>
      <c r="L77" s="52">
        <f>IFERROR(Dados!L153/Dados!J153,"")</f>
        <v>0.43192293318938674</v>
      </c>
      <c r="M77" s="52">
        <f>Dados!H153</f>
        <v>0.72931857052840043</v>
      </c>
      <c r="N77" s="53" t="str">
        <f>IF(OR(Dados!L153="",Dados!J153=0)," — ",IF(IFERROR(Dados!L153/Dados!J153,0)&lt;0.75,"🔴 CRÍTICO",IF(IFERROR(Dados!L153/Dados!J153,0)&gt;1.153,"🔴 CRÍTICO",IF(OR(IFERROR(Dados!L153/Dados!J153,0)&lt;0.9,IFERROR(Dados!L153/Dados!J153,0)&gt;1.1),"🟡 ATENÇÃO","🟢 OK"))))</f>
        <v>🔴 CRÍTICO</v>
      </c>
    </row>
    <row r="78" spans="1:14" ht="14.25" customHeight="1" x14ac:dyDescent="0.3">
      <c r="A78" s="45">
        <f>Dados!A155</f>
        <v>46189</v>
      </c>
      <c r="B78" s="46">
        <f>IFERROR(Dados!C155+Dados!C156,"")</f>
        <v>2464</v>
      </c>
      <c r="C78" s="46">
        <f>Dados!L155</f>
        <v>231.9</v>
      </c>
      <c r="D78" s="47">
        <f>IFERROR(IF((Dados!C155+Dados!C156)=0,"",(Dados!C155*Dados!D155+Dados!C156*Dados!D156)/(Dados!C155+Dados!C156)),"")</f>
        <v>0.16761769480519481</v>
      </c>
      <c r="E78" s="47">
        <f>IFERROR(IF((Dados!C155+Dados!C156)=0,"",(Dados!C155*Dados!E155+Dados!C156*Dados!E156)/(Dados!C155+Dados!C156)),"")</f>
        <v>5.6570616883116889E-2</v>
      </c>
      <c r="F78" s="48">
        <f>Dados!J155</f>
        <v>273.62</v>
      </c>
      <c r="G78" s="49">
        <f t="shared" si="6"/>
        <v>0.66250211859277008</v>
      </c>
      <c r="H78" s="50">
        <f t="shared" si="7"/>
        <v>0.56148761531197799</v>
      </c>
      <c r="I78" s="50">
        <f t="shared" si="8"/>
        <v>0.84752576566040516</v>
      </c>
      <c r="J78" s="51">
        <f>Dados!K155</f>
        <v>-41.72</v>
      </c>
      <c r="K78" s="52">
        <f>IFERROR(Dados!K155/Dados!J155,"")</f>
        <v>-0.15247423433959506</v>
      </c>
      <c r="L78" s="52">
        <f>IFERROR(Dados!L155/Dados!J155,"")</f>
        <v>0.84752576566040494</v>
      </c>
      <c r="M78" s="52">
        <f>Dados!H155</f>
        <v>0.66860230934479059</v>
      </c>
      <c r="N78" s="53" t="str">
        <f>IF(OR(Dados!L155="",Dados!J155=0)," — ",IF(IFERROR(Dados!L155/Dados!J155,0)&lt;0.75,"🔴 CRÍTICO",IF(IFERROR(Dados!L155/Dados!J155,0)&gt;1.155,"🔴 CRÍTICO",IF(OR(IFERROR(Dados!L155/Dados!J155,0)&lt;0.9,IFERROR(Dados!L155/Dados!J155,0)&gt;1.1),"🟡 ATENÇÃO","🟢 OK"))))</f>
        <v>🟡 ATENÇÃO</v>
      </c>
    </row>
    <row r="79" spans="1:14" ht="14.25" customHeight="1" x14ac:dyDescent="0.3">
      <c r="A79" s="45">
        <f>Dados!A157</f>
        <v>46190</v>
      </c>
      <c r="B79" s="46">
        <f>IFERROR(Dados!C157+Dados!C158,"")</f>
        <v>2041</v>
      </c>
      <c r="C79" s="46">
        <f>Dados!L157</f>
        <v>121.02</v>
      </c>
      <c r="D79" s="47">
        <f>IFERROR(IF((Dados!C157+Dados!C158)=0,"",(Dados!C157*Dados!D157+Dados!C158*Dados!D158)/(Dados!C157+Dados!C158)),"")</f>
        <v>0.19951004409603135</v>
      </c>
      <c r="E79" s="47">
        <f>IFERROR(IF((Dados!C157+Dados!C158)=0,"",(Dados!C157*Dados!E157+Dados!C158*Dados!E158)/(Dados!C157+Dados!C158)),"")</f>
        <v>6.0000000000000005E-2</v>
      </c>
      <c r="F79" s="48">
        <f>Dados!J157</f>
        <v>284.74</v>
      </c>
      <c r="G79" s="49">
        <f t="shared" si="6"/>
        <v>0.69926326129666017</v>
      </c>
      <c r="H79" s="50">
        <f t="shared" si="7"/>
        <v>0.29720039292730843</v>
      </c>
      <c r="I79" s="50">
        <f t="shared" si="8"/>
        <v>0.42501931586710678</v>
      </c>
      <c r="J79" s="51">
        <f>Dados!K157</f>
        <v>-163.72000000000003</v>
      </c>
      <c r="K79" s="52">
        <f>IFERROR(Dados!K157/Dados!J157,"")</f>
        <v>-0.57498068413289327</v>
      </c>
      <c r="L79" s="52">
        <f>IFERROR(Dados!L157/Dados!J157,"")</f>
        <v>0.42501931586710678</v>
      </c>
      <c r="M79" s="52">
        <f>Dados!H157</f>
        <v>0.69234666607278073</v>
      </c>
      <c r="N79" s="53" t="str">
        <f>IF(OR(Dados!L157="",Dados!J157=0)," — ",IF(IFERROR(Dados!L157/Dados!J157,0)&lt;0.75,"🔴 CRÍTICO",IF(IFERROR(Dados!L157/Dados!J157,0)&gt;1.157,"🔴 CRÍTICO",IF(OR(IFERROR(Dados!L157/Dados!J157,0)&lt;0.9,IFERROR(Dados!L157/Dados!J157,0)&gt;1.1),"🟡 ATENÇÃO","🟢 OK"))))</f>
        <v>🔴 CRÍTICO</v>
      </c>
    </row>
    <row r="80" spans="1:14" ht="14.25" customHeight="1" x14ac:dyDescent="0.3">
      <c r="A80" s="45">
        <f>Dados!A159</f>
        <v>46191</v>
      </c>
      <c r="B80" s="46">
        <f>IFERROR(Dados!C159+Dados!C160,"")</f>
        <v>2228</v>
      </c>
      <c r="C80" s="46">
        <f>Dados!L159</f>
        <v>115.63</v>
      </c>
      <c r="D80" s="47">
        <f>IFERROR(IF((Dados!C159+Dados!C160)=0,"",(Dados!C159*Dados!D159+Dados!C160*Dados!D160)/(Dados!C159+Dados!C160)),"")</f>
        <v>0.1709156193895871</v>
      </c>
      <c r="E80" s="47">
        <f>IFERROR(IF((Dados!C159+Dados!C160)=0,"",(Dados!C159*Dados!E159+Dados!C160*Dados!E160)/(Dados!C159+Dados!C160)),"")</f>
        <v>0.14789946140035906</v>
      </c>
      <c r="F80" s="48">
        <f>Dados!J159</f>
        <v>51.280000000000037</v>
      </c>
      <c r="G80" s="49">
        <f t="shared" si="6"/>
        <v>0.13466386554621868</v>
      </c>
      <c r="H80" s="50">
        <f t="shared" si="7"/>
        <v>0.30365021008403353</v>
      </c>
      <c r="I80" s="50">
        <f t="shared" si="8"/>
        <v>0.44348352503675592</v>
      </c>
      <c r="J80" s="51">
        <f>Dados!K159</f>
        <v>64.349999999999966</v>
      </c>
      <c r="K80" s="52">
        <f>IFERROR(Dados!K159/Dados!J159,"")</f>
        <v>1.2548751950077988</v>
      </c>
      <c r="L80" s="52">
        <f>IFERROR(Dados!L159/Dados!J159,"")</f>
        <v>2.2548751950077985</v>
      </c>
      <c r="M80" s="52">
        <f>Dados!H159</f>
        <v>0.20856629905103879</v>
      </c>
      <c r="N80" s="53" t="str">
        <f>IF(OR(Dados!L159="",Dados!J159=0)," — ",IF(IFERROR(Dados!L159/Dados!J159,0)&lt;0.75,"🔴 CRÍTICO",IF(IFERROR(Dados!L159/Dados!J159,0)&gt;1.159,"🔴 CRÍTICO",IF(OR(IFERROR(Dados!L159/Dados!J159,0)&lt;0.9,IFERROR(Dados!L159/Dados!J159,0)&gt;1.1),"🟡 ATENÇÃO","🟢 OK"))))</f>
        <v>🔴 CRÍTICO</v>
      </c>
    </row>
    <row r="81" spans="1:14" ht="14.25" customHeight="1" x14ac:dyDescent="0.3">
      <c r="A81" s="45">
        <f>Dados!A161</f>
        <v>46192</v>
      </c>
      <c r="B81" s="46">
        <f>IFERROR(Dados!C161+Dados!C162,"")</f>
        <v>2848</v>
      </c>
      <c r="C81" s="46">
        <f>Dados!L161</f>
        <v>164.94</v>
      </c>
      <c r="D81" s="47">
        <f>IFERROR(IF((Dados!C161+Dados!C162)=0,"",(Dados!C161*Dados!D161+Dados!C162*Dados!D162)/(Dados!C161+Dados!C162)),"")</f>
        <v>0.10999999999999999</v>
      </c>
      <c r="E81" s="47">
        <f>IFERROR(IF((Dados!C161+Dados!C162)=0,"",(Dados!C161*Dados!E161+Dados!C162*Dados!E162)/(Dados!C161+Dados!C162)),"")</f>
        <v>0.06</v>
      </c>
      <c r="F81" s="48">
        <f>Dados!J161</f>
        <v>142.4</v>
      </c>
      <c r="G81" s="49">
        <f t="shared" si="6"/>
        <v>0.45454545454545447</v>
      </c>
      <c r="H81" s="50">
        <f t="shared" si="7"/>
        <v>0.52649387129724212</v>
      </c>
      <c r="I81" s="50">
        <f t="shared" si="8"/>
        <v>0.86334424639262741</v>
      </c>
      <c r="J81" s="51">
        <f>Dados!K161</f>
        <v>22.539999999999992</v>
      </c>
      <c r="K81" s="52">
        <f>IFERROR(Dados!K161/Dados!J161,"")</f>
        <v>0.15828651685393252</v>
      </c>
      <c r="L81" s="52">
        <f>IFERROR(Dados!L161/Dados!J161,"")</f>
        <v>1.1582865168539325</v>
      </c>
      <c r="M81" s="52">
        <f>Dados!H161</f>
        <v>0.45454545454545453</v>
      </c>
      <c r="N81" s="53" t="str">
        <f>IF(OR(Dados!L161="",Dados!J161=0)," — ",IF(IFERROR(Dados!L161/Dados!J161,0)&lt;0.75,"🔴 CRÍTICO",IF(IFERROR(Dados!L161/Dados!J161,0)&gt;1.161,"🔴 CRÍTICO",IF(OR(IFERROR(Dados!L161/Dados!J161,0)&lt;0.9,IFERROR(Dados!L161/Dados!J161,0)&gt;1.1),"🟡 ATENÇÃO","🟢 OK"))))</f>
        <v>🟡 ATENÇÃO</v>
      </c>
    </row>
    <row r="82" spans="1:14" ht="14.25" customHeight="1" x14ac:dyDescent="0.3">
      <c r="A82" s="45">
        <f>Dados!A163</f>
        <v>46193</v>
      </c>
      <c r="B82" s="46">
        <f>IFERROR(Dados!C163+Dados!C164,"")</f>
        <v>2268</v>
      </c>
      <c r="C82" s="46">
        <f>Dados!L163</f>
        <v>225.16</v>
      </c>
      <c r="D82" s="47">
        <f>IFERROR(IF((Dados!C163+Dados!C164)=0,"",(Dados!C163*Dados!D163+Dados!C164*Dados!D164)/(Dados!C163+Dados!C164)),"")</f>
        <v>0.25825396825396829</v>
      </c>
      <c r="E82" s="47">
        <f>IFERROR(IF((Dados!C163+Dados!C164)=0,"",(Dados!C163*Dados!E163+Dados!C164*Dados!E164)/(Dados!C163+Dados!C164)),"")</f>
        <v>0.11873015873015871</v>
      </c>
      <c r="F82" s="48">
        <f>Dados!J163</f>
        <v>316.44000000000005</v>
      </c>
      <c r="G82" s="49">
        <f t="shared" si="6"/>
        <v>0.5402581438229872</v>
      </c>
      <c r="H82" s="50">
        <f t="shared" si="7"/>
        <v>0.3844157617974458</v>
      </c>
      <c r="I82" s="50">
        <f t="shared" si="8"/>
        <v>0.71154089242826413</v>
      </c>
      <c r="J82" s="51">
        <f>Dados!K163</f>
        <v>-91.280000000000058</v>
      </c>
      <c r="K82" s="52">
        <f>IFERROR(Dados!K163/Dados!J163,"")</f>
        <v>-0.28845910757173571</v>
      </c>
      <c r="L82" s="52">
        <f>IFERROR(Dados!L163/Dados!J163,"")</f>
        <v>0.71154089242826435</v>
      </c>
      <c r="M82" s="52">
        <f>Dados!H163</f>
        <v>0.53241622574955905</v>
      </c>
      <c r="N82" s="53" t="str">
        <f>IF(OR(Dados!L163="",Dados!J163=0)," — ",IF(IFERROR(Dados!L163/Dados!J163,0)&lt;0.75,"🔴 CRÍTICO",IF(IFERROR(Dados!L163/Dados!J163,0)&gt;1.163,"🔴 CRÍTICO",IF(OR(IFERROR(Dados!L163/Dados!J163,0)&lt;0.9,IFERROR(Dados!L163/Dados!J163,0)&gt;1.1),"🟡 ATENÇÃO","🟢 OK"))))</f>
        <v>🔴 CRÍTICO</v>
      </c>
    </row>
    <row r="83" spans="1:14" ht="14.25" customHeight="1" x14ac:dyDescent="0.3">
      <c r="A83" s="45">
        <f>Dados!A165</f>
        <v>46194</v>
      </c>
      <c r="B83" s="46">
        <f>IFERROR(Dados!C165+Dados!C166,"")</f>
        <v>2276</v>
      </c>
      <c r="C83" s="46">
        <f>Dados!L165</f>
        <v>182.78</v>
      </c>
      <c r="D83" s="47">
        <f>IFERROR(IF((Dados!C165+Dados!C166)=0,"",(Dados!C165*Dados!D165+Dados!C166*Dados!D166)/(Dados!C165+Dados!C166)),"")</f>
        <v>0.19263181019332162</v>
      </c>
      <c r="E83" s="47">
        <f>IFERROR(IF((Dados!C165+Dados!C166)=0,"",(Dados!C165*Dados!E165+Dados!C166*Dados!E166)/(Dados!C165+Dados!C166)),"")</f>
        <v>7.0861159929701226E-2</v>
      </c>
      <c r="F83" s="48">
        <f>Dados!J165</f>
        <v>277.15000000000003</v>
      </c>
      <c r="G83" s="49">
        <f t="shared" si="6"/>
        <v>0.63214196108842924</v>
      </c>
      <c r="H83" s="50">
        <f t="shared" si="7"/>
        <v>0.41689665396984693</v>
      </c>
      <c r="I83" s="50">
        <f t="shared" si="8"/>
        <v>0.65949846653436761</v>
      </c>
      <c r="J83" s="51">
        <f>Dados!K165</f>
        <v>-94.370000000000033</v>
      </c>
      <c r="K83" s="52">
        <f>IFERROR(Dados!K165/Dados!J165,"")</f>
        <v>-0.34050153346563239</v>
      </c>
      <c r="L83" s="52">
        <f>IFERROR(Dados!L165/Dados!J165,"")</f>
        <v>0.65949846653436761</v>
      </c>
      <c r="M83" s="52">
        <f>Dados!H165</f>
        <v>0.56903715792116505</v>
      </c>
      <c r="N83" s="53" t="str">
        <f>IF(OR(Dados!L165="",Dados!J165=0)," — ",IF(IFERROR(Dados!L165/Dados!J165,0)&lt;0.75,"🔴 CRÍTICO",IF(IFERROR(Dados!L165/Dados!J165,0)&gt;1.165,"🔴 CRÍTICO",IF(OR(IFERROR(Dados!L165/Dados!J165,0)&lt;0.9,IFERROR(Dados!L165/Dados!J165,0)&gt;1.1),"🟡 ATENÇÃO","🟢 OK"))))</f>
        <v>🔴 CRÍTICO</v>
      </c>
    </row>
    <row r="84" spans="1:14" ht="14.25" customHeight="1" x14ac:dyDescent="0.3">
      <c r="A84" s="45">
        <f>Dados!A167</f>
        <v>46195</v>
      </c>
      <c r="B84" s="46">
        <f>IFERROR(Dados!C167+Dados!C168,"")</f>
        <v>1998</v>
      </c>
      <c r="C84" s="46">
        <f>Dados!L167</f>
        <v>138.35</v>
      </c>
      <c r="D84" s="47">
        <f>IFERROR(IF((Dados!C167+Dados!C168)=0,"",(Dados!C167*Dados!D167+Dados!C168*Dados!D168)/(Dados!C167+Dados!C168)),"")</f>
        <v>0.13683183183183181</v>
      </c>
      <c r="E84" s="47">
        <f>IFERROR(IF((Dados!C167+Dados!C168)=0,"",(Dados!C167*Dados!E167+Dados!C168*Dados!E168)/(Dados!C167+Dados!C168)),"")</f>
        <v>5.3348348348348347E-2</v>
      </c>
      <c r="F84" s="48">
        <f>Dados!J167</f>
        <v>166.8</v>
      </c>
      <c r="G84" s="49">
        <f t="shared" si="6"/>
        <v>0.61011741468232195</v>
      </c>
      <c r="H84" s="50">
        <f t="shared" si="7"/>
        <v>0.50605362302937196</v>
      </c>
      <c r="I84" s="50">
        <f t="shared" si="8"/>
        <v>0.8294364508393286</v>
      </c>
      <c r="J84" s="51">
        <f>Dados!K167</f>
        <v>-28.450000000000017</v>
      </c>
      <c r="K84" s="52">
        <f>IFERROR(Dados!K167/Dados!J167,"")</f>
        <v>-0.17056354916067154</v>
      </c>
      <c r="L84" s="52">
        <f>IFERROR(Dados!L167/Dados!J167,"")</f>
        <v>0.82943645083932849</v>
      </c>
      <c r="M84" s="52">
        <f>Dados!H167</f>
        <v>0.57175032175032181</v>
      </c>
      <c r="N84" s="53" t="str">
        <f>IF(OR(Dados!L167="",Dados!J167=0)," — ",IF(IFERROR(Dados!L167/Dados!J167,0)&lt;0.75,"🔴 CRÍTICO",IF(IFERROR(Dados!L167/Dados!J167,0)&gt;1.167,"🔴 CRÍTICO",IF(OR(IFERROR(Dados!L167/Dados!J167,0)&lt;0.9,IFERROR(Dados!L167/Dados!J167,0)&gt;1.1),"🟡 ATENÇÃO","🟢 OK"))))</f>
        <v>🟡 ATENÇÃO</v>
      </c>
    </row>
    <row r="85" spans="1:14" ht="14.25" customHeight="1" x14ac:dyDescent="0.3">
      <c r="A85" s="45">
        <f>Dados!A169</f>
        <v>46196</v>
      </c>
      <c r="B85" s="46">
        <f>IFERROR(Dados!C169+Dados!C170,"")</f>
        <v>2511</v>
      </c>
      <c r="C85" s="46">
        <f>Dados!L169</f>
        <v>124.62</v>
      </c>
      <c r="D85" s="47">
        <f>IFERROR(IF((Dados!C169+Dados!C170)=0,"",(Dados!C169*Dados!D169+Dados!C170*Dados!D170)/(Dados!C169+Dados!C170)),"")</f>
        <v>0.18012743926722422</v>
      </c>
      <c r="E85" s="47">
        <f>IFERROR(IF((Dados!C169+Dados!C170)=0,"",(Dados!C169*Dados!E169+Dados!C170*Dados!E170)/(Dados!C169+Dados!C170)),"")</f>
        <v>0.06</v>
      </c>
      <c r="F85" s="48">
        <f>Dados!J169</f>
        <v>301.64000000000004</v>
      </c>
      <c r="G85" s="49">
        <f t="shared" si="6"/>
        <v>0.66690249834180859</v>
      </c>
      <c r="H85" s="50">
        <f t="shared" si="7"/>
        <v>0.27552509396418307</v>
      </c>
      <c r="I85" s="50">
        <f t="shared" si="8"/>
        <v>0.41314149317066701</v>
      </c>
      <c r="J85" s="51">
        <f>Dados!K169</f>
        <v>-177.02000000000004</v>
      </c>
      <c r="K85" s="52">
        <f>IFERROR(Dados!K169/Dados!J169,"")</f>
        <v>-0.58685850682933305</v>
      </c>
      <c r="L85" s="52">
        <f>IFERROR(Dados!L169/Dados!J169,"")</f>
        <v>0.41314149317066695</v>
      </c>
      <c r="M85" s="52">
        <f>Dados!H169</f>
        <v>0.56025487853444855</v>
      </c>
      <c r="N85" s="53" t="str">
        <f>IF(OR(Dados!L169="",Dados!J169=0)," — ",IF(IFERROR(Dados!L169/Dados!J169,0)&lt;0.75,"🔴 CRÍTICO",IF(IFERROR(Dados!L169/Dados!J169,0)&gt;1.169,"🔴 CRÍTICO",IF(OR(IFERROR(Dados!L169/Dados!J169,0)&lt;0.9,IFERROR(Dados!L169/Dados!J169,0)&gt;1.1),"🟡 ATENÇÃO","🟢 OK"))))</f>
        <v>🔴 CRÍTICO</v>
      </c>
    </row>
    <row r="86" spans="1:14" ht="14.25" customHeight="1" x14ac:dyDescent="0.3">
      <c r="A86" s="45">
        <f>Dados!A171</f>
        <v>46197</v>
      </c>
      <c r="B86" s="46">
        <f>IFERROR(Dados!C171+Dados!C172,"")</f>
        <v>1541</v>
      </c>
      <c r="C86" s="46">
        <f>Dados!L171</f>
        <v>178.08</v>
      </c>
      <c r="D86" s="47">
        <f>IFERROR(IF((Dados!C171+Dados!C172)=0,"",(Dados!C171*Dados!D171+Dados!C172*Dados!D172)/(Dados!C171+Dados!C172)),"")</f>
        <v>0.31085009733939001</v>
      </c>
      <c r="E86" s="47">
        <f>IFERROR(IF((Dados!C171+Dados!C172)=0,"",(Dados!C171*Dados!E171+Dados!C172*Dados!E172)/(Dados!C171+Dados!C172)),"")</f>
        <v>8.5463984425697609E-2</v>
      </c>
      <c r="F86" s="48">
        <f>Dados!J171</f>
        <v>347.32</v>
      </c>
      <c r="G86" s="49">
        <f t="shared" si="6"/>
        <v>0.72506367166297858</v>
      </c>
      <c r="H86" s="50">
        <f t="shared" si="7"/>
        <v>0.37175900797461486</v>
      </c>
      <c r="I86" s="50">
        <f t="shared" si="8"/>
        <v>0.51272601635379478</v>
      </c>
      <c r="J86" s="51">
        <f>Dados!K171</f>
        <v>-169.23999999999998</v>
      </c>
      <c r="K86" s="52">
        <f>IFERROR(Dados!K171/Dados!J171,"")</f>
        <v>-0.48727398364620517</v>
      </c>
      <c r="L86" s="52">
        <f>IFERROR(Dados!L171/Dados!J171,"")</f>
        <v>0.51272601635379478</v>
      </c>
      <c r="M86" s="52">
        <f>Dados!H171</f>
        <v>0.66424500155015009</v>
      </c>
      <c r="N86" s="53" t="str">
        <f>IF(OR(Dados!L171="",Dados!J171=0)," — ",IF(IFERROR(Dados!L171/Dados!J171,0)&lt;0.75,"🔴 CRÍTICO",IF(IFERROR(Dados!L171/Dados!J171,0)&gt;1.171,"🔴 CRÍTICO",IF(OR(IFERROR(Dados!L171/Dados!J171,0)&lt;0.9,IFERROR(Dados!L171/Dados!J171,0)&gt;1.1),"🟡 ATENÇÃO","🟢 OK"))))</f>
        <v>🔴 CRÍTICO</v>
      </c>
    </row>
    <row r="87" spans="1:14" ht="14.25" customHeight="1" x14ac:dyDescent="0.3">
      <c r="A87" s="45">
        <f>Dados!A173</f>
        <v>46198</v>
      </c>
      <c r="B87" s="46">
        <f>IFERROR(Dados!C173+Dados!C174,"")</f>
        <v>1819</v>
      </c>
      <c r="C87" s="46">
        <f>Dados!L173</f>
        <v>152.72999999999999</v>
      </c>
      <c r="D87" s="47">
        <f>IFERROR(IF((Dados!C173+Dados!C174)=0,"",(Dados!C173*Dados!D173+Dados!C174*Dados!D174)/(Dados!C173+Dados!C174)),"")</f>
        <v>0.40223749312809237</v>
      </c>
      <c r="E87" s="47">
        <f>IFERROR(IF((Dados!C173+Dados!C174)=0,"",(Dados!C173*Dados!E173+Dados!C174*Dados!E174)/(Dados!C173+Dados!C174)),"")</f>
        <v>5.9999999999999991E-2</v>
      </c>
      <c r="F87" s="48">
        <f>Dados!J173</f>
        <v>622.53</v>
      </c>
      <c r="G87" s="49">
        <f t="shared" si="6"/>
        <v>0.85083439255402027</v>
      </c>
      <c r="H87" s="50">
        <f t="shared" si="7"/>
        <v>0.20874164582393698</v>
      </c>
      <c r="I87" s="50">
        <f t="shared" si="8"/>
        <v>0.24533757409281476</v>
      </c>
      <c r="J87" s="51">
        <f>Dados!K173</f>
        <v>-469.79999999999995</v>
      </c>
      <c r="K87" s="52">
        <f>IFERROR(Dados!K173/Dados!J173,"")</f>
        <v>-0.75466242590718513</v>
      </c>
      <c r="L87" s="52">
        <f>IFERROR(Dados!L173/Dados!J173,"")</f>
        <v>0.24533757409281479</v>
      </c>
      <c r="M87" s="52">
        <f>Dados!H173</f>
        <v>0.83082741426517781</v>
      </c>
      <c r="N87" s="53" t="str">
        <f>IF(OR(Dados!L173="",Dados!J173=0)," — ",IF(IFERROR(Dados!L173/Dados!J173,0)&lt;0.75,"🔴 CRÍTICO",IF(IFERROR(Dados!L173/Dados!J173,0)&gt;1.3,"🔴 CRÍTICO",IF(OR(IFERROR(Dados!L173/Dados!J173,0)&lt;0.9,IFERROR(Dados!L173/Dados!J173,0)&gt;1.1),"🟡 ATENÇÃO","🟢 OK"))))</f>
        <v>🔴 CRÍTICO</v>
      </c>
    </row>
    <row r="88" spans="1:14" ht="14.25" customHeight="1" x14ac:dyDescent="0.3">
      <c r="A88" s="45">
        <f>Dados!A175</f>
        <v>46199</v>
      </c>
      <c r="B88" s="46">
        <f>IFERROR(Dados!C175+Dados!C176,"")</f>
        <v>3089</v>
      </c>
      <c r="C88" s="46">
        <f>Dados!L175</f>
        <v>199.92</v>
      </c>
      <c r="D88" s="47">
        <f>IFERROR(IF((Dados!C175+Dados!C176)=0,"",(Dados!C175*Dados!D175+Dados!C176*Dados!D176)/(Dados!C175+Dados!C176)),"")</f>
        <v>0.37801553900938817</v>
      </c>
      <c r="E88" s="47">
        <f>IFERROR(IF((Dados!C175+Dados!C176)=0,"",(Dados!C175*Dados!E175+Dados!C176*Dados!E176)/(Dados!C175+Dados!C176)),"")</f>
        <v>0.38603107801877634</v>
      </c>
      <c r="F88" s="48">
        <f>Dados!J175</f>
        <v>-24.759999999999962</v>
      </c>
      <c r="G88" s="49">
        <f t="shared" si="6"/>
        <v>-2.1204257979429528E-2</v>
      </c>
      <c r="H88" s="50">
        <f t="shared" si="7"/>
        <v>0.17120982452534489</v>
      </c>
      <c r="I88" s="50">
        <f t="shared" si="8"/>
        <v>0</v>
      </c>
      <c r="J88" s="51">
        <f>Dados!K175</f>
        <v>224.67999999999995</v>
      </c>
      <c r="K88" s="52">
        <f>IFERROR(Dados!K175/Dados!J175,"")</f>
        <v>-9.0743134087237589</v>
      </c>
      <c r="L88" s="52">
        <f>IFERROR(Dados!L175/Dados!J175,"")</f>
        <v>-8.0743134087237589</v>
      </c>
      <c r="M88" s="52">
        <f>Dados!H175</f>
        <v>8.0331637099893161E-2</v>
      </c>
      <c r="N88" s="53" t="str">
        <f>IF(OR(Dados!L175="",Dados!J175=0)," — ",IF(IFERROR(Dados!L175/Dados!J175,0)&lt;0.75,"🔴 CRÍTICO",IF(IFERROR(Dados!L175/Dados!J175,0)&gt;1.3,"🔴 CRÍTICO",IF(OR(IFERROR(Dados!L175/Dados!J175,0)&lt;0.9,IFERROR(Dados!L175/Dados!J175,0)&gt;1.1),"🟡 ATENÇÃO","🟢 OK"))))</f>
        <v>🔴 CRÍTICO</v>
      </c>
    </row>
    <row r="89" spans="1:14" ht="14.25" customHeight="1" x14ac:dyDescent="0.3">
      <c r="A89" s="45">
        <f>Dados!A177</f>
        <v>46200</v>
      </c>
      <c r="B89" s="46">
        <f>IFERROR(Dados!C177+Dados!C178,"")</f>
        <v>3194</v>
      </c>
      <c r="C89" s="46">
        <f>Dados!L177</f>
        <v>257.27999999999997</v>
      </c>
      <c r="D89" s="47">
        <f>IFERROR(IF((Dados!C177+Dados!C178)=0,"",(Dados!C177*Dados!D177+Dados!C178*Dados!D178)/(Dados!C177+Dados!C178)),"")</f>
        <v>0.14128647463994992</v>
      </c>
      <c r="E89" s="47">
        <f>IFERROR(IF((Dados!C177+Dados!C178)=0,"",(Dados!C177*Dados!E177+Dados!C178*Dados!E178)/(Dados!C177+Dados!C178)),"")</f>
        <v>0.37892924232936753</v>
      </c>
      <c r="F89" s="48">
        <f>Dados!J176</f>
        <v>0</v>
      </c>
      <c r="G89" s="49">
        <f t="shared" si="6"/>
        <v>-1.6819923371647505</v>
      </c>
      <c r="H89" s="50">
        <f t="shared" si="7"/>
        <v>0.57012557919998919</v>
      </c>
      <c r="I89" s="50">
        <f t="shared" si="8"/>
        <v>0</v>
      </c>
      <c r="J89" s="51" t="str">
        <f>Dados!K177</f>
        <v/>
      </c>
      <c r="K89" s="52" t="str">
        <f>IFERROR(Dados!K177/Dados!J177,"")</f>
        <v/>
      </c>
      <c r="L89" s="52" t="str">
        <f>IFERROR(Dados!L177/Dados!J177,"")</f>
        <v/>
      </c>
      <c r="M89" s="52" t="str">
        <f>Dados!H177</f>
        <v/>
      </c>
      <c r="N89" s="53" t="str">
        <f>IF(OR(Dados!L177="",Dados!J177=0)," — ",IF(IFERROR(Dados!L177/Dados!J177,0)&lt;0.75,"🔴 CRÍTICO",IF(IFERROR(Dados!L177/Dados!J177,0)&gt;1.3,"🔴 CRÍTICO",IF(OR(IFERROR(Dados!L177/Dados!J177,0)&lt;0.9,IFERROR(Dados!L177/Dados!J177,0)&gt;1.1),"🟡 ATENÇÃO","🟢 OK"))))</f>
        <v>🔴 CRÍTICO</v>
      </c>
    </row>
    <row r="90" spans="1:14" ht="14.25" customHeight="1" x14ac:dyDescent="0.3">
      <c r="A90" s="45">
        <f>Dados!A179</f>
        <v>46201</v>
      </c>
      <c r="B90" s="46">
        <f>IFERROR(Dados!C179+Dados!C180,"")</f>
        <v>2727</v>
      </c>
      <c r="C90" s="46">
        <f>Dados!L179</f>
        <v>179.48</v>
      </c>
      <c r="D90" s="47">
        <f>IFERROR(IF((Dados!C179+Dados!C180)=0,"",(Dados!C179*Dados!D179+Dados!C180*Dados!D180)/(Dados!C179+Dados!C180)),"")</f>
        <v>0.23603960396039603</v>
      </c>
      <c r="E90" s="47">
        <f>IFERROR(IF((Dados!C179+Dados!C180)=0,"",(Dados!C179*Dados!E179+Dados!C180*Dados!E180)/(Dados!C179+Dados!C180)),"")</f>
        <v>8.3960396039603952E-2</v>
      </c>
      <c r="F90" s="48">
        <f>Dados!J179</f>
        <v>414.72</v>
      </c>
      <c r="G90" s="49">
        <f t="shared" si="6"/>
        <v>0.64429530201342289</v>
      </c>
      <c r="H90" s="50">
        <f t="shared" si="7"/>
        <v>0.27883420333084763</v>
      </c>
      <c r="I90" s="50">
        <f t="shared" si="8"/>
        <v>0.43277391975308638</v>
      </c>
      <c r="J90" s="51">
        <f>Dados!K179</f>
        <v>-235.24000000000004</v>
      </c>
      <c r="K90" s="52">
        <f>IFERROR(Dados!K179/Dados!J179,"")</f>
        <v>-0.56722608024691368</v>
      </c>
      <c r="L90" s="52">
        <f>IFERROR(Dados!L179/Dados!J179,"")</f>
        <v>0.43277391975308638</v>
      </c>
      <c r="M90" s="52">
        <f>Dados!H179</f>
        <v>0.64370784904577416</v>
      </c>
      <c r="N90" s="53" t="str">
        <f>IF(OR(Dados!L179="",Dados!J179=0)," — ",IF(IFERROR(Dados!L179/Dados!J179,0)&lt;0.75,"🔴 CRÍTICO",IF(IFERROR(Dados!L179/Dados!J179,0)&gt;1.3,"🔴 CRÍTICO",IF(OR(IFERROR(Dados!L179/Dados!J179,0)&lt;0.9,IFERROR(Dados!L179/Dados!J179,0)&gt;1.1),"🟡 ATENÇÃO","🟢 OK"))))</f>
        <v>🔴 CRÍTICO</v>
      </c>
    </row>
    <row r="91" spans="1:14" ht="14.25" customHeight="1" x14ac:dyDescent="0.3">
      <c r="A91" s="45">
        <f>Dados!A181</f>
        <v>46202</v>
      </c>
      <c r="B91" s="46">
        <f>IFERROR(Dados!C181+Dados!C182,"")</f>
        <v>3573</v>
      </c>
      <c r="C91" s="46">
        <f>Dados!L181</f>
        <v>283.95</v>
      </c>
      <c r="D91" s="47">
        <f>IFERROR(IF((Dados!C181+Dados!C182)=0,"",(Dados!C181*Dados!D181+Dados!C182*Dados!D182)/(Dados!C181+Dados!C182)),"")</f>
        <v>0.34969493422893927</v>
      </c>
      <c r="E91" s="47">
        <f>IFERROR(IF((Dados!C181+Dados!C182)=0,"",(Dados!C181*Dados!E181+Dados!C182*Dados!E182)/(Dados!C181+Dados!C182)),"")</f>
        <v>9.3624405261684848E-2</v>
      </c>
      <c r="F91" s="48">
        <f>Dados!J181</f>
        <v>914.94000000000028</v>
      </c>
      <c r="G91" s="49">
        <f t="shared" si="6"/>
        <v>0.73226833992284668</v>
      </c>
      <c r="H91" s="50">
        <f t="shared" si="7"/>
        <v>0.22725817553182973</v>
      </c>
      <c r="I91" s="50">
        <f t="shared" si="8"/>
        <v>0.31034821955538067</v>
      </c>
      <c r="J91" s="51">
        <f>Dados!K181</f>
        <v>-630.99000000000024</v>
      </c>
      <c r="K91" s="52">
        <f>IFERROR(Dados!K181/Dados!J181,"")</f>
        <v>-0.68965178044461939</v>
      </c>
      <c r="L91" s="52">
        <f>IFERROR(Dados!L181/Dados!J181,"")</f>
        <v>0.31034821955538056</v>
      </c>
      <c r="M91" s="52">
        <f>Dados!H181</f>
        <v>0.72049605252919846</v>
      </c>
      <c r="N91" s="53" t="str">
        <f>IF(OR(Dados!L181="",Dados!J181=0)," — ",IF(IFERROR(Dados!L181/Dados!J181,0)&lt;0.75,"🔴 CRÍTICO",IF(IFERROR(Dados!L181/Dados!J181,0)&gt;1.3,"🔴 CRÍTICO",IF(OR(IFERROR(Dados!L181/Dados!J181,0)&lt;0.9,IFERROR(Dados!L181/Dados!J181,0)&gt;1.1),"🟡 ATENÇÃO","🟢 OK"))))</f>
        <v>🔴 CRÍTICO</v>
      </c>
    </row>
    <row r="92" spans="1:14" ht="14.25" customHeight="1" x14ac:dyDescent="0.3">
      <c r="A92" s="45">
        <f>Dados!A183</f>
        <v>46203</v>
      </c>
      <c r="B92" s="46">
        <f>IFERROR(Dados!C183+Dados!C184,"")</f>
        <v>3222</v>
      </c>
      <c r="C92" s="46">
        <f>Dados!L183</f>
        <v>677.22</v>
      </c>
      <c r="D92" s="47">
        <f>IFERROR(IF((Dados!C183+Dados!C184)=0,"",(Dados!C183*Dados!D183+Dados!C184*Dados!D184)/(Dados!C183+Dados!C184)),"")</f>
        <v>0.28152948479205464</v>
      </c>
      <c r="E92" s="47">
        <f>IFERROR(IF((Dados!C183+Dados!C184)=0,"",(Dados!C183*Dados!E183+Dados!C184*Dados!E184)/(Dados!C183+Dados!C184)),"")</f>
        <v>9.0000000000000011E-2</v>
      </c>
      <c r="F92" s="48">
        <f>Dados!J183</f>
        <v>617.10800000000006</v>
      </c>
      <c r="G92" s="49">
        <f t="shared" si="6"/>
        <v>0.68031767590355063</v>
      </c>
      <c r="H92" s="50">
        <f t="shared" si="7"/>
        <v>0.74658688021448849</v>
      </c>
      <c r="I92" s="50">
        <f t="shared" si="8"/>
        <v>0.91123711644664951</v>
      </c>
      <c r="J92" s="51">
        <f>Dados!K183</f>
        <v>60.111999999999966</v>
      </c>
      <c r="K92" s="52">
        <f>IFERROR(Dados!K183/Dados!J183,"")</f>
        <v>9.7409205519941339E-2</v>
      </c>
      <c r="L92" s="52">
        <f>IFERROR(Dados!L183/Dados!J183,"")</f>
        <v>1.0974092055199414</v>
      </c>
      <c r="M92" s="52">
        <f>Dados!H183</f>
        <v>0.67995317403584143</v>
      </c>
      <c r="N92" s="53" t="str">
        <f>IF(OR(Dados!L183="",Dados!J183=0)," — ",IF(IFERROR(Dados!L183/Dados!J183,0)&lt;0.75,"🔴 CRÍTICO",IF(IFERROR(Dados!L183/Dados!J183,0)&gt;1.3,"🔴 CRÍTICO",IF(OR(IFERROR(Dados!L183/Dados!J183,0)&lt;0.9,IFERROR(Dados!L183/Dados!J183,0)&gt;1.1),"🟡 ATENÇÃO","🟢 OK"))))</f>
        <v>🟢 OK</v>
      </c>
    </row>
    <row r="93" spans="1:14" ht="14.25" customHeight="1" x14ac:dyDescent="0.3">
      <c r="A93" s="45">
        <f>Dados!A185</f>
        <v>46204</v>
      </c>
      <c r="B93" s="46">
        <f>IFERROR(Dados!C185+Dados!C186,"")</f>
        <v>2150</v>
      </c>
      <c r="C93" s="46">
        <f>Dados!L185</f>
        <v>182.7</v>
      </c>
      <c r="D93" s="47">
        <f>IFERROR(IF((Dados!C185+Dados!C186)=0,"",(Dados!C185*Dados!D185+Dados!C186*Dados!D186)/(Dados!C185+Dados!C186)),"")</f>
        <v>0.15601116279069766</v>
      </c>
      <c r="E93" s="47">
        <f>IFERROR(IF((Dados!C185+Dados!C186)=0,"",(Dados!C185*Dados!E185+Dados!C186*Dados!E186)/(Dados!C185+Dados!C186)),"")</f>
        <v>8.2613953488372097E-2</v>
      </c>
      <c r="F93" s="48">
        <f>Dados!J185</f>
        <v>157.80399999999997</v>
      </c>
      <c r="G93" s="49">
        <f t="shared" si="6"/>
        <v>0.47046126693379114</v>
      </c>
      <c r="H93" s="50">
        <f t="shared" si="7"/>
        <v>0.54468374356038929</v>
      </c>
      <c r="I93" s="50">
        <f t="shared" si="8"/>
        <v>0.86373289545703313</v>
      </c>
      <c r="J93" s="51">
        <f>Dados!K185</f>
        <v>24.896000000000015</v>
      </c>
      <c r="K93" s="52">
        <f>IFERROR(Dados!K185/Dados!J185,"")</f>
        <v>0.15776532914248068</v>
      </c>
      <c r="L93" s="52">
        <f>IFERROR(Dados!L185/Dados!J185,"")</f>
        <v>1.1577653291424808</v>
      </c>
      <c r="M93" s="52">
        <f>Dados!H185</f>
        <v>0.46266160736988277</v>
      </c>
      <c r="N93" s="53" t="str">
        <f>IF(OR(Dados!L185="",Dados!J185=0)," — ",IF(IFERROR(Dados!L185/Dados!J185,0)&lt;0.75,"🔴 CRÍTICO",IF(IFERROR(Dados!L185/Dados!J185,0)&gt;1.3,"🔴 CRÍTICO",IF(OR(IFERROR(Dados!L185/Dados!J185,0)&lt;0.9,IFERROR(Dados!L185/Dados!J185,0)&gt;1.1),"🟡 ATENÇÃO","🟢 OK"))))</f>
        <v>🟡 ATENÇÃO</v>
      </c>
    </row>
    <row r="94" spans="1:14" ht="14.25" customHeight="1" x14ac:dyDescent="0.3">
      <c r="A94" s="45">
        <f>Dados!A187</f>
        <v>46205</v>
      </c>
      <c r="B94" s="46">
        <f>IFERROR(Dados!C187+Dados!C188,"")</f>
        <v>1737</v>
      </c>
      <c r="C94" s="46">
        <f>Dados!L187</f>
        <v>116.26</v>
      </c>
      <c r="D94" s="47">
        <f>IFERROR(IF((Dados!C187+Dados!C188)=0,"",(Dados!C187*Dados!D187+Dados!C188*Dados!D188)/(Dados!C187+Dados!C188)),"")</f>
        <v>0.16475762809441569</v>
      </c>
      <c r="E94" s="47">
        <f>IFERROR(IF((Dados!C187+Dados!C188)=0,"",(Dados!C187*Dados!E187+Dados!C188*Dados!E188)/(Dados!C187+Dados!C188)),"")</f>
        <v>3.9700633275762814E-2</v>
      </c>
      <c r="F94" s="48">
        <f>Dados!J187</f>
        <v>217.22400000000002</v>
      </c>
      <c r="G94" s="49">
        <f t="shared" si="6"/>
        <v>0.75903614457831325</v>
      </c>
      <c r="H94" s="50">
        <f t="shared" si="7"/>
        <v>0.40624213792525088</v>
      </c>
      <c r="I94" s="50">
        <f t="shared" si="8"/>
        <v>0.53520789599675911</v>
      </c>
      <c r="J94" s="51">
        <f>Dados!K187</f>
        <v>-100.96400000000001</v>
      </c>
      <c r="K94" s="52">
        <f>IFERROR(Dados!K187/Dados!J187,"")</f>
        <v>-0.46479210400324089</v>
      </c>
      <c r="L94" s="52">
        <f>IFERROR(Dados!L187/Dados!J187,"")</f>
        <v>0.53520789599675911</v>
      </c>
      <c r="M94" s="52" t="str">
        <f>Dados!H187</f>
        <v/>
      </c>
      <c r="N94" s="53" t="str">
        <f>IF(OR(Dados!L187="",Dados!J187=0)," — ",IF(IFERROR(Dados!L187/Dados!J187,0)&lt;0.75,"🔴 CRÍTICO",IF(IFERROR(Dados!L187/Dados!J187,0)&gt;1.3,"🔴 CRÍTICO",IF(OR(IFERROR(Dados!L187/Dados!J187,0)&lt;0.9,IFERROR(Dados!L187/Dados!J187,0)&gt;1.1),"🟡 ATENÇÃO","🟢 OK"))))</f>
        <v>🔴 CRÍTICO</v>
      </c>
    </row>
    <row r="95" spans="1:14" ht="14.25" customHeight="1" x14ac:dyDescent="0.3">
      <c r="A95" s="45">
        <f>Dados!A189</f>
        <v>46206</v>
      </c>
      <c r="B95" s="46">
        <f>IFERROR(Dados!C189+Dados!C190,"")</f>
        <v>2954</v>
      </c>
      <c r="C95" s="46">
        <f>Dados!L189</f>
        <v>298.66000000000003</v>
      </c>
      <c r="D95" s="47">
        <f>IFERROR(IF((Dados!C189+Dados!C190)=0,"",(Dados!C189*Dados!D189+Dados!C190*Dados!D190)/(Dados!C189+Dados!C190)),"")</f>
        <v>0.2115842924847664</v>
      </c>
      <c r="E95" s="47">
        <f>IFERROR(IF((Dados!C189+Dados!C190)=0,"",(Dados!C189*Dados!E189+Dados!C190*Dados!E190)/(Dados!C189+Dados!C190)),"")</f>
        <v>7.0396073121191602E-2</v>
      </c>
      <c r="F95" s="48">
        <f>Dados!J189</f>
        <v>417.07000000000005</v>
      </c>
      <c r="G95" s="49">
        <f t="shared" si="6"/>
        <v>0.66729064669930549</v>
      </c>
      <c r="H95" s="50">
        <f t="shared" si="7"/>
        <v>0.47784070909730891</v>
      </c>
      <c r="I95" s="50">
        <f t="shared" si="8"/>
        <v>0.71609082408228852</v>
      </c>
      <c r="J95" s="51">
        <f>Dados!K189</f>
        <v>-118.41000000000003</v>
      </c>
      <c r="K95" s="52">
        <f>IFERROR(Dados!K189/Dados!J189,"")</f>
        <v>-0.2839091759177117</v>
      </c>
      <c r="L95" s="52">
        <f>IFERROR(Dados!L189/Dados!J189,"")</f>
        <v>0.7160908240822883</v>
      </c>
      <c r="M95" s="52">
        <f>Dados!H189</f>
        <v>0.64866492117676955</v>
      </c>
      <c r="N95" s="53" t="str">
        <f>IF(OR(Dados!L189="",Dados!J189=0)," — ",IF(IFERROR(Dados!L189/Dados!J189,0)&lt;0.75,"🔴 CRÍTICO",IF(IFERROR(Dados!L189/Dados!J189,0)&gt;1.3,"🔴 CRÍTICO",IF(OR(IFERROR(Dados!L189/Dados!J189,0)&lt;0.9,IFERROR(Dados!L189/Dados!J189,0)&gt;1.1),"🟡 ATENÇÃO","🟢 OK"))))</f>
        <v>🔴 CRÍTICO</v>
      </c>
    </row>
    <row r="96" spans="1:14" ht="14.25" customHeight="1" x14ac:dyDescent="0.3">
      <c r="A96" s="45">
        <f>Dados!A191</f>
        <v>46207</v>
      </c>
      <c r="B96" s="46">
        <f>IFERROR(Dados!C191+Dados!C192,"")</f>
        <v>3578</v>
      </c>
      <c r="C96" s="46">
        <f>Dados!L191</f>
        <v>209.85</v>
      </c>
      <c r="D96" s="47">
        <f>IFERROR(IF((Dados!C191+Dados!C192)=0,"",(Dados!C191*Dados!D191+Dados!C192*Dados!D192)/(Dados!C191+Dados!C192)),"")</f>
        <v>0.20927613191727221</v>
      </c>
      <c r="E96" s="47">
        <f>IFERROR(IF((Dados!C191+Dados!C192)=0,"",(Dados!C191*Dados!E191+Dados!C192*Dados!E192)/(Dados!C191+Dados!C192)),"")</f>
        <v>6.4714924538848528E-2</v>
      </c>
      <c r="F96" s="48">
        <f>Dados!J191</f>
        <v>517.24</v>
      </c>
      <c r="G96" s="49">
        <f t="shared" si="6"/>
        <v>0.6907677720055021</v>
      </c>
      <c r="H96" s="50">
        <f t="shared" si="7"/>
        <v>0.28025214011939265</v>
      </c>
      <c r="I96" s="50">
        <f t="shared" si="8"/>
        <v>0.40571108189621852</v>
      </c>
      <c r="J96" s="51">
        <f>Dados!K191</f>
        <v>-307.39</v>
      </c>
      <c r="K96" s="52">
        <f>IFERROR(Dados!K191/Dados!J191,"")</f>
        <v>-0.59428891810378159</v>
      </c>
      <c r="L96" s="52">
        <f>IFERROR(Dados!L191/Dados!J191,"")</f>
        <v>0.40571108189621835</v>
      </c>
      <c r="M96" s="52">
        <f>Dados!H191</f>
        <v>0.63286783088348197</v>
      </c>
      <c r="N96" s="53" t="str">
        <f>IF(OR(Dados!L191="",Dados!J191=0)," — ",IF(IFERROR(Dados!L191/Dados!J191,0)&lt;0.75,"🔴 CRÍTICO",IF(IFERROR(Dados!L191/Dados!J191,0)&gt;1.3,"🔴 CRÍTICO",IF(OR(IFERROR(Dados!L191/Dados!J191,0)&lt;0.9,IFERROR(Dados!L191/Dados!J191,0)&gt;1.1),"🟡 ATENÇÃO","🟢 OK"))))</f>
        <v>🔴 CRÍTICO</v>
      </c>
    </row>
    <row r="97" spans="1:14" ht="14.25" customHeight="1" x14ac:dyDescent="0.3">
      <c r="A97" s="45">
        <f>Dados!A193</f>
        <v>46208</v>
      </c>
      <c r="B97" s="46">
        <f>IFERROR(Dados!C193+Dados!C194,"")</f>
        <v>3099</v>
      </c>
      <c r="C97" s="46">
        <f>Dados!L193</f>
        <v>212.88</v>
      </c>
      <c r="D97" s="47">
        <f>IFERROR(IF((Dados!C193+Dados!C194)=0,"",(Dados!C193*Dados!D193+Dados!C194*Dados!D194)/(Dados!C193+Dados!C194)),"")</f>
        <v>0.17852371732817038</v>
      </c>
      <c r="E97" s="47">
        <f>IFERROR(IF((Dados!C193+Dados!C194)=0,"",(Dados!C193*Dados!E193+Dados!C194*Dados!E194)/(Dados!C193+Dados!C194)),"")</f>
        <v>5.7705711519845118E-2</v>
      </c>
      <c r="F97" s="48">
        <f>Dados!J193</f>
        <v>374.41500000000002</v>
      </c>
      <c r="G97" s="49">
        <f t="shared" si="6"/>
        <v>0.67676165170945957</v>
      </c>
      <c r="H97" s="50">
        <f t="shared" si="7"/>
        <v>0.38478431797847246</v>
      </c>
      <c r="I97" s="50">
        <f t="shared" si="8"/>
        <v>0.56856696446456478</v>
      </c>
      <c r="J97" s="51">
        <f>Dados!K193</f>
        <v>-161.53500000000003</v>
      </c>
      <c r="K97" s="52">
        <f>IFERROR(Dados!K193/Dados!J193,"")</f>
        <v>-0.43143303553543533</v>
      </c>
      <c r="L97" s="52">
        <f>IFERROR(Dados!L193/Dados!J193,"")</f>
        <v>0.56856696446456467</v>
      </c>
      <c r="M97" s="52">
        <f>Dados!H193</f>
        <v>0.67218336775879051</v>
      </c>
      <c r="N97" s="53" t="str">
        <f>IF(OR(Dados!L193="",Dados!J193=0)," — ",IF(IFERROR(Dados!L193/Dados!J193,0)&lt;0.75,"🔴 CRÍTICO",IF(IFERROR(Dados!L193/Dados!J193,0)&gt;1.3,"🔴 CRÍTICO",IF(OR(IFERROR(Dados!L193/Dados!J193,0)&lt;0.9,IFERROR(Dados!L193/Dados!J193,0)&gt;1.1),"🟡 ATENÇÃO","🟢 OK"))))</f>
        <v>🔴 CRÍTICO</v>
      </c>
    </row>
    <row r="98" spans="1:14" ht="14.25" customHeight="1" x14ac:dyDescent="0.3">
      <c r="A98" s="45">
        <f>Dados!A195</f>
        <v>46209</v>
      </c>
      <c r="B98" s="46">
        <f>IFERROR(Dados!C195+Dados!C196,"")</f>
        <v>4152</v>
      </c>
      <c r="C98" s="46">
        <f>Dados!L195</f>
        <v>309.13</v>
      </c>
      <c r="D98" s="47">
        <f>IFERROR(IF((Dados!C195+Dados!C196)=0,"",(Dados!C195*Dados!D195+Dados!C196*Dados!D196)/(Dados!C195+Dados!C196)),"")</f>
        <v>0.2976343930635838</v>
      </c>
      <c r="E98" s="47">
        <f>IFERROR(IF((Dados!C195+Dados!C196)=0,"",(Dados!C195*Dados!E195+Dados!C196*Dados!E196)/(Dados!C195+Dados!C196)),"")</f>
        <v>7.0000000000000007E-2</v>
      </c>
      <c r="F98" s="48">
        <f>Dados!J195</f>
        <v>945.13799999999992</v>
      </c>
      <c r="G98" s="49">
        <f t="shared" ref="G98:G129" si="9">IFERROR(IF(D98=0,"",(D98-E98)/D98),"")</f>
        <v>0.76481212644989627</v>
      </c>
      <c r="H98" s="50">
        <f t="shared" ref="H98:H129" si="10">IFERROR(IF(OR(B98=0,D98=0),"",C98/(B98*D98)),"")</f>
        <v>0.25015010786727065</v>
      </c>
      <c r="I98" s="50">
        <f t="shared" ref="I98:I129" si="11">IFERROR(IF(OR(G98=0,H98=0),"",MAX(0,MIN(G98,H98)/MAX(G98,H98))),"")</f>
        <v>0.32707392994462187</v>
      </c>
      <c r="J98" s="51">
        <f>Dados!K195</f>
        <v>-636.00799999999992</v>
      </c>
      <c r="K98" s="52">
        <f>IFERROR(Dados!K195/Dados!J195,"")</f>
        <v>-0.67292607005537808</v>
      </c>
      <c r="L98" s="52">
        <f>IFERROR(Dados!L195/Dados!J195,"")</f>
        <v>0.32707392994462187</v>
      </c>
      <c r="M98" s="52">
        <f>Dados!H195</f>
        <v>0.75617540235860226</v>
      </c>
      <c r="N98" s="53" t="str">
        <f>IF(OR(Dados!L195="",Dados!J195=0)," — ",IF(IFERROR(Dados!L195/Dados!J195,0)&lt;0.75,"🔴 CRÍTICO",IF(IFERROR(Dados!L195/Dados!J195,0)&gt;1.3,"🔴 CRÍTICO",IF(OR(IFERROR(Dados!L195/Dados!J195,0)&lt;0.9,IFERROR(Dados!L195/Dados!J195,0)&gt;1.1),"🟡 ATENÇÃO","🟢 OK"))))</f>
        <v>🔴 CRÍTICO</v>
      </c>
    </row>
    <row r="99" spans="1:14" ht="14.25" customHeight="1" x14ac:dyDescent="0.3">
      <c r="A99" s="45">
        <f>Dados!A197</f>
        <v>46210</v>
      </c>
      <c r="B99" s="46">
        <f>IFERROR(Dados!C197+Dados!C198,"")</f>
        <v>2412</v>
      </c>
      <c r="C99" s="46">
        <f>Dados!L197</f>
        <v>555.45000000000005</v>
      </c>
      <c r="D99" s="47">
        <f>IFERROR(IF((Dados!C197+Dados!C198)=0,"",(Dados!C197*Dados!D197+Dados!C198*Dados!D198)/(Dados!C197+Dados!C198)),"")</f>
        <v>0.42129767827529019</v>
      </c>
      <c r="E99" s="47">
        <f>IFERROR(IF((Dados!C197+Dados!C198)=0,"",(Dados!C197*Dados!E197+Dados!C198*Dados!E198)/(Dados!C197+Dados!C198)),"")</f>
        <v>0.14567578772802653</v>
      </c>
      <c r="F99" s="48">
        <f>Dados!J197</f>
        <v>664.8</v>
      </c>
      <c r="G99" s="49">
        <f t="shared" si="9"/>
        <v>0.65422124250863534</v>
      </c>
      <c r="H99" s="50">
        <f t="shared" si="10"/>
        <v>0.54661129535412389</v>
      </c>
      <c r="I99" s="50">
        <f t="shared" si="11"/>
        <v>0.8355144404332131</v>
      </c>
      <c r="J99" s="51">
        <f>Dados!K197</f>
        <v>-109.34999999999991</v>
      </c>
      <c r="K99" s="52">
        <f>IFERROR(Dados!K197/Dados!J197,"")</f>
        <v>-0.16448555956678687</v>
      </c>
      <c r="L99" s="52">
        <f>IFERROR(Dados!L197/Dados!J197,"")</f>
        <v>0.8355144404332131</v>
      </c>
      <c r="M99" s="52">
        <f>Dados!H197</f>
        <v>0.65205679639626923</v>
      </c>
      <c r="N99" s="53" t="str">
        <f>IF(OR(Dados!L197="",Dados!J197=0)," — ",IF(IFERROR(Dados!L197/Dados!J197,0)&lt;0.75,"🔴 CRÍTICO",IF(IFERROR(Dados!L197/Dados!J197,0)&gt;1.3,"🔴 CRÍTICO",IF(OR(IFERROR(Dados!L197/Dados!J197,0)&lt;0.9,IFERROR(Dados!L197/Dados!J197,0)&gt;1.1),"🟡 ATENÇÃO","🟢 OK"))))</f>
        <v>🟡 ATENÇÃO</v>
      </c>
    </row>
    <row r="100" spans="1:14" ht="14.25" customHeight="1" x14ac:dyDescent="0.3">
      <c r="A100" s="45">
        <f>Dados!A199</f>
        <v>46211</v>
      </c>
      <c r="B100" s="46">
        <f>IFERROR(Dados!C199+Dados!C200,"")</f>
        <v>3176</v>
      </c>
      <c r="C100" s="46">
        <f>Dados!L199</f>
        <v>387.11</v>
      </c>
      <c r="D100" s="47">
        <f>IFERROR(IF((Dados!C199+Dados!C200)=0,"",(Dados!C199*Dados!D199+Dados!C200*Dados!D200)/(Dados!C199+Dados!C200)),"")</f>
        <v>0.34707147355163726</v>
      </c>
      <c r="E100" s="47">
        <f>IFERROR(IF((Dados!C199+Dados!C200)=0,"",(Dados!C199*Dados!E199+Dados!C200*Dados!E200)/(Dados!C199+Dados!C200)),"")</f>
        <v>0.11258186397984889</v>
      </c>
      <c r="F100" s="48">
        <f>Dados!J199</f>
        <v>744.73900000000003</v>
      </c>
      <c r="G100" s="49">
        <f t="shared" si="9"/>
        <v>0.67562340163603518</v>
      </c>
      <c r="H100" s="50">
        <f t="shared" si="10"/>
        <v>0.35118420682591567</v>
      </c>
      <c r="I100" s="50">
        <f t="shared" si="11"/>
        <v>0.51979284017622285</v>
      </c>
      <c r="J100" s="51">
        <f>Dados!K199</f>
        <v>-357.62900000000002</v>
      </c>
      <c r="K100" s="52">
        <f>IFERROR(Dados!K199/Dados!J199,"")</f>
        <v>-0.48020715982377721</v>
      </c>
      <c r="L100" s="52">
        <f>IFERROR(Dados!L199/Dados!J199,"")</f>
        <v>0.51979284017622285</v>
      </c>
      <c r="M100" s="52">
        <f>Dados!H199</f>
        <v>0.57870612432354585</v>
      </c>
      <c r="N100" s="53" t="str">
        <f>IF(OR(Dados!L199="",Dados!J199=0)," — ",IF(IFERROR(Dados!L199/Dados!J199,0)&lt;0.75,"🔴 CRÍTICO",IF(IFERROR(Dados!L199/Dados!J199,0)&gt;1.3,"🔴 CRÍTICO",IF(OR(IFERROR(Dados!L199/Dados!J199,0)&lt;0.9,IFERROR(Dados!L199/Dados!J199,0)&gt;1.1),"🟡 ATENÇÃO","🟢 OK"))))</f>
        <v>🔴 CRÍTICO</v>
      </c>
    </row>
    <row r="101" spans="1:14" ht="14.25" customHeight="1" x14ac:dyDescent="0.3">
      <c r="A101" s="45">
        <f>Dados!A201</f>
        <v>46212</v>
      </c>
      <c r="B101" s="46">
        <f>IFERROR(Dados!C201+Dados!C202,"")</f>
        <v>3946</v>
      </c>
      <c r="C101" s="46">
        <f>Dados!L201</f>
        <v>310.39999999999998</v>
      </c>
      <c r="D101" s="47">
        <f>IFERROR(IF((Dados!C201+Dados!C202)=0,"",(Dados!C201*Dados!D201+Dados!C202*Dados!D202)/(Dados!C201+Dados!C202)),"")</f>
        <v>0.10078003041054232</v>
      </c>
      <c r="E101" s="47">
        <f>IFERROR(IF((Dados!C201+Dados!C202)=0,"",(Dados!C201*Dados!E201+Dados!C202*Dados!E202)/(Dados!C201+Dados!C202)),"")</f>
        <v>0.06</v>
      </c>
      <c r="F101" s="48">
        <f>Dados!J201</f>
        <v>160.91800000000001</v>
      </c>
      <c r="G101" s="49">
        <f t="shared" si="9"/>
        <v>0.40464395817721877</v>
      </c>
      <c r="H101" s="50">
        <f t="shared" si="10"/>
        <v>0.78053098235255658</v>
      </c>
      <c r="I101" s="50">
        <f t="shared" si="11"/>
        <v>0.51842139175257729</v>
      </c>
      <c r="J101" s="51">
        <f>Dados!K201</f>
        <v>149.48199999999997</v>
      </c>
      <c r="K101" s="52">
        <f>IFERROR(Dados!K201/Dados!J201,"")</f>
        <v>0.92893274835630546</v>
      </c>
      <c r="L101" s="52">
        <f>IFERROR(Dados!L201/Dados!J201,"")</f>
        <v>1.9289327483563055</v>
      </c>
      <c r="M101" s="52">
        <f>Dados!H201</f>
        <v>0.40458841417966074</v>
      </c>
      <c r="N101" s="53" t="str">
        <f>IF(OR(Dados!L201="",Dados!J201=0)," — ",IF(IFERROR(Dados!L201/Dados!J201,0)&lt;0.75,"🔴 CRÍTICO",IF(IFERROR(Dados!L201/Dados!J201,0)&gt;1.3,"🔴 CRÍTICO",IF(OR(IFERROR(Dados!L201/Dados!J201,0)&lt;0.9,IFERROR(Dados!L201/Dados!J201,0)&gt;1.1),"🟡 ATENÇÃO","🟢 OK"))))</f>
        <v>🔴 CRÍTICO</v>
      </c>
    </row>
    <row r="102" spans="1:14" ht="14.25" customHeight="1" x14ac:dyDescent="0.3">
      <c r="A102" s="45">
        <f>Dados!A203</f>
        <v>46213</v>
      </c>
      <c r="B102" s="46">
        <f>IFERROR(Dados!C203+Dados!C204,"")</f>
        <v>4279</v>
      </c>
      <c r="C102" s="46">
        <f>Dados!L203</f>
        <v>386.94</v>
      </c>
      <c r="D102" s="47">
        <f>IFERROR(IF((Dados!C203+Dados!C204)=0,"",(Dados!C203*Dados!D203+Dados!C204*Dados!D204)/(Dados!C203+Dados!C204)),"")</f>
        <v>0.65186795980369239</v>
      </c>
      <c r="E102" s="47">
        <f>IFERROR(IF((Dados!C203+Dados!C204)=0,"",(Dados!C203*Dados!E203+Dados!C204*Dados!E204)/(Dados!C203+Dados!C204)),"")</f>
        <v>0.1</v>
      </c>
      <c r="F102" s="48">
        <f>Dados!J203</f>
        <v>2361.4429999999998</v>
      </c>
      <c r="G102" s="49">
        <f t="shared" si="9"/>
        <v>0.84659469989886504</v>
      </c>
      <c r="H102" s="50">
        <f t="shared" si="10"/>
        <v>0.13872083856305947</v>
      </c>
      <c r="I102" s="50">
        <f t="shared" si="11"/>
        <v>0.163857438015654</v>
      </c>
      <c r="J102" s="51">
        <f>Dados!K203</f>
        <v>-1974.5029999999997</v>
      </c>
      <c r="K102" s="52">
        <f>IFERROR(Dados!K203/Dados!J203,"")</f>
        <v>-0.836142561984346</v>
      </c>
      <c r="L102" s="52">
        <f>IFERROR(Dados!L203/Dados!J203,"")</f>
        <v>0.163857438015654</v>
      </c>
      <c r="M102" s="52">
        <f>Dados!H203</f>
        <v>0.60914293227772898</v>
      </c>
      <c r="N102" s="53" t="str">
        <f>IF(OR(Dados!L203="",Dados!J203=0)," — ",IF(IFERROR(Dados!L203/Dados!J203,0)&lt;0.75,"🔴 CRÍTICO",IF(IFERROR(Dados!L203/Dados!J203,0)&gt;1.3,"🔴 CRÍTICO",IF(OR(IFERROR(Dados!L203/Dados!J203,0)&lt;0.9,IFERROR(Dados!L203/Dados!J203,0)&gt;1.1),"🟡 ATENÇÃO","🟢 OK"))))</f>
        <v>🔴 CRÍTICO</v>
      </c>
    </row>
    <row r="103" spans="1:14" ht="14.25" customHeight="1" x14ac:dyDescent="0.3">
      <c r="A103" s="45">
        <f>Dados!A205</f>
        <v>46214</v>
      </c>
      <c r="B103" s="46">
        <f>IFERROR(Dados!C205+Dados!C206,"")</f>
        <v>4013</v>
      </c>
      <c r="C103" s="46">
        <f>Dados!L205</f>
        <v>473.18</v>
      </c>
      <c r="D103" s="47">
        <f>IFERROR(IF((Dados!C205+Dados!C206)=0,"",(Dados!C205*Dados!D205+Dados!C206*Dados!D206)/(Dados!C205+Dados!C206)),"")</f>
        <v>0.25453675554448046</v>
      </c>
      <c r="E103" s="47">
        <f>IFERROR(IF((Dados!C205+Dados!C206)=0,"",(Dados!C205*Dados!E205+Dados!C206*Dados!E206)/(Dados!C205+Dados!C206)),"")</f>
        <v>0.1</v>
      </c>
      <c r="F103" s="48">
        <f>Dados!J205</f>
        <v>620.15599999999995</v>
      </c>
      <c r="G103" s="49">
        <f t="shared" si="9"/>
        <v>0.60712943092996663</v>
      </c>
      <c r="H103" s="50">
        <f t="shared" si="10"/>
        <v>0.46324070738240308</v>
      </c>
      <c r="I103" s="50">
        <f t="shared" si="11"/>
        <v>0.76300156734757052</v>
      </c>
      <c r="J103" s="51">
        <f>Dados!K205</f>
        <v>-146.97599999999994</v>
      </c>
      <c r="K103" s="52">
        <f>IFERROR(Dados!K205/Dados!J205,"")</f>
        <v>-0.23699843265242931</v>
      </c>
      <c r="L103" s="52">
        <f>IFERROR(Dados!L205/Dados!J205,"")</f>
        <v>0.76300156734757063</v>
      </c>
      <c r="M103" s="52">
        <f>Dados!H205</f>
        <v>0.55154931899718662</v>
      </c>
      <c r="N103" s="53" t="str">
        <f>IF(OR(Dados!L205="",Dados!J205=0)," — ",IF(IFERROR(Dados!L205/Dados!J205,0)&lt;0.75,"🔴 CRÍTICO",IF(IFERROR(Dados!L205/Dados!J205,0)&gt;1.3,"🔴 CRÍTICO",IF(OR(IFERROR(Dados!L205/Dados!J205,0)&lt;0.9,IFERROR(Dados!L205/Dados!J205,0)&gt;1.1),"🟡 ATENÇÃO","🟢 OK"))))</f>
        <v>🟡 ATENÇÃO</v>
      </c>
    </row>
    <row r="104" spans="1:14" ht="14.25" customHeight="1" x14ac:dyDescent="0.3">
      <c r="A104" s="45">
        <f>Dados!A207</f>
        <v>46215</v>
      </c>
      <c r="B104" s="46">
        <f>IFERROR(Dados!C207+Dados!C208,"")</f>
        <v>3322</v>
      </c>
      <c r="C104" s="46">
        <f>Dados!L207</f>
        <v>343.31</v>
      </c>
      <c r="D104" s="47">
        <f>IFERROR(IF((Dados!C207+Dados!C208)=0,"",(Dados!C207*Dados!D207+Dados!C208*Dados!D208)/(Dados!C207+Dados!C208)),"")</f>
        <v>0.14048886213124623</v>
      </c>
      <c r="E104" s="47">
        <f>IFERROR(IF((Dados!C207+Dados!C208)=0,"",(Dados!C207*Dados!E207+Dados!C208*Dados!E208)/(Dados!C207+Dados!C208)),"")</f>
        <v>0.1029319686935581</v>
      </c>
      <c r="F104" s="48">
        <f>Dados!J207</f>
        <v>124.764</v>
      </c>
      <c r="G104" s="49">
        <f t="shared" si="9"/>
        <v>0.26733004216805506</v>
      </c>
      <c r="H104" s="50">
        <f t="shared" si="10"/>
        <v>0.7356054372793035</v>
      </c>
      <c r="I104" s="50">
        <f t="shared" si="11"/>
        <v>0.36341498936820932</v>
      </c>
      <c r="J104" s="51">
        <f>Dados!K207</f>
        <v>218.54599999999999</v>
      </c>
      <c r="K104" s="52">
        <f>IFERROR(Dados!K207/Dados!J207,"")</f>
        <v>1.7516751627071911</v>
      </c>
      <c r="L104" s="52">
        <f>IFERROR(Dados!L207/Dados!J207,"")</f>
        <v>2.7516751627071914</v>
      </c>
      <c r="M104" s="52">
        <f>Dados!H207</f>
        <v>0.23327263004775242</v>
      </c>
      <c r="N104" s="53" t="str">
        <f>IF(OR(Dados!L207="",Dados!J207=0)," — ",IF(IFERROR(Dados!L207/Dados!J207,0)&lt;0.75,"🔴 CRÍTICO",IF(IFERROR(Dados!L207/Dados!J207,0)&gt;1.3,"🔴 CRÍTICO",IF(OR(IFERROR(Dados!L207/Dados!J207,0)&lt;0.9,IFERROR(Dados!L207/Dados!J207,0)&gt;1.1),"🟡 ATENÇÃO","🟢 OK"))))</f>
        <v>🔴 CRÍTICO</v>
      </c>
    </row>
    <row r="105" spans="1:14" ht="14.25" customHeight="1" x14ac:dyDescent="0.3">
      <c r="A105" s="45">
        <f>Dados!A209</f>
        <v>46216</v>
      </c>
      <c r="B105" s="46">
        <f>IFERROR(Dados!C209+Dados!C210,"")</f>
        <v>3517</v>
      </c>
      <c r="C105" s="46">
        <f>Dados!L209</f>
        <v>701.72</v>
      </c>
      <c r="D105" s="47">
        <f>IFERROR(IF((Dados!C209+Dados!C210)=0,"",(Dados!C209*Dados!D209+Dados!C210*Dados!D210)/(Dados!C209+Dados!C210)),"")</f>
        <v>0.1410403753198749</v>
      </c>
      <c r="E105" s="47">
        <f>IFERROR(IF((Dados!C209+Dados!C210)=0,"",(Dados!C209*Dados!E209+Dados!C210*Dados!E210)/(Dados!C209+Dados!C210)),"")</f>
        <v>7.5376741541086159E-2</v>
      </c>
      <c r="F105" s="48">
        <f>Dados!J209</f>
        <v>230.93899999999996</v>
      </c>
      <c r="G105" s="49">
        <f t="shared" si="9"/>
        <v>0.46556621555966365</v>
      </c>
      <c r="H105" s="50">
        <f t="shared" si="10"/>
        <v>1.4146468322047259</v>
      </c>
      <c r="I105" s="50">
        <f t="shared" si="11"/>
        <v>0.3291042011058542</v>
      </c>
      <c r="J105" s="51">
        <f>Dados!K209</f>
        <v>470.78100000000006</v>
      </c>
      <c r="K105" s="52">
        <f>IFERROR(Dados!K209/Dados!J209,"")</f>
        <v>2.0385513057560662</v>
      </c>
      <c r="L105" s="52">
        <f>IFERROR(Dados!L209/Dados!J209,"")</f>
        <v>3.0385513057560662</v>
      </c>
      <c r="M105" s="52">
        <f>Dados!H209</f>
        <v>0.39960293426183352</v>
      </c>
      <c r="N105" s="53" t="str">
        <f>IF(OR(Dados!L209="",Dados!J209=0)," — ",IF(IFERROR(Dados!L209/Dados!J209,0)&lt;0.75,"🔴 CRÍTICO",IF(IFERROR(Dados!L209/Dados!J209,0)&gt;1.3,"🔴 CRÍTICO",IF(OR(IFERROR(Dados!L209/Dados!J209,0)&lt;0.9,IFERROR(Dados!L209/Dados!J209,0)&gt;1.1),"🟡 ATENÇÃO","🟢 OK"))))</f>
        <v>🔴 CRÍTICO</v>
      </c>
    </row>
    <row r="106" spans="1:14" ht="14.25" customHeight="1" x14ac:dyDescent="0.3">
      <c r="A106" s="45">
        <f>Dados!A211</f>
        <v>46217</v>
      </c>
      <c r="B106" s="46">
        <f>IFERROR(Dados!C211+Dados!C212,"")</f>
        <v>3126</v>
      </c>
      <c r="C106" s="46">
        <f>Dados!L211</f>
        <v>321.83999999999997</v>
      </c>
      <c r="D106" s="47">
        <f>IFERROR(IF((Dados!C211+Dados!C212)=0,"",(Dados!C211*Dados!D211+Dados!C212*Dados!D212)/(Dados!C211+Dados!C212)),"")</f>
        <v>0.14099999999999999</v>
      </c>
      <c r="E106" s="47">
        <f>IFERROR(IF((Dados!C211+Dados!C212)=0,"",(Dados!C211*Dados!E211+Dados!C212*Dados!E212)/(Dados!C211+Dados!C212)),"")</f>
        <v>6.6218809980806148E-2</v>
      </c>
      <c r="F106" s="48">
        <f>Dados!J211</f>
        <v>233.76599999999993</v>
      </c>
      <c r="G106" s="49">
        <f t="shared" si="9"/>
        <v>0.5303630497815166</v>
      </c>
      <c r="H106" s="50">
        <f t="shared" si="10"/>
        <v>0.7301833626005636</v>
      </c>
      <c r="I106" s="50">
        <f t="shared" si="11"/>
        <v>0.72634228187919447</v>
      </c>
      <c r="J106" s="51">
        <f>Dados!K211</f>
        <v>88.074000000000041</v>
      </c>
      <c r="K106" s="52">
        <f>IFERROR(Dados!K211/Dados!J211,"")</f>
        <v>0.37676137676137705</v>
      </c>
      <c r="L106" s="52">
        <f>IFERROR(Dados!L211/Dados!J211,"")</f>
        <v>1.3767613767613771</v>
      </c>
      <c r="M106" s="52">
        <f>Dados!H211</f>
        <v>0.53036304978151672</v>
      </c>
      <c r="N106" s="53" t="str">
        <f>IF(OR(Dados!L211="",Dados!J211=0)," — ",IF(IFERROR(Dados!L211/Dados!J211,0)&lt;0.75,"🔴 CRÍTICO",IF(IFERROR(Dados!L211/Dados!J211,0)&gt;1.3,"🔴 CRÍTICO",IF(OR(IFERROR(Dados!L211/Dados!J211,0)&lt;0.9,IFERROR(Dados!L211/Dados!J211,0)&gt;1.1),"🟡 ATENÇÃO","🟢 OK"))))</f>
        <v>🔴 CRÍTICO</v>
      </c>
    </row>
    <row r="107" spans="1:14" ht="14.25" customHeight="1" x14ac:dyDescent="0.3">
      <c r="A107" s="45">
        <f>Dados!A213</f>
        <v>46218</v>
      </c>
      <c r="B107" s="46">
        <f>IFERROR(Dados!C213+Dados!C214,"")</f>
        <v>3265</v>
      </c>
      <c r="C107" s="46">
        <f>Dados!L213</f>
        <v>367.21</v>
      </c>
      <c r="D107" s="47">
        <f>IFERROR(IF((Dados!C213+Dados!C214)=0,"",(Dados!C213*Dados!D213+Dados!C214*Dados!D214)/(Dados!C213+Dados!C214)),"")</f>
        <v>0.16874566615620215</v>
      </c>
      <c r="E107" s="47">
        <f>IFERROR(IF((Dados!C213+Dados!C214)=0,"",(Dados!C213*Dados!E213+Dados!C214*Dados!E214)/(Dados!C213+Dados!C214)),"")</f>
        <v>7.3819295558958664E-2</v>
      </c>
      <c r="F107" s="48">
        <f>Dados!J213</f>
        <v>309.93459999999993</v>
      </c>
      <c r="G107" s="49">
        <f t="shared" si="9"/>
        <v>0.56254108777746836</v>
      </c>
      <c r="H107" s="50">
        <f t="shared" si="10"/>
        <v>0.66649774772730819</v>
      </c>
      <c r="I107" s="50">
        <f t="shared" si="11"/>
        <v>0.8440254895019198</v>
      </c>
      <c r="J107" s="51">
        <f>Dados!K213</f>
        <v>57.275400000000047</v>
      </c>
      <c r="K107" s="52">
        <f>IFERROR(Dados!K213/Dados!J213,"")</f>
        <v>0.18479834132749315</v>
      </c>
      <c r="L107" s="52">
        <f>IFERROR(Dados!L213/Dados!J213,"")</f>
        <v>1.1847983413274932</v>
      </c>
      <c r="M107" s="52">
        <f>Dados!H213</f>
        <v>0.43078618515549472</v>
      </c>
      <c r="N107" s="53" t="str">
        <f>IF(OR(Dados!L213="",Dados!J213=0)," — ",IF(IFERROR(Dados!L213/Dados!J213,0)&lt;0.75,"🔴 CRÍTICO",IF(IFERROR(Dados!L213/Dados!J213,0)&gt;1.3,"🔴 CRÍTICO",IF(OR(IFERROR(Dados!L213/Dados!J213,0)&lt;0.9,IFERROR(Dados!L213/Dados!J213,0)&gt;1.1),"🟡 ATENÇÃO","🟢 OK"))))</f>
        <v>🟡 ATENÇÃO</v>
      </c>
    </row>
    <row r="108" spans="1:14" ht="14.25" customHeight="1" x14ac:dyDescent="0.3">
      <c r="A108" s="45">
        <f>Dados!A215</f>
        <v>46219</v>
      </c>
      <c r="B108" s="46">
        <f>IFERROR(Dados!C215+Dados!C216,"")</f>
        <v>2720</v>
      </c>
      <c r="C108" s="46">
        <f>Dados!L215</f>
        <v>244.17</v>
      </c>
      <c r="D108" s="47">
        <f>IFERROR(IF((Dados!C215+Dados!C216)=0,"",(Dados!C215*Dados!D215+Dados!C216*Dados!D216)/(Dados!C215+Dados!C216)),"")</f>
        <v>0.1553879044117647</v>
      </c>
      <c r="E108" s="47">
        <f>IFERROR(IF((Dados!C215+Dados!C216)=0,"",(Dados!C215*Dados!E215+Dados!C216*Dados!E216)/(Dados!C215+Dados!C216)),"")</f>
        <v>7.0000000000000007E-2</v>
      </c>
      <c r="F108" s="48">
        <f>Dados!J215</f>
        <v>232.25509999999997</v>
      </c>
      <c r="G108" s="49">
        <f t="shared" si="9"/>
        <v>0.54951448592481189</v>
      </c>
      <c r="H108" s="50">
        <f t="shared" si="10"/>
        <v>0.57770508388518205</v>
      </c>
      <c r="I108" s="50">
        <f t="shared" si="11"/>
        <v>0.9512024409223081</v>
      </c>
      <c r="J108" s="51">
        <f>Dados!K215</f>
        <v>11.914900000000017</v>
      </c>
      <c r="K108" s="52">
        <f>IFERROR(Dados!K215/Dados!J215,"")</f>
        <v>5.1300918688115003E-2</v>
      </c>
      <c r="L108" s="52">
        <f>IFERROR(Dados!L215/Dados!J215,"")</f>
        <v>1.051300918688115</v>
      </c>
      <c r="M108" s="52">
        <f>Dados!H215</f>
        <v>0.39404566887552361</v>
      </c>
      <c r="N108" s="53" t="str">
        <f>IF(OR(Dados!L215="",Dados!J215=0)," — ",IF(IFERROR(Dados!L215/Dados!J215,0)&lt;0.75,"🔴 CRÍTICO",IF(IFERROR(Dados!L215/Dados!J215,0)&gt;1.3,"🔴 CRÍTICO",IF(OR(IFERROR(Dados!L215/Dados!J215,0)&lt;0.9,IFERROR(Dados!L215/Dados!J215,0)&gt;1.1),"🟡 ATENÇÃO","🟢 OK"))))</f>
        <v>🟢 OK</v>
      </c>
    </row>
    <row r="109" spans="1:14" ht="14.25" customHeight="1" x14ac:dyDescent="0.3">
      <c r="A109" s="45">
        <f>Dados!A217</f>
        <v>46220</v>
      </c>
      <c r="B109" s="46">
        <f>IFERROR(Dados!C217+Dados!C218,"")</f>
        <v>3575</v>
      </c>
      <c r="C109" s="46">
        <f>Dados!L217</f>
        <v>901.17</v>
      </c>
      <c r="D109" s="47">
        <f>IFERROR(IF((Dados!C217+Dados!C218)=0,"",(Dados!C217*Dados!D217+Dados!C218*Dados!D218)/(Dados!C217+Dados!C218)),"")</f>
        <v>1.7780705734265736</v>
      </c>
      <c r="E109" s="47">
        <f>IFERROR(IF((Dados!C217+Dados!C218)=0,"",(Dados!C217*Dados!E217+Dados!C218*Dados!E218)/(Dados!C217+Dados!C218)),"")</f>
        <v>8.0735664335664328E-2</v>
      </c>
      <c r="F109" s="48">
        <f>Dados!J217</f>
        <v>6067.9723000000004</v>
      </c>
      <c r="G109" s="49">
        <f t="shared" si="9"/>
        <v>0.95459366712307936</v>
      </c>
      <c r="H109" s="50">
        <f t="shared" si="10"/>
        <v>0.14176913348818437</v>
      </c>
      <c r="I109" s="50">
        <f t="shared" si="11"/>
        <v>0.14851254347354217</v>
      </c>
      <c r="J109" s="51">
        <f>Dados!K217</f>
        <v>-5166.8023000000003</v>
      </c>
      <c r="K109" s="52">
        <f>IFERROR(Dados!K217/Dados!J217,"")</f>
        <v>-0.85148745652645774</v>
      </c>
      <c r="L109" s="52">
        <f>IFERROR(Dados!L217/Dados!J217,"")</f>
        <v>0.1485125434735422</v>
      </c>
      <c r="M109" s="52">
        <f>Dados!H217</f>
        <v>0.85115612915348815</v>
      </c>
      <c r="N109" s="53" t="str">
        <f>IF(OR(Dados!L217="",Dados!J217=0)," — ",IF(IFERROR(Dados!L217/Dados!J217,0)&lt;0.75,"🔴 CRÍTICO",IF(IFERROR(Dados!L217/Dados!J217,0)&gt;1.3,"🔴 CRÍTICO",IF(OR(IFERROR(Dados!L217/Dados!J217,0)&lt;0.9,IFERROR(Dados!L217/Dados!J217,0)&gt;1.1),"🟡 ATENÇÃO","🟢 OK"))))</f>
        <v>🔴 CRÍTICO</v>
      </c>
    </row>
    <row r="110" spans="1:14" ht="14.25" customHeight="1" x14ac:dyDescent="0.3">
      <c r="A110" s="45">
        <f>Dados!A219</f>
        <v>46221</v>
      </c>
      <c r="B110" s="46">
        <f>IFERROR(Dados!C219+Dados!C220,"")</f>
        <v>4306</v>
      </c>
      <c r="C110" s="46">
        <f>Dados!L219</f>
        <v>594.41999999999996</v>
      </c>
      <c r="D110" s="47">
        <f>IFERROR(IF((Dados!C219+Dados!C220)=0,"",(Dados!C219*Dados!D219+Dados!C220*Dados!D220)/(Dados!C219+Dados!C220)),"")</f>
        <v>0.67504551788202505</v>
      </c>
      <c r="E110" s="47">
        <f>IFERROR(IF((Dados!C219+Dados!C220)=0,"",(Dados!C219*Dados!E219+Dados!C220*Dados!E220)/(Dados!C219+Dados!C220)),"")</f>
        <v>0.10823966558290758</v>
      </c>
      <c r="F110" s="48">
        <f>Dados!J219</f>
        <v>2440.6660000000002</v>
      </c>
      <c r="G110" s="49">
        <f t="shared" si="9"/>
        <v>0.83965575251501168</v>
      </c>
      <c r="H110" s="50">
        <f t="shared" si="10"/>
        <v>0.20449671213102213</v>
      </c>
      <c r="I110" s="50">
        <f t="shared" si="11"/>
        <v>0.24354827739641557</v>
      </c>
      <c r="J110" s="51">
        <f>Dados!K219</f>
        <v>-1846.2460000000001</v>
      </c>
      <c r="K110" s="52">
        <f>IFERROR(Dados!K219/Dados!J219,"")</f>
        <v>-0.7564517226035844</v>
      </c>
      <c r="L110" s="52">
        <f>IFERROR(Dados!L219/Dados!J219,"")</f>
        <v>0.24354827739641555</v>
      </c>
      <c r="M110" s="52">
        <f>Dados!H219</f>
        <v>0.84108590736053324</v>
      </c>
      <c r="N110" s="53" t="str">
        <f>IF(OR(Dados!L219="",Dados!J219=0)," — ",IF(IFERROR(Dados!L219/Dados!J219,0)&lt;0.75,"🔴 CRÍTICO",IF(IFERROR(Dados!L219/Dados!J219,0)&gt;1.3,"🔴 CRÍTICO",IF(OR(IFERROR(Dados!L219/Dados!J219,0)&lt;0.9,IFERROR(Dados!L219/Dados!J219,0)&gt;1.1),"🟡 ATENÇÃO","🟢 OK"))))</f>
        <v>🔴 CRÍTICO</v>
      </c>
    </row>
    <row r="111" spans="1:14" ht="14.25" customHeight="1" x14ac:dyDescent="0.3">
      <c r="A111" s="45">
        <f>Dados!A221</f>
        <v>46222</v>
      </c>
      <c r="B111" s="46">
        <f>IFERROR(Dados!C221+Dados!C222,"")</f>
        <v>3348</v>
      </c>
      <c r="C111" s="46">
        <f>Dados!L221</f>
        <v>504.13</v>
      </c>
      <c r="D111" s="47">
        <f>IFERROR(IF((Dados!C221+Dados!C222)=0,"",(Dados!C221*Dados!D221+Dados!C222*Dados!D222)/(Dados!C221+Dados!C222)),"")</f>
        <v>0.20400561529271208</v>
      </c>
      <c r="E111" s="47">
        <f>IFERROR(IF((Dados!C221+Dados!C222)=0,"",(Dados!C221*Dados!E221+Dados!C222*Dados!E222)/(Dados!C221+Dados!C222)),"")</f>
        <v>8.2538829151732385E-2</v>
      </c>
      <c r="F111" s="48">
        <f>Dados!J221</f>
        <v>406.67079999999999</v>
      </c>
      <c r="G111" s="49">
        <f t="shared" si="9"/>
        <v>0.59540903306360604</v>
      </c>
      <c r="H111" s="50">
        <f t="shared" si="10"/>
        <v>0.73809960252458673</v>
      </c>
      <c r="I111" s="50">
        <f t="shared" si="11"/>
        <v>0.8066784361176681</v>
      </c>
      <c r="J111" s="51">
        <f>Dados!K221</f>
        <v>97.45920000000001</v>
      </c>
      <c r="K111" s="52">
        <f>IFERROR(Dados!K221/Dados!J221,"")</f>
        <v>0.23965133469135236</v>
      </c>
      <c r="L111" s="52">
        <f>IFERROR(Dados!L221/Dados!J221,"")</f>
        <v>1.2396513346913522</v>
      </c>
      <c r="M111" s="52">
        <f>Dados!H221</f>
        <v>0.59473803392807745</v>
      </c>
      <c r="N111" s="53" t="str">
        <f>IF(OR(Dados!L221="",Dados!J221=0)," — ",IF(IFERROR(Dados!L221/Dados!J221,0)&lt;0.75,"🔴 CRÍTICO",IF(IFERROR(Dados!L221/Dados!J221,0)&gt;1.3,"🔴 CRÍTICO",IF(OR(IFERROR(Dados!L221/Dados!J221,0)&lt;0.9,IFERROR(Dados!L221/Dados!J221,0)&gt;1.1),"🟡 ATENÇÃO","🟢 OK"))))</f>
        <v>🟡 ATENÇÃO</v>
      </c>
    </row>
    <row r="112" spans="1:14" ht="14.25" customHeight="1" x14ac:dyDescent="0.3">
      <c r="A112" s="45">
        <f>Dados!A223</f>
        <v>46223</v>
      </c>
      <c r="B112" s="46">
        <f>IFERROR(Dados!C223+Dados!C224,"")</f>
        <v>2572</v>
      </c>
      <c r="C112" s="46">
        <f>Dados!L223</f>
        <v>423.3</v>
      </c>
      <c r="D112" s="47">
        <f>IFERROR(IF((Dados!C223+Dados!C224)=0,"",(Dados!C223*Dados!D223+Dados!C224*Dados!D224)/(Dados!C223+Dados!C224)),"")</f>
        <v>0.28042177293934678</v>
      </c>
      <c r="E112" s="47">
        <f>IFERROR(IF((Dados!C223+Dados!C224)=0,"",(Dados!C223*Dados!E223+Dados!C224*Dados!E224)/(Dados!C223+Dados!C224)),"")</f>
        <v>5.4463452566096415E-2</v>
      </c>
      <c r="F112" s="48">
        <f>Dados!J223</f>
        <v>581.16480000000001</v>
      </c>
      <c r="G112" s="49">
        <f t="shared" si="9"/>
        <v>0.8057802288487903</v>
      </c>
      <c r="H112" s="50">
        <f t="shared" si="10"/>
        <v>0.58690197835741764</v>
      </c>
      <c r="I112" s="50">
        <f t="shared" si="11"/>
        <v>0.72836482870263308</v>
      </c>
      <c r="J112" s="51">
        <f>Dados!K223</f>
        <v>-157.8648</v>
      </c>
      <c r="K112" s="52">
        <f>IFERROR(Dados!K223/Dados!J223,"")</f>
        <v>-0.27163517129736692</v>
      </c>
      <c r="L112" s="52">
        <f>IFERROR(Dados!L223/Dados!J223,"")</f>
        <v>0.72836482870263308</v>
      </c>
      <c r="M112" s="52">
        <f>Dados!H223</f>
        <v>0.80288272187269005</v>
      </c>
      <c r="N112" s="53" t="str">
        <f>IF(OR(Dados!L223="",Dados!J223=0)," — ",IF(IFERROR(Dados!L223/Dados!J223,0)&lt;0.75,"🔴 CRÍTICO",IF(IFERROR(Dados!L223/Dados!J223,0)&gt;1.3,"🔴 CRÍTICO",IF(OR(IFERROR(Dados!L223/Dados!J223,0)&lt;0.9,IFERROR(Dados!L223/Dados!J223,0)&gt;1.1),"🟡 ATENÇÃO","🟢 OK"))))</f>
        <v>🔴 CRÍTICO</v>
      </c>
    </row>
    <row r="113" spans="1:14" ht="14.25" customHeight="1" x14ac:dyDescent="0.3">
      <c r="A113" s="45">
        <f>Dados!A225</f>
        <v>46224</v>
      </c>
      <c r="B113" s="46">
        <f>IFERROR(Dados!C225+Dados!C226,"")</f>
        <v>3297</v>
      </c>
      <c r="C113" s="46">
        <f>Dados!L225</f>
        <v>324.22000000000003</v>
      </c>
      <c r="D113" s="47">
        <f>IFERROR(IF((Dados!C225+Dados!C226)=0,"",(Dados!C225*Dados!D225+Dados!C226*Dados!D226)/(Dados!C225+Dados!C226)),"")</f>
        <v>0.12553615407946617</v>
      </c>
      <c r="E113" s="47">
        <f>IFERROR(IF((Dados!C225+Dados!C226)=0,"",(Dados!C225*Dados!E225+Dados!C226*Dados!E226)/(Dados!C225+Dados!C226)),"")</f>
        <v>6.4021838034576881E-2</v>
      </c>
      <c r="F113" s="48">
        <f>Dados!J225</f>
        <v>202.81270000000001</v>
      </c>
      <c r="G113" s="49">
        <f t="shared" si="9"/>
        <v>0.49001274968125796</v>
      </c>
      <c r="H113" s="50">
        <f t="shared" si="10"/>
        <v>0.78334312250493932</v>
      </c>
      <c r="I113" s="50">
        <f t="shared" si="11"/>
        <v>0.6255403738202453</v>
      </c>
      <c r="J113" s="51">
        <f>Dados!K225</f>
        <v>121.40730000000002</v>
      </c>
      <c r="K113" s="52">
        <f>IFERROR(Dados!K225/Dados!J225,"")</f>
        <v>0.59861783803479773</v>
      </c>
      <c r="L113" s="52">
        <f>IFERROR(Dados!L225/Dados!J225,"")</f>
        <v>1.5986178380347977</v>
      </c>
      <c r="M113" s="52" t="str">
        <f>Dados!H225</f>
        <v/>
      </c>
      <c r="N113" s="53" t="str">
        <f>IF(OR(Dados!L225="",Dados!J225=0)," — ",IF(IFERROR(Dados!L225/Dados!J225,0)&lt;0.75,"🔴 CRÍTICO",IF(IFERROR(Dados!L225/Dados!J225,0)&gt;1.3,"🔴 CRÍTICO",IF(OR(IFERROR(Dados!L225/Dados!J225,0)&lt;0.9,IFERROR(Dados!L225/Dados!J225,0)&gt;1.1),"🟡 ATENÇÃO","🟢 OK"))))</f>
        <v>🔴 CRÍTICO</v>
      </c>
    </row>
    <row r="114" spans="1:14" ht="14.25" customHeight="1" x14ac:dyDescent="0.3">
      <c r="A114" s="45">
        <f>Dados!A227</f>
        <v>46225</v>
      </c>
      <c r="B114" s="46">
        <f>IFERROR(Dados!C227+Dados!C228,"")</f>
        <v>2831</v>
      </c>
      <c r="C114" s="46">
        <f>Dados!L227</f>
        <v>264.52999999999997</v>
      </c>
      <c r="D114" s="47">
        <f>IFERROR(IF((Dados!C227+Dados!C228)=0,"",(Dados!C227*Dados!D227+Dados!C228*Dados!D228)/(Dados!C227+Dados!C228)),"")</f>
        <v>0.26929321794418937</v>
      </c>
      <c r="E114" s="47">
        <f>IFERROR(IF((Dados!C227+Dados!C228)=0,"",(Dados!C227*Dados!E227+Dados!C228*Dados!E228)/(Dados!C227+Dados!C228)),"")</f>
        <v>6.4199929353585303E-2</v>
      </c>
      <c r="F114" s="48">
        <f>Dados!J227</f>
        <v>580.61910000000012</v>
      </c>
      <c r="G114" s="49">
        <f t="shared" si="9"/>
        <v>0.76159841735453337</v>
      </c>
      <c r="H114" s="50">
        <f t="shared" si="10"/>
        <v>0.34698415767375662</v>
      </c>
      <c r="I114" s="50">
        <f t="shared" si="11"/>
        <v>0.45559989328632133</v>
      </c>
      <c r="J114" s="51">
        <f>Dados!K227</f>
        <v>-316.08910000000014</v>
      </c>
      <c r="K114" s="52">
        <f>IFERROR(Dados!K227/Dados!J227,"")</f>
        <v>-0.54440010671367867</v>
      </c>
      <c r="L114" s="52">
        <f>IFERROR(Dados!L227/Dados!J227,"")</f>
        <v>0.45559989328632133</v>
      </c>
      <c r="M114" s="52">
        <f>Dados!H227</f>
        <v>0.72450172639341881</v>
      </c>
      <c r="N114" s="53" t="str">
        <f>IF(OR(Dados!L227="",Dados!J227=0)," — ",IF(IFERROR(Dados!L227/Dados!J227,0)&lt;0.75,"🔴 CRÍTICO",IF(IFERROR(Dados!L227/Dados!J227,0)&gt;1.3,"🔴 CRÍTICO",IF(OR(IFERROR(Dados!L227/Dados!J227,0)&lt;0.9,IFERROR(Dados!L227/Dados!J227,0)&gt;1.1),"🟡 ATENÇÃO","🟢 OK"))))</f>
        <v>🔴 CRÍTICO</v>
      </c>
    </row>
    <row r="115" spans="1:14" ht="14.25" customHeight="1" x14ac:dyDescent="0.3">
      <c r="A115" s="45">
        <f>Dados!A229</f>
        <v>46226</v>
      </c>
      <c r="B115" s="46">
        <f>IFERROR(Dados!C229+Dados!C230,"")</f>
        <v>3321</v>
      </c>
      <c r="C115" s="46">
        <f>Dados!L229</f>
        <v>642.16999999999996</v>
      </c>
      <c r="D115" s="47">
        <f>IFERROR(IF((Dados!C229+Dados!C230)=0,"",(Dados!C229*Dados!D229+Dados!C230*Dados!D230)/(Dados!C229+Dados!C230)),"")</f>
        <v>0.32452863595302622</v>
      </c>
      <c r="E115" s="47">
        <f>IFERROR(IF((Dados!C229+Dados!C230)=0,"",(Dados!C229*Dados!E229+Dados!C230*Dados!E230)/(Dados!C229+Dados!C230)),"")</f>
        <v>0.11626919602529358</v>
      </c>
      <c r="F115" s="48">
        <f>Dados!J229</f>
        <v>691.62959999999998</v>
      </c>
      <c r="G115" s="49">
        <f t="shared" si="9"/>
        <v>0.64172900895524387</v>
      </c>
      <c r="H115" s="50">
        <f t="shared" si="10"/>
        <v>0.59583788444101993</v>
      </c>
      <c r="I115" s="50">
        <f t="shared" si="11"/>
        <v>0.92848831224111839</v>
      </c>
      <c r="J115" s="51">
        <f>Dados!K229</f>
        <v>-49.459600000000023</v>
      </c>
      <c r="K115" s="52">
        <f>IFERROR(Dados!K229/Dados!J229,"")</f>
        <v>-7.1511687758881379E-2</v>
      </c>
      <c r="L115" s="52">
        <f>IFERROR(Dados!L229/Dados!J229,"")</f>
        <v>0.92848831224111861</v>
      </c>
      <c r="M115" s="52">
        <f>Dados!H229</f>
        <v>0.64319791473772348</v>
      </c>
      <c r="N115" s="53" t="str">
        <f>IF(OR(Dados!L229="",Dados!J229=0)," — ",IF(IFERROR(Dados!L229/Dados!J229,0)&lt;0.75,"🔴 CRÍTICO",IF(IFERROR(Dados!L229/Dados!J229,0)&gt;1.3,"🔴 CRÍTICO",IF(OR(IFERROR(Dados!L229/Dados!J229,0)&lt;0.9,IFERROR(Dados!L229/Dados!J229,0)&gt;1.1),"🟡 ATENÇÃO","🟢 OK"))))</f>
        <v>🟢 OK</v>
      </c>
    </row>
    <row r="116" spans="1:14" ht="14.25" customHeight="1" x14ac:dyDescent="0.3">
      <c r="A116" s="45">
        <f>Dados!A231</f>
        <v>46227</v>
      </c>
      <c r="B116" s="46">
        <f>IFERROR(Dados!C231+Dados!C232,"")</f>
        <v>2890</v>
      </c>
      <c r="C116" s="46">
        <f>Dados!L231</f>
        <v>625.86</v>
      </c>
      <c r="D116" s="47">
        <f>IFERROR(IF((Dados!C231+Dados!C232)=0,"",(Dados!C231*Dados!D231+Dados!C232*Dados!D232)/(Dados!C231+Dados!C232)),"")</f>
        <v>0.20537314878892732</v>
      </c>
      <c r="E116" s="47">
        <f>IFERROR(IF((Dados!C231+Dados!C232)=0,"",(Dados!C231*Dados!E231+Dados!C232*Dados!E232)/(Dados!C231+Dados!C232)),"")</f>
        <v>9.1723183391003452E-2</v>
      </c>
      <c r="F116" s="48">
        <f>Dados!J231</f>
        <v>328.44839999999994</v>
      </c>
      <c r="G116" s="49">
        <f t="shared" si="9"/>
        <v>0.55338278673775343</v>
      </c>
      <c r="H116" s="50">
        <f t="shared" si="10"/>
        <v>1.0544735517289485</v>
      </c>
      <c r="I116" s="50">
        <f t="shared" si="11"/>
        <v>0.52479532163742693</v>
      </c>
      <c r="J116" s="51">
        <f>Dados!K231</f>
        <v>297.41160000000008</v>
      </c>
      <c r="K116" s="52">
        <f>IFERROR(Dados!K231/Dados!J231,"")</f>
        <v>0.90550479162023667</v>
      </c>
      <c r="L116" s="52">
        <f>IFERROR(Dados!L231/Dados!J231,"")</f>
        <v>1.9055047916202366</v>
      </c>
      <c r="M116" s="52">
        <f>Dados!H231</f>
        <v>0.43437472309107045</v>
      </c>
      <c r="N116" s="53" t="str">
        <f>IF(OR(Dados!L231="",Dados!J231=0)," — ",IF(IFERROR(Dados!L231/Dados!J231,0)&lt;0.75,"🔴 CRÍTICO",IF(IFERROR(Dados!L231/Dados!J231,0)&gt;1.3,"🔴 CRÍTICO",IF(OR(IFERROR(Dados!L231/Dados!J231,0)&lt;0.9,IFERROR(Dados!L231/Dados!J231,0)&gt;1.1),"🟡 ATENÇÃO","🟢 OK"))))</f>
        <v>🔴 CRÍTICO</v>
      </c>
    </row>
    <row r="117" spans="1:14" ht="14.25" customHeight="1" x14ac:dyDescent="0.3">
      <c r="A117" s="45">
        <f>Dados!A233</f>
        <v>46228</v>
      </c>
      <c r="B117" s="46">
        <f>IFERROR(Dados!C233+Dados!C234,"")</f>
        <v>2534</v>
      </c>
      <c r="C117" s="46">
        <f>Dados!L233</f>
        <v>175.21</v>
      </c>
      <c r="D117" s="47">
        <f>IFERROR(IF((Dados!C233+Dados!C234)=0,"",(Dados!C233*Dados!D233+Dados!C234*Dados!D234)/(Dados!C233+Dados!C234)),"")</f>
        <v>9.8011207576953432E-2</v>
      </c>
      <c r="E117" s="47">
        <f>IFERROR(IF((Dados!C233+Dados!C234)=0,"",(Dados!C233*Dados!E233+Dados!C234*Dados!E234)/(Dados!C233+Dados!C234)),"")</f>
        <v>4.5887924230465664E-2</v>
      </c>
      <c r="F117" s="48">
        <f>Dados!J233</f>
        <v>132.0804</v>
      </c>
      <c r="G117" s="49">
        <f t="shared" si="9"/>
        <v>0.53180941889286704</v>
      </c>
      <c r="H117" s="50">
        <f t="shared" si="10"/>
        <v>0.70546673302185059</v>
      </c>
      <c r="I117" s="50">
        <f t="shared" si="11"/>
        <v>0.75384053421608355</v>
      </c>
      <c r="J117" s="51">
        <f>Dados!K233</f>
        <v>43.129600000000011</v>
      </c>
      <c r="K117" s="52">
        <f>IFERROR(Dados!K233/Dados!J233,"")</f>
        <v>0.32654050108873089</v>
      </c>
      <c r="L117" s="52">
        <f>IFERROR(Dados!L233/Dados!J233,"")</f>
        <v>1.3265405010887308</v>
      </c>
      <c r="M117" s="52">
        <f>Dados!H233</f>
        <v>0.53154604773740388</v>
      </c>
      <c r="N117" s="53" t="str">
        <f>IF(OR(Dados!L233="",Dados!J233=0)," — ",IF(IFERROR(Dados!L233/Dados!J233,0)&lt;0.75,"🔴 CRÍTICO",IF(IFERROR(Dados!L233/Dados!J233,0)&gt;1.3,"🔴 CRÍTICO",IF(OR(IFERROR(Dados!L233/Dados!J233,0)&lt;0.9,IFERROR(Dados!L233/Dados!J233,0)&gt;1.1),"🟡 ATENÇÃO","🟢 OK"))))</f>
        <v>🔴 CRÍTICO</v>
      </c>
    </row>
    <row r="118" spans="1:14" ht="14.25" customHeight="1" x14ac:dyDescent="0.3">
      <c r="A118" s="45">
        <f>Dados!A235</f>
        <v>46229</v>
      </c>
      <c r="B118" s="46">
        <f>IFERROR(Dados!C235+Dados!C236,"")</f>
        <v>4092</v>
      </c>
      <c r="C118" s="46">
        <f>Dados!L235</f>
        <v>343.73</v>
      </c>
      <c r="D118" s="47">
        <f>IFERROR(IF((Dados!C235+Dados!C236)=0,"",(Dados!C235*Dados!D235+Dados!C236*Dados!D236)/(Dados!C235+Dados!C236)),"")</f>
        <v>0.12476001955034213</v>
      </c>
      <c r="E118" s="47">
        <f>IFERROR(IF((Dados!C235+Dados!C236)=0,"",(Dados!C235*Dados!E235+Dados!C236*Dados!E236)/(Dados!C235+Dados!C236)),"")</f>
        <v>0.06</v>
      </c>
      <c r="F118" s="48">
        <f>Dados!J235</f>
        <v>264.99800000000005</v>
      </c>
      <c r="G118" s="49">
        <f t="shared" si="9"/>
        <v>0.51907670248649418</v>
      </c>
      <c r="H118" s="50">
        <f t="shared" si="10"/>
        <v>0.67329653410849377</v>
      </c>
      <c r="I118" s="50">
        <f t="shared" si="11"/>
        <v>0.77094812789107736</v>
      </c>
      <c r="J118" s="51">
        <f>Dados!K235</f>
        <v>78.731999999999971</v>
      </c>
      <c r="K118" s="52">
        <f>IFERROR(Dados!K235/Dados!J235,"")</f>
        <v>0.29710412908776651</v>
      </c>
      <c r="L118" s="52">
        <f>IFERROR(Dados!L235/Dados!J235,"")</f>
        <v>1.2971041290877665</v>
      </c>
      <c r="M118" s="52">
        <f>Dados!H235</f>
        <v>0.51030974936540241</v>
      </c>
      <c r="N118" s="53" t="str">
        <f>IF(OR(Dados!L235="",Dados!J235=0)," — ",IF(IFERROR(Dados!L235/Dados!J235,0)&lt;0.75,"🔴 CRÍTICO",IF(IFERROR(Dados!L235/Dados!J235,0)&gt;1.3,"🔴 CRÍTICO",IF(OR(IFERROR(Dados!L235/Dados!J235,0)&lt;0.9,IFERROR(Dados!L235/Dados!J235,0)&gt;1.1),"🟡 ATENÇÃO","🟢 OK"))))</f>
        <v>🟡 ATENÇÃO</v>
      </c>
    </row>
    <row r="119" spans="1:14" ht="14.25" customHeight="1" x14ac:dyDescent="0.3">
      <c r="A119" s="45">
        <f>Dados!A237</f>
        <v>46230</v>
      </c>
      <c r="B119" s="46">
        <f>IFERROR(Dados!C237+Dados!C238,"")</f>
        <v>3221</v>
      </c>
      <c r="C119" s="46">
        <f>Dados!L237</f>
        <v>193.68</v>
      </c>
      <c r="D119" s="47">
        <f>IFERROR(IF((Dados!C237+Dados!C238)=0,"",(Dados!C237*Dados!D237+Dados!C238*Dados!D238)/(Dados!C237+Dados!C238)),"")</f>
        <v>0.18564566904687985</v>
      </c>
      <c r="E119" s="47">
        <f>IFERROR(IF((Dados!C237+Dados!C238)=0,"",(Dados!C237*Dados!E237+Dados!C238*Dados!E238)/(Dados!C237+Dados!C238)),"")</f>
        <v>5.5569698851288422E-2</v>
      </c>
      <c r="F119" s="48">
        <f>Dados!J237</f>
        <v>418.97469999999998</v>
      </c>
      <c r="G119" s="49">
        <f t="shared" si="9"/>
        <v>0.7006679491281006</v>
      </c>
      <c r="H119" s="50">
        <f t="shared" si="10"/>
        <v>0.32389871843605483</v>
      </c>
      <c r="I119" s="50">
        <f t="shared" si="11"/>
        <v>0.46227134955881588</v>
      </c>
      <c r="J119" s="51">
        <f>Dados!K237</f>
        <v>-225.29469999999998</v>
      </c>
      <c r="K119" s="52">
        <f>IFERROR(Dados!K237/Dados!J237,"")</f>
        <v>-0.53772865044118412</v>
      </c>
      <c r="L119" s="52">
        <f>IFERROR(Dados!L237/Dados!J237,"")</f>
        <v>0.46227134955881588</v>
      </c>
      <c r="M119" s="52">
        <f>Dados!H237</f>
        <v>0.63872034157372759</v>
      </c>
      <c r="N119" s="53" t="str">
        <f>IF(OR(Dados!L237="",Dados!J237=0)," — ",IF(IFERROR(Dados!L237/Dados!J237,0)&lt;0.75,"🔴 CRÍTICO",IF(IFERROR(Dados!L237/Dados!J237,0)&gt;1.3,"🔴 CRÍTICO",IF(OR(IFERROR(Dados!L237/Dados!J237,0)&lt;0.9,IFERROR(Dados!L237/Dados!J237,0)&gt;1.1),"🟡 ATENÇÃO","🟢 OK"))))</f>
        <v>🔴 CRÍTICO</v>
      </c>
    </row>
    <row r="120" spans="1:14" ht="14.25" customHeight="1" x14ac:dyDescent="0.3">
      <c r="A120" s="45">
        <f>Dados!A239</f>
        <v>46231</v>
      </c>
      <c r="B120" s="46">
        <f>IFERROR(Dados!C239+Dados!C240,"")</f>
        <v>2872</v>
      </c>
      <c r="C120" s="46">
        <f>Dados!L239</f>
        <v>276.41000000000003</v>
      </c>
      <c r="D120" s="47">
        <f>IFERROR(IF((Dados!C239+Dados!C240)=0,"",(Dados!C239*Dados!D239+Dados!C240*Dados!D240)/(Dados!C239+Dados!C240)),"")</f>
        <v>0.22477618384401113</v>
      </c>
      <c r="E120" s="47">
        <f>IFERROR(IF((Dados!C239+Dados!C240)=0,"",(Dados!C239*Dados!E239+Dados!C240*Dados!E240)/(Dados!C239+Dados!C240)),"")</f>
        <v>6.9094707520891363E-2</v>
      </c>
      <c r="F120" s="48">
        <f>Dados!J239</f>
        <v>447.11720000000003</v>
      </c>
      <c r="G120" s="49">
        <f t="shared" si="9"/>
        <v>0.69260663501235831</v>
      </c>
      <c r="H120" s="50">
        <f t="shared" si="10"/>
        <v>0.42817274751176199</v>
      </c>
      <c r="I120" s="50">
        <f t="shared" si="11"/>
        <v>0.61820480178351456</v>
      </c>
      <c r="J120" s="51">
        <f>Dados!K239</f>
        <v>-170.7072</v>
      </c>
      <c r="K120" s="52">
        <f>IFERROR(Dados!K239/Dados!J239,"")</f>
        <v>-0.3817951982164855</v>
      </c>
      <c r="L120" s="52">
        <f>IFERROR(Dados!L239/Dados!J239,"")</f>
        <v>0.61820480178351445</v>
      </c>
      <c r="M120" s="52">
        <f>Dados!H239</f>
        <v>0.65130269720352452</v>
      </c>
      <c r="N120" s="53" t="str">
        <f>IF(OR(Dados!L239="",Dados!J239=0)," — ",IF(IFERROR(Dados!L239/Dados!J239,0)&lt;0.75,"🔴 CRÍTICO",IF(IFERROR(Dados!L239/Dados!J239,0)&gt;1.3,"🔴 CRÍTICO",IF(OR(IFERROR(Dados!L239/Dados!J239,0)&lt;0.9,IFERROR(Dados!L239/Dados!J239,0)&gt;1.1),"🟡 ATENÇÃO","🟢 OK"))))</f>
        <v>🔴 CRÍTICO</v>
      </c>
    </row>
    <row r="121" spans="1:14" ht="14.25" customHeight="1" x14ac:dyDescent="0.3">
      <c r="A121" s="45">
        <f>Dados!A241</f>
        <v>46232</v>
      </c>
      <c r="B121" s="46">
        <f>IFERROR(Dados!C241+Dados!C242,"")</f>
        <v>2717</v>
      </c>
      <c r="C121" s="46">
        <f>Dados!L241</f>
        <v>613.33000000000004</v>
      </c>
      <c r="D121" s="47">
        <f>IFERROR(IF((Dados!C241+Dados!C242)=0,"",(Dados!C241*Dados!D241+Dados!C242*Dados!D242)/(Dados!C241+Dados!C242)),"")</f>
        <v>0.56249190283400807</v>
      </c>
      <c r="E121" s="47">
        <f>IFERROR(IF((Dados!C241+Dados!C242)=0,"",(Dados!C241*Dados!E241+Dados!C242*Dados!E242)/(Dados!C241+Dados!C242)),"")</f>
        <v>9.0923813029076192E-2</v>
      </c>
      <c r="F121" s="48">
        <f>Dados!J241</f>
        <v>1281.2505000000001</v>
      </c>
      <c r="G121" s="49">
        <f t="shared" si="9"/>
        <v>0.83835533885737035</v>
      </c>
      <c r="H121" s="50">
        <f t="shared" si="10"/>
        <v>0.40131768142247831</v>
      </c>
      <c r="I121" s="50">
        <f t="shared" si="11"/>
        <v>0.47869639855750307</v>
      </c>
      <c r="J121" s="51">
        <f>Dados!K241</f>
        <v>-667.92050000000006</v>
      </c>
      <c r="K121" s="52">
        <f>IFERROR(Dados!K241/Dados!J241,"")</f>
        <v>-0.52130360144249699</v>
      </c>
      <c r="L121" s="52">
        <f>IFERROR(Dados!L241/Dados!J241,"")</f>
        <v>0.47869639855750301</v>
      </c>
      <c r="M121" s="52">
        <f>Dados!H241</f>
        <v>0.79478150363684663</v>
      </c>
      <c r="N121" s="53" t="str">
        <f>IF(OR(Dados!L241="",Dados!J241=0)," — ",IF(IFERROR(Dados!L241/Dados!J241,0)&lt;0.75,"🔴 CRÍTICO",IF(IFERROR(Dados!L241/Dados!J241,0)&gt;1.3,"🔴 CRÍTICO",IF(OR(IFERROR(Dados!L241/Dados!J241,0)&lt;0.9,IFERROR(Dados!L241/Dados!J241,0)&gt;1.1),"🟡 ATENÇÃO","🟢 OK"))))</f>
        <v>🔴 CRÍTICO</v>
      </c>
    </row>
    <row r="122" spans="1:14" ht="14.25" customHeight="1" x14ac:dyDescent="0.3">
      <c r="A122" s="45">
        <f>Dados!A243</f>
        <v>46233</v>
      </c>
      <c r="B122" s="46">
        <f>IFERROR(Dados!C243+Dados!C244,"")</f>
        <v>3063</v>
      </c>
      <c r="C122" s="46">
        <f>Dados!L243</f>
        <v>488.35</v>
      </c>
      <c r="D122" s="47">
        <f>IFERROR(IF((Dados!C243+Dados!C244)=0,"",(Dados!C243*Dados!D243+Dados!C244*Dados!D244)/(Dados!C243+Dados!C244)),"")</f>
        <v>0.25486620959843287</v>
      </c>
      <c r="E122" s="47">
        <f>IFERROR(IF((Dados!C243+Dados!C244)=0,"",(Dados!C243*Dados!E243+Dados!C244*Dados!E244)/(Dados!C243+Dados!C244)),"")</f>
        <v>0.1</v>
      </c>
      <c r="F122" s="48">
        <f>Dados!J243</f>
        <v>474.35519999999997</v>
      </c>
      <c r="G122" s="49">
        <f t="shared" si="9"/>
        <v>0.60763727699501646</v>
      </c>
      <c r="H122" s="50">
        <f t="shared" si="10"/>
        <v>0.62556426960327693</v>
      </c>
      <c r="I122" s="50">
        <f t="shared" si="11"/>
        <v>0.97134268455001516</v>
      </c>
      <c r="J122" s="51">
        <f>Dados!K243</f>
        <v>13.994800000000055</v>
      </c>
      <c r="K122" s="52">
        <f>IFERROR(Dados!K243/Dados!J243,"")</f>
        <v>2.9502786097844097E-2</v>
      </c>
      <c r="L122" s="52">
        <f>IFERROR(Dados!L243/Dados!J243,"")</f>
        <v>1.0295027860978441</v>
      </c>
      <c r="M122" s="52">
        <f>Dados!H243</f>
        <v>0.59613664554000334</v>
      </c>
      <c r="N122" s="53" t="str">
        <f>IF(OR(Dados!L243="",Dados!J243=0)," — ",IF(IFERROR(Dados!L243/Dados!J243,0)&lt;0.75,"🔴 CRÍTICO",IF(IFERROR(Dados!L243/Dados!J243,0)&gt;1.3,"🔴 CRÍTICO",IF(OR(IFERROR(Dados!L243/Dados!J243,0)&lt;0.9,IFERROR(Dados!L243/Dados!J243,0)&gt;1.1),"🟡 ATENÇÃO","🟢 OK"))))</f>
        <v>🟢 OK</v>
      </c>
    </row>
    <row r="123" spans="1:14" ht="14.25" customHeight="1" x14ac:dyDescent="0.3">
      <c r="A123" s="45">
        <f>Dados!A245</f>
        <v>46234</v>
      </c>
      <c r="B123" s="46">
        <f>IFERROR(Dados!C245+Dados!C246,"")</f>
        <v>3894</v>
      </c>
      <c r="C123" s="46">
        <f>Dados!L245</f>
        <v>571.48</v>
      </c>
      <c r="D123" s="47">
        <f>IFERROR(IF((Dados!C245+Dados!C246)=0,"",(Dados!C245*Dados!D245+Dados!C246*Dados!D246)/(Dados!C245+Dados!C246)),"")</f>
        <v>0.26669013867488445</v>
      </c>
      <c r="E123" s="47">
        <f>IFERROR(IF((Dados!C245+Dados!C246)=0,"",(Dados!C245*Dados!E245+Dados!C246*Dados!E246)/(Dados!C245+Dados!C246)),"")</f>
        <v>9.3374422187981518E-2</v>
      </c>
      <c r="F123" s="48">
        <f>Dados!J245</f>
        <v>674.89140000000009</v>
      </c>
      <c r="G123" s="49">
        <f t="shared" si="9"/>
        <v>0.64987673465567453</v>
      </c>
      <c r="H123" s="50">
        <f t="shared" si="10"/>
        <v>0.55029824994217569</v>
      </c>
      <c r="I123" s="50">
        <f t="shared" si="11"/>
        <v>0.8467732734481429</v>
      </c>
      <c r="J123" s="51">
        <f>Dados!K245</f>
        <v>-103.41140000000007</v>
      </c>
      <c r="K123" s="52">
        <f>IFERROR(Dados!K245/Dados!J245,"")</f>
        <v>-0.15322672655185718</v>
      </c>
      <c r="L123" s="52">
        <f>IFERROR(Dados!L245/Dados!J245,"")</f>
        <v>0.84677327344814279</v>
      </c>
      <c r="M123" s="52">
        <f>Dados!H245</f>
        <v>0.62600017657308005</v>
      </c>
      <c r="N123" s="53" t="str">
        <f>IF(OR(Dados!L245="",Dados!J245=0)," — ",IF(IFERROR(Dados!L245/Dados!J245,0)&lt;0.75,"🔴 CRÍTICO",IF(IFERROR(Dados!L245/Dados!J245,0)&gt;1.3,"🔴 CRÍTICO",IF(OR(IFERROR(Dados!L245/Dados!J245,0)&lt;0.9,IFERROR(Dados!L245/Dados!J245,0)&gt;1.1),"🟡 ATENÇÃO","🟢 OK"))))</f>
        <v>🟡 ATENÇÃO</v>
      </c>
    </row>
    <row r="124" spans="1:14" ht="14.25" customHeight="1" x14ac:dyDescent="0.3">
      <c r="A124" s="45">
        <f>Dados!A247</f>
        <v>46235</v>
      </c>
      <c r="B124" s="46">
        <f>IFERROR(Dados!C247+Dados!C248,"")</f>
        <v>2768</v>
      </c>
      <c r="C124" s="46">
        <f>Dados!L247</f>
        <v>362.22</v>
      </c>
      <c r="D124" s="47">
        <f>IFERROR(IF((Dados!C247+Dados!C248)=0,"",(Dados!C247*Dados!D247+Dados!C248*Dados!D248)/(Dados!C247+Dados!C248)),"")</f>
        <v>0.22406156069364158</v>
      </c>
      <c r="E124" s="47">
        <f>IFERROR(IF((Dados!C247+Dados!C248)=0,"",(Dados!C247*Dados!E247+Dados!C248*Dados!E248)/(Dados!C247+Dados!C248)),"")</f>
        <v>0.08</v>
      </c>
      <c r="F124" s="48">
        <f>Dados!J247</f>
        <v>398.76239999999996</v>
      </c>
      <c r="G124" s="49">
        <f t="shared" si="9"/>
        <v>0.64295526750622045</v>
      </c>
      <c r="H124" s="50">
        <f t="shared" si="10"/>
        <v>0.58403514723580574</v>
      </c>
      <c r="I124" s="50">
        <f t="shared" si="11"/>
        <v>0.90836046728578257</v>
      </c>
      <c r="J124" s="51">
        <f>Dados!K247</f>
        <v>-36.54239999999993</v>
      </c>
      <c r="K124" s="52">
        <f>IFERROR(Dados!K247/Dados!J247,"")</f>
        <v>-9.1639532714217625E-2</v>
      </c>
      <c r="L124" s="52">
        <f>IFERROR(Dados!L247/Dados!J247,"")</f>
        <v>0.90836046728578235</v>
      </c>
      <c r="M124" s="52">
        <f>Dados!H247</f>
        <v>0.63948744644648514</v>
      </c>
      <c r="N124" s="53" t="str">
        <f>IF(OR(Dados!L247="",Dados!J247=0)," — ",IF(IFERROR(Dados!L247/Dados!J247,0)&lt;0.75,"🔴 CRÍTICO",IF(IFERROR(Dados!L247/Dados!J247,0)&gt;1.3,"🔴 CRÍTICO",IF(OR(IFERROR(Dados!L247/Dados!J247,0)&lt;0.9,IFERROR(Dados!L247/Dados!J247,0)&gt;1.1),"🟡 ATENÇÃO","🟢 OK"))))</f>
        <v>🟢 OK</v>
      </c>
    </row>
    <row r="125" spans="1:14" ht="14.25" customHeight="1" x14ac:dyDescent="0.3">
      <c r="A125" s="45">
        <f>Dados!A249</f>
        <v>46236</v>
      </c>
      <c r="B125" s="46">
        <f>IFERROR(Dados!C249+Dados!C250,"")</f>
        <v>2300</v>
      </c>
      <c r="C125" s="46">
        <f>Dados!L249</f>
        <v>352.13</v>
      </c>
      <c r="D125" s="47">
        <f>IFERROR(IF((Dados!C249+Dados!C250)=0,"",(Dados!C249*Dados!D249+Dados!C250*Dados!D250)/(Dados!C249+Dados!C250)),"")</f>
        <v>0.20451652173913043</v>
      </c>
      <c r="E125" s="47">
        <f>IFERROR(IF((Dados!C249+Dados!C250)=0,"",(Dados!C249*Dados!E249+Dados!C250*Dados!E250)/(Dados!C249+Dados!C250)),"")</f>
        <v>6.5717391304347825E-2</v>
      </c>
      <c r="F125" s="48">
        <f>Dados!J249</f>
        <v>319.23799999999994</v>
      </c>
      <c r="G125" s="49">
        <f t="shared" si="9"/>
        <v>0.67866952388241186</v>
      </c>
      <c r="H125" s="50">
        <f t="shared" si="10"/>
        <v>0.74859477707764654</v>
      </c>
      <c r="I125" s="50">
        <f t="shared" si="11"/>
        <v>0.90659131570726703</v>
      </c>
      <c r="J125" s="51">
        <f>Dados!K249</f>
        <v>32.892000000000053</v>
      </c>
      <c r="K125" s="52">
        <f>IFERROR(Dados!K249/Dados!J249,"")</f>
        <v>0.10303284696683997</v>
      </c>
      <c r="L125" s="52">
        <f>IFERROR(Dados!L249/Dados!J249,"")</f>
        <v>1.10303284696684</v>
      </c>
      <c r="M125" s="52">
        <f>Dados!H249</f>
        <v>0.63845038693834766</v>
      </c>
      <c r="N125" s="53" t="str">
        <f>IF(OR(Dados!L249="",Dados!J249=0)," — ",IF(IFERROR(Dados!L249/Dados!J249,0)&lt;0.75,"🔴 CRÍTICO",IF(IFERROR(Dados!L249/Dados!J249,0)&gt;1.3,"🔴 CRÍTICO",IF(OR(IFERROR(Dados!L249/Dados!J249,0)&lt;0.9,IFERROR(Dados!L249/Dados!J249,0)&gt;1.1),"🟡 ATENÇÃO","🟢 OK"))))</f>
        <v>🟡 ATENÇÃO</v>
      </c>
    </row>
    <row r="126" spans="1:14" ht="14.25" customHeight="1" x14ac:dyDescent="0.3">
      <c r="A126" s="45">
        <f>Dados!A251</f>
        <v>46237</v>
      </c>
      <c r="B126" s="46">
        <f>IFERROR(Dados!C251+Dados!C252,"")</f>
        <v>2697</v>
      </c>
      <c r="C126" s="46">
        <f>Dados!L251</f>
        <v>370.33</v>
      </c>
      <c r="D126" s="47">
        <f>IFERROR(IF((Dados!C251+Dados!C252)=0,"",(Dados!C251*Dados!D251+Dados!C252*Dados!D252)/(Dados!C251+Dados!C252)),"")</f>
        <v>0.17597352614015571</v>
      </c>
      <c r="E126" s="47">
        <f>IFERROR(IF((Dados!C251+Dados!C252)=0,"",(Dados!C251*Dados!E251+Dados!C252*Dados!E252)/(Dados!C251+Dados!C252)),"")</f>
        <v>5.9373377827215426E-2</v>
      </c>
      <c r="F126" s="48">
        <f>Dados!J251</f>
        <v>314.47059999999999</v>
      </c>
      <c r="G126" s="49">
        <f t="shared" si="9"/>
        <v>0.66260051082952698</v>
      </c>
      <c r="H126" s="50">
        <f t="shared" si="10"/>
        <v>0.78029821285518819</v>
      </c>
      <c r="I126" s="50">
        <f t="shared" si="11"/>
        <v>0.84916317878648762</v>
      </c>
      <c r="J126" s="51">
        <f>Dados!K251</f>
        <v>55.859399999999994</v>
      </c>
      <c r="K126" s="52">
        <f>IFERROR(Dados!K251/Dados!J251,"")</f>
        <v>0.1776299596846255</v>
      </c>
      <c r="L126" s="52">
        <f>IFERROR(Dados!L251/Dados!J251,"")</f>
        <v>1.1776299596846256</v>
      </c>
      <c r="M126" s="52">
        <f>Dados!H251</f>
        <v>0.66299919586551936</v>
      </c>
      <c r="N126" s="53" t="str">
        <f>IF(OR(Dados!L251="",Dados!J251=0)," — ",IF(IFERROR(Dados!L251/Dados!J251,0)&lt;0.75,"🔴 CRÍTICO",IF(IFERROR(Dados!L251/Dados!J251,0)&gt;1.3,"🔴 CRÍTICO",IF(OR(IFERROR(Dados!L251/Dados!J251,0)&lt;0.9,IFERROR(Dados!L251/Dados!J251,0)&gt;1.1),"🟡 ATENÇÃO","🟢 OK"))))</f>
        <v>🟡 ATENÇÃO</v>
      </c>
    </row>
    <row r="127" spans="1:14" ht="14.25" customHeight="1" x14ac:dyDescent="0.3">
      <c r="A127" s="45">
        <f>Dados!A253</f>
        <v>46238</v>
      </c>
      <c r="B127" s="46">
        <f>IFERROR(Dados!C253+Dados!C254,"")</f>
        <v>3287</v>
      </c>
      <c r="C127" s="46">
        <f>Dados!L253</f>
        <v>466.29</v>
      </c>
      <c r="D127" s="47">
        <f>IFERROR(IF((Dados!C253+Dados!C254)=0,"",(Dados!C253*Dados!D253+Dados!C254*Dados!D254)/(Dados!C253+Dados!C254)),"")</f>
        <v>0.2153819592333435</v>
      </c>
      <c r="E127" s="47">
        <f>IFERROR(IF((Dados!C253+Dados!C254)=0,"",(Dados!C253*Dados!E253+Dados!C254*Dados!E254)/(Dados!C253+Dados!C254)),"")</f>
        <v>0.10000000000000002</v>
      </c>
      <c r="F127" s="48">
        <f>Dados!J253</f>
        <v>379.26050000000004</v>
      </c>
      <c r="G127" s="49">
        <f t="shared" si="9"/>
        <v>0.53570856001146949</v>
      </c>
      <c r="H127" s="50">
        <f t="shared" si="10"/>
        <v>0.65863844098646751</v>
      </c>
      <c r="I127" s="50">
        <f t="shared" si="11"/>
        <v>0.81335756717922303</v>
      </c>
      <c r="J127" s="51">
        <f>Dados!K253</f>
        <v>87.029499999999985</v>
      </c>
      <c r="K127" s="52">
        <f>IFERROR(Dados!K253/Dados!J253,"")</f>
        <v>0.22947156374048966</v>
      </c>
      <c r="L127" s="52">
        <f>IFERROR(Dados!L253/Dados!J253,"")</f>
        <v>1.2294715637404896</v>
      </c>
      <c r="M127" s="52">
        <f>Dados!H253</f>
        <v>0.53548957429609612</v>
      </c>
      <c r="N127" s="53" t="str">
        <f>IF(OR(Dados!L253="",Dados!J253=0)," — ",IF(IFERROR(Dados!L253/Dados!J253,0)&lt;0.75,"🔴 CRÍTICO",IF(IFERROR(Dados!L253/Dados!J253,0)&gt;1.3,"🔴 CRÍTICO",IF(OR(IFERROR(Dados!L253/Dados!J253,0)&lt;0.9,IFERROR(Dados!L253/Dados!J253,0)&gt;1.1),"🟡 ATENÇÃO","🟢 OK"))))</f>
        <v>🟡 ATENÇÃO</v>
      </c>
    </row>
    <row r="128" spans="1:14" ht="14.25" customHeight="1" x14ac:dyDescent="0.3">
      <c r="A128" s="45">
        <f>Dados!A255</f>
        <v>46239</v>
      </c>
      <c r="B128" s="46">
        <f>IFERROR(Dados!C255+Dados!C256,"")</f>
        <v>4008</v>
      </c>
      <c r="C128" s="46">
        <f>Dados!L255</f>
        <v>704.45</v>
      </c>
      <c r="D128" s="47">
        <f>IFERROR(IF((Dados!C255+Dados!C256)=0,"",(Dados!C255*Dados!D255+Dados!C256*Dados!D256)/(Dados!C255+Dados!C256)),"")</f>
        <v>0.2099006736526946</v>
      </c>
      <c r="E128" s="47">
        <f>IFERROR(IF((Dados!C255+Dados!C256)=0,"",(Dados!C255*Dados!E255+Dados!C256*Dados!E256)/(Dados!C255+Dados!C256)),"")</f>
        <v>0.11080838323353294</v>
      </c>
      <c r="F128" s="48">
        <f>Dados!J255</f>
        <v>397.16189999999995</v>
      </c>
      <c r="G128" s="49">
        <f t="shared" si="9"/>
        <v>0.47209134060770824</v>
      </c>
      <c r="H128" s="50">
        <f t="shared" si="10"/>
        <v>0.83735309175200379</v>
      </c>
      <c r="I128" s="50">
        <f t="shared" si="11"/>
        <v>0.56379004897437701</v>
      </c>
      <c r="J128" s="51">
        <f>Dados!K255</f>
        <v>307.2881000000001</v>
      </c>
      <c r="K128" s="52">
        <f>IFERROR(Dados!K255/Dados!J255,"")</f>
        <v>0.77370991527636501</v>
      </c>
      <c r="L128" s="52">
        <f>IFERROR(Dados!L255/Dados!J255,"")</f>
        <v>1.7737099152763649</v>
      </c>
      <c r="M128" s="52">
        <f>Dados!H255</f>
        <v>0.40663304594775074</v>
      </c>
      <c r="N128" s="53" t="str">
        <f>IF(OR(Dados!L255="",Dados!J255=0)," — ",IF(IFERROR(Dados!L255/Dados!J255,0)&lt;0.75,"🔴 CRÍTICO",IF(IFERROR(Dados!L255/Dados!J255,0)&gt;1.3,"🔴 CRÍTICO",IF(OR(IFERROR(Dados!L255/Dados!J255,0)&lt;0.9,IFERROR(Dados!L255/Dados!J255,0)&gt;1.1),"🟡 ATENÇÃO","🟢 OK"))))</f>
        <v>🔴 CRÍTICO</v>
      </c>
    </row>
    <row r="129" spans="1:14" ht="14.25" customHeight="1" x14ac:dyDescent="0.3">
      <c r="A129" s="45">
        <f>Dados!A257</f>
        <v>46240</v>
      </c>
      <c r="B129" s="46">
        <f>IFERROR(Dados!C257+Dados!C258,"")</f>
        <v>2716</v>
      </c>
      <c r="C129" s="46">
        <f>Dados!L257</f>
        <v>244.9</v>
      </c>
      <c r="D129" s="47">
        <f>IFERROR(IF((Dados!C257+Dados!C258)=0,"",(Dados!C257*Dados!D257+Dados!C258*Dados!D258)/(Dados!C257+Dados!C258)),"")</f>
        <v>0.17949768041237113</v>
      </c>
      <c r="E129" s="47">
        <f>IFERROR(IF((Dados!C257+Dados!C258)=0,"",(Dados!C257*Dados!E257+Dados!C258*Dados!E258)/(Dados!C257+Dados!C258)),"")</f>
        <v>7.7080265095729017E-2</v>
      </c>
      <c r="F129" s="48">
        <f>Dados!J257</f>
        <v>278.16569999999996</v>
      </c>
      <c r="G129" s="49">
        <f t="shared" si="9"/>
        <v>0.57057793215685149</v>
      </c>
      <c r="H129" s="50">
        <f t="shared" si="10"/>
        <v>0.50234279634481516</v>
      </c>
      <c r="I129" s="50">
        <f t="shared" si="11"/>
        <v>0.88041048914370112</v>
      </c>
      <c r="J129" s="51">
        <f>Dados!K257</f>
        <v>-33.265699999999953</v>
      </c>
      <c r="K129" s="52">
        <f>IFERROR(Dados!K257/Dados!J257,"")</f>
        <v>-0.11958951085629881</v>
      </c>
      <c r="L129" s="52">
        <f>IFERROR(Dados!L257/Dados!J257,"")</f>
        <v>0.88041048914370124</v>
      </c>
      <c r="M129" s="52">
        <f>Dados!H257</f>
        <v>0.55608416809964023</v>
      </c>
      <c r="N129" s="53" t="str">
        <f>IF(OR(Dados!L257="",Dados!J257=0)," — ",IF(IFERROR(Dados!L257/Dados!J257,0)&lt;0.75,"🔴 CRÍTICO",IF(IFERROR(Dados!L257/Dados!J257,0)&gt;1.3,"🔴 CRÍTICO",IF(OR(IFERROR(Dados!L257/Dados!J257,0)&lt;0.9,IFERROR(Dados!L257/Dados!J257,0)&gt;1.1),"🟡 ATENÇÃO","🟢 OK"))))</f>
        <v>🟡 ATENÇÃO</v>
      </c>
    </row>
    <row r="130" spans="1:14" ht="14.25" customHeight="1" x14ac:dyDescent="0.3">
      <c r="A130" s="45">
        <f>Dados!A259</f>
        <v>46241</v>
      </c>
      <c r="B130" s="46">
        <f>IFERROR(Dados!C259+Dados!C260,"")</f>
        <v>2425</v>
      </c>
      <c r="C130" s="46">
        <f>Dados!L259</f>
        <v>352.3</v>
      </c>
      <c r="D130" s="47">
        <f>IFERROR(IF((Dados!C259+Dados!C260)=0,"",(Dados!C259*Dados!D259+Dados!C260*Dados!D260)/(Dados!C259+Dados!C260)),"")</f>
        <v>0.21065674226804124</v>
      </c>
      <c r="E130" s="47">
        <f>IFERROR(IF((Dados!C259+Dados!C260)=0,"",(Dados!C259*Dados!E259+Dados!C260*Dados!E260)/(Dados!C259+Dados!C260)),"")</f>
        <v>9.7439175257731964E-2</v>
      </c>
      <c r="F130" s="48">
        <f>Dados!J259</f>
        <v>274.55259999999998</v>
      </c>
      <c r="G130" s="49">
        <f t="shared" ref="G130:G151" si="12">IFERROR(IF(D130=0,"",(D130-E130)/D130),"")</f>
        <v>0.53745047887548925</v>
      </c>
      <c r="H130" s="50">
        <f t="shared" ref="H130:H151" si="13">IFERROR(IF(OR(B130=0,D130=0),"",C130/(B130*D130)),"")</f>
        <v>0.68964491215102264</v>
      </c>
      <c r="I130" s="50">
        <f t="shared" ref="I130:I161" si="14">IFERROR(IF(OR(G130=0,H130=0),"",MAX(0,MIN(G130,H130)/MAX(G130,H130))),"")</f>
        <v>0.77931478853250069</v>
      </c>
      <c r="J130" s="51">
        <f>Dados!K259</f>
        <v>77.747400000000027</v>
      </c>
      <c r="K130" s="52">
        <f>IFERROR(Dados!K259/Dados!J259,"")</f>
        <v>0.28317852389669607</v>
      </c>
      <c r="L130" s="52">
        <f>IFERROR(Dados!L259/Dados!J259,"")</f>
        <v>1.283178523896696</v>
      </c>
      <c r="M130" s="52">
        <f>Dados!H259</f>
        <v>0.52648654703945486</v>
      </c>
      <c r="N130" s="53" t="str">
        <f>IF(OR(Dados!L259="",Dados!J259=0)," — ",IF(IFERROR(Dados!L259/Dados!J259,0)&lt;0.75,"🔴 CRÍTICO",IF(IFERROR(Dados!L259/Dados!J259,0)&gt;1.3,"🔴 CRÍTICO",IF(OR(IFERROR(Dados!L259/Dados!J259,0)&lt;0.9,IFERROR(Dados!L259/Dados!J259,0)&gt;1.1),"🟡 ATENÇÃO","🟢 OK"))))</f>
        <v>🟡 ATENÇÃO</v>
      </c>
    </row>
    <row r="131" spans="1:14" ht="14.25" customHeight="1" x14ac:dyDescent="0.3">
      <c r="A131" s="45">
        <f>Dados!A261</f>
        <v>46242</v>
      </c>
      <c r="B131" s="46">
        <f>IFERROR(Dados!C261+Dados!C262,"")</f>
        <v>2850</v>
      </c>
      <c r="C131" s="46">
        <f>Dados!L261</f>
        <v>182.95</v>
      </c>
      <c r="D131" s="47">
        <f>IFERROR(IF((Dados!C261+Dados!C262)=0,"",(Dados!C261*Dados!D261+Dados!C262*Dados!D262)/(Dados!C261+Dados!C262)),"")</f>
        <v>0.12863305263157895</v>
      </c>
      <c r="E131" s="47">
        <f>IFERROR(IF((Dados!C261+Dados!C262)=0,"",(Dados!C261*Dados!E261+Dados!C262*Dados!E262)/(Dados!C261+Dados!C262)),"")</f>
        <v>8.0414035087719299E-2</v>
      </c>
      <c r="F131" s="48">
        <f>Dados!J261</f>
        <v>137.42419999999998</v>
      </c>
      <c r="G131" s="49">
        <f t="shared" si="12"/>
        <v>0.37485713475186594</v>
      </c>
      <c r="H131" s="50">
        <f t="shared" si="13"/>
        <v>0.49903956364929808</v>
      </c>
      <c r="I131" s="50">
        <f t="shared" si="14"/>
        <v>0.75115714676141032</v>
      </c>
      <c r="J131" s="51">
        <f>Dados!K261</f>
        <v>45.525800000000004</v>
      </c>
      <c r="K131" s="52">
        <f>IFERROR(Dados!K261/Dados!J261,"")</f>
        <v>0.33127935254489388</v>
      </c>
      <c r="L131" s="52">
        <f>IFERROR(Dados!L261/Dados!J261,"")</f>
        <v>1.3312793525448938</v>
      </c>
      <c r="M131" s="52">
        <f>Dados!H261</f>
        <v>0.3316165825587844</v>
      </c>
      <c r="N131" s="53" t="str">
        <f>IF(OR(Dados!L261="",Dados!J261=0)," — ",IF(IFERROR(Dados!L261/Dados!J261,0)&lt;0.75,"🔴 CRÍTICO",IF(IFERROR(Dados!L261/Dados!J261,0)&gt;1.3,"🔴 CRÍTICO",IF(OR(IFERROR(Dados!L261/Dados!J261,0)&lt;0.9,IFERROR(Dados!L261/Dados!J261,0)&gt;1.1),"🟡 ATENÇÃO","🟢 OK"))))</f>
        <v>🔴 CRÍTICO</v>
      </c>
    </row>
    <row r="132" spans="1:14" ht="14.25" customHeight="1" x14ac:dyDescent="0.3">
      <c r="A132" s="45">
        <f>Dados!A263</f>
        <v>46243</v>
      </c>
      <c r="B132" s="46">
        <f>IFERROR(Dados!C263+Dados!C264,"")</f>
        <v>3562</v>
      </c>
      <c r="C132" s="46">
        <f>Dados!L263</f>
        <v>379.78</v>
      </c>
      <c r="D132" s="47">
        <f>IFERROR(IF((Dados!C263+Dados!C264)=0,"",(Dados!C263*Dados!D263+Dados!C264*Dados!D264)/(Dados!C263+Dados!C264)),"")</f>
        <v>0.24389533969679952</v>
      </c>
      <c r="E132" s="47">
        <f>IFERROR(IF((Dados!C263+Dados!C264)=0,"",(Dados!C263*Dados!E263+Dados!C264*Dados!E264)/(Dados!C263+Dados!C264)),"")</f>
        <v>6.4458169567658624E-2</v>
      </c>
      <c r="F132" s="48">
        <f>Dados!J263</f>
        <v>639.15519999999992</v>
      </c>
      <c r="G132" s="49">
        <f t="shared" si="12"/>
        <v>0.73571381213027554</v>
      </c>
      <c r="H132" s="50">
        <f t="shared" si="13"/>
        <v>0.43715421789705544</v>
      </c>
      <c r="I132" s="50">
        <f t="shared" si="14"/>
        <v>0.59419058156766935</v>
      </c>
      <c r="J132" s="51">
        <f>Dados!K263</f>
        <v>-259.37519999999995</v>
      </c>
      <c r="K132" s="52">
        <f>IFERROR(Dados!K263/Dados!J263,"")</f>
        <v>-0.40580941843233065</v>
      </c>
      <c r="L132" s="52">
        <f>IFERROR(Dados!L263/Dados!J263,"")</f>
        <v>0.59419058156766935</v>
      </c>
      <c r="M132" s="52">
        <f>Dados!H263</f>
        <v>0.70484936347352378</v>
      </c>
      <c r="N132" s="53" t="str">
        <f>IF(OR(Dados!L263="",Dados!J263=0)," — ",IF(IFERROR(Dados!L263/Dados!J263,0)&lt;0.75,"🔴 CRÍTICO",IF(IFERROR(Dados!L263/Dados!J263,0)&gt;1.3,"🔴 CRÍTICO",IF(OR(IFERROR(Dados!L263/Dados!J263,0)&lt;0.9,IFERROR(Dados!L263/Dados!J263,0)&gt;1.1),"🟡 ATENÇÃO","🟢 OK"))))</f>
        <v>🔴 CRÍTICO</v>
      </c>
    </row>
    <row r="133" spans="1:14" ht="14.25" customHeight="1" x14ac:dyDescent="0.3">
      <c r="A133" s="45">
        <f>Dados!A265</f>
        <v>46244</v>
      </c>
      <c r="B133" s="46">
        <f>IFERROR(Dados!C265+Dados!C266,"")</f>
        <v>3994</v>
      </c>
      <c r="C133" s="46">
        <f>Dados!L265</f>
        <v>484.56</v>
      </c>
      <c r="D133" s="47">
        <f>IFERROR(IF((Dados!C265+Dados!C266)=0,"",(Dados!C265*Dados!D265+Dados!C266*Dados!D266)/(Dados!C265+Dados!C266)),"")</f>
        <v>0.24220645968953433</v>
      </c>
      <c r="E133" s="47">
        <f>IFERROR(IF((Dados!C265+Dados!C266)=0,"",(Dados!C265*Dados!E265+Dados!C266*Dados!E266)/(Dados!C265+Dados!C266)),"")</f>
        <v>0.12563595393089633</v>
      </c>
      <c r="F133" s="48">
        <f>Dados!J265</f>
        <v>465.58260000000007</v>
      </c>
      <c r="G133" s="49">
        <f t="shared" si="12"/>
        <v>0.48128570108353302</v>
      </c>
      <c r="H133" s="50">
        <f t="shared" si="13"/>
        <v>0.50090316802439916</v>
      </c>
      <c r="I133" s="50">
        <f t="shared" si="14"/>
        <v>0.96083580980683558</v>
      </c>
      <c r="J133" s="51">
        <f>Dados!K265</f>
        <v>18.977399999999932</v>
      </c>
      <c r="K133" s="52">
        <f>IFERROR(Dados!K265/Dados!J265,"")</f>
        <v>4.076054388630488E-2</v>
      </c>
      <c r="L133" s="52">
        <f>IFERROR(Dados!L265/Dados!J265,"")</f>
        <v>1.0407605438863048</v>
      </c>
      <c r="M133" s="52">
        <f>Dados!H265</f>
        <v>0.45767580929405155</v>
      </c>
      <c r="N133" s="53" t="str">
        <f>IF(OR(Dados!L265="",Dados!J265=0)," — ",IF(IFERROR(Dados!L265/Dados!J265,0)&lt;0.75,"🔴 CRÍTICO",IF(IFERROR(Dados!L265/Dados!J265,0)&gt;1.3,"🔴 CRÍTICO",IF(OR(IFERROR(Dados!L265/Dados!J265,0)&lt;0.9,IFERROR(Dados!L265/Dados!J265,0)&gt;1.1),"🟡 ATENÇÃO","🟢 OK"))))</f>
        <v>🟢 OK</v>
      </c>
    </row>
    <row r="134" spans="1:14" ht="14.25" customHeight="1" x14ac:dyDescent="0.3">
      <c r="A134" s="45">
        <f>Dados!A267</f>
        <v>46245</v>
      </c>
      <c r="B134" s="46">
        <f>IFERROR(Dados!C267+Dados!C268,"")</f>
        <v>4065</v>
      </c>
      <c r="C134" s="46">
        <f>Dados!L267</f>
        <v>706.01</v>
      </c>
      <c r="D134" s="47">
        <f>IFERROR(IF((Dados!C267+Dados!C268)=0,"",(Dados!C267*Dados!D267+Dados!C268*Dados!D268)/(Dados!C267+Dados!C268)),"")</f>
        <v>0.37136538745387454</v>
      </c>
      <c r="E134" s="47">
        <f>IFERROR(IF((Dados!C267+Dados!C268)=0,"",(Dados!C267*Dados!E267+Dados!C268*Dados!E268)/(Dados!C267+Dados!C268)),"")</f>
        <v>0.16899138991389914</v>
      </c>
      <c r="F134" s="48">
        <f>Dados!J267</f>
        <v>822.65030000000002</v>
      </c>
      <c r="G134" s="49">
        <f t="shared" si="12"/>
        <v>0.54494577140717315</v>
      </c>
      <c r="H134" s="50">
        <f t="shared" si="13"/>
        <v>0.46768008723898635</v>
      </c>
      <c r="I134" s="50">
        <f t="shared" si="14"/>
        <v>0.85821399445183444</v>
      </c>
      <c r="J134" s="51">
        <f>Dados!K267</f>
        <v>-116.64030000000002</v>
      </c>
      <c r="K134" s="52">
        <f>IFERROR(Dados!K267/Dados!J267,"")</f>
        <v>-0.14178600554816551</v>
      </c>
      <c r="L134" s="52">
        <f>IFERROR(Dados!L267/Dados!J267,"")</f>
        <v>0.85821399445183444</v>
      </c>
      <c r="M134" s="52">
        <f>Dados!H267</f>
        <v>0.54719516563033233</v>
      </c>
      <c r="N134" s="53" t="str">
        <f>IF(OR(Dados!L267="",Dados!J267=0)," — ",IF(IFERROR(Dados!L267/Dados!J267,0)&lt;0.75,"🔴 CRÍTICO",IF(IFERROR(Dados!L267/Dados!J267,0)&gt;1.3,"🔴 CRÍTICO",IF(OR(IFERROR(Dados!L267/Dados!J267,0)&lt;0.9,IFERROR(Dados!L267/Dados!J267,0)&gt;1.1),"🟡 ATENÇÃO","🟢 OK"))))</f>
        <v>🟡 ATENÇÃO</v>
      </c>
    </row>
    <row r="135" spans="1:14" ht="14.25" customHeight="1" x14ac:dyDescent="0.3">
      <c r="A135" s="45">
        <f>Dados!A269</f>
        <v>46246</v>
      </c>
      <c r="B135" s="46">
        <f>IFERROR(Dados!C269+Dados!C270,"")</f>
        <v>4335</v>
      </c>
      <c r="C135" s="46">
        <f>Dados!L269</f>
        <v>702</v>
      </c>
      <c r="D135" s="47">
        <f>IFERROR(IF((Dados!C269+Dados!C270)=0,"",(Dados!C269*Dados!D269+Dados!C270*Dados!D270)/(Dados!C269+Dados!C270)),"")</f>
        <v>0.22538498269896193</v>
      </c>
      <c r="E135" s="47">
        <f>IFERROR(IF((Dados!C269+Dados!C270)=0,"",(Dados!C269*Dados!E269+Dados!C270*Dados!E270)/(Dados!C269+Dados!C270)),"")</f>
        <v>0.10095501730103806</v>
      </c>
      <c r="F135" s="48">
        <f>Dados!J269</f>
        <v>539.40390000000002</v>
      </c>
      <c r="G135" s="49">
        <f t="shared" si="12"/>
        <v>0.55207744503599065</v>
      </c>
      <c r="H135" s="50">
        <f t="shared" si="13"/>
        <v>0.71849381588688077</v>
      </c>
      <c r="I135" s="50">
        <f t="shared" si="14"/>
        <v>0.7683816239316239</v>
      </c>
      <c r="J135" s="51">
        <f>Dados!K269</f>
        <v>162.59609999999998</v>
      </c>
      <c r="K135" s="52">
        <f>IFERROR(Dados!K269/Dados!J269,"")</f>
        <v>0.30143664144808735</v>
      </c>
      <c r="L135" s="52">
        <f>IFERROR(Dados!L269/Dados!J269,"")</f>
        <v>1.3014366414480874</v>
      </c>
      <c r="M135" s="52">
        <f>Dados!H269</f>
        <v>0.53744702826900881</v>
      </c>
      <c r="N135" s="53" t="str">
        <f>IF(OR(Dados!L269="",Dados!J269=0)," — ",IF(IFERROR(Dados!L269/Dados!J269,0)&lt;0.75,"🔴 CRÍTICO",IF(IFERROR(Dados!L269/Dados!J269,0)&gt;1.3,"🔴 CRÍTICO",IF(OR(IFERROR(Dados!L269/Dados!J269,0)&lt;0.9,IFERROR(Dados!L269/Dados!J269,0)&gt;1.1),"🟡 ATENÇÃO","🟢 OK"))))</f>
        <v>🔴 CRÍTICO</v>
      </c>
    </row>
    <row r="136" spans="1:14" ht="14.25" customHeight="1" x14ac:dyDescent="0.3">
      <c r="A136" s="45">
        <f>Dados!A271</f>
        <v>46247</v>
      </c>
      <c r="B136" s="46">
        <f>IFERROR(Dados!C271+Dados!C272,"")</f>
        <v>3812</v>
      </c>
      <c r="C136" s="46">
        <f>Dados!L271</f>
        <v>855.8</v>
      </c>
      <c r="D136" s="47">
        <f>IFERROR(IF((Dados!C271+Dados!C272)=0,"",(Dados!C271*Dados!D271+Dados!C272*Dados!D272)/(Dados!C271+Dados!C272)),"")</f>
        <v>0.56932618048268624</v>
      </c>
      <c r="E136" s="47">
        <f>IFERROR(IF((Dados!C271+Dados!C272)=0,"",(Dados!C271*Dados!E271+Dados!C272*Dados!E272)/(Dados!C271+Dados!C272)),"")</f>
        <v>0.15874081846799581</v>
      </c>
      <c r="F136" s="48">
        <f>Dados!J271</f>
        <v>1565.1514</v>
      </c>
      <c r="G136" s="49">
        <f t="shared" si="12"/>
        <v>0.72117772920013601</v>
      </c>
      <c r="H136" s="50">
        <f t="shared" si="13"/>
        <v>0.394328561856365</v>
      </c>
      <c r="I136" s="50">
        <f t="shared" si="14"/>
        <v>0.5467841641390091</v>
      </c>
      <c r="J136" s="51">
        <f>Dados!K271</f>
        <v>-709.35140000000001</v>
      </c>
      <c r="K136" s="52">
        <f>IFERROR(Dados!K271/Dados!J271,"")</f>
        <v>-0.45321583586099085</v>
      </c>
      <c r="L136" s="52">
        <f>IFERROR(Dados!L271/Dados!J271,"")</f>
        <v>0.5467841641390091</v>
      </c>
      <c r="M136" s="52">
        <f>Dados!H271</f>
        <v>0.71710388223991828</v>
      </c>
      <c r="N136" s="53" t="str">
        <f>IF(OR(Dados!L271="",Dados!J271=0)," — ",IF(IFERROR(Dados!L271/Dados!J271,0)&lt;0.75,"🔴 CRÍTICO",IF(IFERROR(Dados!L271/Dados!J271,0)&gt;1.3,"🔴 CRÍTICO",IF(OR(IFERROR(Dados!L271/Dados!J271,0)&lt;0.9,IFERROR(Dados!L271/Dados!J271,0)&gt;1.1),"🟡 ATENÇÃO","🟢 OK"))))</f>
        <v>🔴 CRÍTICO</v>
      </c>
    </row>
    <row r="137" spans="1:14" ht="14.25" customHeight="1" x14ac:dyDescent="0.3">
      <c r="A137" s="45">
        <f>Dados!A273</f>
        <v>46248</v>
      </c>
      <c r="B137" s="46">
        <f>IFERROR(Dados!C273+Dados!C274,"")</f>
        <v>4144</v>
      </c>
      <c r="C137" s="46">
        <f>Dados!L273</f>
        <v>845.44</v>
      </c>
      <c r="D137" s="47">
        <f>IFERROR(IF((Dados!C273+Dados!C274)=0,"",(Dados!C273*Dados!D273+Dados!C274*Dados!D274)/(Dados!C273+Dados!C274)),"")</f>
        <v>0.45877027027027034</v>
      </c>
      <c r="E137" s="47">
        <f>IFERROR(IF((Dados!C273+Dados!C274)=0,"",(Dados!C273*Dados!E273+Dados!C274*Dados!E274)/(Dados!C273+Dados!C274)),"")</f>
        <v>0.16220077220077223</v>
      </c>
      <c r="F137" s="48">
        <f>Dados!J273</f>
        <v>1228.9840000000002</v>
      </c>
      <c r="G137" s="49">
        <f t="shared" si="12"/>
        <v>0.64644445660086769</v>
      </c>
      <c r="H137" s="50">
        <f t="shared" si="13"/>
        <v>0.4447006644420412</v>
      </c>
      <c r="I137" s="50">
        <f t="shared" si="14"/>
        <v>0.68791782480487951</v>
      </c>
      <c r="J137" s="51">
        <f>Dados!K273</f>
        <v>-383.5440000000001</v>
      </c>
      <c r="K137" s="52">
        <f>IFERROR(Dados!K273/Dados!J273,"")</f>
        <v>-0.31208217519512055</v>
      </c>
      <c r="L137" s="52">
        <f>IFERROR(Dados!L273/Dados!J273,"")</f>
        <v>0.6879178248048794</v>
      </c>
      <c r="M137" s="52">
        <f>Dados!H273</f>
        <v>0.57047450463441929</v>
      </c>
      <c r="N137" s="53" t="str">
        <f>IF(OR(Dados!L273="",Dados!J273=0)," — ",IF(IFERROR(Dados!L273/Dados!J273,0)&lt;0.75,"🔴 CRÍTICO",IF(IFERROR(Dados!L273/Dados!J273,0)&gt;1.3,"🔴 CRÍTICO",IF(OR(IFERROR(Dados!L273/Dados!J273,0)&lt;0.9,IFERROR(Dados!L273/Dados!J273,0)&gt;1.1),"🟡 ATENÇÃO","🟢 OK"))))</f>
        <v>🔴 CRÍTICO</v>
      </c>
    </row>
    <row r="138" spans="1:14" ht="14.25" customHeight="1" x14ac:dyDescent="0.3">
      <c r="A138" s="45">
        <f>Dados!A275</f>
        <v>46249</v>
      </c>
      <c r="B138" s="46">
        <f>IFERROR(Dados!C275+Dados!C276,"")</f>
        <v>4229</v>
      </c>
      <c r="C138" s="46">
        <f>Dados!L275</f>
        <v>1008.89</v>
      </c>
      <c r="D138" s="47">
        <f>IFERROR(IF((Dados!C275+Dados!C276)=0,"",(Dados!C275*Dados!D275+Dados!C276*Dados!D276)/(Dados!C275+Dados!C276)),"")</f>
        <v>0.26318250177346891</v>
      </c>
      <c r="E138" s="47">
        <f>IFERROR(IF((Dados!C275+Dados!C276)=0,"",(Dados!C275*Dados!E275+Dados!C276*Dados!E276)/(Dados!C275+Dados!C276)),"")</f>
        <v>0.13934499881768739</v>
      </c>
      <c r="F138" s="48">
        <f>Dados!J275</f>
        <v>523.70880000000011</v>
      </c>
      <c r="G138" s="49">
        <f t="shared" si="12"/>
        <v>0.47053851270998681</v>
      </c>
      <c r="H138" s="50">
        <f t="shared" si="13"/>
        <v>0.90646099528588886</v>
      </c>
      <c r="I138" s="50">
        <f t="shared" si="14"/>
        <v>0.51909405386117424</v>
      </c>
      <c r="J138" s="51">
        <f>Dados!K275</f>
        <v>485.18119999999988</v>
      </c>
      <c r="K138" s="52">
        <f>IFERROR(Dados!K275/Dados!J275,"")</f>
        <v>0.92643316285691546</v>
      </c>
      <c r="L138" s="52">
        <f>IFERROR(Dados!L275/Dados!J275,"")</f>
        <v>1.9264331628569156</v>
      </c>
      <c r="M138" s="52">
        <f>Dados!H275</f>
        <v>0.46662784161378024</v>
      </c>
      <c r="N138" s="53" t="str">
        <f>IF(OR(Dados!L275="",Dados!J275=0)," — ",IF(IFERROR(Dados!L275/Dados!J275,0)&lt;0.75,"🔴 CRÍTICO",IF(IFERROR(Dados!L275/Dados!J275,0)&gt;1.3,"🔴 CRÍTICO",IF(OR(IFERROR(Dados!L275/Dados!J275,0)&lt;0.9,IFERROR(Dados!L275/Dados!J275,0)&gt;1.1),"🟡 ATENÇÃO","🟢 OK"))))</f>
        <v>🔴 CRÍTICO</v>
      </c>
    </row>
    <row r="139" spans="1:14" ht="14.25" customHeight="1" x14ac:dyDescent="0.3">
      <c r="A139" s="45">
        <f>Dados!A277</f>
        <v>46250</v>
      </c>
      <c r="B139" s="46">
        <f>IFERROR(Dados!C277+Dados!C278,"")</f>
        <v>3310.46</v>
      </c>
      <c r="C139" s="46">
        <f>Dados!L277</f>
        <v>483.33</v>
      </c>
      <c r="D139" s="47">
        <f>IFERROR(IF((Dados!C277+Dados!C278)=0,"",(Dados!C277*Dados!D277+Dados!C278*Dados!D278)/(Dados!C277+Dados!C278)),"")</f>
        <v>0.2195837302873333</v>
      </c>
      <c r="E139" s="47">
        <f>IFERROR(IF((Dados!C277+Dados!C278)=0,"",(Dados!C277*Dados!E277+Dados!C278*Dados!E278)/(Dados!C277+Dados!C278)),"")</f>
        <v>7.5032110341161057E-2</v>
      </c>
      <c r="F139" s="48">
        <f>Dados!J277</f>
        <v>478.5323557670053</v>
      </c>
      <c r="G139" s="49">
        <f t="shared" si="12"/>
        <v>0.65829840743219536</v>
      </c>
      <c r="H139" s="50">
        <f t="shared" si="13"/>
        <v>0.66489834058184516</v>
      </c>
      <c r="I139" s="50">
        <f t="shared" si="14"/>
        <v>0.99007377106119066</v>
      </c>
      <c r="J139" s="51">
        <f>Dados!K277</f>
        <v>4.7976442329946849</v>
      </c>
      <c r="K139" s="52">
        <f>IFERROR(Dados!K277/Dados!J277,"")</f>
        <v>1.0025746796796809E-2</v>
      </c>
      <c r="L139" s="52">
        <f>IFERROR(Dados!L277/Dados!J277,"")</f>
        <v>1.0100257467967968</v>
      </c>
      <c r="M139" s="52">
        <f>Dados!H277</f>
        <v>0.62156096430790631</v>
      </c>
      <c r="N139" s="53" t="str">
        <f>IF(OR(Dados!L277="",Dados!J277=0)," — ",IF(IFERROR(Dados!L277/Dados!J277,0)&lt;0.75,"🔴 CRÍTICO",IF(IFERROR(Dados!L277/Dados!J277,0)&gt;1.3,"🔴 CRÍTICO",IF(OR(IFERROR(Dados!L277/Dados!J277,0)&lt;0.9,IFERROR(Dados!L277/Dados!J277,0)&gt;1.1),"🟡 ATENÇÃO","🟢 OK"))))</f>
        <v>🟢 OK</v>
      </c>
    </row>
    <row r="140" spans="1:14" ht="14.25" customHeight="1" x14ac:dyDescent="0.3">
      <c r="A140" s="45">
        <f>Dados!A279</f>
        <v>46251</v>
      </c>
      <c r="B140" s="46">
        <f>IFERROR(Dados!C279+Dados!C280,"")</f>
        <v>3907.1400000000003</v>
      </c>
      <c r="C140" s="46">
        <f>Dados!L279</f>
        <v>430.62</v>
      </c>
      <c r="D140" s="47">
        <f>IFERROR(IF((Dados!C279+Dados!C280)=0,"",(Dados!C279*Dados!D279+Dados!C280*Dados!D280)/(Dados!C279+Dados!C280)),"")</f>
        <v>0.12192454693636254</v>
      </c>
      <c r="E140" s="47">
        <f>IFERROR(IF((Dados!C279+Dados!C280)=0,"",(Dados!C279*Dados!E279+Dados!C280*Dados!E280)/(Dados!C279+Dados!C280)),"")</f>
        <v>5.1440183868507398E-2</v>
      </c>
      <c r="F140" s="48">
        <f>Dados!J279</f>
        <v>275.39227431693951</v>
      </c>
      <c r="G140" s="49">
        <f t="shared" si="12"/>
        <v>0.57809821597814781</v>
      </c>
      <c r="H140" s="50">
        <f t="shared" si="13"/>
        <v>0.90394930061840717</v>
      </c>
      <c r="I140" s="50">
        <f t="shared" si="14"/>
        <v>0.639525043697319</v>
      </c>
      <c r="J140" s="51">
        <f>Dados!K279</f>
        <v>155.2277256830605</v>
      </c>
      <c r="K140" s="52">
        <f>IFERROR(Dados!K279/Dados!J279,"")</f>
        <v>0.56366042245765491</v>
      </c>
      <c r="L140" s="52">
        <f>IFERROR(Dados!L279/Dados!J279,"")</f>
        <v>1.5636604224576549</v>
      </c>
      <c r="M140" s="52">
        <f>Dados!H279</f>
        <v>0.58012516488651344</v>
      </c>
      <c r="N140" s="53" t="str">
        <f>IF(OR(Dados!L279="",Dados!J279=0)," — ",IF(IFERROR(Dados!L279/Dados!J279,0)&lt;0.75,"🔴 CRÍTICO",IF(IFERROR(Dados!L279/Dados!J279,0)&gt;1.3,"🔴 CRÍTICO",IF(OR(IFERROR(Dados!L279/Dados!J279,0)&lt;0.9,IFERROR(Dados!L279/Dados!J279,0)&gt;1.1),"🟡 ATENÇÃO","🟢 OK"))))</f>
        <v>🔴 CRÍTICO</v>
      </c>
    </row>
    <row r="141" spans="1:14" ht="14.25" customHeight="1" x14ac:dyDescent="0.3">
      <c r="A141" s="45">
        <f>Dados!A281</f>
        <v>46252</v>
      </c>
      <c r="B141" s="46">
        <f>IFERROR(Dados!C281+Dados!C282,"")</f>
        <v>3412.2799999999997</v>
      </c>
      <c r="C141" s="46">
        <f>Dados!L281</f>
        <v>299.77</v>
      </c>
      <c r="D141" s="47">
        <f>IFERROR(IF((Dados!C281+Dados!C282)=0,"",(Dados!C281*Dados!D281+Dados!C282*Dados!D282)/(Dados!C281+Dados!C282)),"")</f>
        <v>0.17663929292239608</v>
      </c>
      <c r="E141" s="47">
        <f>IFERROR(IF((Dados!C281+Dados!C282)=0,"",(Dados!C281*Dados!E281+Dados!C282*Dados!E282)/(Dados!C281+Dados!C282)),"")</f>
        <v>0.03</v>
      </c>
      <c r="F141" s="48">
        <f>Dados!J281</f>
        <v>500.37432645323361</v>
      </c>
      <c r="G141" s="49">
        <f t="shared" si="12"/>
        <v>0.83016236363004425</v>
      </c>
      <c r="H141" s="50">
        <f t="shared" si="13"/>
        <v>0.49734320605403259</v>
      </c>
      <c r="I141" s="50">
        <f t="shared" si="14"/>
        <v>0.5990914884159575</v>
      </c>
      <c r="J141" s="51">
        <f>Dados!K281</f>
        <v>-200.60432645323363</v>
      </c>
      <c r="K141" s="52">
        <f>IFERROR(Dados!K281/Dados!J281,"")</f>
        <v>-0.40090851158404239</v>
      </c>
      <c r="L141" s="52">
        <f>IFERROR(Dados!L281/Dados!J281,"")</f>
        <v>0.59909148841595761</v>
      </c>
      <c r="M141" s="52">
        <f>Dados!H281</f>
        <v>0.73750391644258184</v>
      </c>
      <c r="N141" s="53" t="str">
        <f>IF(OR(Dados!L281="",Dados!J281=0)," — ",IF(IFERROR(Dados!L281/Dados!J281,0)&lt;0.75,"🔴 CRÍTICO",IF(IFERROR(Dados!L281/Dados!J281,0)&gt;1.3,"🔴 CRÍTICO",IF(OR(IFERROR(Dados!L281/Dados!J281,0)&lt;0.9,IFERROR(Dados!L281/Dados!J281,0)&gt;1.1),"🟡 ATENÇÃO","🟢 OK"))))</f>
        <v>🔴 CRÍTICO</v>
      </c>
    </row>
    <row r="142" spans="1:14" ht="14.25" customHeight="1" x14ac:dyDescent="0.3">
      <c r="A142" s="45">
        <f>Dados!A283</f>
        <v>46253</v>
      </c>
      <c r="B142" s="46">
        <f>IFERROR(Dados!C283+Dados!C284,"")</f>
        <v>3454.5</v>
      </c>
      <c r="C142" s="46">
        <f>Dados!L283</f>
        <v>341.2</v>
      </c>
      <c r="D142" s="47">
        <f>IFERROR(IF((Dados!C283+Dados!C284)=0,"",(Dados!C283*Dados!D283+Dados!C284*Dados!D284)/(Dados!C283+Dados!C284)),"")</f>
        <v>0.23910177260156168</v>
      </c>
      <c r="E142" s="47">
        <f>IFERROR(IF((Dados!C283+Dados!C284)=0,"",(Dados!C283*Dados!E283+Dados!C284*Dados!E284)/(Dados!C283+Dados!C284)),"")</f>
        <v>6.4688464321898967E-2</v>
      </c>
      <c r="F142" s="48">
        <f>Dados!J283</f>
        <v>602.5107734520949</v>
      </c>
      <c r="G142" s="49">
        <f t="shared" si="12"/>
        <v>0.72945217587451527</v>
      </c>
      <c r="H142" s="50">
        <f t="shared" si="13"/>
        <v>0.4130865262082713</v>
      </c>
      <c r="I142" s="50">
        <f t="shared" si="14"/>
        <v>0.56629692784593588</v>
      </c>
      <c r="J142" s="51">
        <f>Dados!K283</f>
        <v>-261.31077345209491</v>
      </c>
      <c r="K142" s="52">
        <f>IFERROR(Dados!K283/Dados!J283,"")</f>
        <v>-0.43370307215406412</v>
      </c>
      <c r="L142" s="52">
        <f>IFERROR(Dados!L283/Dados!J283,"")</f>
        <v>0.56629692784593588</v>
      </c>
      <c r="M142" s="52">
        <f>Dados!H283</f>
        <v>0.72558069385002999</v>
      </c>
      <c r="N142" s="53" t="str">
        <f>IF(OR(Dados!L283="",Dados!J283=0)," — ",IF(IFERROR(Dados!L283/Dados!J283,0)&lt;0.75,"🔴 CRÍTICO",IF(IFERROR(Dados!L283/Dados!J283,0)&gt;1.3,"🔴 CRÍTICO",IF(OR(IFERROR(Dados!L283/Dados!J283,0)&lt;0.9,IFERROR(Dados!L283/Dados!J283,0)&gt;1.1),"🟡 ATENÇÃO","🟢 OK"))))</f>
        <v>🔴 CRÍTICO</v>
      </c>
    </row>
    <row r="143" spans="1:14" ht="14.25" customHeight="1" x14ac:dyDescent="0.3">
      <c r="A143" s="45">
        <f>Dados!A285</f>
        <v>46254</v>
      </c>
      <c r="B143" s="46">
        <f>IFERROR(Dados!C285+Dados!C286,"")</f>
        <v>3514.78</v>
      </c>
      <c r="C143" s="46">
        <f>Dados!L285</f>
        <v>480.1</v>
      </c>
      <c r="D143" s="47">
        <f>IFERROR(IF((Dados!C285+Dados!C286)=0,"",(Dados!C285*Dados!D285+Dados!C286*Dados!D286)/(Dados!C285+Dados!C286)),"")</f>
        <v>0.30027132966482861</v>
      </c>
      <c r="E143" s="47">
        <f>IFERROR(IF((Dados!C285+Dados!C286)=0,"",(Dados!C285*Dados!E285+Dados!C286*Dados!E286)/(Dados!C285+Dados!C286)),"")</f>
        <v>7.1941629348067304E-2</v>
      </c>
      <c r="F143" s="48">
        <f>Dados!J285</f>
        <v>802.52866407934653</v>
      </c>
      <c r="G143" s="49">
        <f t="shared" si="12"/>
        <v>0.76041126061428976</v>
      </c>
      <c r="H143" s="50">
        <f t="shared" si="13"/>
        <v>0.45490393373017957</v>
      </c>
      <c r="I143" s="50">
        <f t="shared" si="14"/>
        <v>0.59823408370187792</v>
      </c>
      <c r="J143" s="51">
        <f>Dados!K285</f>
        <v>-322.4286640793465</v>
      </c>
      <c r="K143" s="52">
        <f>IFERROR(Dados!K285/Dados!J285,"")</f>
        <v>-0.40176591629812214</v>
      </c>
      <c r="L143" s="52">
        <f>IFERROR(Dados!L285/Dados!J285,"")</f>
        <v>0.59823408370187792</v>
      </c>
      <c r="M143" s="52">
        <f>Dados!H285</f>
        <v>0.69552719237960114</v>
      </c>
      <c r="N143" s="53" t="str">
        <f>IF(OR(Dados!L285="",Dados!J285=0)," — ",IF(IFERROR(Dados!L285/Dados!J285,0)&lt;0.75,"🔴 CRÍTICO",IF(IFERROR(Dados!L285/Dados!J285,0)&gt;1.3,"🔴 CRÍTICO",IF(OR(IFERROR(Dados!L285/Dados!J285,0)&lt;0.9,IFERROR(Dados!L285/Dados!J285,0)&gt;1.1),"🟡 ATENÇÃO","🟢 OK"))))</f>
        <v>🔴 CRÍTICO</v>
      </c>
    </row>
    <row r="144" spans="1:14" ht="14.25" customHeight="1" x14ac:dyDescent="0.3">
      <c r="A144" s="45">
        <f>Dados!A287</f>
        <v>46255</v>
      </c>
      <c r="B144" s="46">
        <f>IFERROR(Dados!C287+Dados!C288,"")</f>
        <v>2033.1399999999999</v>
      </c>
      <c r="C144" s="46">
        <f>Dados!L287</f>
        <v>417.52</v>
      </c>
      <c r="D144" s="47">
        <f>IFERROR(IF((Dados!C287+Dados!C288)=0,"",(Dados!C287*Dados!D287+Dados!C288*Dados!D288)/(Dados!C287+Dados!C288)),"")</f>
        <v>0.10244963355422589</v>
      </c>
      <c r="E144" s="47">
        <f>IFERROR(IF((Dados!C287+Dados!C288)=0,"",(Dados!C287*Dados!E287+Dados!C288*Dados!E288)/(Dados!C287+Dados!C288)),"")</f>
        <v>6.5031478402864537E-2</v>
      </c>
      <c r="F144" s="48">
        <f>Dados!J287</f>
        <v>76.07634796443881</v>
      </c>
      <c r="G144" s="49">
        <f t="shared" si="12"/>
        <v>0.36523464119133403</v>
      </c>
      <c r="H144" s="50">
        <f t="shared" si="13"/>
        <v>2.004470133890853</v>
      </c>
      <c r="I144" s="50">
        <f t="shared" si="14"/>
        <v>0.18221006889355912</v>
      </c>
      <c r="J144" s="51">
        <f>Dados!K287</f>
        <v>341.44365203556117</v>
      </c>
      <c r="K144" s="52">
        <f>IFERROR(Dados!K287/Dados!J287,"")</f>
        <v>4.488170912136396</v>
      </c>
      <c r="L144" s="52">
        <f>IFERROR(Dados!L287/Dados!J287,"")</f>
        <v>5.488170912136396</v>
      </c>
      <c r="M144" s="52">
        <f>Dados!H287</f>
        <v>0.35548400454605988</v>
      </c>
      <c r="N144" s="53" t="str">
        <f>IF(OR(Dados!L287="",Dados!J287=0)," — ",IF(IFERROR(Dados!L287/Dados!J287,0)&lt;0.75,"🔴 CRÍTICO",IF(IFERROR(Dados!L287/Dados!J287,0)&gt;1.3,"🔴 CRÍTICO",IF(OR(IFERROR(Dados!L287/Dados!J287,0)&lt;0.9,IFERROR(Dados!L287/Dados!J287,0)&gt;1.1),"🟡 ATENÇÃO","🟢 OK"))))</f>
        <v>🔴 CRÍTICO</v>
      </c>
    </row>
    <row r="145" spans="1:14" ht="14.25" customHeight="1" x14ac:dyDescent="0.3">
      <c r="A145" s="45">
        <f>Dados!A289</f>
        <v>46256</v>
      </c>
      <c r="B145" s="46">
        <f>IFERROR(Dados!C289+Dados!C290,"")</f>
        <v>3560</v>
      </c>
      <c r="C145" s="46">
        <f>Dados!L289</f>
        <v>589.76</v>
      </c>
      <c r="D145" s="47">
        <f>IFERROR(IF((Dados!C289+Dados!C290)=0,"",(Dados!C289*Dados!D289+Dados!C290*Dados!D290)/(Dados!C289+Dados!C290)),"")</f>
        <v>0.20387919613389319</v>
      </c>
      <c r="E145" s="47">
        <f>IFERROR(IF((Dados!C289+Dados!C290)=0,"",(Dados!C289*Dados!E289+Dados!C290*Dados!E290)/(Dados!C289+Dados!C290)),"")</f>
        <v>8.6797724719101133E-2</v>
      </c>
      <c r="F145" s="48">
        <f>Dados!J289</f>
        <v>416.81003823665958</v>
      </c>
      <c r="G145" s="49">
        <f t="shared" si="12"/>
        <v>0.57426884956865032</v>
      </c>
      <c r="H145" s="50">
        <f t="shared" si="13"/>
        <v>0.81255431887969154</v>
      </c>
      <c r="I145" s="50">
        <f t="shared" si="14"/>
        <v>0.70674518149189447</v>
      </c>
      <c r="J145" s="51">
        <f>Dados!K289</f>
        <v>172.94996176334041</v>
      </c>
      <c r="K145" s="52">
        <f>IFERROR(Dados!K289/Dados!J289,"")</f>
        <v>0.41493713178074076</v>
      </c>
      <c r="L145" s="52">
        <f>IFERROR(Dados!L289/Dados!J289,"")</f>
        <v>1.4149371317807407</v>
      </c>
      <c r="M145" s="52">
        <f>Dados!H289</f>
        <v>0.57538467229010393</v>
      </c>
      <c r="N145" s="53" t="str">
        <f>IF(OR(Dados!L289="",Dados!J289=0)," — ",IF(IFERROR(Dados!L289/Dados!J289,0)&lt;0.75,"🔴 CRÍTICO",IF(IFERROR(Dados!L289/Dados!J289,0)&gt;1.3,"🔴 CRÍTICO",IF(OR(IFERROR(Dados!L289/Dados!J289,0)&lt;0.9,IFERROR(Dados!L289/Dados!J289,0)&gt;1.1),"🟡 ATENÇÃO","🟢 OK"))))</f>
        <v>🔴 CRÍTICO</v>
      </c>
    </row>
    <row r="146" spans="1:14" ht="14.25" customHeight="1" x14ac:dyDescent="0.3">
      <c r="A146" s="45">
        <f>Dados!A291</f>
        <v>46257</v>
      </c>
      <c r="B146" s="46">
        <f>IFERROR(Dados!C291+Dados!C292,"")</f>
        <v>3381</v>
      </c>
      <c r="C146" s="46">
        <f>Dados!L291</f>
        <v>1088.1099999999999</v>
      </c>
      <c r="D146" s="47">
        <f>IFERROR(IF((Dados!C291+Dados!C292)=0,"",(Dados!C291*Dados!D291+Dados!C292*Dados!D292)/(Dados!C291+Dados!C292)),"")</f>
        <v>0.61553036682811291</v>
      </c>
      <c r="E146" s="47">
        <f>IFERROR(IF((Dados!C291+Dados!C292)=0,"",(Dados!C291*Dados!E291+Dados!C292*Dados!E292)/(Dados!C291+Dados!C292)),"")</f>
        <v>0.18204968944099378</v>
      </c>
      <c r="F146" s="48">
        <f>Dados!J291</f>
        <v>1465.5981702458498</v>
      </c>
      <c r="G146" s="49">
        <f t="shared" si="12"/>
        <v>0.70423930442438887</v>
      </c>
      <c r="H146" s="50">
        <f t="shared" si="13"/>
        <v>0.52285124606062983</v>
      </c>
      <c r="I146" s="50">
        <f t="shared" si="14"/>
        <v>0.74243406009266</v>
      </c>
      <c r="J146" s="51">
        <f>Dados!K291</f>
        <v>-377.48817024584991</v>
      </c>
      <c r="K146" s="52">
        <f>IFERROR(Dados!K291/Dados!J291,"")</f>
        <v>-0.25756593990733995</v>
      </c>
      <c r="L146" s="52">
        <f>IFERROR(Dados!L291/Dados!J291,"")</f>
        <v>0.74243406009266011</v>
      </c>
      <c r="M146" s="52">
        <f>Dados!H291</f>
        <v>0.71541035854242818</v>
      </c>
      <c r="N146" s="53" t="str">
        <f>IF(OR(Dados!L291="",Dados!J291=0)," — ",IF(IFERROR(Dados!L291/Dados!J291,0)&lt;0.75,"🔴 CRÍTICO",IF(IFERROR(Dados!L291/Dados!J291,0)&gt;1.3,"🔴 CRÍTICO",IF(OR(IFERROR(Dados!L291/Dados!J291,0)&lt;0.9,IFERROR(Dados!L291/Dados!J291,0)&gt;1.1),"🟡 ATENÇÃO","🟢 OK"))))</f>
        <v>🔴 CRÍTICO</v>
      </c>
    </row>
    <row r="147" spans="1:14" ht="14.25" customHeight="1" x14ac:dyDescent="0.3">
      <c r="A147" s="45">
        <f>Dados!A293</f>
        <v>46258</v>
      </c>
      <c r="B147" s="46">
        <f>IFERROR(Dados!C293+Dados!C294,"")</f>
        <v>3661.79</v>
      </c>
      <c r="C147" s="46">
        <f>Dados!L293</f>
        <v>1614.33</v>
      </c>
      <c r="D147" s="47">
        <f>IFERROR(IF((Dados!C293+Dados!C294)=0,"",(Dados!C293*Dados!D293+Dados!C294*Dados!D294)/(Dados!C293+Dados!C294)),"")</f>
        <v>0.57793128316570463</v>
      </c>
      <c r="E147" s="47">
        <f>IFERROR(IF((Dados!C293+Dados!C294)=0,"",(Dados!C293*Dados!E293+Dados!C294*Dados!E294)/(Dados!C293+Dados!C294)),"")</f>
        <v>0.22925793123035457</v>
      </c>
      <c r="F147" s="48">
        <f>Dados!J293</f>
        <v>1276.7685933833454</v>
      </c>
      <c r="G147" s="49">
        <f t="shared" si="12"/>
        <v>0.60331281951971849</v>
      </c>
      <c r="H147" s="50">
        <f t="shared" si="13"/>
        <v>0.76282106952081263</v>
      </c>
      <c r="I147" s="50">
        <f t="shared" si="14"/>
        <v>0.79089690049949235</v>
      </c>
      <c r="J147" s="51">
        <f>Dados!K293</f>
        <v>337.56140661665449</v>
      </c>
      <c r="K147" s="52">
        <f>IFERROR(Dados!K293/Dados!J293,"")</f>
        <v>0.26438730429775131</v>
      </c>
      <c r="L147" s="52">
        <f>IFERROR(Dados!L293/Dados!J293,"")</f>
        <v>1.2643873042977514</v>
      </c>
      <c r="M147" s="52">
        <f>Dados!H293</f>
        <v>0.58525063801589206</v>
      </c>
      <c r="N147" s="53" t="str">
        <f>IF(OR(Dados!L293="",Dados!J293=0)," — ",IF(IFERROR(Dados!L293/Dados!J293,0)&lt;0.75,"🔴 CRÍTICO",IF(IFERROR(Dados!L293/Dados!J293,0)&gt;1.3,"🔴 CRÍTICO",IF(OR(IFERROR(Dados!L293/Dados!J293,0)&lt;0.9,IFERROR(Dados!L293/Dados!J293,0)&gt;1.1),"🟡 ATENÇÃO","🟢 OK"))))</f>
        <v>🟡 ATENÇÃO</v>
      </c>
    </row>
    <row r="148" spans="1:14" ht="14.25" customHeight="1" x14ac:dyDescent="0.3">
      <c r="A148" s="45">
        <f>Dados!A295</f>
        <v>46259</v>
      </c>
      <c r="B148" s="46">
        <f>IFERROR(Dados!C295+Dados!C296,"")</f>
        <v>2899.8</v>
      </c>
      <c r="C148" s="46">
        <f>Dados!L295</f>
        <v>1753.52</v>
      </c>
      <c r="D148" s="47">
        <f>IFERROR(IF((Dados!C295+Dados!C296)=0,"",(Dados!C295*Dados!D295+Dados!C296*Dados!D296)/(Dados!C295+Dados!C296)),"")</f>
        <v>0.70923267781347188</v>
      </c>
      <c r="E148" s="47">
        <f>IFERROR(IF((Dados!C295+Dados!C296)=0,"",(Dados!C295*Dados!E295+Dados!C296*Dados!E296)/(Dados!C295+Dados!C296)),"")</f>
        <v>0.11218166770122079</v>
      </c>
      <c r="F148" s="48">
        <f>Dados!J295</f>
        <v>1731.3285191235057</v>
      </c>
      <c r="G148" s="49">
        <f t="shared" si="12"/>
        <v>0.84182670763694756</v>
      </c>
      <c r="H148" s="50">
        <f t="shared" si="13"/>
        <v>0.85261690780837729</v>
      </c>
      <c r="I148" s="50">
        <f t="shared" si="14"/>
        <v>0.98734460919949907</v>
      </c>
      <c r="J148" s="51">
        <f>Dados!K295</f>
        <v>22.191480876494325</v>
      </c>
      <c r="K148" s="52">
        <f>IFERROR(Dados!K295/Dados!J295,"")</f>
        <v>1.2817602570151666E-2</v>
      </c>
      <c r="L148" s="52">
        <f>IFERROR(Dados!L295/Dados!J295,"")</f>
        <v>1.0128176025701516</v>
      </c>
      <c r="M148" s="52">
        <f>Dados!H295</f>
        <v>0.81868266525287492</v>
      </c>
      <c r="N148" s="53" t="str">
        <f>IF(OR(Dados!L295="",Dados!J295=0)," — ",IF(IFERROR(Dados!L295/Dados!J295,0)&lt;0.75,"🔴 CRÍTICO",IF(IFERROR(Dados!L295/Dados!J295,0)&gt;1.3,"🔴 CRÍTICO",IF(OR(IFERROR(Dados!L295/Dados!J295,0)&lt;0.9,IFERROR(Dados!L295/Dados!J295,0)&gt;1.1),"🟡 ATENÇÃO","🟢 OK"))))</f>
        <v>🟢 OK</v>
      </c>
    </row>
    <row r="149" spans="1:14" ht="14.25" customHeight="1" x14ac:dyDescent="0.3">
      <c r="A149" s="45">
        <f>Dados!A297</f>
        <v>46260</v>
      </c>
      <c r="B149" s="46">
        <f>IFERROR(Dados!C297+Dados!C298,"")</f>
        <v>3800.55</v>
      </c>
      <c r="C149" s="46">
        <f>Dados!L297</f>
        <v>0</v>
      </c>
      <c r="D149" s="47">
        <f>IFERROR(IF((Dados!C297+Dados!C298)=0,"",(Dados!C297*Dados!D297+Dados!C298*Dados!D298)/(Dados!C297+Dados!C298)),"")</f>
        <v>0</v>
      </c>
      <c r="E149" s="47">
        <f>IFERROR(IF((Dados!C297+Dados!C298)=0,"",(Dados!C297*Dados!E297+Dados!C298*Dados!E298)/(Dados!C297+Dados!C298)),"")</f>
        <v>0</v>
      </c>
      <c r="F149" s="48" t="str">
        <f>Dados!J297</f>
        <v/>
      </c>
      <c r="G149" s="49" t="str">
        <f t="shared" si="12"/>
        <v/>
      </c>
      <c r="H149" s="50" t="str">
        <f t="shared" si="13"/>
        <v/>
      </c>
      <c r="I149" s="50" t="str">
        <f t="shared" si="14"/>
        <v/>
      </c>
      <c r="J149" s="51" t="str">
        <f>Dados!K297</f>
        <v/>
      </c>
      <c r="K149" s="52" t="str">
        <f>IFERROR(Dados!K297/Dados!J297,"")</f>
        <v/>
      </c>
      <c r="L149" s="52" t="str">
        <f>IFERROR(Dados!L297/Dados!J297,"")</f>
        <v/>
      </c>
      <c r="M149" s="52" t="str">
        <f>Dados!H297</f>
        <v/>
      </c>
      <c r="N149" s="53" t="str">
        <f>IF(OR(Dados!L297="",Dados!J297=0)," — ",IF(IFERROR(Dados!L297/Dados!J297,0)&lt;0.75,"🔴 CRÍTICO",IF(IFERROR(Dados!L297/Dados!J297,0)&gt;1.3,"🔴 CRÍTICO",IF(OR(IFERROR(Dados!L297/Dados!J297,0)&lt;0.9,IFERROR(Dados!L297/Dados!J297,0)&gt;1.1),"🟡 ATENÇÃO","🟢 OK"))))</f>
        <v xml:space="preserve"> — </v>
      </c>
    </row>
    <row r="150" spans="1:14" ht="14.25" customHeight="1" x14ac:dyDescent="0.3">
      <c r="A150" s="45">
        <f>Dados!A299</f>
        <v>0</v>
      </c>
      <c r="B150" s="46">
        <f>IFERROR(Dados!C299+Dados!C300,"")</f>
        <v>0</v>
      </c>
      <c r="C150" s="46">
        <f>Dados!L299</f>
        <v>0</v>
      </c>
      <c r="D150" s="47" t="str">
        <f>IFERROR(IF((Dados!C299+Dados!C300)=0,"",(Dados!C299*Dados!D299+Dados!C300*Dados!D300)/(Dados!C299+Dados!C300)),"")</f>
        <v/>
      </c>
      <c r="E150" s="47" t="str">
        <f>IFERROR(IF((Dados!C299+Dados!C300)=0,"",(Dados!C299*Dados!E299+Dados!C300*Dados!E300)/(Dados!C299+Dados!C300)),"")</f>
        <v/>
      </c>
      <c r="F150" s="48" t="str">
        <f>Dados!J299</f>
        <v/>
      </c>
      <c r="G150" s="49" t="str">
        <f t="shared" si="12"/>
        <v/>
      </c>
      <c r="H150" s="50" t="str">
        <f t="shared" si="13"/>
        <v/>
      </c>
      <c r="I150" s="50" t="str">
        <f t="shared" si="14"/>
        <v/>
      </c>
      <c r="J150" s="51" t="str">
        <f>Dados!K299</f>
        <v/>
      </c>
      <c r="K150" s="52" t="str">
        <f>IFERROR(Dados!K299/Dados!J299,"")</f>
        <v/>
      </c>
      <c r="L150" s="52" t="str">
        <f>IFERROR(Dados!L299/Dados!J299,"")</f>
        <v/>
      </c>
      <c r="M150" s="52" t="str">
        <f>Dados!H299</f>
        <v/>
      </c>
      <c r="N150" s="53" t="str">
        <f>IF(OR(Dados!L299="",Dados!J299=0)," — ",IF(IFERROR(Dados!L299/Dados!J299,0)&lt;0.75,"🔴 CRÍTICO",IF(IFERROR(Dados!L299/Dados!J299,0)&gt;1.3,"🔴 CRÍTICO",IF(OR(IFERROR(Dados!L299/Dados!J299,0)&lt;0.9,IFERROR(Dados!L299/Dados!J299,0)&gt;1.1),"🟡 ATENÇÃO","🟢 OK"))))</f>
        <v xml:space="preserve"> — </v>
      </c>
    </row>
    <row r="151" spans="1:14" ht="14.25" customHeight="1" x14ac:dyDescent="0.3">
      <c r="A151" s="45">
        <f>Dados!A301</f>
        <v>0</v>
      </c>
      <c r="B151" s="46">
        <f>IFERROR(Dados!C301+Dados!C302,"")</f>
        <v>0</v>
      </c>
      <c r="C151" s="46">
        <f>Dados!L301</f>
        <v>0</v>
      </c>
      <c r="D151" s="47" t="str">
        <f>IFERROR(IF((Dados!C301+Dados!C302)=0,"",(Dados!C301*Dados!D301+Dados!C302*Dados!D302)/(Dados!C301+Dados!C302)),"")</f>
        <v/>
      </c>
      <c r="E151" s="47" t="str">
        <f>IFERROR(IF((Dados!C301+Dados!C302)=0,"",(Dados!C301*Dados!E301+Dados!C302*Dados!E302)/(Dados!C301+Dados!C302)),"")</f>
        <v/>
      </c>
      <c r="F151" s="48" t="str">
        <f>Dados!J301</f>
        <v/>
      </c>
      <c r="G151" s="49" t="str">
        <f t="shared" si="12"/>
        <v/>
      </c>
      <c r="H151" s="50" t="str">
        <f t="shared" si="13"/>
        <v/>
      </c>
      <c r="I151" s="50" t="str">
        <f>IFERROR(IF(OR(G151=0,H151=0),MAX(0,MIN(G151,H151)/MAX(G151,H151)),""),"")</f>
        <v/>
      </c>
      <c r="J151" s="51" t="str">
        <f>Dados!K301</f>
        <v/>
      </c>
      <c r="K151" s="52" t="str">
        <f>IFERROR(Dados!K301/Dados!J301,"")</f>
        <v/>
      </c>
      <c r="L151" s="52" t="str">
        <f>IFERROR(Dados!L301/Dados!J301,"")</f>
        <v/>
      </c>
      <c r="M151" s="52" t="str">
        <f>Dados!H301</f>
        <v/>
      </c>
      <c r="N151" s="53" t="str">
        <f>IF(OR(Dados!L301="",Dados!J301=0)," — ",IF(IFERROR(Dados!L301/Dados!J301,0)&lt;0.75,"🔴 CRÍTICO",IF(IFERROR(Dados!L301/Dados!J301,0)&gt;1.3,"🔴 CRÍTICO",IF(OR(IFERROR(Dados!L301/Dados!J301,0)&lt;0.9,IFERROR(Dados!L301/Dados!J301,0)&gt;1.1),"🟡 ATENÇÃO","🟢 OK"))))</f>
        <v xml:space="preserve"> — 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80"/>
  <sheetViews>
    <sheetView topLeftCell="A54" zoomScaleNormal="100" workbookViewId="0">
      <selection activeCell="I54" sqref="I54"/>
    </sheetView>
  </sheetViews>
  <sheetFormatPr defaultColWidth="8.6640625" defaultRowHeight="14.4" x14ac:dyDescent="0.3"/>
  <cols>
    <col min="1" max="1" width="14" customWidth="1"/>
    <col min="2" max="2" width="18.6640625" customWidth="1"/>
    <col min="3" max="3" width="13.109375" style="42" customWidth="1"/>
    <col min="4" max="4" width="13.109375" style="60" customWidth="1"/>
    <col min="5" max="5" width="15.6640625" style="42" customWidth="1"/>
    <col min="6" max="7" width="15.5546875" style="42" customWidth="1"/>
    <col min="9" max="9" width="56.5546875" customWidth="1"/>
  </cols>
  <sheetData>
    <row r="1" spans="1:9" ht="14.25" customHeight="1" x14ac:dyDescent="0.3">
      <c r="A1" s="11" t="s">
        <v>0</v>
      </c>
      <c r="B1" s="11"/>
      <c r="C1" s="1" t="s">
        <v>1</v>
      </c>
      <c r="D1" s="1"/>
      <c r="E1" s="1"/>
      <c r="F1" s="1"/>
      <c r="G1" s="1"/>
    </row>
    <row r="2" spans="1:9" ht="20.25" customHeight="1" x14ac:dyDescent="0.3">
      <c r="A2" s="13" t="s">
        <v>4</v>
      </c>
      <c r="B2" s="14" t="s">
        <v>5</v>
      </c>
      <c r="C2" s="14" t="s">
        <v>69</v>
      </c>
      <c r="D2" s="61" t="s">
        <v>70</v>
      </c>
      <c r="E2" s="62" t="s">
        <v>71</v>
      </c>
      <c r="F2" s="63" t="s">
        <v>72</v>
      </c>
      <c r="G2" s="63" t="s">
        <v>73</v>
      </c>
      <c r="I2" s="64" t="s">
        <v>74</v>
      </c>
    </row>
    <row r="3" spans="1:9" ht="14.25" hidden="1" customHeight="1" x14ac:dyDescent="0.3">
      <c r="A3" s="16">
        <v>46175</v>
      </c>
      <c r="B3" s="17" t="s">
        <v>16</v>
      </c>
      <c r="C3" s="65">
        <v>1</v>
      </c>
      <c r="D3" s="66">
        <v>0.13</v>
      </c>
      <c r="E3" s="67">
        <v>0.4</v>
      </c>
      <c r="F3" s="68">
        <v>0.32500000000000001</v>
      </c>
      <c r="G3" s="69">
        <v>0.96</v>
      </c>
      <c r="I3" t="s">
        <v>75</v>
      </c>
    </row>
    <row r="4" spans="1:9" ht="14.25" hidden="1" customHeight="1" x14ac:dyDescent="0.3">
      <c r="A4" s="16">
        <v>46175</v>
      </c>
      <c r="B4" s="17" t="s">
        <v>16</v>
      </c>
      <c r="C4" s="70">
        <v>2</v>
      </c>
      <c r="D4" s="66" t="s">
        <v>76</v>
      </c>
      <c r="E4" s="71" t="s">
        <v>76</v>
      </c>
      <c r="F4" s="69" t="s">
        <v>76</v>
      </c>
      <c r="G4" s="69" t="s">
        <v>76</v>
      </c>
    </row>
    <row r="5" spans="1:9" ht="14.25" hidden="1" customHeight="1" x14ac:dyDescent="0.3">
      <c r="A5" s="16">
        <v>46175</v>
      </c>
      <c r="B5" s="17" t="s">
        <v>16</v>
      </c>
      <c r="C5" s="70">
        <v>3</v>
      </c>
      <c r="D5" s="66">
        <v>0.09</v>
      </c>
      <c r="E5" s="69">
        <v>0.09</v>
      </c>
      <c r="F5" s="69">
        <v>0.32</v>
      </c>
      <c r="G5" s="69">
        <v>8.6999999999999993</v>
      </c>
    </row>
    <row r="6" spans="1:9" ht="14.25" hidden="1" customHeight="1" x14ac:dyDescent="0.3">
      <c r="A6" s="16">
        <v>46175</v>
      </c>
      <c r="B6" s="24" t="s">
        <v>17</v>
      </c>
      <c r="C6" s="72">
        <v>1</v>
      </c>
      <c r="D6" s="73">
        <v>0.6</v>
      </c>
      <c r="E6" s="73" t="s">
        <v>76</v>
      </c>
      <c r="F6" s="73" t="s">
        <v>76</v>
      </c>
      <c r="G6" s="73" t="s">
        <v>76</v>
      </c>
    </row>
    <row r="7" spans="1:9" ht="14.25" hidden="1" customHeight="1" x14ac:dyDescent="0.3">
      <c r="A7" s="16">
        <v>46175</v>
      </c>
      <c r="B7" s="24" t="s">
        <v>17</v>
      </c>
      <c r="C7" s="72">
        <v>2</v>
      </c>
      <c r="D7" s="73" t="s">
        <v>76</v>
      </c>
      <c r="E7" s="73" t="s">
        <v>76</v>
      </c>
      <c r="F7" s="73" t="s">
        <v>76</v>
      </c>
      <c r="G7" s="73" t="s">
        <v>76</v>
      </c>
    </row>
    <row r="8" spans="1:9" ht="14.25" hidden="1" customHeight="1" x14ac:dyDescent="0.3">
      <c r="A8" s="16">
        <v>46175</v>
      </c>
      <c r="B8" s="24" t="s">
        <v>17</v>
      </c>
      <c r="C8" s="72">
        <v>3</v>
      </c>
      <c r="D8" s="73" t="s">
        <v>76</v>
      </c>
      <c r="E8" s="73" t="s">
        <v>76</v>
      </c>
      <c r="F8" s="73" t="s">
        <v>76</v>
      </c>
      <c r="G8" s="73" t="s">
        <v>76</v>
      </c>
    </row>
    <row r="9" spans="1:9" ht="14.25" hidden="1" customHeight="1" x14ac:dyDescent="0.3">
      <c r="A9" s="16">
        <v>46176</v>
      </c>
      <c r="B9" s="17" t="s">
        <v>16</v>
      </c>
      <c r="C9" s="70">
        <v>1</v>
      </c>
      <c r="D9" s="66">
        <v>0.06</v>
      </c>
      <c r="E9" s="69">
        <v>0.11</v>
      </c>
      <c r="F9" s="69" t="s">
        <v>76</v>
      </c>
      <c r="G9" s="69">
        <v>0.27</v>
      </c>
    </row>
    <row r="10" spans="1:9" ht="14.25" hidden="1" customHeight="1" x14ac:dyDescent="0.3">
      <c r="A10" s="16">
        <v>46176</v>
      </c>
      <c r="B10" s="17" t="s">
        <v>16</v>
      </c>
      <c r="C10" s="70">
        <v>2</v>
      </c>
      <c r="D10" s="66" t="s">
        <v>76</v>
      </c>
      <c r="E10" s="69" t="s">
        <v>76</v>
      </c>
      <c r="F10" s="69" t="s">
        <v>76</v>
      </c>
      <c r="G10" s="69" t="s">
        <v>76</v>
      </c>
    </row>
    <row r="11" spans="1:9" ht="14.25" hidden="1" customHeight="1" x14ac:dyDescent="0.3">
      <c r="A11" s="16">
        <v>46176</v>
      </c>
      <c r="B11" s="17" t="s">
        <v>16</v>
      </c>
      <c r="C11" s="70">
        <v>3</v>
      </c>
      <c r="D11" s="66" t="s">
        <v>76</v>
      </c>
      <c r="E11" s="69">
        <v>7.0000000000000007E-2</v>
      </c>
      <c r="F11" s="69">
        <v>0.24</v>
      </c>
      <c r="G11" s="69">
        <v>0.08</v>
      </c>
    </row>
    <row r="12" spans="1:9" ht="14.25" hidden="1" customHeight="1" x14ac:dyDescent="0.3">
      <c r="A12" s="16">
        <v>46176</v>
      </c>
      <c r="B12" s="24" t="s">
        <v>17</v>
      </c>
      <c r="C12" s="72">
        <v>1</v>
      </c>
      <c r="D12" s="73" t="s">
        <v>76</v>
      </c>
      <c r="E12" s="73"/>
      <c r="F12" s="73"/>
      <c r="G12" s="73"/>
    </row>
    <row r="13" spans="1:9" ht="14.25" hidden="1" customHeight="1" x14ac:dyDescent="0.3">
      <c r="A13" s="16">
        <v>46176</v>
      </c>
      <c r="B13" s="24" t="s">
        <v>17</v>
      </c>
      <c r="C13" s="72">
        <v>2</v>
      </c>
      <c r="D13" s="73" t="s">
        <v>76</v>
      </c>
      <c r="E13" s="73"/>
      <c r="F13" s="73"/>
      <c r="G13" s="73"/>
    </row>
    <row r="14" spans="1:9" ht="14.25" hidden="1" customHeight="1" x14ac:dyDescent="0.3">
      <c r="A14" s="16">
        <v>46176</v>
      </c>
      <c r="B14" s="24" t="s">
        <v>17</v>
      </c>
      <c r="C14" s="72">
        <v>3</v>
      </c>
      <c r="D14" s="73">
        <v>0.13</v>
      </c>
      <c r="E14" s="73"/>
      <c r="F14" s="73"/>
      <c r="G14" s="73"/>
    </row>
    <row r="15" spans="1:9" ht="14.25" hidden="1" customHeight="1" x14ac:dyDescent="0.3">
      <c r="A15" s="16">
        <v>46177</v>
      </c>
      <c r="B15" s="17" t="s">
        <v>16</v>
      </c>
      <c r="C15" s="70">
        <v>1</v>
      </c>
      <c r="D15" s="66" t="s">
        <v>76</v>
      </c>
      <c r="E15" s="69"/>
      <c r="F15" s="69"/>
      <c r="G15" s="69"/>
    </row>
    <row r="16" spans="1:9" ht="14.25" hidden="1" customHeight="1" x14ac:dyDescent="0.3">
      <c r="A16" s="16">
        <v>46177</v>
      </c>
      <c r="B16" s="17" t="s">
        <v>16</v>
      </c>
      <c r="C16" s="70">
        <v>2</v>
      </c>
      <c r="D16" s="66" t="s">
        <v>76</v>
      </c>
      <c r="E16" s="69"/>
      <c r="F16" s="69"/>
      <c r="G16" s="69"/>
    </row>
    <row r="17" spans="1:7" ht="14.25" hidden="1" customHeight="1" x14ac:dyDescent="0.3">
      <c r="A17" s="16">
        <v>46177</v>
      </c>
      <c r="B17" s="17" t="s">
        <v>16</v>
      </c>
      <c r="C17" s="70">
        <v>3</v>
      </c>
      <c r="D17" s="66" t="s">
        <v>76</v>
      </c>
      <c r="E17" s="69"/>
      <c r="F17" s="69"/>
      <c r="G17" s="69"/>
    </row>
    <row r="18" spans="1:7" ht="14.25" hidden="1" customHeight="1" x14ac:dyDescent="0.3">
      <c r="A18" s="16">
        <v>46177</v>
      </c>
      <c r="B18" s="24" t="s">
        <v>17</v>
      </c>
      <c r="C18" s="72">
        <v>1</v>
      </c>
      <c r="D18" s="73">
        <v>7.0000000000000007E-2</v>
      </c>
      <c r="E18" s="73"/>
      <c r="F18" s="73"/>
      <c r="G18" s="73"/>
    </row>
    <row r="19" spans="1:7" ht="14.25" hidden="1" customHeight="1" x14ac:dyDescent="0.3">
      <c r="A19" s="16">
        <v>46177</v>
      </c>
      <c r="B19" s="24" t="s">
        <v>17</v>
      </c>
      <c r="C19" s="72">
        <v>2</v>
      </c>
      <c r="D19" s="73">
        <v>0.11</v>
      </c>
      <c r="E19" s="73"/>
      <c r="F19" s="73"/>
      <c r="G19" s="73"/>
    </row>
    <row r="20" spans="1:7" ht="14.25" hidden="1" customHeight="1" x14ac:dyDescent="0.3">
      <c r="A20" s="16">
        <v>46177</v>
      </c>
      <c r="B20" s="24" t="s">
        <v>17</v>
      </c>
      <c r="C20" s="72">
        <v>3</v>
      </c>
      <c r="D20" s="73">
        <v>0.17</v>
      </c>
      <c r="E20" s="73"/>
      <c r="F20" s="73"/>
      <c r="G20" s="73"/>
    </row>
    <row r="21" spans="1:7" ht="14.25" hidden="1" customHeight="1" x14ac:dyDescent="0.3">
      <c r="A21" s="16">
        <v>46178</v>
      </c>
      <c r="B21" s="17" t="s">
        <v>16</v>
      </c>
      <c r="C21" s="70">
        <v>1</v>
      </c>
      <c r="D21" s="66" t="s">
        <v>76</v>
      </c>
      <c r="E21" s="69"/>
      <c r="F21" s="69"/>
      <c r="G21" s="69"/>
    </row>
    <row r="22" spans="1:7" ht="14.25" hidden="1" customHeight="1" x14ac:dyDescent="0.3">
      <c r="A22" s="16">
        <v>46178</v>
      </c>
      <c r="B22" s="17" t="s">
        <v>16</v>
      </c>
      <c r="C22" s="70">
        <v>2</v>
      </c>
      <c r="D22" s="66" t="s">
        <v>76</v>
      </c>
      <c r="E22" s="69"/>
      <c r="F22" s="69"/>
      <c r="G22" s="69"/>
    </row>
    <row r="23" spans="1:7" ht="14.25" hidden="1" customHeight="1" x14ac:dyDescent="0.3">
      <c r="A23" s="16">
        <v>46178</v>
      </c>
      <c r="B23" s="17" t="s">
        <v>16</v>
      </c>
      <c r="C23" s="70">
        <v>3</v>
      </c>
      <c r="D23" s="66" t="s">
        <v>76</v>
      </c>
      <c r="E23" s="69"/>
      <c r="F23" s="69"/>
      <c r="G23" s="69"/>
    </row>
    <row r="24" spans="1:7" ht="14.25" hidden="1" customHeight="1" x14ac:dyDescent="0.3">
      <c r="A24" s="16">
        <v>46178</v>
      </c>
      <c r="B24" s="24" t="s">
        <v>17</v>
      </c>
      <c r="C24" s="72">
        <v>1</v>
      </c>
      <c r="D24" s="73">
        <v>0.28599999999999998</v>
      </c>
      <c r="E24" s="73"/>
      <c r="F24" s="73"/>
      <c r="G24" s="73"/>
    </row>
    <row r="25" spans="1:7" ht="14.25" hidden="1" customHeight="1" x14ac:dyDescent="0.3">
      <c r="A25" s="16">
        <v>46178</v>
      </c>
      <c r="B25" s="24" t="s">
        <v>17</v>
      </c>
      <c r="C25" s="72">
        <v>2</v>
      </c>
      <c r="D25" s="73">
        <v>0.08</v>
      </c>
      <c r="E25" s="73"/>
      <c r="F25" s="73"/>
      <c r="G25" s="73"/>
    </row>
    <row r="26" spans="1:7" ht="14.25" hidden="1" customHeight="1" x14ac:dyDescent="0.3">
      <c r="A26" s="16">
        <v>46178</v>
      </c>
      <c r="B26" s="24" t="s">
        <v>17</v>
      </c>
      <c r="C26" s="72">
        <v>3</v>
      </c>
      <c r="D26" s="73">
        <v>0.32300000000000001</v>
      </c>
      <c r="E26" s="73"/>
      <c r="F26" s="73"/>
      <c r="G26" s="73"/>
    </row>
    <row r="27" spans="1:7" ht="14.25" hidden="1" customHeight="1" x14ac:dyDescent="0.3">
      <c r="A27" s="16">
        <v>46179</v>
      </c>
      <c r="B27" s="17" t="s">
        <v>16</v>
      </c>
      <c r="C27" s="70">
        <v>1</v>
      </c>
      <c r="D27" s="66">
        <v>0.85</v>
      </c>
      <c r="E27" s="69"/>
      <c r="F27" s="69"/>
      <c r="G27" s="69"/>
    </row>
    <row r="28" spans="1:7" ht="14.25" hidden="1" customHeight="1" x14ac:dyDescent="0.3">
      <c r="A28" s="16">
        <v>46179</v>
      </c>
      <c r="B28" s="17" t="s">
        <v>16</v>
      </c>
      <c r="C28" s="70">
        <v>2</v>
      </c>
      <c r="D28" s="66" t="s">
        <v>76</v>
      </c>
      <c r="E28" s="69"/>
      <c r="F28" s="69"/>
      <c r="G28" s="69"/>
    </row>
    <row r="29" spans="1:7" ht="14.25" hidden="1" customHeight="1" x14ac:dyDescent="0.3">
      <c r="A29" s="16">
        <v>46179</v>
      </c>
      <c r="B29" s="17" t="s">
        <v>16</v>
      </c>
      <c r="C29" s="70">
        <v>3</v>
      </c>
      <c r="D29" s="66">
        <v>0.36</v>
      </c>
      <c r="E29" s="69"/>
      <c r="F29" s="69"/>
      <c r="G29" s="69"/>
    </row>
    <row r="30" spans="1:7" ht="14.25" hidden="1" customHeight="1" x14ac:dyDescent="0.3">
      <c r="A30" s="16">
        <v>46179</v>
      </c>
      <c r="B30" s="24" t="s">
        <v>17</v>
      </c>
      <c r="C30" s="72">
        <v>1</v>
      </c>
      <c r="D30" s="73">
        <v>0.47</v>
      </c>
      <c r="E30" s="73">
        <v>0.57999999999999996</v>
      </c>
      <c r="F30" s="73">
        <v>1.5</v>
      </c>
      <c r="G30" s="73">
        <v>1.52</v>
      </c>
    </row>
    <row r="31" spans="1:7" ht="14.25" hidden="1" customHeight="1" x14ac:dyDescent="0.3">
      <c r="A31" s="16">
        <v>46179</v>
      </c>
      <c r="B31" s="24" t="s">
        <v>17</v>
      </c>
      <c r="C31" s="72">
        <v>2</v>
      </c>
      <c r="D31" s="73" t="s">
        <v>76</v>
      </c>
      <c r="E31" s="73" t="s">
        <v>76</v>
      </c>
      <c r="F31" s="73" t="s">
        <v>76</v>
      </c>
      <c r="G31" s="73" t="s">
        <v>76</v>
      </c>
    </row>
    <row r="32" spans="1:7" ht="14.25" hidden="1" customHeight="1" x14ac:dyDescent="0.3">
      <c r="A32" s="16">
        <v>46179</v>
      </c>
      <c r="B32" s="24" t="s">
        <v>17</v>
      </c>
      <c r="C32" s="72">
        <v>3</v>
      </c>
      <c r="D32" s="73">
        <v>0.16</v>
      </c>
      <c r="E32" s="73">
        <v>0.81</v>
      </c>
      <c r="F32" s="73">
        <v>0.5</v>
      </c>
      <c r="G32" s="73">
        <v>0.39</v>
      </c>
    </row>
    <row r="33" spans="1:7" ht="14.25" hidden="1" customHeight="1" x14ac:dyDescent="0.3">
      <c r="A33" s="16">
        <v>46180</v>
      </c>
      <c r="B33" s="17" t="s">
        <v>16</v>
      </c>
      <c r="C33" s="70">
        <v>1</v>
      </c>
      <c r="D33" s="66" t="s">
        <v>76</v>
      </c>
      <c r="E33" s="69"/>
      <c r="F33" s="69"/>
      <c r="G33" s="69"/>
    </row>
    <row r="34" spans="1:7" ht="14.25" hidden="1" customHeight="1" x14ac:dyDescent="0.3">
      <c r="A34" s="16">
        <v>46180</v>
      </c>
      <c r="B34" s="17" t="s">
        <v>16</v>
      </c>
      <c r="C34" s="70">
        <v>2</v>
      </c>
      <c r="D34" s="66" t="s">
        <v>76</v>
      </c>
      <c r="E34" s="69"/>
      <c r="F34" s="69"/>
      <c r="G34" s="69"/>
    </row>
    <row r="35" spans="1:7" ht="14.25" hidden="1" customHeight="1" x14ac:dyDescent="0.3">
      <c r="A35" s="16">
        <v>46180</v>
      </c>
      <c r="B35" s="17" t="s">
        <v>16</v>
      </c>
      <c r="C35" s="70">
        <v>3</v>
      </c>
      <c r="D35" s="66" t="s">
        <v>76</v>
      </c>
      <c r="E35" s="69"/>
      <c r="F35" s="69"/>
      <c r="G35" s="69"/>
    </row>
    <row r="36" spans="1:7" ht="14.25" hidden="1" customHeight="1" x14ac:dyDescent="0.3">
      <c r="A36" s="16">
        <v>46180</v>
      </c>
      <c r="B36" s="24" t="s">
        <v>17</v>
      </c>
      <c r="C36" s="72">
        <v>1</v>
      </c>
      <c r="D36" s="73">
        <v>0.39</v>
      </c>
      <c r="E36" s="73"/>
      <c r="F36" s="73"/>
      <c r="G36" s="73"/>
    </row>
    <row r="37" spans="1:7" ht="14.25" hidden="1" customHeight="1" x14ac:dyDescent="0.3">
      <c r="A37" s="16">
        <v>46180</v>
      </c>
      <c r="B37" s="24" t="s">
        <v>17</v>
      </c>
      <c r="C37" s="72">
        <v>2</v>
      </c>
      <c r="D37" s="73" t="s">
        <v>76</v>
      </c>
      <c r="E37" s="73"/>
      <c r="F37" s="73"/>
      <c r="G37" s="73"/>
    </row>
    <row r="38" spans="1:7" ht="14.25" hidden="1" customHeight="1" x14ac:dyDescent="0.3">
      <c r="A38" s="16">
        <v>46180</v>
      </c>
      <c r="B38" s="24" t="s">
        <v>17</v>
      </c>
      <c r="C38" s="72">
        <v>3</v>
      </c>
      <c r="D38" s="73">
        <v>0.44500000000000001</v>
      </c>
      <c r="E38" s="73"/>
      <c r="F38" s="73"/>
      <c r="G38" s="73"/>
    </row>
    <row r="39" spans="1:7" ht="14.25" hidden="1" customHeight="1" x14ac:dyDescent="0.3">
      <c r="A39" s="16">
        <v>46181</v>
      </c>
      <c r="B39" s="17" t="s">
        <v>16</v>
      </c>
      <c r="C39" s="70">
        <v>1</v>
      </c>
      <c r="D39" s="66"/>
      <c r="E39" s="69"/>
      <c r="F39" s="69"/>
      <c r="G39" s="69"/>
    </row>
    <row r="40" spans="1:7" ht="14.25" hidden="1" customHeight="1" x14ac:dyDescent="0.3">
      <c r="A40" s="16">
        <v>46181</v>
      </c>
      <c r="B40" s="17" t="s">
        <v>16</v>
      </c>
      <c r="C40" s="70">
        <v>2</v>
      </c>
      <c r="D40" s="66"/>
      <c r="E40" s="69"/>
      <c r="F40" s="69"/>
      <c r="G40" s="69"/>
    </row>
    <row r="41" spans="1:7" ht="14.25" hidden="1" customHeight="1" x14ac:dyDescent="0.3">
      <c r="A41" s="16">
        <v>46181</v>
      </c>
      <c r="B41" s="17" t="s">
        <v>16</v>
      </c>
      <c r="C41" s="70">
        <v>3</v>
      </c>
      <c r="D41" s="66"/>
      <c r="E41" s="69"/>
      <c r="F41" s="69"/>
      <c r="G41" s="69"/>
    </row>
    <row r="42" spans="1:7" ht="14.25" hidden="1" customHeight="1" x14ac:dyDescent="0.3">
      <c r="A42" s="16">
        <v>46181</v>
      </c>
      <c r="B42" s="24" t="s">
        <v>17</v>
      </c>
      <c r="C42" s="72">
        <v>1</v>
      </c>
      <c r="D42" s="73">
        <v>0.57999999999999996</v>
      </c>
      <c r="E42" s="73"/>
      <c r="F42" s="73"/>
      <c r="G42" s="73"/>
    </row>
    <row r="43" spans="1:7" ht="14.25" hidden="1" customHeight="1" x14ac:dyDescent="0.3">
      <c r="A43" s="16">
        <v>46181</v>
      </c>
      <c r="B43" s="24" t="s">
        <v>17</v>
      </c>
      <c r="C43" s="72">
        <v>2</v>
      </c>
      <c r="D43" s="73" t="s">
        <v>76</v>
      </c>
      <c r="E43" s="73"/>
      <c r="F43" s="73"/>
      <c r="G43" s="73"/>
    </row>
    <row r="44" spans="1:7" ht="14.25" hidden="1" customHeight="1" x14ac:dyDescent="0.3">
      <c r="A44" s="16">
        <v>46181</v>
      </c>
      <c r="B44" s="24" t="s">
        <v>17</v>
      </c>
      <c r="C44" s="72">
        <v>3</v>
      </c>
      <c r="D44" s="73">
        <v>0.88500000000000001</v>
      </c>
      <c r="E44" s="73"/>
      <c r="F44" s="73"/>
      <c r="G44" s="73"/>
    </row>
    <row r="45" spans="1:7" ht="14.25" hidden="1" customHeight="1" x14ac:dyDescent="0.3">
      <c r="A45" s="16">
        <v>46182</v>
      </c>
      <c r="B45" s="17" t="s">
        <v>16</v>
      </c>
      <c r="C45" s="70">
        <v>1</v>
      </c>
      <c r="D45" s="66" t="s">
        <v>76</v>
      </c>
      <c r="E45" s="69"/>
      <c r="F45" s="69"/>
      <c r="G45" s="69"/>
    </row>
    <row r="46" spans="1:7" ht="14.25" hidden="1" customHeight="1" x14ac:dyDescent="0.3">
      <c r="A46" s="16">
        <v>46182</v>
      </c>
      <c r="B46" s="17" t="s">
        <v>16</v>
      </c>
      <c r="C46" s="70">
        <v>2</v>
      </c>
      <c r="D46" s="66" t="s">
        <v>76</v>
      </c>
      <c r="E46" s="69"/>
      <c r="F46" s="69"/>
      <c r="G46" s="69"/>
    </row>
    <row r="47" spans="1:7" ht="14.25" hidden="1" customHeight="1" x14ac:dyDescent="0.3">
      <c r="A47" s="16">
        <v>46182</v>
      </c>
      <c r="B47" s="17" t="s">
        <v>16</v>
      </c>
      <c r="C47" s="70">
        <v>3</v>
      </c>
      <c r="D47" s="66" t="s">
        <v>76</v>
      </c>
      <c r="E47" s="69"/>
      <c r="F47" s="69"/>
      <c r="G47" s="69"/>
    </row>
    <row r="48" spans="1:7" ht="14.25" hidden="1" customHeight="1" x14ac:dyDescent="0.3">
      <c r="A48" s="16">
        <v>46182</v>
      </c>
      <c r="B48" s="24" t="s">
        <v>17</v>
      </c>
      <c r="C48" s="72">
        <v>1</v>
      </c>
      <c r="D48" s="73">
        <v>0.57999999999999996</v>
      </c>
      <c r="E48" s="73"/>
      <c r="F48" s="73"/>
      <c r="G48" s="73"/>
    </row>
    <row r="49" spans="1:7" ht="14.25" hidden="1" customHeight="1" x14ac:dyDescent="0.3">
      <c r="A49" s="16">
        <v>46182</v>
      </c>
      <c r="B49" s="24" t="s">
        <v>17</v>
      </c>
      <c r="C49" s="72">
        <v>2</v>
      </c>
      <c r="D49" s="73">
        <v>0.79</v>
      </c>
      <c r="E49" s="73"/>
      <c r="F49" s="73"/>
      <c r="G49" s="73"/>
    </row>
    <row r="50" spans="1:7" ht="14.25" hidden="1" customHeight="1" x14ac:dyDescent="0.3">
      <c r="A50" s="16">
        <v>46182</v>
      </c>
      <c r="B50" s="24" t="s">
        <v>17</v>
      </c>
      <c r="C50" s="72">
        <v>3</v>
      </c>
      <c r="D50" s="73">
        <v>0.54500000000000004</v>
      </c>
      <c r="E50" s="73"/>
      <c r="F50" s="73"/>
      <c r="G50" s="73"/>
    </row>
    <row r="51" spans="1:7" ht="14.25" customHeight="1" x14ac:dyDescent="0.3">
      <c r="A51" s="16">
        <v>46183</v>
      </c>
      <c r="B51" s="17" t="s">
        <v>16</v>
      </c>
      <c r="C51" s="70">
        <v>1</v>
      </c>
      <c r="D51" s="66">
        <v>0.28000000000000003</v>
      </c>
      <c r="E51" s="69">
        <v>0.49</v>
      </c>
      <c r="F51" s="69">
        <v>0.25</v>
      </c>
      <c r="G51" s="69">
        <v>0.24</v>
      </c>
    </row>
    <row r="52" spans="1:7" ht="14.25" customHeight="1" x14ac:dyDescent="0.3">
      <c r="A52" s="16">
        <v>46183</v>
      </c>
      <c r="B52" s="17" t="s">
        <v>16</v>
      </c>
      <c r="C52" s="70">
        <v>2</v>
      </c>
      <c r="D52" s="66" t="s">
        <v>76</v>
      </c>
      <c r="E52" s="69"/>
      <c r="F52" s="69"/>
      <c r="G52" s="69"/>
    </row>
    <row r="53" spans="1:7" ht="14.25" customHeight="1" x14ac:dyDescent="0.3">
      <c r="A53" s="16">
        <v>46183</v>
      </c>
      <c r="B53" s="17" t="s">
        <v>16</v>
      </c>
      <c r="C53" s="70">
        <v>3</v>
      </c>
      <c r="D53" s="66" t="s">
        <v>76</v>
      </c>
      <c r="E53" s="69"/>
      <c r="F53" s="69"/>
      <c r="G53" s="69"/>
    </row>
    <row r="54" spans="1:7" ht="14.25" customHeight="1" x14ac:dyDescent="0.3">
      <c r="A54" s="16">
        <v>46183</v>
      </c>
      <c r="B54" s="24" t="s">
        <v>17</v>
      </c>
      <c r="C54" s="72">
        <v>1</v>
      </c>
      <c r="D54" s="73">
        <v>0.3</v>
      </c>
      <c r="E54" s="73"/>
      <c r="F54" s="73">
        <v>0.27</v>
      </c>
      <c r="G54" s="73"/>
    </row>
    <row r="55" spans="1:7" ht="14.25" customHeight="1" x14ac:dyDescent="0.3">
      <c r="A55" s="16">
        <v>46183</v>
      </c>
      <c r="B55" s="24" t="s">
        <v>17</v>
      </c>
      <c r="C55" s="72">
        <v>2</v>
      </c>
      <c r="D55" s="73">
        <v>0.4</v>
      </c>
      <c r="E55" s="73"/>
      <c r="F55" s="73">
        <v>0.23</v>
      </c>
      <c r="G55" s="73"/>
    </row>
    <row r="56" spans="1:7" ht="14.25" customHeight="1" x14ac:dyDescent="0.3">
      <c r="A56" s="16">
        <v>46183</v>
      </c>
      <c r="B56" s="24" t="s">
        <v>17</v>
      </c>
      <c r="C56" s="72">
        <v>3</v>
      </c>
      <c r="D56" s="73">
        <v>0.4</v>
      </c>
      <c r="E56" s="73"/>
      <c r="F56" s="73">
        <v>0.23</v>
      </c>
      <c r="G56" s="73"/>
    </row>
    <row r="57" spans="1:7" ht="14.25" customHeight="1" x14ac:dyDescent="0.3">
      <c r="A57" s="16">
        <v>46184</v>
      </c>
      <c r="B57" s="17" t="s">
        <v>16</v>
      </c>
      <c r="C57" s="70">
        <v>1</v>
      </c>
      <c r="D57" s="66">
        <v>0.2</v>
      </c>
      <c r="E57" s="69">
        <v>0.53</v>
      </c>
      <c r="F57" s="69">
        <v>0.1</v>
      </c>
      <c r="G57" s="69"/>
    </row>
    <row r="58" spans="1:7" ht="14.25" customHeight="1" x14ac:dyDescent="0.3">
      <c r="A58" s="16">
        <v>46184</v>
      </c>
      <c r="B58" s="17" t="s">
        <v>16</v>
      </c>
      <c r="C58" s="70">
        <v>2</v>
      </c>
      <c r="D58" s="66">
        <v>0.35</v>
      </c>
      <c r="E58" s="69">
        <v>0.22</v>
      </c>
      <c r="F58" s="69">
        <v>0.1</v>
      </c>
      <c r="G58" s="69"/>
    </row>
    <row r="59" spans="1:7" ht="14.25" customHeight="1" x14ac:dyDescent="0.3">
      <c r="A59" s="16">
        <v>46184</v>
      </c>
      <c r="B59" s="17" t="s">
        <v>16</v>
      </c>
      <c r="C59" s="70">
        <v>3</v>
      </c>
      <c r="D59" s="66">
        <v>0.34</v>
      </c>
      <c r="E59" s="69"/>
      <c r="F59" s="69"/>
      <c r="G59" s="69">
        <v>0.25</v>
      </c>
    </row>
    <row r="60" spans="1:7" ht="14.25" customHeight="1" x14ac:dyDescent="0.3">
      <c r="A60" s="16">
        <v>46184</v>
      </c>
      <c r="B60" s="24" t="s">
        <v>17</v>
      </c>
      <c r="C60" s="72">
        <v>1</v>
      </c>
      <c r="D60" s="73"/>
      <c r="E60" s="73"/>
      <c r="F60" s="73"/>
      <c r="G60" s="73"/>
    </row>
    <row r="61" spans="1:7" ht="14.25" customHeight="1" x14ac:dyDescent="0.3">
      <c r="A61" s="16">
        <v>46184</v>
      </c>
      <c r="B61" s="24" t="s">
        <v>17</v>
      </c>
      <c r="C61" s="72">
        <v>2</v>
      </c>
      <c r="D61" s="73">
        <v>0.11</v>
      </c>
      <c r="E61" s="73">
        <v>0.1</v>
      </c>
      <c r="F61" s="73">
        <v>0.18</v>
      </c>
      <c r="G61" s="73">
        <v>0.11</v>
      </c>
    </row>
    <row r="62" spans="1:7" ht="14.25" customHeight="1" x14ac:dyDescent="0.3">
      <c r="A62" s="16">
        <v>46184</v>
      </c>
      <c r="B62" s="24" t="s">
        <v>17</v>
      </c>
      <c r="C62" s="72">
        <v>3</v>
      </c>
      <c r="D62" s="73">
        <v>0.32</v>
      </c>
      <c r="E62" s="73">
        <v>0.12</v>
      </c>
      <c r="F62" s="73">
        <v>0.22</v>
      </c>
      <c r="G62" s="73">
        <v>0.11</v>
      </c>
    </row>
    <row r="63" spans="1:7" ht="14.25" customHeight="1" x14ac:dyDescent="0.3">
      <c r="A63" s="16">
        <v>46185</v>
      </c>
      <c r="B63" s="17" t="s">
        <v>16</v>
      </c>
      <c r="C63" s="70">
        <v>1</v>
      </c>
      <c r="D63" s="66"/>
      <c r="E63" s="69"/>
      <c r="F63" s="69"/>
      <c r="G63" s="69"/>
    </row>
    <row r="64" spans="1:7" ht="14.25" customHeight="1" x14ac:dyDescent="0.3">
      <c r="A64" s="16">
        <v>46185</v>
      </c>
      <c r="B64" s="17" t="s">
        <v>16</v>
      </c>
      <c r="C64" s="70">
        <v>2</v>
      </c>
      <c r="D64" s="66"/>
      <c r="E64" s="69"/>
      <c r="F64" s="69"/>
      <c r="G64" s="69"/>
    </row>
    <row r="65" spans="1:7" ht="14.25" customHeight="1" x14ac:dyDescent="0.3">
      <c r="A65" s="16">
        <v>46185</v>
      </c>
      <c r="B65" s="17" t="s">
        <v>16</v>
      </c>
      <c r="C65" s="70">
        <v>3</v>
      </c>
      <c r="D65" s="66"/>
      <c r="E65" s="69"/>
      <c r="F65" s="69"/>
      <c r="G65" s="69"/>
    </row>
    <row r="66" spans="1:7" ht="14.25" customHeight="1" x14ac:dyDescent="0.3">
      <c r="A66" s="16">
        <v>46185</v>
      </c>
      <c r="B66" s="24" t="s">
        <v>17</v>
      </c>
      <c r="C66" s="72">
        <v>1</v>
      </c>
      <c r="D66" s="73"/>
      <c r="E66" s="73"/>
      <c r="F66" s="73"/>
      <c r="G66" s="73"/>
    </row>
    <row r="67" spans="1:7" ht="14.25" customHeight="1" x14ac:dyDescent="0.3">
      <c r="A67" s="16">
        <v>46185</v>
      </c>
      <c r="B67" s="24" t="s">
        <v>17</v>
      </c>
      <c r="C67" s="72">
        <v>2</v>
      </c>
      <c r="D67" s="73"/>
      <c r="E67" s="73"/>
      <c r="F67" s="73"/>
      <c r="G67" s="73"/>
    </row>
    <row r="68" spans="1:7" ht="14.25" customHeight="1" x14ac:dyDescent="0.3">
      <c r="A68" s="16">
        <v>46185</v>
      </c>
      <c r="B68" s="24" t="s">
        <v>17</v>
      </c>
      <c r="C68" s="72">
        <v>3</v>
      </c>
      <c r="D68" s="73"/>
      <c r="E68" s="73"/>
      <c r="F68" s="73"/>
      <c r="G68" s="73"/>
    </row>
    <row r="69" spans="1:7" ht="14.25" customHeight="1" x14ac:dyDescent="0.3">
      <c r="A69" s="16">
        <v>46186</v>
      </c>
      <c r="B69" s="17" t="s">
        <v>16</v>
      </c>
      <c r="C69" s="70">
        <v>1</v>
      </c>
      <c r="D69" s="66">
        <v>0.42</v>
      </c>
      <c r="E69" s="69"/>
      <c r="F69" s="69"/>
      <c r="G69" s="69"/>
    </row>
    <row r="70" spans="1:7" ht="14.25" customHeight="1" x14ac:dyDescent="0.3">
      <c r="A70" s="16">
        <v>46186</v>
      </c>
      <c r="B70" s="17" t="s">
        <v>16</v>
      </c>
      <c r="C70" s="70">
        <v>2</v>
      </c>
      <c r="D70" s="66">
        <v>1.02</v>
      </c>
      <c r="E70" s="69"/>
      <c r="F70" s="69"/>
      <c r="G70" s="69"/>
    </row>
    <row r="71" spans="1:7" ht="14.25" customHeight="1" x14ac:dyDescent="0.3">
      <c r="A71" s="16">
        <v>46186</v>
      </c>
      <c r="B71" s="17" t="s">
        <v>16</v>
      </c>
      <c r="C71" s="70">
        <v>3</v>
      </c>
      <c r="D71" s="66">
        <v>0.47</v>
      </c>
      <c r="E71" s="69"/>
      <c r="F71" s="69"/>
      <c r="G71" s="69"/>
    </row>
    <row r="72" spans="1:7" ht="14.25" customHeight="1" x14ac:dyDescent="0.3">
      <c r="A72" s="16">
        <v>46186</v>
      </c>
      <c r="B72" s="24" t="s">
        <v>17</v>
      </c>
      <c r="C72" s="72">
        <v>1</v>
      </c>
      <c r="D72" s="73"/>
      <c r="E72" s="73"/>
      <c r="F72" s="73"/>
      <c r="G72" s="73"/>
    </row>
    <row r="73" spans="1:7" ht="14.25" customHeight="1" x14ac:dyDescent="0.3">
      <c r="A73" s="16">
        <v>46186</v>
      </c>
      <c r="B73" s="24" t="s">
        <v>17</v>
      </c>
      <c r="C73" s="72">
        <v>2</v>
      </c>
      <c r="D73" s="73"/>
      <c r="E73" s="73"/>
      <c r="F73" s="73"/>
      <c r="G73" s="73"/>
    </row>
    <row r="74" spans="1:7" ht="14.25" customHeight="1" x14ac:dyDescent="0.3">
      <c r="A74" s="16">
        <v>46186</v>
      </c>
      <c r="B74" s="24" t="s">
        <v>17</v>
      </c>
      <c r="C74" s="72">
        <v>3</v>
      </c>
      <c r="D74" s="73"/>
      <c r="E74" s="73"/>
      <c r="F74" s="73"/>
      <c r="G74" s="73"/>
    </row>
    <row r="75" spans="1:7" ht="14.25" customHeight="1" x14ac:dyDescent="0.3">
      <c r="A75" s="16">
        <v>46187</v>
      </c>
      <c r="B75" s="17" t="s">
        <v>16</v>
      </c>
      <c r="C75" s="70">
        <v>1</v>
      </c>
      <c r="D75" s="66"/>
      <c r="E75" s="69"/>
      <c r="F75" s="69"/>
      <c r="G75" s="69"/>
    </row>
    <row r="76" spans="1:7" ht="14.25" customHeight="1" x14ac:dyDescent="0.3">
      <c r="A76" s="16">
        <v>46187</v>
      </c>
      <c r="B76" s="17" t="s">
        <v>16</v>
      </c>
      <c r="C76" s="70">
        <v>2</v>
      </c>
      <c r="D76" s="66"/>
      <c r="E76" s="69"/>
      <c r="F76" s="69"/>
      <c r="G76" s="69"/>
    </row>
    <row r="77" spans="1:7" ht="14.25" customHeight="1" x14ac:dyDescent="0.3">
      <c r="A77" s="16">
        <v>46187</v>
      </c>
      <c r="B77" s="17" t="s">
        <v>16</v>
      </c>
      <c r="C77" s="70">
        <v>3</v>
      </c>
      <c r="D77" s="66"/>
      <c r="E77" s="69"/>
      <c r="F77" s="69"/>
      <c r="G77" s="69"/>
    </row>
    <row r="78" spans="1:7" ht="14.25" customHeight="1" x14ac:dyDescent="0.3">
      <c r="A78" s="16">
        <v>46187</v>
      </c>
      <c r="B78" s="24" t="s">
        <v>17</v>
      </c>
      <c r="C78" s="72">
        <v>1</v>
      </c>
      <c r="D78" s="73"/>
      <c r="E78" s="73"/>
      <c r="F78" s="73"/>
      <c r="G78" s="73"/>
    </row>
    <row r="79" spans="1:7" ht="14.25" customHeight="1" x14ac:dyDescent="0.3">
      <c r="A79" s="16">
        <v>46187</v>
      </c>
      <c r="B79" s="24" t="s">
        <v>17</v>
      </c>
      <c r="C79" s="72">
        <v>2</v>
      </c>
      <c r="D79" s="73"/>
      <c r="E79" s="73"/>
      <c r="F79" s="73"/>
      <c r="G79" s="73"/>
    </row>
    <row r="80" spans="1:7" ht="14.25" customHeight="1" x14ac:dyDescent="0.3">
      <c r="A80" s="16">
        <v>46187</v>
      </c>
      <c r="B80" s="24" t="s">
        <v>17</v>
      </c>
      <c r="C80" s="72">
        <v>3</v>
      </c>
      <c r="D80" s="73"/>
      <c r="E80" s="73"/>
      <c r="F80" s="73"/>
      <c r="G80" s="73"/>
    </row>
  </sheetData>
  <mergeCells count="2">
    <mergeCell ref="A1:B1"/>
    <mergeCell ref="C1:G1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zoomScaleNormal="100" workbookViewId="0">
      <selection activeCell="L16" sqref="L16"/>
    </sheetView>
  </sheetViews>
  <sheetFormatPr defaultColWidth="8.6640625" defaultRowHeight="14.4" x14ac:dyDescent="0.3"/>
  <cols>
    <col min="1" max="1" width="11.6640625" customWidth="1"/>
    <col min="2" max="2" width="15.88671875" customWidth="1"/>
    <col min="3" max="3" width="13.33203125" customWidth="1"/>
    <col min="4" max="4" width="14.88671875" customWidth="1"/>
  </cols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6"/>
  <sheetViews>
    <sheetView topLeftCell="A4" zoomScaleNormal="100" workbookViewId="0">
      <selection activeCell="A13" sqref="A13"/>
    </sheetView>
  </sheetViews>
  <sheetFormatPr defaultColWidth="8.6640625" defaultRowHeight="14.4" x14ac:dyDescent="0.3"/>
  <cols>
    <col min="1" max="1" width="102" customWidth="1"/>
  </cols>
  <sheetData>
    <row r="1" spans="1:1" ht="18" customHeight="1" x14ac:dyDescent="0.3">
      <c r="A1" s="74" t="s">
        <v>77</v>
      </c>
    </row>
    <row r="2" spans="1:1" ht="18" customHeight="1" x14ac:dyDescent="0.3">
      <c r="A2" s="75"/>
    </row>
    <row r="3" spans="1:1" ht="18" customHeight="1" x14ac:dyDescent="0.3">
      <c r="A3" s="76" t="s">
        <v>78</v>
      </c>
    </row>
    <row r="4" spans="1:1" ht="18" customHeight="1" x14ac:dyDescent="0.3">
      <c r="A4" s="77" t="s">
        <v>79</v>
      </c>
    </row>
    <row r="5" spans="1:1" ht="18" customHeight="1" x14ac:dyDescent="0.3">
      <c r="A5" s="77" t="s">
        <v>80</v>
      </c>
    </row>
    <row r="6" spans="1:1" ht="18" customHeight="1" x14ac:dyDescent="0.3">
      <c r="A6" s="77" t="s">
        <v>81</v>
      </c>
    </row>
    <row r="7" spans="1:1" ht="18" customHeight="1" x14ac:dyDescent="0.3">
      <c r="A7" s="77" t="s">
        <v>82</v>
      </c>
    </row>
    <row r="8" spans="1:1" ht="18" customHeight="1" x14ac:dyDescent="0.3">
      <c r="A8" s="77" t="s">
        <v>83</v>
      </c>
    </row>
    <row r="9" spans="1:1" ht="18" customHeight="1" x14ac:dyDescent="0.3">
      <c r="A9" s="77" t="s">
        <v>84</v>
      </c>
    </row>
    <row r="10" spans="1:1" ht="18" customHeight="1" x14ac:dyDescent="0.3">
      <c r="A10" s="77" t="s">
        <v>85</v>
      </c>
    </row>
    <row r="11" spans="1:1" ht="18" customHeight="1" x14ac:dyDescent="0.3">
      <c r="A11" s="77" t="s">
        <v>86</v>
      </c>
    </row>
    <row r="12" spans="1:1" ht="18" customHeight="1" x14ac:dyDescent="0.3">
      <c r="A12" s="77" t="s">
        <v>87</v>
      </c>
    </row>
    <row r="13" spans="1:1" ht="18" customHeight="1" x14ac:dyDescent="0.3">
      <c r="A13" s="78" t="s">
        <v>88</v>
      </c>
    </row>
    <row r="14" spans="1:1" ht="18" customHeight="1" x14ac:dyDescent="0.3">
      <c r="A14" s="78" t="s">
        <v>89</v>
      </c>
    </row>
    <row r="15" spans="1:1" ht="18" customHeight="1" x14ac:dyDescent="0.3">
      <c r="A15" s="79" t="s">
        <v>90</v>
      </c>
    </row>
    <row r="16" spans="1:1" ht="18" customHeight="1" x14ac:dyDescent="0.3">
      <c r="A16" s="77"/>
    </row>
    <row r="17" spans="1:1" ht="18" customHeight="1" x14ac:dyDescent="0.3">
      <c r="A17" s="76" t="s">
        <v>91</v>
      </c>
    </row>
    <row r="18" spans="1:1" ht="18" customHeight="1" x14ac:dyDescent="0.3">
      <c r="A18" s="77" t="s">
        <v>92</v>
      </c>
    </row>
    <row r="19" spans="1:1" ht="18" customHeight="1" x14ac:dyDescent="0.3">
      <c r="A19" s="77" t="s">
        <v>93</v>
      </c>
    </row>
    <row r="20" spans="1:1" ht="18" customHeight="1" x14ac:dyDescent="0.3">
      <c r="A20" s="77" t="s">
        <v>94</v>
      </c>
    </row>
    <row r="21" spans="1:1" ht="18" customHeight="1" x14ac:dyDescent="0.3">
      <c r="A21" s="78" t="s">
        <v>95</v>
      </c>
    </row>
    <row r="22" spans="1:1" ht="18" customHeight="1" x14ac:dyDescent="0.3">
      <c r="A22" s="77" t="s">
        <v>94</v>
      </c>
    </row>
    <row r="23" spans="1:1" ht="18" customHeight="1" x14ac:dyDescent="0.3">
      <c r="A23" s="77"/>
    </row>
    <row r="24" spans="1:1" ht="18" customHeight="1" x14ac:dyDescent="0.3">
      <c r="A24" s="76" t="s">
        <v>96</v>
      </c>
    </row>
    <row r="25" spans="1:1" ht="18" customHeight="1" x14ac:dyDescent="0.3">
      <c r="A25" s="80" t="s">
        <v>97</v>
      </c>
    </row>
    <row r="26" spans="1:1" ht="18" customHeight="1" x14ac:dyDescent="0.3">
      <c r="A26" s="81" t="s">
        <v>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B6E98AE7-5A0C-4695-B93A-67B19F42BA1D}"/>
</file>

<file path=customXml/itemProps2.xml><?xml version="1.0" encoding="utf-8"?>
<ds:datastoreItem xmlns:ds="http://schemas.openxmlformats.org/officeDocument/2006/customXml" ds:itemID="{B1BF0E13-84BA-42B4-A056-8EA70F314F0D}"/>
</file>

<file path=customXml/itemProps3.xml><?xml version="1.0" encoding="utf-8"?>
<ds:datastoreItem xmlns:ds="http://schemas.openxmlformats.org/officeDocument/2006/customXml" ds:itemID="{93424EF1-901B-4B2E-87D9-822AA653BF4E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Dados</vt:lpstr>
      <vt:lpstr>Rejeito</vt:lpstr>
      <vt:lpstr>Resumo Diário</vt:lpstr>
      <vt:lpstr>Circuito</vt:lpstr>
      <vt:lpstr>Planilha1</vt:lpstr>
      <vt:lpstr>📋 Instruções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 Cavaliere Borges</cp:lastModifiedBy>
  <cp:revision>0</cp:revision>
  <dcterms:created xsi:type="dcterms:W3CDTF">2026-05-20T15:25:04Z</dcterms:created>
  <dcterms:modified xsi:type="dcterms:W3CDTF">2026-08-27T12:31:50Z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