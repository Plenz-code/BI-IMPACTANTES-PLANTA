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81" documentId="8_{C51EB6CB-002B-4D6B-B68F-DDEBDB4460C0}" xr6:coauthVersionLast="47" xr6:coauthVersionMax="47" xr10:uidLastSave="{1178A96A-DDBD-4271-8E77-26085CDA14BD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<sst xmlns="http://schemas.openxmlformats.org/spreadsheetml/2006/main" count="4074" uniqueCount="299">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</sst>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72" activePane="bottomLeft" state="frozen"/>
      <selection pane="bottomLeft" activeCell="L192" sqref="L19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35</v>
      </c>
      <c r="G203" s="36">
        <f>SUM(G191:G202)</f>
        <v>175</v>
      </c>
      <c r="H203" s="37"/>
      <c r="I203" s="37"/>
      <c r="J203" s="37"/>
      <c r="K203" s="37"/>
      <c r="L203" s="37"/>
      <c r="M203" s="38">
        <f ca="1">IFERROR(SUM(M191:M202),"")</f>
        <v>2.6388888888888906E-2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35</v>
      </c>
      <c r="G217" s="40">
        <f>G203+G216</f>
        <v>175</v>
      </c>
      <c r="H217" s="41"/>
      <c r="I217" s="41"/>
      <c r="J217" s="41"/>
      <c r="K217" s="41"/>
      <c r="L217" s="41"/>
      <c r="M217" s="42">
        <f ca="1">IFERROR(M203+M216,"")</f>
        <v>2.6388888888888906E-2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N181" sqref="N1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0.25420127314282581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0.39309016203171471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0.47781238425393702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</v>
      </c>
      <c r="G203" s="36">
        <f>SUM(G191:G202)</f>
        <v>8.4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</v>
      </c>
      <c r="G217" s="40">
        <f>G203+G216</f>
        <v>8.4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J182" sqref="J1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I195" sqref="I1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15</v>
      </c>
      <c r="G217" s="40">
        <f>G203+G216</f>
        <v>63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2026-08-08T13:01:35Z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