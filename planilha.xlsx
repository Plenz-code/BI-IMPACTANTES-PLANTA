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378" documentId="8_{AF585B22-221D-4780-BB9C-493D365A6A02}" xr6:coauthVersionLast="47" xr6:coauthVersionMax="47" xr10:uidLastSave="{8EF882F8-85E0-4FE3-AFF4-4F3D70DF7EFF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<sst xmlns="http://schemas.openxmlformats.org/spreadsheetml/2006/main" count="6523" uniqueCount="327">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</sst>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C21" sqref="C21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1576070</v>
      </c>
      <c r="D18" s="8">
        <f>IFERROR('Linha 1'!O406,"")</f>
        <v>281950</v>
      </c>
      <c r="E18" s="8">
        <f>IFERROR('Linha 2'!O406,"")</f>
        <v>399940</v>
      </c>
      <c r="F18" s="8">
        <f>IFERROR('Linha 3'!O406,"")</f>
        <v>565570</v>
      </c>
      <c r="G18" s="9">
        <f t="shared" si="0"/>
        <v>1247460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43719092</v>
      </c>
      <c r="D35" s="13">
        <f>IFERROR(SUM(D4:D34),"")</f>
        <v>16028150</v>
      </c>
      <c r="E35" s="13">
        <f>IFERROR(SUM(E4:E34),"")</f>
        <v>10699830</v>
      </c>
      <c r="F35" s="13">
        <f>IFERROR(SUM(F4:F34),"")</f>
        <v>19982890</v>
      </c>
      <c r="G35" s="13">
        <f>IFERROR(SUM(G4:G34),"")</f>
        <v>46710870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390" activePane="bottomLeft" state="frozen"/>
      <selection pane="bottomLeft" activeCell="J394" sqref="J39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>
        <v>16</v>
      </c>
      <c r="G394" s="28">
        <f t="shared" si="87"/>
        <v>80</v>
      </c>
      <c r="H394" s="26" t="s">
        <v>17</v>
      </c>
      <c r="I394" s="26"/>
      <c r="J394" s="26" t="s">
        <v>25</v>
      </c>
      <c r="K394" s="29">
        <v>3.6805555555555557E-2</v>
      </c>
      <c r="L394" s="29"/>
      <c r="M394" s="30">
        <f t="shared" ca="1" si="88"/>
        <v>6.9696759237558581E-3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>
        <v>11</v>
      </c>
      <c r="G395" s="34">
        <f t="shared" si="87"/>
        <v>55</v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220</v>
      </c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92</v>
      </c>
      <c r="G405" s="36">
        <f>SUM(G393:G404)</f>
        <v>460</v>
      </c>
      <c r="H405" s="37"/>
      <c r="I405" s="37"/>
      <c r="J405" s="37"/>
      <c r="K405" s="37"/>
      <c r="L405" s="37"/>
      <c r="M405" s="38">
        <f ca="1">IFERROR(SUM(M393:M404),"")</f>
        <v>1.5303009257089162E-2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352</v>
      </c>
      <c r="G406" s="40">
        <f>G392+G405</f>
        <v>1760</v>
      </c>
      <c r="H406" s="41"/>
      <c r="I406" s="41"/>
      <c r="J406" s="41"/>
      <c r="K406" s="41"/>
      <c r="L406" s="41"/>
      <c r="M406" s="42">
        <f ca="1">IFERROR(M392+M405,"")</f>
        <v>0.13058078703486692</v>
      </c>
      <c r="N406" s="40" t="s">
        <v>226</v>
      </c>
      <c r="O406" s="48">
        <f>IFERROR(O392+O405,"")</f>
        <v>1576070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87" activePane="bottomLeft" state="frozen"/>
      <selection pane="bottomLeft" activeCell="F399" sqref="F39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242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242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242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270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242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242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242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242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242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242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242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242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242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242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242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272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273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242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242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242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242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0.8041918981471099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0.96183078703599878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1.0715530092582211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242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242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242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242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257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242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274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242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242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242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242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242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275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242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238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242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197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242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/>
      <c r="M396" s="30">
        <f t="shared" ca="1" si="88"/>
        <v>6.9696759237558581E-3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242</v>
      </c>
      <c r="F397" s="27">
        <v>10</v>
      </c>
      <c r="G397" s="34">
        <f t="shared" si="87"/>
        <v>42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242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242</v>
      </c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242</v>
      </c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242</v>
      </c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242</v>
      </c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242</v>
      </c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75</v>
      </c>
      <c r="G405" s="36">
        <f>SUM(G393:G404)</f>
        <v>315</v>
      </c>
      <c r="H405" s="37"/>
      <c r="I405" s="37"/>
      <c r="J405" s="37"/>
      <c r="K405" s="37"/>
      <c r="L405" s="37"/>
      <c r="M405" s="38">
        <f ca="1">IFERROR(SUM(M393:M404),"")</f>
        <v>0.1416918981459781</v>
      </c>
      <c r="N405" s="36" t="s">
        <v>223</v>
      </c>
      <c r="O405" s="78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149</v>
      </c>
      <c r="G406" s="40">
        <f>G392+G405</f>
        <v>625.79999999999995</v>
      </c>
      <c r="H406" s="41"/>
      <c r="I406" s="41"/>
      <c r="J406" s="41"/>
      <c r="K406" s="41"/>
      <c r="L406" s="41"/>
      <c r="M406" s="42">
        <f ca="1">IFERROR(M392+M405,"")</f>
        <v>0.48196967592375584</v>
      </c>
      <c r="N406" s="40" t="s">
        <v>226</v>
      </c>
      <c r="O406" s="84">
        <f>IFERROR(O392+O405,"")</f>
        <v>281950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88" zoomScale="50" zoomScaleNormal="50" workbookViewId="0">
      <selection activeCell="F399" sqref="F39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256</v>
      </c>
      <c r="K141" s="29">
        <v>0.71597222222222223</v>
      </c>
      <c r="L141" s="29" t="s">
        <v>283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285</v>
      </c>
      <c r="N166" s="27" t="s">
        <v>286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288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289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242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242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242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242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242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242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242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242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242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242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242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242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242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242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242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242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242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242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242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242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242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242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242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242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242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242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242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242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3.888888888888889E-2</v>
      </c>
      <c r="M393" s="35">
        <f t="shared" ref="M393:M404" ca="1" si="88">IFERROR(IF(K393="","",IF(L393="",MOD(NOW()-K393,1),IF(L393&gt;=K393,L393-K393,L393+1-K393))),"")</f>
        <v>2.0833333333333329E-3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242</v>
      </c>
      <c r="F394" s="27">
        <v>10</v>
      </c>
      <c r="G394" s="28">
        <f t="shared" si="87"/>
        <v>42</v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242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242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242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242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242</v>
      </c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242</v>
      </c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242</v>
      </c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242</v>
      </c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242</v>
      </c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45</v>
      </c>
      <c r="G405" s="36">
        <f>SUM(G393:G404)</f>
        <v>198.60000000000002</v>
      </c>
      <c r="H405" s="37"/>
      <c r="I405" s="37"/>
      <c r="J405" s="37"/>
      <c r="K405" s="37"/>
      <c r="L405" s="37"/>
      <c r="M405" s="38">
        <f ca="1">IFERROR(SUM(M393:M404),"")</f>
        <v>2.0833333333333329E-3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140</v>
      </c>
      <c r="G406" s="40">
        <f>G392+G405</f>
        <v>597.60000000000014</v>
      </c>
      <c r="H406" s="41"/>
      <c r="I406" s="41"/>
      <c r="J406" s="41"/>
      <c r="K406" s="41"/>
      <c r="L406" s="41"/>
      <c r="M406" s="42">
        <f ca="1">IFERROR(M392+M405,"")</f>
        <v>3.1944444444444393E-2</v>
      </c>
      <c r="N406" s="40" t="s">
        <v>226</v>
      </c>
      <c r="O406" s="48">
        <f>IFERROR(O392+O405,"")</f>
        <v>399940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82" activePane="bottomLeft" state="frozen"/>
      <selection pane="bottomLeft" activeCell="F399" sqref="F39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298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299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300</v>
      </c>
      <c r="L58" s="29">
        <v>0.54097222222222219</v>
      </c>
      <c r="M58" s="30" t="str">
        <f t="shared" ca="1" si="13"/>
        <v/>
      </c>
      <c r="N58" s="27" t="s">
        <v>301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308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309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0.79446967592957662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0.99377523148513225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1.3611363425962433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242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242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242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242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242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242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242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242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318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319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242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251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242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242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280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242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242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242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242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242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242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242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242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242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242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242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242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242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242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242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242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242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242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325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242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242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312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242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242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242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242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242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242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242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179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326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242</v>
      </c>
      <c r="F395" s="27">
        <v>8</v>
      </c>
      <c r="G395" s="34">
        <f t="shared" si="87"/>
        <v>33.6</v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/>
      <c r="F396" s="27">
        <v>21</v>
      </c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/>
      <c r="F397" s="27">
        <v>11</v>
      </c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/>
      <c r="F398" s="27">
        <v>15</v>
      </c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90</v>
      </c>
      <c r="G405" s="36">
        <f>SUM(G393:G404)</f>
        <v>200.6</v>
      </c>
      <c r="H405" s="37"/>
      <c r="I405" s="37"/>
      <c r="J405" s="37"/>
      <c r="K405" s="61"/>
      <c r="L405" s="61"/>
      <c r="M405" s="38">
        <f ca="1">IFERROR(SUM(M393:M404),"")</f>
        <v>5.2777777777777923E-2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233</v>
      </c>
      <c r="G406" s="40">
        <f>G392+G405</f>
        <v>801.2</v>
      </c>
      <c r="H406" s="41"/>
      <c r="I406" s="41"/>
      <c r="J406" s="41"/>
      <c r="K406" s="63"/>
      <c r="L406" s="63"/>
      <c r="M406" s="42">
        <f ca="1">IFERROR(M392+M405,"")</f>
        <v>0.23541666666666689</v>
      </c>
      <c r="N406" s="40" t="s">
        <v>226</v>
      </c>
      <c r="O406" s="48">
        <f>IFERROR(O392+O405,"")</f>
        <v>565570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2026-07-16T05:03:21Z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