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317" documentId="13_ncr:1_{0A10D8D4-8450-4366-8075-B53B08E6B7EA}" xr6:coauthVersionLast="47" xr6:coauthVersionMax="47" xr10:uidLastSave="{A0BDFB20-782C-4325-99B4-6F4F12F3854A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72" i="6"/>
  <c r="J372" i="6" s="1"/>
  <c r="H373" i="6"/>
  <c r="J373" i="6" s="1"/>
  <c r="H374" i="6"/>
  <c r="J374" i="6" s="1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72" i="5"/>
  <c r="J372" i="5" s="1"/>
  <c r="H373" i="5"/>
  <c r="J373" i="5" s="1"/>
  <c r="H374" i="5"/>
  <c r="J374" i="5" s="1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72" i="4"/>
  <c r="J372" i="4" s="1"/>
  <c r="H373" i="4"/>
  <c r="J373" i="4" s="1"/>
  <c r="H374" i="4"/>
  <c r="J374" i="4" s="1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70" i="6" l="1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<sst xmlns="http://schemas.openxmlformats.org/spreadsheetml/2006/main" count="6544" uniqueCount="348">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</sst>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M25" sqref="M25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F372" sqref="F372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200</v>
      </c>
      <c r="G378" s="36">
        <f>SUM(G366:G377)</f>
        <v>1000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600</v>
      </c>
      <c r="G379" s="40">
        <f>G365+G378</f>
        <v>2966.4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G372" sqref="G37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0.93023865740542533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1.0691275462943142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1.1538497685165365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88.2</v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71.400000000000006</v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83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348.6</v>
      </c>
      <c r="L378" s="37"/>
      <c r="M378" s="37"/>
      <c r="N378" s="37"/>
      <c r="O378" s="37"/>
      <c r="P378" s="37"/>
      <c r="Q378" s="38">
        <f ca="1">IFERROR(SUM(Q366:Q377),"")</f>
        <v>7.5694444444444592E-2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191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802.2</v>
      </c>
      <c r="L379" s="41"/>
      <c r="M379" s="41"/>
      <c r="N379" s="41"/>
      <c r="O379" s="41"/>
      <c r="P379" s="41"/>
      <c r="Q379" s="42">
        <f ca="1">IFERROR(Q365+Q378,"")</f>
        <v>0.15902777777777785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72" sqref="G37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4"/>
        <v>0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4"/>
        <v>0</v>
      </c>
      <c r="K369" s="34">
        <f t="shared" si="85"/>
        <v>16.8</v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4"/>
        <v>0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4"/>
        <v>0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26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109.2</v>
      </c>
      <c r="L378" s="37"/>
      <c r="M378" s="37"/>
      <c r="N378" s="37"/>
      <c r="O378" s="37"/>
      <c r="P378" s="37"/>
      <c r="Q378" s="38">
        <f ca="1">IFERROR(SUM(Q366:Q377),"")</f>
        <v>0.10069444444444453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116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487.2000000000001</v>
      </c>
      <c r="L379" s="41"/>
      <c r="M379" s="41"/>
      <c r="N379" s="41"/>
      <c r="O379" s="41"/>
      <c r="P379" s="41"/>
      <c r="Q379" s="42">
        <f ca="1">IFERROR(Q365+Q378,"")</f>
        <v>0.29583333333333334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41" activePane="bottomLeft" state="frozen"/>
      <selection pane="bottomLeft" activeCell="G372" sqref="G37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117.60000000000001</v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128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537.59999999999991</v>
      </c>
      <c r="L378" s="37"/>
      <c r="M378" s="37"/>
      <c r="N378" s="37"/>
      <c r="O378" s="61"/>
      <c r="P378" s="61"/>
      <c r="Q378" s="38">
        <f ca="1">IFERROR(SUM(Q366:Q377),"")</f>
        <v>5.763888888888892E-2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324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1360.8</v>
      </c>
      <c r="L379" s="41"/>
      <c r="M379" s="41"/>
      <c r="N379" s="41"/>
      <c r="O379" s="63"/>
      <c r="P379" s="63"/>
      <c r="Q379" s="42">
        <f ca="1">IFERROR(Q365+Q378,"")</f>
        <v>0.1756944444444446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2026-08-15T05:14:49Z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