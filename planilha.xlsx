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09" documentId="8_{AF585B22-221D-4780-BB9C-493D365A6A02}" xr6:coauthVersionLast="47" xr6:coauthVersionMax="47" xr10:uidLastSave="{3B547E8A-43FF-42C5-A2EE-D283B538FFB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<sst xmlns="http://schemas.openxmlformats.org/spreadsheetml/2006/main" count="3930" uniqueCount="271">
  <si>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</si>
  <si>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</si>
  <si>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</si>
  <si>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</si>
  <si>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</si>
  <si>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</si>
  <si>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</si>
  <si>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</si>
  <si>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</si>
  <si>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</si>
  <si>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</si>
  <si>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</si>
  <si>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</si>
  <si>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</si>
  <si>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</si>
  <si>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</si>
  <si>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</si>
  <si>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</si>
  <si>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</si>
  <si>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</si>
  <si>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</si>
  <si>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</si>
  <si>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</si>
  <si>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</si>
  <si>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</si>
  <si>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</si>
  <si>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</si>
  <si>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</si>
  <si>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</si>
  <si>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</si>
  <si>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</si>
  <si>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</si>
  <si>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</si>
  <si>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</si>
  <si>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</si>
  <si>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</si>
  <si>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</si>
  <si>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</si>
  <si>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</si>
  <si>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</si>
  <si>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</si>
  <si>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</si>
  <si>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</si>
  <si>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</si>
  <si>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</si>
  <si>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</si>
  <si>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</si>
  <si>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</si>
  <si>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</si>
  <si>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</si>
  <si>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</si>
  <si>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</si>
  <si>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</si>
  <si>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</si>
  <si>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</si>
  <si>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</si>
  <si>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</si>
  <si>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</si>
  <si>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</si>
  <si>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</si>
  <si>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</si>
  <si>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</si>
  <si>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</si>
  <si>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</si>
  <si>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</si>
  <si>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</si>
  <si>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</si>
  <si>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</si>
  <si>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</si>
  <si>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</si>
  <si>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</si>
  <si>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</si>
  <si>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</si>
  <si>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</si>
  <si>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</si>
  <si>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</si>
  <si>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</si>
  <si>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</si>
  <si>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</si>
  <si>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</si>
  <si>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</si>
  <si>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</si>
  <si>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</si>
  <si>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</si>
  <si>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</si>
  <si>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</si>
  <si>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</si>
  <si>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</si>
  <si>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</si>
  <si>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</si>
  <si>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</si>
  <si>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</si>
  <si>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</si>
  <si>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</si>
  <si>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</si>
  <si>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</si>
  <si>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</si>
  <si>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</si>
  <si>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</si>
  <si>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</si>
  <si>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</si>
  <si>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</si>
  <si>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</si>
  <si>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</si>
  <si>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</si>
  <si>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</si>
  <si>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</si>
  <si>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</si>
  <si>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</si>
  <si>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</si>
  <si>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</si>
  <si>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</si>
  <si>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</si>
  <si>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</si>
  <si>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</si>
  <si>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</si>
  <si>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</si>
  <si>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</si>
  <si>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</si>
  <si>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</si>
  <si>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</si>
  <si>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</si>
  <si>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</si>
  <si>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</si>
  <si>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</si>
  <si>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</si>
  <si>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</si>
  <si>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</si>
  <si>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</si>
  <si>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</si>
  <si>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</si>
  <si>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</si>
  <si>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</si>
  <si>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</si>
  <si>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</si>
  <si>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</si>
  <si>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</si>
  <si>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</si>
  <si>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</si>
  <si>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</si>
  <si>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</si>
  <si>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</si>
  <si>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</si>
  <si>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</si>
  <si>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</si>
  <si>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</si>
  <si>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</si>
  <si>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</si>
  <si>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</si>
  <si>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</si>
  <si>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</si>
  <si>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</si>
  <si>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</si>
  <si>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</si>
  <si>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</si>
  <si>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</si>
  <si>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</si>
  <si>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</si>
  <si>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</si>
  <si>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</si>
  <si>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</si>
  <si>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</si>
  <si>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</si>
  <si>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</si>
  <si>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</si>
  <si>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</si>
  <si>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</si>
  <si>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</si>
  <si>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</si>
  <si>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</si>
  <si>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</si>
  <si>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</si>
  <si>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</si>
  <si>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</si>
  <si>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</si>
  <si>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</si>
  <si>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</si>
  <si>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</si>
  <si>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</si>
  <si>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</si>
  <si>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</si>
  <si>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</si>
  <si>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</si>
  <si>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</si>
  <si>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</si>
  <si>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</si>
  <si>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</si>
  <si>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</si>
  <si>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</si>
  <si>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</si>
  <si>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</si>
  <si>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</si>
  <si>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</si>
  <si>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</si>
  <si>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</si>
  <si>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</si>
  <si>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</si>
  <si>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</si>
  <si>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</si>
  <si>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</si>
  <si>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</si>
  <si>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</si>
  <si>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</si>
  <si>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</si>
  <si>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</si>
  <si>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</si>
  <si>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</si>
  <si>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</si>
  <si>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</si>
  <si>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</si>
  <si>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</si>
  <si>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</si>
  <si>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</si>
  <si>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</si>
  <si>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</si>
  <si>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</si>
  <si>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</si>
  <si>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</si>
  <si>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</si>
  <si>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</si>
  <si>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</si>
  <si>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</si>
  <si>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</si>
  <si>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</si>
  <si>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</si>
  <si>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</si>
  <si>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</si>
  <si>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</si>
  <si>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</si>
  <si>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</si>
  <si>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</si>
  <si>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</si>
  <si>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</si>
  <si>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</si>
  <si>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</si>
  <si>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</si>
  <si>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</si>
  <si>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</si>
  <si>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</si>
  <si>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</si>
  <si>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</si>
  <si>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</si>
  <si>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</si>
  <si>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</si>
  <si>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</si>
  <si>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</si>
  <si>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</si>
  <si>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</si>
  <si>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</si>
  <si>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</si>
  <si>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</si>
  <si>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</si>
  <si>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</si>
  <si>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</si>
  <si>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</si>
  <si>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</si>
  <si>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</si>
  <si>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</si>
  <si>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</si>
  <si>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</si>
  <si>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</si>
  <si>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</si>
  <si>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</si>
  <si>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</si>
  <si>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</si>
  <si>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</si>
  <si>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</si>
  <si>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</si>
  <si>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</si>
  <si>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</si>
  <si>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quebrou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</si>
</sst>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0" sqref="F2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/>
      <c r="I218" s="26"/>
      <c r="J218" s="26"/>
      <c r="K218" s="29">
        <v>0.29166666666666669</v>
      </c>
      <c r="L218" s="29"/>
      <c r="M218" s="30">
        <f t="shared" ref="M218:M229" ca="1" si="49">IFERROR(IF(K218="","",IF(L218="",MOD(NOW()-K218,1),IF(L218&gt;=K218,L218-K218,L218+1-K218))),"")</f>
        <v>0.1224247685240698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33</v>
      </c>
      <c r="G230" s="36">
        <f>SUM(G218:G229)</f>
        <v>165</v>
      </c>
      <c r="H230" s="37"/>
      <c r="I230" s="37"/>
      <c r="J230" s="37"/>
      <c r="K230" s="37"/>
      <c r="L230" s="37"/>
      <c r="M230" s="38">
        <f ca="1">IFERROR(SUM(M218:M229),"")</f>
        <v>0.1224247685240698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33</v>
      </c>
      <c r="G244" s="40">
        <f>G230+G243</f>
        <v>165</v>
      </c>
      <c r="H244" s="41"/>
      <c r="I244" s="41"/>
      <c r="J244" s="41"/>
      <c r="K244" s="41"/>
      <c r="L244" s="41"/>
      <c r="M244" s="42">
        <f ca="1">IFERROR(M230+M243,"")</f>
        <v>0.1224247685240698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0" sqref="F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28</v>
      </c>
      <c r="G230" s="36">
        <f>SUM(G218:G229)</f>
        <v>117.60000000000001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28</v>
      </c>
      <c r="G244" s="40">
        <f>G230+G243</f>
        <v>117.60000000000001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0" sqref="F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25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25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N218" sqref="N2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0.16478587963501923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0.36409143519057485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0.73145254630168588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/>
      <c r="M218" s="30">
        <f t="shared" ref="M218:M229" ca="1" si="49">IFERROR(IF(K218="","",IF(L218="",MOD(NOW()-K218,1),IF(L218&gt;=K218,L218-K218,L218+1-K218))),"")</f>
        <v>7.867476851970423E-2</v>
      </c>
      <c r="N218" s="27" t="s">
        <v>270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0</v>
      </c>
      <c r="G219" s="34">
        <f t="shared" si="48"/>
        <v>0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</v>
      </c>
      <c r="G230" s="36">
        <f>SUM(G218:G229)</f>
        <v>96.600000000000009</v>
      </c>
      <c r="H230" s="37"/>
      <c r="I230" s="37"/>
      <c r="J230" s="37"/>
      <c r="K230" s="61"/>
      <c r="L230" s="61"/>
      <c r="M230" s="38">
        <f ca="1">IFERROR(SUM(M218:M229),"")</f>
        <v>7.867476851970423E-2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</v>
      </c>
      <c r="G244" s="40">
        <f>G230+G243</f>
        <v>96.600000000000009</v>
      </c>
      <c r="H244" s="41"/>
      <c r="I244" s="41"/>
      <c r="J244" s="41"/>
      <c r="K244" s="63"/>
      <c r="L244" s="63"/>
      <c r="M244" s="42">
        <f ca="1">IFERROR(M230+M243,"")</f>
        <v>7.867476851970423E-2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2026-07-09T13:56:22Z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