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92" documentId="8_{AF585B22-221D-4780-BB9C-493D365A6A02}" xr6:coauthVersionLast="47" xr6:coauthVersionMax="47" xr10:uidLastSave="{5D4C5A80-F9F9-4F34-B5CA-3B299100CDC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<sst xmlns="http://schemas.openxmlformats.org/spreadsheetml/2006/main" count="9121" uniqueCount="377">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</sst>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J582" sqref="J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/>
      <c r="M582" s="30">
        <f t="shared" ref="M582:M593" ca="1" si="130">IFERROR(IF(K582="","",IF(L582="",MOD(NOW()-K582,1),IF(L582&gt;=K582,L582-K582,L582+1-K582))),"")</f>
        <v>2.4956018460216001E-3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67</v>
      </c>
      <c r="G594" s="36">
        <f>SUM(G582:G593)</f>
        <v>335</v>
      </c>
      <c r="H594" s="37"/>
      <c r="I594" s="37"/>
      <c r="J594" s="37"/>
      <c r="K594" s="37"/>
      <c r="L594" s="37"/>
      <c r="M594" s="38">
        <f ca="1">IFERROR(SUM(M582:M593),"")</f>
        <v>2.4956018460216001E-3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253</v>
      </c>
      <c r="G595" s="40">
        <f>G581+G594</f>
        <v>1265</v>
      </c>
      <c r="H595" s="41"/>
      <c r="I595" s="41"/>
      <c r="J595" s="41"/>
      <c r="K595" s="41"/>
      <c r="L595" s="41"/>
      <c r="M595" s="42">
        <f ca="1">IFERROR(M581+M594,"")</f>
        <v>6.0828935179354893E-2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6" sqref="F5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0.7212456018460216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0.87888449073491048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0.98860671295713265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0.69971782407083083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0.87055115740416422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1.0156900462930532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42</v>
      </c>
      <c r="G594" s="36">
        <f>SUM(G582:G593)</f>
        <v>185.2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272</v>
      </c>
      <c r="G595" s="40">
        <f>G581+G594</f>
        <v>1151.2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6" sqref="F5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18</v>
      </c>
      <c r="G594" s="36">
        <f>SUM(G582:G593)</f>
        <v>79.599999999999994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71</v>
      </c>
      <c r="G595" s="40">
        <f>G581+G594</f>
        <v>302.20000000000005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86" sqref="F5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0.71152337962848833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0.91082893518404395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1.278190046295155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25</v>
      </c>
      <c r="G594" s="36">
        <f>SUM(G582:G593)</f>
        <v>105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25</v>
      </c>
      <c r="G595" s="40">
        <f>G581+G594</f>
        <v>105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2026-07-23T03:03:54Z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