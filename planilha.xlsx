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7" documentId="13_ncr:1_{A6DBCFB4-28D9-4249-9038-216934055CA6}" xr6:coauthVersionLast="47" xr6:coauthVersionMax="47" xr10:uidLastSave="{A93E844A-5087-4B8A-892A-26E195B97B19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8" i="5" l="1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<sst xmlns="http://schemas.openxmlformats.org/spreadsheetml/2006/main" count="8598" uniqueCount="398">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</sst>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8" sqref="D50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267</v>
      </c>
      <c r="G513" s="2">
        <f>SUM(G501:G512)</f>
        <v>1335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549</v>
      </c>
      <c r="G514" s="1">
        <f>G500+G513</f>
        <v>2745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8" sqref="G50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1.5313425923523027E-2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0.15420231481241076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0.23892453703463357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77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323.40000000000003</v>
      </c>
      <c r="L513" s="72"/>
      <c r="M513" s="72"/>
      <c r="N513" s="72"/>
      <c r="O513" s="72"/>
      <c r="P513" s="72"/>
      <c r="Q513" s="73">
        <f ca="1">IFERROR(SUM(Q501:Q512),"")</f>
        <v>6.5277777777777643E-2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219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928.60000000000014</v>
      </c>
      <c r="L514" s="76"/>
      <c r="M514" s="76"/>
      <c r="N514" s="76"/>
      <c r="O514" s="76"/>
      <c r="P514" s="76"/>
      <c r="Q514" s="77">
        <f ca="1">IFERROR(Q500+Q513,"")</f>
        <v>0.15694444444444428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E508" sqref="E50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0.13333333333333333</v>
      </c>
      <c r="Q505" s="71">
        <f t="shared" ca="1" si="125"/>
        <v>2.7777777777777679E-3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52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218.4</v>
      </c>
      <c r="L513" s="72"/>
      <c r="M513" s="72"/>
      <c r="N513" s="72"/>
      <c r="O513" s="72"/>
      <c r="P513" s="72"/>
      <c r="Q513" s="73">
        <f ca="1">IFERROR(SUM(Q501:Q512),"")</f>
        <v>7.2916666666666546E-2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124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524.79999999999995</v>
      </c>
      <c r="L514" s="76"/>
      <c r="M514" s="76"/>
      <c r="N514" s="76"/>
      <c r="O514" s="76"/>
      <c r="P514" s="76"/>
      <c r="Q514" s="77">
        <f ca="1">IFERROR(Q500+Q513,"")</f>
        <v>0.16874999999999998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E508" sqref="E50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397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 t="s">
        <v>274</v>
      </c>
      <c r="F508" s="88" t="str">
        <f>IFERROR(IF($D508="","",VLOOKUP($D508,Cadastro!$C$4:$E$7,3,FALSE())),"")</f>
        <v/>
      </c>
      <c r="G508" s="89">
        <v>21</v>
      </c>
      <c r="H508" s="88">
        <f>IFERROR(IF($G508="","",$G508*$S$513/$G$513/Cadastro!$E$33),"")</f>
        <v>0</v>
      </c>
      <c r="I508" s="90" t="str">
        <f>IFERROR(IF($D508="","",VLOOKUP($D508,Cadastro!$C$4:$G$7,5,FALSE())),"")</f>
        <v/>
      </c>
      <c r="J508" s="91" t="str">
        <f t="shared" si="126"/>
        <v/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118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320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2026-08-20T07:17:03Z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