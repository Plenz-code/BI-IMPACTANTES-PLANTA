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210" documentId="8_{AF585B22-221D-4780-BB9C-493D365A6A02}" xr6:coauthVersionLast="47" xr6:coauthVersionMax="47" xr10:uidLastSave="{A71B908E-8454-48DC-B2FC-C644F2C34835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<sst xmlns="http://schemas.openxmlformats.org/spreadsheetml/2006/main" count="11185" uniqueCount="414">
  <si>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</si>
  <si>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</si>
  <si>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</si>
  <si>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</si>
  <si>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</si>
  <si>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</si>
  <si>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</si>
  <si>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</si>
  <si>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</si>
  <si>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</si>
  <si>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</si>
  <si>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</si>
  <si>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</si>
  <si>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</si>
  <si>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</si>
  <si>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</si>
  <si>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</si>
  <si>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</si>
  <si>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</si>
  <si>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</si>
  <si>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</si>
  <si>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</si>
  <si>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</si>
  <si>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</si>
  <si>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</si>
  <si>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</si>
  <si>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</si>
  <si>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</si>
  <si>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</si>
  <si>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</si>
  <si>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</si>
  <si>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</si>
  <si>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</si>
  <si>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</si>
  <si>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</si>
  <si>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</si>
  <si>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</si>
  <si>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</si>
  <si>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</si>
  <si>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</si>
  <si>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</si>
  <si>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</si>
  <si>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</si>
  <si>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</si>
  <si>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</si>
  <si>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</si>
  <si>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</si>
  <si>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</si>
  <si>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</si>
  <si>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</si>
  <si>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</si>
  <si>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</si>
  <si>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</si>
  <si>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</si>
  <si>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</si>
  <si>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</si>
  <si>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</si>
  <si>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</si>
  <si>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</si>
  <si>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</si>
  <si>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</si>
  <si>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</si>
  <si>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</si>
  <si>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</si>
  <si>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</si>
  <si>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</si>
  <si>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</si>
  <si>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</si>
  <si>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</si>
  <si>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</si>
  <si>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</si>
  <si>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</si>
  <si>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</si>
  <si>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</si>
  <si>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</si>
  <si>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</si>
  <si>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</si>
  <si>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</si>
  <si>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</si>
  <si>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</si>
  <si>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</si>
  <si>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</si>
  <si>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</si>
  <si>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</si>
  <si>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</si>
  <si>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</si>
  <si>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</si>
  <si>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</si>
  <si>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</si>
  <si>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</si>
  <si>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</si>
  <si>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</si>
  <si>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</si>
  <si>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</si>
  <si>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</si>
  <si>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</si>
  <si>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</si>
  <si>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</si>
  <si>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</si>
  <si>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</si>
  <si>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</si>
  <si>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</si>
  <si>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</si>
  <si>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</si>
  <si>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</si>
  <si>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</si>
  <si>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</si>
  <si>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</si>
  <si>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</si>
  <si>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</si>
  <si>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</si>
  <si>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</si>
  <si>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</si>
  <si>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</si>
  <si>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</si>
  <si>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</si>
  <si>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</si>
  <si>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</si>
  <si>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</si>
  <si>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</si>
  <si>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</si>
  <si>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</si>
  <si>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</si>
  <si>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</si>
  <si>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</si>
  <si>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</si>
  <si>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</si>
  <si>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</si>
  <si>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</si>
  <si>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</si>
  <si>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</si>
  <si>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</si>
  <si>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</si>
  <si>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</si>
  <si>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</si>
  <si>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</si>
  <si>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</si>
  <si>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</si>
  <si>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</si>
  <si>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</si>
  <si>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</si>
  <si>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</si>
  <si>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</si>
  <si>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</si>
  <si>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</si>
  <si>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</si>
  <si>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</si>
  <si>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</si>
  <si>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</si>
  <si>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</si>
  <si>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</si>
  <si>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</si>
  <si>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</si>
  <si>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</si>
  <si>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</si>
  <si>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</si>
  <si>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</si>
  <si>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</si>
  <si>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</si>
  <si>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</si>
  <si>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</si>
  <si>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</si>
  <si>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</si>
  <si>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</si>
  <si>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</si>
  <si>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</si>
  <si>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</si>
  <si>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</si>
  <si>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</si>
  <si>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</si>
  <si>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</si>
  <si>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</si>
  <si>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</si>
  <si>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</si>
  <si>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</si>
  <si>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</si>
  <si>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</si>
  <si>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</si>
  <si>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</si>
  <si>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</si>
  <si>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</si>
  <si>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</si>
  <si>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</si>
  <si>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</si>
  <si>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</si>
  <si>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</si>
  <si>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</si>
  <si>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</si>
  <si>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</si>
  <si>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</si>
  <si>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</si>
  <si>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</si>
  <si>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</si>
  <si>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</si>
  <si>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</si>
  <si>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</si>
  <si>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</si>
  <si>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</si>
  <si>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</si>
  <si>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</si>
  <si>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</si>
  <si>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</si>
  <si>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</si>
  <si>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</si>
  <si>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</si>
  <si>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</si>
  <si>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</si>
  <si>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</si>
  <si>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</si>
  <si>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</si>
  <si>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</si>
  <si>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</si>
  <si>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</si>
  <si>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</si>
  <si>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</si>
  <si>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</si>
  <si>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</si>
  <si>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</si>
  <si>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</si>
  <si>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</si>
  <si>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</si>
  <si>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</si>
  <si>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</si>
  <si>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</si>
  <si>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</si>
  <si>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</si>
  <si>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</si>
  <si>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</si>
  <si>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</si>
  <si>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</si>
  <si>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</si>
  <si>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</si>
  <si>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</si>
  <si>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</si>
  <si>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</si>
  <si>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</si>
  <si>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</si>
  <si>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</si>
  <si>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</si>
  <si>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</si>
  <si>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</si>
  <si>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</si>
  <si>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</si>
  <si>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</si>
  <si>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</si>
  <si>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</si>
  <si>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</si>
  <si>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</si>
  <si>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</si>
  <si>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</si>
  <si>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</si>
  <si>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</si>
  <si>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</si>
  <si>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</si>
  <si>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</si>
  <si>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</si>
  <si>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</si>
  <si>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</si>
  <si>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</si>
  <si>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</si>
  <si>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</si>
  <si>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</si>
  <si>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</si>
  <si>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</si>
  <si>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</si>
  <si>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</si>
  <si>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</si>
  <si>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</si>
  <si>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</si>
  <si>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</si>
  <si>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</si>
  <si>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</si>
  <si>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</si>
  <si>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</si>
  <si>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</si>
  <si>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</si>
  <si>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</si>
  <si>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</si>
  <si>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</si>
  <si>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</si>
  <si>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</si>
  <si>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</si>
  <si>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</si>
  <si>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</si>
  <si>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</si>
  <si>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</si>
  <si>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</si>
  <si>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</si>
  <si>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</si>
  <si>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</si>
  <si>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</si>
  <si>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</si>
  <si>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</si>
  <si>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</si>
  <si>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</si>
  <si>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</si>
  <si>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</si>
  <si>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</si>
  <si>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</si>
  <si>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</si>
  <si>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</si>
  <si>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</si>
  <si>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</si>
  <si>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</si>
  <si>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</si>
  <si>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</si>
  <si>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</si>
  <si>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</si>
  <si>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</si>
  <si>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</si>
  <si>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</si>
  <si>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</si>
  <si>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</si>
  <si>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</si>
  <si>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</si>
  <si>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</si>
  <si>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</si>
  <si>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</si>
  <si>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</si>
  <si>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</si>
  <si>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</si>
  <si>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</si>
  <si>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</si>
  <si>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</si>
  <si>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</si>
  <si>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</si>
  <si>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</si>
  <si>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</si>
  <si>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</si>
  <si>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</si>
  <si>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</si>
  <si>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ajuste das grelhas , reajuste do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</si>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</sst>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F741" sqref="F74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231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231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231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231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231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231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231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375</v>
      </c>
      <c r="G743" s="36">
        <f>SUM(G731:G742)</f>
        <v>1875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375</v>
      </c>
      <c r="G757" s="40">
        <f>G743+G756</f>
        <v>1875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24" activePane="bottomLeft" state="frozen"/>
      <selection pane="bottomLeft" activeCell="L738" sqref="L73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0.49867430555605097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0.65631319444493985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0.76603541666716202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0.4771465277808602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0.64797986111419359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0.79311875000308252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>
        <v>15</v>
      </c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121</v>
      </c>
      <c r="G743" s="36">
        <f>SUM(G731:G742)</f>
        <v>445.20000000000005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121</v>
      </c>
      <c r="G757" s="40">
        <f>G743+G756</f>
        <v>445.20000000000005</v>
      </c>
      <c r="H757" s="41"/>
      <c r="I757" s="41"/>
      <c r="J757" s="41"/>
      <c r="K757" s="41"/>
      <c r="L757" s="41"/>
      <c r="M757" s="42">
        <f ca="1">IFERROR(M743+M756,"")</f>
        <v>7.0138888888888862E-2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1" zoomScale="50" zoomScaleNormal="50" workbookViewId="0">
      <selection activeCell="F740" sqref="F74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339</v>
      </c>
      <c r="N166" s="27" t="s">
        <v>340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359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360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0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258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319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258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258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258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319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258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258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258</v>
      </c>
      <c r="F741" s="27"/>
      <c r="G741" s="34" t="str">
        <f>IF(F741="","",IF(E742="PC 17",F741*4.2,IF(E742="PC 19",F741*5,"")))</f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258</v>
      </c>
      <c r="F742" s="27"/>
      <c r="G742" s="28" t="str">
        <f>IF(F742="","",IF(#REF!="PC 17",F742*4.2,IF(#REF!="PC 19",F742*5,"")))</f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51</v>
      </c>
      <c r="G743" s="36">
        <f>SUM(G731:G742)</f>
        <v>214.2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51</v>
      </c>
      <c r="G757" s="40">
        <f>G743+G756</f>
        <v>214.2</v>
      </c>
      <c r="H757" s="41"/>
      <c r="I757" s="41"/>
      <c r="J757" s="41"/>
      <c r="K757" s="41"/>
      <c r="L757" s="41"/>
      <c r="M757" s="42">
        <f ca="1">IFERROR(M743+M756,"")</f>
        <v>6.458333333333327E-2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8" activePane="bottomLeft" state="frozen"/>
      <selection pane="bottomLeft" activeCell="L738" sqref="L73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365</v>
      </c>
      <c r="L58" s="29">
        <v>0.54097222222222219</v>
      </c>
      <c r="M58" s="30" t="str">
        <f t="shared" ca="1" si="13"/>
        <v/>
      </c>
      <c r="N58" s="27" t="s">
        <v>366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0.4889520833385177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0.68825763889407332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1.0556187500051843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/>
      <c r="M738" s="30">
        <f t="shared" ca="1" si="163"/>
        <v>2.4368750004214235E-2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144</v>
      </c>
      <c r="G743" s="36">
        <f>SUM(G731:G742)</f>
        <v>604.79999999999995</v>
      </c>
      <c r="H743" s="37"/>
      <c r="I743" s="37"/>
      <c r="J743" s="37"/>
      <c r="K743" s="61"/>
      <c r="L743" s="61"/>
      <c r="M743" s="38">
        <f ca="1">IFERROR(SUM(M731:M742),"")</f>
        <v>1.1056187500042141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144</v>
      </c>
      <c r="G757" s="40">
        <f>G743+G756</f>
        <v>604.79999999999995</v>
      </c>
      <c r="H757" s="41"/>
      <c r="I757" s="41"/>
      <c r="J757" s="41"/>
      <c r="K757" s="63"/>
      <c r="L757" s="63"/>
      <c r="M757" s="42">
        <f ca="1">IFERROR(M743+M756,"")</f>
        <v>1.1056187500042141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2026-07-28T21:43:40Z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