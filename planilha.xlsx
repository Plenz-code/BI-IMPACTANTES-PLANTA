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443" documentId="13_ncr:1_{A6DBCFB4-28D9-4249-9038-216934055CA6}" xr6:coauthVersionLast="47" xr6:coauthVersionMax="47" xr10:uidLastSave="{D6CA0386-9A68-46BE-914C-B494FDAD1B97}"/>
  <bookViews>
    <workbookView xWindow="-120" yWindow="-120" windowWidth="29040" windowHeight="15720" tabRatio="500" firstSheet="4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H584" i="5" s="1"/>
  <c r="J584" i="5" s="1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H585" i="5"/>
  <c r="J585" i="5" s="1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H585" i="4" s="1"/>
  <c r="J585" i="4" s="1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F586" i="4"/>
  <c r="Q585" i="4"/>
  <c r="K585" i="4"/>
  <c r="I585" i="4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K594" i="6" l="1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73" i="5"/>
  <c r="J574" i="5"/>
  <c r="J575" i="5"/>
  <c r="J576" i="5"/>
  <c r="J577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28" i="4" s="1"/>
  <c r="Q635" i="5"/>
  <c r="Q257" i="5"/>
  <c r="Q176" i="5"/>
  <c r="M621" i="3"/>
  <c r="M81" i="3"/>
  <c r="Q622" i="6"/>
  <c r="M486" i="3"/>
  <c r="M716" i="3"/>
  <c r="Q716" i="4"/>
  <c r="Q608" i="4"/>
  <c r="Q176" i="6"/>
  <c r="Q702" i="4"/>
  <c r="Q703" i="4" s="1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649" i="4" s="1"/>
  <c r="Q594" i="6"/>
  <c r="Q595" i="6" s="1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649" i="6" s="1"/>
  <c r="Q729" i="5"/>
  <c r="Q486" i="5"/>
  <c r="Q459" i="5"/>
  <c r="Q27" i="5"/>
  <c r="M837" i="3"/>
  <c r="M838" i="3" s="1"/>
  <c r="M324" i="3"/>
  <c r="Q662" i="4"/>
  <c r="Q513" i="5"/>
  <c r="Q149" i="5"/>
  <c r="Q135" i="5"/>
  <c r="M770" i="3"/>
  <c r="Q270" i="4"/>
  <c r="Q446" i="4"/>
  <c r="Q743" i="6"/>
  <c r="Q270" i="6"/>
  <c r="M729" i="3"/>
  <c r="M513" i="3"/>
  <c r="M514" i="3" s="1"/>
  <c r="M95" i="3"/>
  <c r="Q554" i="4"/>
  <c r="M392" i="3"/>
  <c r="M122" i="3"/>
  <c r="Q351" i="4"/>
  <c r="Q189" i="4"/>
  <c r="Q190" i="4" s="1"/>
  <c r="M797" i="3"/>
  <c r="M594" i="3"/>
  <c r="Q621" i="5"/>
  <c r="Q270" i="5"/>
  <c r="Q216" i="5"/>
  <c r="Q68" i="5"/>
  <c r="M783" i="3"/>
  <c r="M338" i="3"/>
  <c r="M352" i="3" s="1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Q568" i="5" s="1"/>
  <c r="M675" i="3"/>
  <c r="M189" i="3"/>
  <c r="M190" i="3" s="1"/>
  <c r="Q783" i="4"/>
  <c r="Q54" i="6"/>
  <c r="Q55" i="6" s="1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217" i="6" s="1"/>
  <c r="Q95" i="6"/>
  <c r="Q810" i="5"/>
  <c r="Q756" i="5"/>
  <c r="Q743" i="5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Q109" i="6" l="1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<sst xmlns="http://schemas.openxmlformats.org/spreadsheetml/2006/main" count="9908" uniqueCount="424">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</sst>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E34" sqref="E3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0" t="s">
        <v>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</row>
    <row r="2" spans="1:12" ht="30" customHeight="1">
      <c r="A2" s="161"/>
      <c r="B2" s="16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2640170</v>
      </c>
      <c r="D25" s="26">
        <f>IFERROR('Linha 1'!S595,"")</f>
        <v>175540</v>
      </c>
      <c r="E25" s="26">
        <f>IFERROR('Linha 2'!S595,"")</f>
        <v>631330</v>
      </c>
      <c r="F25" s="26">
        <f>IFERROR('Linha 3'!S595,"")</f>
        <v>759800</v>
      </c>
      <c r="G25" s="27">
        <f t="shared" si="0"/>
        <v>1566670</v>
      </c>
      <c r="H25" s="21">
        <f>IFERROR('Linha 1'!T595+'Linha 2'!T595+'Linha 3'!T595,0)</f>
        <v>329.00069999999994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2" t="s">
        <v>16</v>
      </c>
      <c r="B35" s="162"/>
      <c r="C35" s="30">
        <f t="shared" ref="C35:I35" si="2">IFERROR(SUM(C4:C34),"")</f>
        <v>77741110</v>
      </c>
      <c r="D35" s="30">
        <f t="shared" si="2"/>
        <v>24834990</v>
      </c>
      <c r="E35" s="30">
        <f t="shared" si="2"/>
        <v>14126950</v>
      </c>
      <c r="F35" s="30">
        <f t="shared" si="2"/>
        <v>33428650</v>
      </c>
      <c r="G35" s="30">
        <f t="shared" si="2"/>
        <v>72390590</v>
      </c>
      <c r="H35" s="31">
        <f t="shared" si="2"/>
        <v>6787.4583326915117</v>
      </c>
      <c r="I35" s="31">
        <f t="shared" si="2"/>
        <v>4967.05</v>
      </c>
      <c r="J35" s="32">
        <f>I35/H35</f>
        <v>0.73179823087479001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6" zoomScale="85" zoomScaleNormal="85" workbookViewId="0">
      <selection activeCell="P28" sqref="P28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3" t="s">
        <v>17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4"/>
      <c r="N1" s="165" t="s">
        <v>18</v>
      </c>
      <c r="O1" s="165"/>
      <c r="P1" s="165"/>
      <c r="Q1" s="165"/>
      <c r="R1" s="165"/>
    </row>
    <row r="2" spans="1:18" ht="4.5" customHeight="1">
      <c r="M2" s="16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4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4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4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4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4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4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4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4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4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4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4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4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4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4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4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4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4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4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4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4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4"/>
      <c r="N28" s="37"/>
      <c r="O28" s="37"/>
      <c r="P28" s="37" t="s">
        <v>121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4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4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4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4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4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4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4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4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4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4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4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4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4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4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4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4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4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4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4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4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4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4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4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4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4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4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4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4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4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4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4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4"/>
      <c r="N60" s="37"/>
      <c r="O60" s="37"/>
      <c r="P60" s="53" t="s">
        <v>114</v>
      </c>
      <c r="Q60" s="37"/>
      <c r="R60" s="37"/>
    </row>
    <row r="61" spans="1:18" ht="15" customHeight="1">
      <c r="M61" s="164"/>
      <c r="N61" s="40"/>
      <c r="O61" s="40"/>
      <c r="P61" s="40" t="s">
        <v>224</v>
      </c>
      <c r="Q61" s="40"/>
      <c r="R61" s="40"/>
    </row>
    <row r="62" spans="1:18" ht="15" customHeight="1">
      <c r="M62" s="164"/>
      <c r="N62" s="37"/>
      <c r="O62" s="37"/>
      <c r="P62" s="37" t="s">
        <v>225</v>
      </c>
      <c r="Q62" s="37"/>
      <c r="R62" s="37"/>
    </row>
    <row r="63" spans="1:18" ht="15" customHeight="1">
      <c r="M63" s="164"/>
      <c r="N63" s="40"/>
      <c r="O63" s="40"/>
      <c r="P63" s="40" t="s">
        <v>226</v>
      </c>
      <c r="Q63" s="40"/>
      <c r="R63" s="40"/>
    </row>
    <row r="64" spans="1:18" ht="15" customHeight="1">
      <c r="M64" s="164"/>
      <c r="N64" s="37"/>
      <c r="O64" s="37"/>
      <c r="P64" s="37" t="s">
        <v>227</v>
      </c>
      <c r="Q64" s="37"/>
      <c r="R64" s="37"/>
    </row>
    <row r="65" spans="13:18" ht="15" customHeight="1">
      <c r="M65" s="164"/>
      <c r="N65" s="40"/>
      <c r="O65" s="40"/>
      <c r="P65" s="40" t="s">
        <v>228</v>
      </c>
      <c r="Q65" s="40"/>
      <c r="R65" s="40"/>
    </row>
    <row r="66" spans="13:18" ht="15" customHeight="1">
      <c r="M66" s="164"/>
      <c r="N66" s="37"/>
      <c r="O66" s="37"/>
      <c r="P66" s="37" t="s">
        <v>229</v>
      </c>
      <c r="Q66" s="37"/>
      <c r="R66" s="37"/>
    </row>
    <row r="67" spans="13:18" ht="15" customHeight="1">
      <c r="M67" s="164"/>
      <c r="N67" s="40"/>
      <c r="O67" s="40"/>
      <c r="P67" s="40" t="s">
        <v>230</v>
      </c>
      <c r="Q67" s="40"/>
      <c r="R67" s="40"/>
    </row>
    <row r="68" spans="13:18" ht="15" customHeight="1">
      <c r="M68" s="164"/>
      <c r="N68" s="37"/>
      <c r="O68" s="37"/>
      <c r="P68" s="37" t="s">
        <v>231</v>
      </c>
      <c r="Q68" s="37"/>
      <c r="R68" s="37"/>
    </row>
    <row r="69" spans="13:18" ht="15" customHeight="1">
      <c r="M69" s="164"/>
      <c r="N69" s="40"/>
      <c r="O69" s="40"/>
      <c r="P69" s="40" t="s">
        <v>232</v>
      </c>
      <c r="Q69" s="40"/>
      <c r="R69" s="40"/>
    </row>
    <row r="70" spans="13:18" ht="15" customHeight="1">
      <c r="M70" s="164"/>
      <c r="N70" s="37"/>
      <c r="O70" s="37"/>
      <c r="P70" s="37" t="s">
        <v>233</v>
      </c>
      <c r="Q70" s="37"/>
      <c r="R70" s="37"/>
    </row>
    <row r="71" spans="13:18" ht="15" customHeight="1">
      <c r="M71" s="164"/>
      <c r="N71" s="40"/>
      <c r="O71" s="40"/>
      <c r="P71" s="40" t="s">
        <v>234</v>
      </c>
      <c r="Q71" s="40"/>
      <c r="R71" s="40"/>
    </row>
    <row r="72" spans="13:18" ht="15" customHeight="1">
      <c r="M72" s="164"/>
      <c r="N72" s="37"/>
      <c r="O72" s="37"/>
      <c r="P72" s="37" t="s">
        <v>235</v>
      </c>
      <c r="Q72" s="37"/>
      <c r="R72" s="37"/>
    </row>
    <row r="73" spans="13:18" ht="15" customHeight="1">
      <c r="M73" s="164"/>
      <c r="N73" s="40"/>
      <c r="O73" s="40"/>
      <c r="P73" s="40" t="s">
        <v>236</v>
      </c>
      <c r="Q73" s="40"/>
      <c r="R73" s="40"/>
    </row>
    <row r="74" spans="13:18" ht="15" customHeight="1">
      <c r="M74" s="164"/>
      <c r="N74" s="37"/>
      <c r="O74" s="37"/>
      <c r="P74" s="37" t="s">
        <v>237</v>
      </c>
      <c r="Q74" s="37"/>
      <c r="R74" s="37"/>
    </row>
    <row r="75" spans="13:18" ht="15" customHeight="1">
      <c r="M75" s="164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6" t="s">
        <v>250</v>
      </c>
      <c r="B4" s="166"/>
      <c r="C4" s="166"/>
      <c r="D4" s="166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6" t="s">
        <v>250</v>
      </c>
      <c r="B7" s="166"/>
      <c r="C7" s="166"/>
      <c r="D7" s="166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6" t="s">
        <v>250</v>
      </c>
      <c r="B10" s="166"/>
      <c r="C10" s="166"/>
      <c r="D10" s="166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6" t="s">
        <v>250</v>
      </c>
      <c r="B13" s="166"/>
      <c r="C13" s="166"/>
      <c r="D13" s="166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6" t="s">
        <v>250</v>
      </c>
      <c r="B16" s="166"/>
      <c r="C16" s="166"/>
      <c r="D16" s="166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6" t="s">
        <v>250</v>
      </c>
      <c r="B19" s="166"/>
      <c r="C19" s="166"/>
      <c r="D19" s="166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6" t="s">
        <v>250</v>
      </c>
      <c r="B22" s="166"/>
      <c r="C22" s="166"/>
      <c r="D22" s="166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6" t="s">
        <v>250</v>
      </c>
      <c r="B25" s="166"/>
      <c r="C25" s="166"/>
      <c r="D25" s="166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6" t="s">
        <v>250</v>
      </c>
      <c r="B28" s="166"/>
      <c r="C28" s="166"/>
      <c r="D28" s="166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6" t="s">
        <v>250</v>
      </c>
      <c r="B31" s="166"/>
      <c r="C31" s="166"/>
      <c r="D31" s="166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6" t="s">
        <v>250</v>
      </c>
      <c r="B34" s="166"/>
      <c r="C34" s="166"/>
      <c r="D34" s="166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6" t="s">
        <v>250</v>
      </c>
      <c r="B37" s="166"/>
      <c r="C37" s="166"/>
      <c r="D37" s="166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6" t="s">
        <v>250</v>
      </c>
      <c r="B40" s="166"/>
      <c r="C40" s="166"/>
      <c r="D40" s="166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6" t="s">
        <v>250</v>
      </c>
      <c r="B43" s="166"/>
      <c r="C43" s="166"/>
      <c r="D43" s="166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6" t="s">
        <v>250</v>
      </c>
      <c r="B46" s="166"/>
      <c r="C46" s="166"/>
      <c r="D46" s="166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6" t="s">
        <v>250</v>
      </c>
      <c r="B49" s="166"/>
      <c r="C49" s="166"/>
      <c r="D49" s="166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6" t="s">
        <v>250</v>
      </c>
      <c r="B52" s="166"/>
      <c r="C52" s="166"/>
      <c r="D52" s="166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6" t="s">
        <v>250</v>
      </c>
      <c r="B55" s="166"/>
      <c r="C55" s="166"/>
      <c r="D55" s="166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6" t="s">
        <v>250</v>
      </c>
      <c r="B58" s="166"/>
      <c r="C58" s="166"/>
      <c r="D58" s="166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6" t="s">
        <v>250</v>
      </c>
      <c r="B61" s="166"/>
      <c r="C61" s="166"/>
      <c r="D61" s="166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6" t="s">
        <v>250</v>
      </c>
      <c r="B64" s="166"/>
      <c r="C64" s="166"/>
      <c r="D64" s="166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6" t="s">
        <v>250</v>
      </c>
      <c r="B67" s="166"/>
      <c r="C67" s="166"/>
      <c r="D67" s="166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6" t="s">
        <v>250</v>
      </c>
      <c r="B70" s="166"/>
      <c r="C70" s="166"/>
      <c r="D70" s="166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6" t="s">
        <v>250</v>
      </c>
      <c r="B73" s="166"/>
      <c r="C73" s="166"/>
      <c r="D73" s="166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6" t="s">
        <v>250</v>
      </c>
      <c r="B76" s="166"/>
      <c r="C76" s="166"/>
      <c r="D76" s="166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6" t="s">
        <v>250</v>
      </c>
      <c r="B79" s="166"/>
      <c r="C79" s="166"/>
      <c r="D79" s="166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6" t="s">
        <v>250</v>
      </c>
      <c r="B82" s="166"/>
      <c r="C82" s="166"/>
      <c r="D82" s="166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6" t="s">
        <v>250</v>
      </c>
      <c r="B85" s="166"/>
      <c r="C85" s="166"/>
      <c r="D85" s="166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6" t="s">
        <v>250</v>
      </c>
      <c r="B88" s="166"/>
      <c r="C88" s="166"/>
      <c r="D88" s="166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6" t="s">
        <v>250</v>
      </c>
      <c r="B91" s="166"/>
      <c r="C91" s="166"/>
      <c r="D91" s="166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6" t="s">
        <v>250</v>
      </c>
      <c r="B94" s="166"/>
      <c r="C94" s="166"/>
      <c r="D94" s="166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559" activePane="bottomLeft" state="frozen"/>
      <selection pane="bottomLeft" activeCell="N582" sqref="N582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7" t="s">
        <v>261</v>
      </c>
      <c r="B14" s="167"/>
      <c r="C14" s="167"/>
      <c r="D14" s="167"/>
      <c r="E14" s="167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7" t="s">
        <v>264</v>
      </c>
      <c r="B27" s="167"/>
      <c r="C27" s="167"/>
      <c r="D27" s="167"/>
      <c r="E27" s="167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8" t="s">
        <v>250</v>
      </c>
      <c r="B28" s="168"/>
      <c r="C28" s="168"/>
      <c r="D28" s="168"/>
      <c r="E28" s="168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7" t="s">
        <v>261</v>
      </c>
      <c r="B41" s="167"/>
      <c r="C41" s="167"/>
      <c r="D41" s="167"/>
      <c r="E41" s="167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7" t="s">
        <v>264</v>
      </c>
      <c r="B54" s="167"/>
      <c r="C54" s="167"/>
      <c r="D54" s="167"/>
      <c r="E54" s="167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8" t="s">
        <v>250</v>
      </c>
      <c r="B55" s="168"/>
      <c r="C55" s="168"/>
      <c r="D55" s="168"/>
      <c r="E55" s="168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7" t="s">
        <v>261</v>
      </c>
      <c r="B68" s="167"/>
      <c r="C68" s="167"/>
      <c r="D68" s="167"/>
      <c r="E68" s="167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7" t="s">
        <v>264</v>
      </c>
      <c r="B81" s="167"/>
      <c r="C81" s="167"/>
      <c r="D81" s="167"/>
      <c r="E81" s="167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8" t="s">
        <v>250</v>
      </c>
      <c r="B82" s="168"/>
      <c r="C82" s="168"/>
      <c r="D82" s="168"/>
      <c r="E82" s="168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7" t="s">
        <v>261</v>
      </c>
      <c r="B95" s="167"/>
      <c r="C95" s="167"/>
      <c r="D95" s="167"/>
      <c r="E95" s="167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7" t="s">
        <v>264</v>
      </c>
      <c r="B108" s="167"/>
      <c r="C108" s="167"/>
      <c r="D108" s="167"/>
      <c r="E108" s="167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8" t="s">
        <v>250</v>
      </c>
      <c r="B109" s="168"/>
      <c r="C109" s="168"/>
      <c r="D109" s="168"/>
      <c r="E109" s="168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7" t="s">
        <v>261</v>
      </c>
      <c r="B122" s="167"/>
      <c r="C122" s="167"/>
      <c r="D122" s="167"/>
      <c r="E122" s="167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7" t="s">
        <v>264</v>
      </c>
      <c r="B135" s="167"/>
      <c r="C135" s="167"/>
      <c r="D135" s="167"/>
      <c r="E135" s="167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8" t="s">
        <v>250</v>
      </c>
      <c r="B136" s="168"/>
      <c r="C136" s="168"/>
      <c r="D136" s="168"/>
      <c r="E136" s="168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7" t="s">
        <v>261</v>
      </c>
      <c r="B149" s="167"/>
      <c r="C149" s="167"/>
      <c r="D149" s="167"/>
      <c r="E149" s="167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7" t="s">
        <v>264</v>
      </c>
      <c r="B162" s="167"/>
      <c r="C162" s="167"/>
      <c r="D162" s="167"/>
      <c r="E162" s="167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8" t="s">
        <v>250</v>
      </c>
      <c r="B163" s="168"/>
      <c r="C163" s="168"/>
      <c r="D163" s="168"/>
      <c r="E163" s="168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7" t="s">
        <v>261</v>
      </c>
      <c r="B176" s="167"/>
      <c r="C176" s="167"/>
      <c r="D176" s="167"/>
      <c r="E176" s="167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7" t="s">
        <v>264</v>
      </c>
      <c r="B189" s="167"/>
      <c r="C189" s="167"/>
      <c r="D189" s="167"/>
      <c r="E189" s="167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8" t="s">
        <v>250</v>
      </c>
      <c r="B190" s="168"/>
      <c r="C190" s="168"/>
      <c r="D190" s="168"/>
      <c r="E190" s="168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7" t="s">
        <v>261</v>
      </c>
      <c r="B203" s="167"/>
      <c r="C203" s="167"/>
      <c r="D203" s="167"/>
      <c r="E203" s="167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7" t="s">
        <v>264</v>
      </c>
      <c r="B216" s="167"/>
      <c r="C216" s="167"/>
      <c r="D216" s="167"/>
      <c r="E216" s="167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8" t="s">
        <v>250</v>
      </c>
      <c r="B217" s="168"/>
      <c r="C217" s="168"/>
      <c r="D217" s="168"/>
      <c r="E217" s="168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7" t="s">
        <v>261</v>
      </c>
      <c r="B230" s="167"/>
      <c r="C230" s="167"/>
      <c r="D230" s="167"/>
      <c r="E230" s="167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7" t="s">
        <v>264</v>
      </c>
      <c r="B243" s="167"/>
      <c r="C243" s="167"/>
      <c r="D243" s="167"/>
      <c r="E243" s="167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8" t="s">
        <v>250</v>
      </c>
      <c r="B244" s="168"/>
      <c r="C244" s="168"/>
      <c r="D244" s="168"/>
      <c r="E244" s="168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7" t="s">
        <v>261</v>
      </c>
      <c r="B257" s="167"/>
      <c r="C257" s="167"/>
      <c r="D257" s="167"/>
      <c r="E257" s="167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7" t="s">
        <v>264</v>
      </c>
      <c r="B270" s="167"/>
      <c r="C270" s="167"/>
      <c r="D270" s="167"/>
      <c r="E270" s="167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8" t="s">
        <v>250</v>
      </c>
      <c r="B271" s="168"/>
      <c r="C271" s="168"/>
      <c r="D271" s="168"/>
      <c r="E271" s="168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7" t="s">
        <v>261</v>
      </c>
      <c r="B284" s="167"/>
      <c r="C284" s="167"/>
      <c r="D284" s="167"/>
      <c r="E284" s="167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7" t="s">
        <v>264</v>
      </c>
      <c r="B297" s="167"/>
      <c r="C297" s="167"/>
      <c r="D297" s="167"/>
      <c r="E297" s="167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8" t="s">
        <v>250</v>
      </c>
      <c r="B298" s="168"/>
      <c r="C298" s="168"/>
      <c r="D298" s="168"/>
      <c r="E298" s="168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7" t="s">
        <v>261</v>
      </c>
      <c r="B311" s="167"/>
      <c r="C311" s="167"/>
      <c r="D311" s="167"/>
      <c r="E311" s="167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7" t="s">
        <v>264</v>
      </c>
      <c r="B324" s="167"/>
      <c r="C324" s="167"/>
      <c r="D324" s="167"/>
      <c r="E324" s="167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8" t="s">
        <v>250</v>
      </c>
      <c r="B325" s="168"/>
      <c r="C325" s="168"/>
      <c r="D325" s="168"/>
      <c r="E325" s="168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7" t="s">
        <v>261</v>
      </c>
      <c r="B338" s="167"/>
      <c r="C338" s="167"/>
      <c r="D338" s="167"/>
      <c r="E338" s="167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7" t="s">
        <v>264</v>
      </c>
      <c r="B351" s="167"/>
      <c r="C351" s="167"/>
      <c r="D351" s="167"/>
      <c r="E351" s="167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8" t="s">
        <v>250</v>
      </c>
      <c r="B352" s="168"/>
      <c r="C352" s="168"/>
      <c r="D352" s="168"/>
      <c r="E352" s="168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7" t="s">
        <v>261</v>
      </c>
      <c r="B365" s="167"/>
      <c r="C365" s="167"/>
      <c r="D365" s="167"/>
      <c r="E365" s="167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7" t="s">
        <v>264</v>
      </c>
      <c r="B378" s="167"/>
      <c r="C378" s="167"/>
      <c r="D378" s="167"/>
      <c r="E378" s="167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8" t="s">
        <v>250</v>
      </c>
      <c r="B379" s="168"/>
      <c r="C379" s="168"/>
      <c r="D379" s="168"/>
      <c r="E379" s="168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7" t="s">
        <v>261</v>
      </c>
      <c r="B392" s="167"/>
      <c r="C392" s="167"/>
      <c r="D392" s="167"/>
      <c r="E392" s="167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7" t="s">
        <v>264</v>
      </c>
      <c r="B405" s="167"/>
      <c r="C405" s="167"/>
      <c r="D405" s="167"/>
      <c r="E405" s="167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8" t="s">
        <v>250</v>
      </c>
      <c r="B406" s="168"/>
      <c r="C406" s="168"/>
      <c r="D406" s="168"/>
      <c r="E406" s="168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7" t="s">
        <v>261</v>
      </c>
      <c r="B419" s="167"/>
      <c r="C419" s="167"/>
      <c r="D419" s="167"/>
      <c r="E419" s="167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7" t="s">
        <v>264</v>
      </c>
      <c r="B432" s="167"/>
      <c r="C432" s="167"/>
      <c r="D432" s="167"/>
      <c r="E432" s="167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8" t="s">
        <v>250</v>
      </c>
      <c r="B433" s="168"/>
      <c r="C433" s="168"/>
      <c r="D433" s="168"/>
      <c r="E433" s="168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7" t="s">
        <v>261</v>
      </c>
      <c r="B446" s="167"/>
      <c r="C446" s="167"/>
      <c r="D446" s="167"/>
      <c r="E446" s="167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7" t="s">
        <v>264</v>
      </c>
      <c r="B459" s="167"/>
      <c r="C459" s="167"/>
      <c r="D459" s="167"/>
      <c r="E459" s="167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8" t="s">
        <v>250</v>
      </c>
      <c r="B460" s="168"/>
      <c r="C460" s="168"/>
      <c r="D460" s="168"/>
      <c r="E460" s="168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7" t="s">
        <v>261</v>
      </c>
      <c r="B473" s="167"/>
      <c r="C473" s="167"/>
      <c r="D473" s="167"/>
      <c r="E473" s="167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7" t="s">
        <v>264</v>
      </c>
      <c r="B486" s="167"/>
      <c r="C486" s="167"/>
      <c r="D486" s="167"/>
      <c r="E486" s="167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8" t="s">
        <v>250</v>
      </c>
      <c r="B487" s="168"/>
      <c r="C487" s="168"/>
      <c r="D487" s="168"/>
      <c r="E487" s="168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7" t="s">
        <v>261</v>
      </c>
      <c r="B500" s="167"/>
      <c r="C500" s="167"/>
      <c r="D500" s="167"/>
      <c r="E500" s="167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7" t="s">
        <v>264</v>
      </c>
      <c r="B513" s="167"/>
      <c r="C513" s="167"/>
      <c r="D513" s="167"/>
      <c r="E513" s="167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8" t="s">
        <v>250</v>
      </c>
      <c r="B514" s="168"/>
      <c r="C514" s="168"/>
      <c r="D514" s="168"/>
      <c r="E514" s="168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7" t="s">
        <v>261</v>
      </c>
      <c r="B527" s="167"/>
      <c r="C527" s="167"/>
      <c r="D527" s="167"/>
      <c r="E527" s="167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7" t="s">
        <v>264</v>
      </c>
      <c r="B540" s="167"/>
      <c r="C540" s="167"/>
      <c r="D540" s="167"/>
      <c r="E540" s="167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8" t="s">
        <v>250</v>
      </c>
      <c r="B541" s="168"/>
      <c r="C541" s="168"/>
      <c r="D541" s="168"/>
      <c r="E541" s="168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7" t="s">
        <v>261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7" t="s">
        <v>264</v>
      </c>
      <c r="B567" s="167"/>
      <c r="C567" s="167"/>
      <c r="D567" s="167"/>
      <c r="E567" s="167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8" t="s">
        <v>250</v>
      </c>
      <c r="B568" s="168"/>
      <c r="C568" s="168"/>
      <c r="D568" s="168"/>
      <c r="E568" s="168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177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215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301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7" t="s">
        <v>261</v>
      </c>
      <c r="B581" s="167"/>
      <c r="C581" s="167"/>
      <c r="D581" s="167"/>
      <c r="E581" s="167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262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260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29</v>
      </c>
      <c r="I582" s="61"/>
      <c r="J582" s="61" t="s">
        <v>144</v>
      </c>
      <c r="K582" s="65">
        <v>0.13958333333333334</v>
      </c>
      <c r="L582" s="65"/>
      <c r="M582" s="66">
        <f t="shared" ref="M582:M593" ca="1" si="126">IFERROR(IF(K582="","",IF(L582="",MOD(NOW()-K582,1),IF(L582&gt;=K582,L582-K582,L582+1-K582))),"")</f>
        <v>1.7224537077709101E-3</v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260</v>
      </c>
      <c r="F583" s="63">
        <v>40</v>
      </c>
      <c r="G583" s="69">
        <f t="shared" si="125"/>
        <v>200</v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260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260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260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260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260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260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260</v>
      </c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260</v>
      </c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260</v>
      </c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260</v>
      </c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7" t="s">
        <v>264</v>
      </c>
      <c r="B594" s="167"/>
      <c r="C594" s="167"/>
      <c r="D594" s="167"/>
      <c r="E594" s="167"/>
      <c r="F594" s="2">
        <f>SUM(F582:F593)</f>
        <v>336</v>
      </c>
      <c r="G594" s="2">
        <f>SUM(G582:G593)</f>
        <v>1680</v>
      </c>
      <c r="H594" s="72"/>
      <c r="I594" s="72"/>
      <c r="J594" s="72"/>
      <c r="K594" s="72"/>
      <c r="L594" s="72"/>
      <c r="M594" s="73">
        <f ca="1">IFERROR(SUM(M582:M593),"")</f>
        <v>1.7224537077709101E-3</v>
      </c>
      <c r="N594" s="2" t="s">
        <v>262</v>
      </c>
      <c r="O594" s="74"/>
    </row>
    <row r="595" spans="1:15" ht="18" customHeight="1">
      <c r="A595" s="168" t="s">
        <v>250</v>
      </c>
      <c r="B595" s="168"/>
      <c r="C595" s="168"/>
      <c r="D595" s="168"/>
      <c r="E595" s="168"/>
      <c r="F595" s="1">
        <f>F581+F594</f>
        <v>714</v>
      </c>
      <c r="G595" s="1">
        <f>G581+G594</f>
        <v>3570</v>
      </c>
      <c r="H595" s="76"/>
      <c r="I595" s="76"/>
      <c r="J595" s="76"/>
      <c r="K595" s="76"/>
      <c r="L595" s="76"/>
      <c r="M595" s="77">
        <f ca="1">IFERROR(M581+M594,"")</f>
        <v>7.8805787041104192E-2</v>
      </c>
      <c r="N595" s="1" t="s">
        <v>265</v>
      </c>
      <c r="O595" s="82">
        <f>IFERROR(O581+O594,"")</f>
        <v>2640170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7" t="s">
        <v>261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7" t="s">
        <v>264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8" t="s">
        <v>250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7" t="s">
        <v>261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7" t="s">
        <v>264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8" t="s">
        <v>250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7" t="s">
        <v>261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7" t="s">
        <v>264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8" t="s">
        <v>250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7" t="s">
        <v>261</v>
      </c>
      <c r="B689" s="167"/>
      <c r="C689" s="167"/>
      <c r="D689" s="167"/>
      <c r="E689" s="167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7" t="s">
        <v>264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8" t="s">
        <v>250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7" t="s">
        <v>261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7" t="s">
        <v>264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8" t="s">
        <v>250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7" t="s">
        <v>261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7" t="s">
        <v>264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8" t="s">
        <v>250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7" t="s">
        <v>261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7" t="s">
        <v>264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8" t="s">
        <v>250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7" t="s">
        <v>261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7" t="s">
        <v>264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8" t="s">
        <v>250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7" t="s">
        <v>261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7" t="s">
        <v>264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8" t="s">
        <v>250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73" activePane="bottomLeft" state="frozen"/>
      <selection pane="bottomLeft" activeCell="G590" sqref="G590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304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305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306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8" t="s">
        <v>261</v>
      </c>
      <c r="B14" s="158"/>
      <c r="C14" s="158"/>
      <c r="D14" s="158"/>
      <c r="E14" s="158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308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8" t="s">
        <v>264</v>
      </c>
      <c r="B27" s="158"/>
      <c r="C27" s="158"/>
      <c r="D27" s="158"/>
      <c r="E27" s="158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9" t="s">
        <v>250</v>
      </c>
      <c r="B28" s="159"/>
      <c r="C28" s="159"/>
      <c r="D28" s="159"/>
      <c r="E28" s="159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8" t="s">
        <v>261</v>
      </c>
      <c r="B41" s="158"/>
      <c r="C41" s="158"/>
      <c r="D41" s="158"/>
      <c r="E41" s="158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309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310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311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1.977800925669726E-2</v>
      </c>
      <c r="R53" s="80" t="s">
        <v>312</v>
      </c>
      <c r="S53" s="67"/>
    </row>
    <row r="54" spans="1:20" ht="15.75" customHeight="1">
      <c r="A54" s="158" t="s">
        <v>264</v>
      </c>
      <c r="B54" s="158"/>
      <c r="C54" s="158"/>
      <c r="D54" s="158"/>
      <c r="E54" s="158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0.15866689814558499</v>
      </c>
      <c r="R54" s="2" t="s">
        <v>262</v>
      </c>
      <c r="S54" s="113">
        <v>352430</v>
      </c>
      <c r="T54" s="114"/>
    </row>
    <row r="55" spans="1:20" ht="18" customHeight="1">
      <c r="A55" s="159" t="s">
        <v>250</v>
      </c>
      <c r="B55" s="159"/>
      <c r="C55" s="159"/>
      <c r="D55" s="159"/>
      <c r="E55" s="159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0.2433891203678078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304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8" t="s">
        <v>261</v>
      </c>
      <c r="B68" s="158"/>
      <c r="C68" s="158"/>
      <c r="D68" s="158"/>
      <c r="E68" s="158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313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8" t="s">
        <v>264</v>
      </c>
      <c r="B81" s="158"/>
      <c r="C81" s="158"/>
      <c r="D81" s="158"/>
      <c r="E81" s="158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9" t="s">
        <v>250</v>
      </c>
      <c r="B82" s="159"/>
      <c r="C82" s="159"/>
      <c r="D82" s="159"/>
      <c r="E82" s="159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8" t="s">
        <v>261</v>
      </c>
      <c r="B95" s="158"/>
      <c r="C95" s="158"/>
      <c r="D95" s="158"/>
      <c r="E95" s="158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314</v>
      </c>
      <c r="Q96" s="66" t="str">
        <f t="shared" ref="Q96:Q107" ca="1" si="22">IFERROR(IF(O96="","",IF(P96="",MOD(NOW()-O96,1),IF(P96&gt;=O96,P96-O96,P96+1-O96))),"")</f>
        <v/>
      </c>
      <c r="R96" s="80" t="s">
        <v>315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316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317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8" t="s">
        <v>264</v>
      </c>
      <c r="B108" s="158"/>
      <c r="C108" s="158"/>
      <c r="D108" s="158"/>
      <c r="E108" s="158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9" t="s">
        <v>250</v>
      </c>
      <c r="B109" s="159"/>
      <c r="C109" s="159"/>
      <c r="D109" s="159"/>
      <c r="E109" s="159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318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8" t="s">
        <v>261</v>
      </c>
      <c r="B122" s="158"/>
      <c r="C122" s="158"/>
      <c r="D122" s="158"/>
      <c r="E122" s="158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8" t="s">
        <v>264</v>
      </c>
      <c r="B135" s="158"/>
      <c r="C135" s="158"/>
      <c r="D135" s="158"/>
      <c r="E135" s="158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9" t="s">
        <v>250</v>
      </c>
      <c r="B136" s="159"/>
      <c r="C136" s="159"/>
      <c r="D136" s="159"/>
      <c r="E136" s="159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319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320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321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8" t="s">
        <v>261</v>
      </c>
      <c r="B149" s="158"/>
      <c r="C149" s="158"/>
      <c r="D149" s="158"/>
      <c r="E149" s="158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8" t="s">
        <v>264</v>
      </c>
      <c r="B162" s="158"/>
      <c r="C162" s="158"/>
      <c r="D162" s="158"/>
      <c r="E162" s="158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9" t="s">
        <v>250</v>
      </c>
      <c r="B163" s="159"/>
      <c r="C163" s="159"/>
      <c r="D163" s="159"/>
      <c r="E163" s="159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8" t="s">
        <v>261</v>
      </c>
      <c r="B176" s="158"/>
      <c r="C176" s="158"/>
      <c r="D176" s="158"/>
      <c r="E176" s="158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323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324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8" t="s">
        <v>264</v>
      </c>
      <c r="B189" s="158"/>
      <c r="C189" s="158"/>
      <c r="D189" s="158"/>
      <c r="E189" s="158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9" t="s">
        <v>250</v>
      </c>
      <c r="B190" s="159"/>
      <c r="C190" s="159"/>
      <c r="D190" s="159"/>
      <c r="E190" s="159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325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318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8" t="s">
        <v>261</v>
      </c>
      <c r="B203" s="158"/>
      <c r="C203" s="158"/>
      <c r="D203" s="158"/>
      <c r="E203" s="158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8" t="s">
        <v>264</v>
      </c>
      <c r="B216" s="158"/>
      <c r="C216" s="158"/>
      <c r="D216" s="158"/>
      <c r="E216" s="158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9" t="s">
        <v>250</v>
      </c>
      <c r="B217" s="159"/>
      <c r="C217" s="159"/>
      <c r="D217" s="159"/>
      <c r="E217" s="159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313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327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328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8" t="s">
        <v>261</v>
      </c>
      <c r="B230" s="158"/>
      <c r="C230" s="158"/>
      <c r="D230" s="158"/>
      <c r="E230" s="158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8" t="s">
        <v>264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9" t="s">
        <v>250</v>
      </c>
      <c r="B244" s="159"/>
      <c r="C244" s="159"/>
      <c r="D244" s="159"/>
      <c r="E244" s="159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8" t="s">
        <v>261</v>
      </c>
      <c r="B257" s="158"/>
      <c r="C257" s="158"/>
      <c r="D257" s="158"/>
      <c r="E257" s="158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8" t="s">
        <v>264</v>
      </c>
      <c r="B270" s="158"/>
      <c r="C270" s="158"/>
      <c r="D270" s="158"/>
      <c r="E270" s="158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9" t="s">
        <v>250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8" t="s">
        <v>261</v>
      </c>
      <c r="B284" s="158"/>
      <c r="C284" s="158"/>
      <c r="D284" s="158"/>
      <c r="E284" s="158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8" t="s">
        <v>264</v>
      </c>
      <c r="B297" s="158"/>
      <c r="C297" s="158"/>
      <c r="D297" s="158"/>
      <c r="E297" s="158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9" t="s">
        <v>250</v>
      </c>
      <c r="B298" s="159"/>
      <c r="C298" s="159"/>
      <c r="D298" s="159"/>
      <c r="E298" s="159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8" t="s">
        <v>261</v>
      </c>
      <c r="B311" s="158"/>
      <c r="C311" s="158"/>
      <c r="D311" s="158"/>
      <c r="E311" s="158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8" t="s">
        <v>264</v>
      </c>
      <c r="B324" s="158"/>
      <c r="C324" s="158"/>
      <c r="D324" s="158"/>
      <c r="E324" s="158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9" t="s">
        <v>250</v>
      </c>
      <c r="B325" s="159"/>
      <c r="C325" s="159"/>
      <c r="D325" s="159"/>
      <c r="E325" s="159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329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330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331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332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333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8" t="s">
        <v>261</v>
      </c>
      <c r="B338" s="158"/>
      <c r="C338" s="158"/>
      <c r="D338" s="158"/>
      <c r="E338" s="158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325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320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8" t="s">
        <v>264</v>
      </c>
      <c r="B351" s="158"/>
      <c r="C351" s="158"/>
      <c r="D351" s="158"/>
      <c r="E351" s="158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9" t="s">
        <v>250</v>
      </c>
      <c r="B352" s="159"/>
      <c r="C352" s="159"/>
      <c r="D352" s="159"/>
      <c r="E352" s="159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313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8" t="s">
        <v>261</v>
      </c>
      <c r="B365" s="158"/>
      <c r="C365" s="158"/>
      <c r="D365" s="158"/>
      <c r="E365" s="158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334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8" t="s">
        <v>264</v>
      </c>
      <c r="B378" s="158"/>
      <c r="C378" s="158"/>
      <c r="D378" s="158"/>
      <c r="E378" s="158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9" t="s">
        <v>250</v>
      </c>
      <c r="B379" s="159"/>
      <c r="C379" s="159"/>
      <c r="D379" s="159"/>
      <c r="E379" s="159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335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8" t="s">
        <v>261</v>
      </c>
      <c r="B392" s="158"/>
      <c r="C392" s="158"/>
      <c r="D392" s="158"/>
      <c r="E392" s="158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336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8" t="s">
        <v>264</v>
      </c>
      <c r="B405" s="158"/>
      <c r="C405" s="158"/>
      <c r="D405" s="158"/>
      <c r="E405" s="158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9" t="s">
        <v>250</v>
      </c>
      <c r="B406" s="159"/>
      <c r="C406" s="159"/>
      <c r="D406" s="159"/>
      <c r="E406" s="159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8" t="s">
        <v>261</v>
      </c>
      <c r="B419" s="158"/>
      <c r="C419" s="158"/>
      <c r="D419" s="158"/>
      <c r="E419" s="158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337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338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8" t="s">
        <v>261</v>
      </c>
      <c r="B446" s="158"/>
      <c r="C446" s="158"/>
      <c r="D446" s="158"/>
      <c r="E446" s="158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339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340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8" t="s">
        <v>264</v>
      </c>
      <c r="B459" s="158"/>
      <c r="C459" s="158"/>
      <c r="D459" s="158"/>
      <c r="E459" s="158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9" t="s">
        <v>250</v>
      </c>
      <c r="B460" s="159"/>
      <c r="C460" s="159"/>
      <c r="D460" s="159"/>
      <c r="E460" s="159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341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8" t="s">
        <v>261</v>
      </c>
      <c r="B473" s="158"/>
      <c r="C473" s="158"/>
      <c r="D473" s="158"/>
      <c r="E473" s="158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342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343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8" t="s">
        <v>264</v>
      </c>
      <c r="B486" s="158"/>
      <c r="C486" s="158"/>
      <c r="D486" s="158"/>
      <c r="E486" s="158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9" t="s">
        <v>250</v>
      </c>
      <c r="B487" s="159"/>
      <c r="C487" s="159"/>
      <c r="D487" s="159"/>
      <c r="E487" s="159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320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8" t="s">
        <v>261</v>
      </c>
      <c r="B500" s="158"/>
      <c r="C500" s="158"/>
      <c r="D500" s="158"/>
      <c r="E500" s="158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8" t="s">
        <v>261</v>
      </c>
      <c r="B527" s="158"/>
      <c r="C527" s="158"/>
      <c r="D527" s="158"/>
      <c r="E527" s="158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344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345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8" t="s">
        <v>264</v>
      </c>
      <c r="B540" s="158"/>
      <c r="C540" s="158"/>
      <c r="D540" s="158"/>
      <c r="E540" s="158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9" t="s">
        <v>250</v>
      </c>
      <c r="B541" s="159"/>
      <c r="C541" s="159"/>
      <c r="D541" s="159"/>
      <c r="E541" s="159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8" t="s">
        <v>261</v>
      </c>
      <c r="B554" s="158"/>
      <c r="C554" s="158"/>
      <c r="D554" s="158"/>
      <c r="E554" s="158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346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8" t="s">
        <v>264</v>
      </c>
      <c r="B567" s="158"/>
      <c r="C567" s="158"/>
      <c r="D567" s="158"/>
      <c r="E567" s="158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9" t="s">
        <v>250</v>
      </c>
      <c r="B568" s="159"/>
      <c r="C568" s="159"/>
      <c r="D568" s="159"/>
      <c r="E568" s="159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8" t="s">
        <v>261</v>
      </c>
      <c r="B581" s="158"/>
      <c r="C581" s="158"/>
      <c r="D581" s="158"/>
      <c r="E581" s="158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262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16.8</v>
      </c>
      <c r="L583" s="70" t="s">
        <v>29</v>
      </c>
      <c r="M583" s="70" t="s">
        <v>136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96.600000000000009</v>
      </c>
      <c r="L584" s="61" t="s">
        <v>28</v>
      </c>
      <c r="M584" s="61" t="s">
        <v>170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50"/>
        <v>0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347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50"/>
        <v>0</v>
      </c>
      <c r="K586" s="64">
        <f t="shared" si="151"/>
        <v>16.8</v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>
        <v>4</v>
      </c>
      <c r="H587" s="88">
        <f>IFERROR(IF($G587="","",$G587*$S$594/$G$594/Cadastro!$E$33),"")</f>
        <v>0</v>
      </c>
      <c r="I587" s="90">
        <f>IFERROR(IF($D587="","",VLOOKUP($D587,Cadastro!$C$4:$G$7,5,FALSE())),"")</f>
        <v>0.6</v>
      </c>
      <c r="J587" s="91">
        <f t="shared" si="150"/>
        <v>0</v>
      </c>
      <c r="K587" s="69">
        <f t="shared" si="151"/>
        <v>16.8</v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275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0</v>
      </c>
      <c r="I588" s="90">
        <f>IFERROR(IF($D588="","",VLOOKUP($D588,Cadastro!$C$4:$G$7,5,FALSE())),"")</f>
        <v>0.6</v>
      </c>
      <c r="J588" s="91">
        <f t="shared" si="150"/>
        <v>0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275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0</v>
      </c>
      <c r="I589" s="90">
        <f>IFERROR(IF($D589="","",VLOOKUP($D589,Cadastro!$C$4:$G$7,5,FALSE())),"")</f>
        <v>0.6</v>
      </c>
      <c r="J589" s="91">
        <f t="shared" si="150"/>
        <v>0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275</v>
      </c>
      <c r="F590" s="88">
        <f>IFERROR(IF($D590="","",VLOOKUP($D590,Cadastro!$C$4:$E$7,3,FALSE())),"")</f>
        <v>0.35</v>
      </c>
      <c r="G590" s="89"/>
      <c r="H590" s="88" t="str">
        <f>IFERROR(IF($G590="","",$G590*$S$594/$G$594/Cadastro!$E$33),"")</f>
        <v/>
      </c>
      <c r="I590" s="90">
        <f>IFERROR(IF($D590="","",VLOOKUP($D590,Cadastro!$C$4:$G$7,5,FALSE())),"")</f>
        <v>0.6</v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275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275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275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8" t="s">
        <v>264</v>
      </c>
      <c r="B594" s="158"/>
      <c r="C594" s="158"/>
      <c r="D594" s="158"/>
      <c r="E594" s="158"/>
      <c r="F594" s="105"/>
      <c r="G594" s="96">
        <f>SUM(G582:G593)</f>
        <v>74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310.80000000000007</v>
      </c>
      <c r="L594" s="72"/>
      <c r="M594" s="72"/>
      <c r="N594" s="72"/>
      <c r="O594" s="72"/>
      <c r="P594" s="72"/>
      <c r="Q594" s="73">
        <f ca="1">IFERROR(SUM(Q582:Q593),"")</f>
        <v>0.12708333333333344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9" t="s">
        <v>250</v>
      </c>
      <c r="B595" s="159"/>
      <c r="C595" s="159"/>
      <c r="D595" s="159"/>
      <c r="E595" s="159"/>
      <c r="F595" s="108"/>
      <c r="G595" s="109">
        <f>G581+G594</f>
        <v>123</v>
      </c>
      <c r="H595" s="108">
        <f>IFERROR(H581+H594,"")</f>
        <v>175.53999999999996</v>
      </c>
      <c r="I595" s="110"/>
      <c r="J595" s="111">
        <f>IFERROR(J581+J594,"")</f>
        <v>36.863399999999999</v>
      </c>
      <c r="K595" s="1">
        <f>K581+K594</f>
        <v>516.60000000000014</v>
      </c>
      <c r="L595" s="76"/>
      <c r="M595" s="76"/>
      <c r="N595" s="76"/>
      <c r="O595" s="76"/>
      <c r="P595" s="76"/>
      <c r="Q595" s="77">
        <f ca="1">IFERROR(Q581+Q594,"")</f>
        <v>0.53125</v>
      </c>
      <c r="R595" s="1" t="s">
        <v>265</v>
      </c>
      <c r="S595" s="82">
        <f>IFERROR(S581+S594,"")</f>
        <v>175540</v>
      </c>
      <c r="T595" s="118">
        <f>IFERROR(J595,"")</f>
        <v>36.863399999999999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8" t="s">
        <v>261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8" t="s">
        <v>264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9" t="s">
        <v>250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8" t="s">
        <v>261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8" t="s">
        <v>264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9" t="s">
        <v>250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8" t="s">
        <v>261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8" t="s">
        <v>264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9" t="s">
        <v>250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8" t="s">
        <v>261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8" t="s">
        <v>264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9" t="s">
        <v>250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8" t="s">
        <v>261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8" t="s">
        <v>264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9" t="s">
        <v>250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8" t="s">
        <v>261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8" t="s">
        <v>264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9" t="s">
        <v>250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8" t="s">
        <v>261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8" t="s">
        <v>264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9" t="s">
        <v>250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8" t="s">
        <v>261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8" t="s">
        <v>264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9" t="s">
        <v>250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8" t="s">
        <v>261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8" t="s">
        <v>264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9" t="s">
        <v>250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75" activePane="bottomLeft" state="frozen"/>
      <selection pane="bottomLeft" activeCell="G590" sqref="G590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8" t="s">
        <v>261</v>
      </c>
      <c r="B14" s="158"/>
      <c r="C14" s="158"/>
      <c r="D14" s="158"/>
      <c r="E14" s="158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348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307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8" t="s">
        <v>264</v>
      </c>
      <c r="B27" s="158"/>
      <c r="C27" s="158"/>
      <c r="D27" s="158"/>
      <c r="E27" s="158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9" t="s">
        <v>250</v>
      </c>
      <c r="B28" s="159"/>
      <c r="C28" s="159"/>
      <c r="D28" s="159"/>
      <c r="E28" s="159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8" t="s">
        <v>261</v>
      </c>
      <c r="B41" s="158"/>
      <c r="C41" s="158"/>
      <c r="D41" s="158"/>
      <c r="E41" s="158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313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348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348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8" t="s">
        <v>264</v>
      </c>
      <c r="B54" s="158"/>
      <c r="C54" s="158"/>
      <c r="D54" s="158"/>
      <c r="E54" s="158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9" t="s">
        <v>250</v>
      </c>
      <c r="B55" s="159"/>
      <c r="C55" s="159"/>
      <c r="D55" s="159"/>
      <c r="E55" s="159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350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8" t="s">
        <v>261</v>
      </c>
      <c r="B68" s="158"/>
      <c r="C68" s="158"/>
      <c r="D68" s="158"/>
      <c r="E68" s="158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351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8" t="s">
        <v>264</v>
      </c>
      <c r="B81" s="158"/>
      <c r="C81" s="158"/>
      <c r="D81" s="158"/>
      <c r="E81" s="158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9" t="s">
        <v>250</v>
      </c>
      <c r="B82" s="159"/>
      <c r="C82" s="159"/>
      <c r="D82" s="159"/>
      <c r="E82" s="159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352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353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8" t="s">
        <v>261</v>
      </c>
      <c r="B95" s="158"/>
      <c r="C95" s="158"/>
      <c r="D95" s="158"/>
      <c r="E95" s="158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354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8" t="s">
        <v>264</v>
      </c>
      <c r="B108" s="158"/>
      <c r="C108" s="158"/>
      <c r="D108" s="158"/>
      <c r="E108" s="158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9" t="s">
        <v>250</v>
      </c>
      <c r="B109" s="159"/>
      <c r="C109" s="159"/>
      <c r="D109" s="159"/>
      <c r="E109" s="159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8" t="s">
        <v>261</v>
      </c>
      <c r="B122" s="158"/>
      <c r="C122" s="158"/>
      <c r="D122" s="158"/>
      <c r="E122" s="158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355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8" t="s">
        <v>264</v>
      </c>
      <c r="B135" s="158"/>
      <c r="C135" s="158"/>
      <c r="D135" s="158"/>
      <c r="E135" s="158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9" t="s">
        <v>250</v>
      </c>
      <c r="B136" s="159"/>
      <c r="C136" s="159"/>
      <c r="D136" s="159"/>
      <c r="E136" s="159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356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321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8" t="s">
        <v>261</v>
      </c>
      <c r="B149" s="158"/>
      <c r="C149" s="158"/>
      <c r="D149" s="158"/>
      <c r="E149" s="158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313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264</v>
      </c>
      <c r="B162" s="158"/>
      <c r="C162" s="158"/>
      <c r="D162" s="158"/>
      <c r="E162" s="158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9" t="s">
        <v>250</v>
      </c>
      <c r="B163" s="159"/>
      <c r="C163" s="159"/>
      <c r="D163" s="159"/>
      <c r="E163" s="159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357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261</v>
      </c>
      <c r="B176" s="158"/>
      <c r="C176" s="158"/>
      <c r="D176" s="158"/>
      <c r="E176" s="158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358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324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264</v>
      </c>
      <c r="B189" s="158"/>
      <c r="C189" s="158"/>
      <c r="D189" s="158"/>
      <c r="E189" s="158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9" t="s">
        <v>250</v>
      </c>
      <c r="B190" s="159"/>
      <c r="C190" s="159"/>
      <c r="D190" s="159"/>
      <c r="E190" s="159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261</v>
      </c>
      <c r="B203" s="158"/>
      <c r="C203" s="158"/>
      <c r="D203" s="158"/>
      <c r="E203" s="158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359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8" t="s">
        <v>264</v>
      </c>
      <c r="B216" s="158"/>
      <c r="C216" s="158"/>
      <c r="D216" s="158"/>
      <c r="E216" s="158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9" t="s">
        <v>250</v>
      </c>
      <c r="B217" s="159"/>
      <c r="C217" s="159"/>
      <c r="D217" s="159"/>
      <c r="E217" s="159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361</v>
      </c>
      <c r="Q222" s="66" t="str">
        <f t="shared" ca="1" si="49"/>
        <v/>
      </c>
      <c r="R222" s="63" t="s">
        <v>362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8" t="s">
        <v>261</v>
      </c>
      <c r="B230" s="158"/>
      <c r="C230" s="158"/>
      <c r="D230" s="158"/>
      <c r="E230" s="158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8" t="s">
        <v>264</v>
      </c>
      <c r="B243" s="158"/>
      <c r="C243" s="158"/>
      <c r="D243" s="158"/>
      <c r="E243" s="158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9" t="s">
        <v>250</v>
      </c>
      <c r="B244" s="159"/>
      <c r="C244" s="159"/>
      <c r="D244" s="159"/>
      <c r="E244" s="159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363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8" t="s">
        <v>261</v>
      </c>
      <c r="B257" s="158"/>
      <c r="C257" s="158"/>
      <c r="D257" s="158"/>
      <c r="E257" s="158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8" t="s">
        <v>264</v>
      </c>
      <c r="B270" s="158"/>
      <c r="C270" s="158"/>
      <c r="D270" s="158"/>
      <c r="E270" s="158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9" t="s">
        <v>250</v>
      </c>
      <c r="B271" s="159"/>
      <c r="C271" s="159"/>
      <c r="D271" s="159"/>
      <c r="E271" s="159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8" t="s">
        <v>261</v>
      </c>
      <c r="B284" s="158"/>
      <c r="C284" s="158"/>
      <c r="D284" s="158"/>
      <c r="E284" s="158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8" t="s">
        <v>264</v>
      </c>
      <c r="B297" s="158"/>
      <c r="C297" s="158"/>
      <c r="D297" s="158"/>
      <c r="E297" s="158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9" t="s">
        <v>250</v>
      </c>
      <c r="B298" s="159"/>
      <c r="C298" s="159"/>
      <c r="D298" s="159"/>
      <c r="E298" s="159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8" t="s">
        <v>261</v>
      </c>
      <c r="B311" s="158"/>
      <c r="C311" s="158"/>
      <c r="D311" s="158"/>
      <c r="E311" s="158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8" t="s">
        <v>264</v>
      </c>
      <c r="B324" s="158"/>
      <c r="C324" s="158"/>
      <c r="D324" s="158"/>
      <c r="E324" s="158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9" t="s">
        <v>250</v>
      </c>
      <c r="B325" s="159"/>
      <c r="C325" s="159"/>
      <c r="D325" s="159"/>
      <c r="E325" s="159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331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364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332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8" t="s">
        <v>261</v>
      </c>
      <c r="B338" s="158"/>
      <c r="C338" s="158"/>
      <c r="D338" s="158"/>
      <c r="E338" s="158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8" t="s">
        <v>264</v>
      </c>
      <c r="B351" s="158"/>
      <c r="C351" s="158"/>
      <c r="D351" s="158"/>
      <c r="E351" s="158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9" t="s">
        <v>250</v>
      </c>
      <c r="B352" s="159"/>
      <c r="C352" s="159"/>
      <c r="D352" s="159"/>
      <c r="E352" s="159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313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8" t="s">
        <v>261</v>
      </c>
      <c r="B365" s="158"/>
      <c r="C365" s="158"/>
      <c r="D365" s="158"/>
      <c r="E365" s="158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8" t="s">
        <v>264</v>
      </c>
      <c r="B378" s="158"/>
      <c r="C378" s="158"/>
      <c r="D378" s="158"/>
      <c r="E378" s="158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9" t="s">
        <v>250</v>
      </c>
      <c r="B379" s="159"/>
      <c r="C379" s="159"/>
      <c r="D379" s="159"/>
      <c r="E379" s="159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365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335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8" t="s">
        <v>261</v>
      </c>
      <c r="B392" s="158"/>
      <c r="C392" s="158"/>
      <c r="D392" s="158"/>
      <c r="E392" s="158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8" t="s">
        <v>264</v>
      </c>
      <c r="B405" s="158"/>
      <c r="C405" s="158"/>
      <c r="D405" s="158"/>
      <c r="E405" s="158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9" t="s">
        <v>250</v>
      </c>
      <c r="B406" s="159"/>
      <c r="C406" s="159"/>
      <c r="D406" s="159"/>
      <c r="E406" s="159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366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8" t="s">
        <v>261</v>
      </c>
      <c r="B419" s="158"/>
      <c r="C419" s="158"/>
      <c r="D419" s="158"/>
      <c r="E419" s="158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367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8" t="s">
        <v>264</v>
      </c>
      <c r="B432" s="158"/>
      <c r="C432" s="158"/>
      <c r="D432" s="158"/>
      <c r="E432" s="158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9" t="s">
        <v>250</v>
      </c>
      <c r="B433" s="159"/>
      <c r="C433" s="159"/>
      <c r="D433" s="159"/>
      <c r="E433" s="159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368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368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8" t="s">
        <v>261</v>
      </c>
      <c r="B446" s="158"/>
      <c r="C446" s="158"/>
      <c r="D446" s="158"/>
      <c r="E446" s="158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369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8" t="s">
        <v>264</v>
      </c>
      <c r="B459" s="158"/>
      <c r="C459" s="158"/>
      <c r="D459" s="158"/>
      <c r="E459" s="158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9" t="s">
        <v>250</v>
      </c>
      <c r="B460" s="159"/>
      <c r="C460" s="159"/>
      <c r="D460" s="159"/>
      <c r="E460" s="159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8" t="s">
        <v>261</v>
      </c>
      <c r="B473" s="158"/>
      <c r="C473" s="158"/>
      <c r="D473" s="158"/>
      <c r="E473" s="158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313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370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8" t="s">
        <v>264</v>
      </c>
      <c r="B486" s="158"/>
      <c r="C486" s="158"/>
      <c r="D486" s="158"/>
      <c r="E486" s="158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9" t="s">
        <v>250</v>
      </c>
      <c r="B487" s="159"/>
      <c r="C487" s="159"/>
      <c r="D487" s="159"/>
      <c r="E487" s="159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355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8" t="s">
        <v>261</v>
      </c>
      <c r="B500" s="158"/>
      <c r="C500" s="158"/>
      <c r="D500" s="158"/>
      <c r="E500" s="158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371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372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8" t="s">
        <v>264</v>
      </c>
      <c r="B513" s="158"/>
      <c r="C513" s="158"/>
      <c r="D513" s="158"/>
      <c r="E513" s="158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9" t="s">
        <v>250</v>
      </c>
      <c r="B514" s="159"/>
      <c r="C514" s="159"/>
      <c r="D514" s="159"/>
      <c r="E514" s="159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373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8" t="s">
        <v>261</v>
      </c>
      <c r="B527" s="158"/>
      <c r="C527" s="158"/>
      <c r="D527" s="158"/>
      <c r="E527" s="158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313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374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8" t="s">
        <v>264</v>
      </c>
      <c r="B540" s="158"/>
      <c r="C540" s="158"/>
      <c r="D540" s="158"/>
      <c r="E540" s="158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9" t="s">
        <v>250</v>
      </c>
      <c r="B541" s="159"/>
      <c r="C541" s="159"/>
      <c r="D541" s="159"/>
      <c r="E541" s="159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375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8" t="s">
        <v>261</v>
      </c>
      <c r="B554" s="158"/>
      <c r="C554" s="158"/>
      <c r="D554" s="158"/>
      <c r="E554" s="158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313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376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348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8" t="s">
        <v>264</v>
      </c>
      <c r="B567" s="158"/>
      <c r="C567" s="158"/>
      <c r="D567" s="158"/>
      <c r="E567" s="158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9" t="s">
        <v>250</v>
      </c>
      <c r="B568" s="159"/>
      <c r="C568" s="159"/>
      <c r="D568" s="159"/>
      <c r="E568" s="159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313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177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159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8" t="s">
        <v>261</v>
      </c>
      <c r="B581" s="158"/>
      <c r="C581" s="158"/>
      <c r="D581" s="158"/>
      <c r="E581" s="158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262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0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47"/>
        <v>0</v>
      </c>
      <c r="K583" s="69">
        <f t="shared" si="148"/>
        <v>21</v>
      </c>
      <c r="L583" s="70" t="s">
        <v>29</v>
      </c>
      <c r="M583" s="70" t="s">
        <v>136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371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47"/>
        <v>0</v>
      </c>
      <c r="K585" s="69">
        <f t="shared" si="148"/>
        <v>16.8</v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47"/>
        <v>0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0</v>
      </c>
      <c r="I587" s="90">
        <f>IFERROR(IF($D587="","",VLOOKUP($D587,Cadastro!$C$4:$G$7,5,FALSE())),"")</f>
        <v>0.6</v>
      </c>
      <c r="J587" s="91">
        <f t="shared" si="147"/>
        <v>0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275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0</v>
      </c>
      <c r="I588" s="90">
        <f>IFERROR(IF($D588="","",VLOOKUP($D588,Cadastro!$C$4:$G$7,5,FALSE())),"")</f>
        <v>0.6</v>
      </c>
      <c r="J588" s="91">
        <f t="shared" si="147"/>
        <v>0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275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0</v>
      </c>
      <c r="I589" s="90">
        <f>IFERROR(IF($D589="","",VLOOKUP($D589,Cadastro!$C$4:$G$7,5,FALSE())),"")</f>
        <v>0.6</v>
      </c>
      <c r="J589" s="91">
        <f t="shared" si="147"/>
        <v>0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275</v>
      </c>
      <c r="F590" s="88">
        <f>IFERROR(IF($D590="","",VLOOKUP($D590,Cadastro!$C$4:$E$7,3,FALSE())),"")</f>
        <v>0.35</v>
      </c>
      <c r="G590" s="89"/>
      <c r="H590" s="88" t="str">
        <f>IFERROR(IF($G590="","",$G590*$S$594/$G$594/Cadastro!$E$33),"")</f>
        <v/>
      </c>
      <c r="I590" s="90">
        <f>IFERROR(IF($D590="","",VLOOKUP($D590,Cadastro!$C$4:$G$7,5,FALSE())),"")</f>
        <v>0.6</v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275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275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275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8" t="s">
        <v>264</v>
      </c>
      <c r="B594" s="158"/>
      <c r="C594" s="158"/>
      <c r="D594" s="158"/>
      <c r="E594" s="158"/>
      <c r="F594" s="105"/>
      <c r="G594" s="96">
        <f>SUM(G582:G593)</f>
        <v>56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235.20000000000005</v>
      </c>
      <c r="L594" s="72"/>
      <c r="M594" s="72"/>
      <c r="N594" s="72"/>
      <c r="O594" s="72"/>
      <c r="P594" s="72"/>
      <c r="Q594" s="73">
        <f ca="1">IFERROR(SUM(Q582:Q593),"")</f>
        <v>9.7916666666666763E-2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9" t="s">
        <v>250</v>
      </c>
      <c r="B595" s="159"/>
      <c r="C595" s="159"/>
      <c r="D595" s="159"/>
      <c r="E595" s="159"/>
      <c r="F595" s="108"/>
      <c r="G595" s="109">
        <f>G581+G594</f>
        <v>219</v>
      </c>
      <c r="H595" s="108">
        <f>IFERROR(H581+H594,"")</f>
        <v>631.32999999999993</v>
      </c>
      <c r="I595" s="110"/>
      <c r="J595" s="111">
        <f>IFERROR(J581+J594,"")</f>
        <v>132.57929999999996</v>
      </c>
      <c r="K595" s="1">
        <f>K581+K594</f>
        <v>928.60000000000014</v>
      </c>
      <c r="L595" s="76"/>
      <c r="M595" s="76"/>
      <c r="N595" s="76"/>
      <c r="O595" s="76"/>
      <c r="P595" s="76"/>
      <c r="Q595" s="77">
        <f ca="1">IFERROR(Q581+Q594,"")</f>
        <v>0.25416666666666676</v>
      </c>
      <c r="R595" s="1" t="s">
        <v>265</v>
      </c>
      <c r="S595" s="82">
        <f>IFERROR(S581+S594,"")</f>
        <v>631330</v>
      </c>
      <c r="T595" s="118">
        <f>IFERROR(J595,"")</f>
        <v>132.57929999999996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8" t="s">
        <v>261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8" t="s">
        <v>264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9" t="s">
        <v>250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8" t="s">
        <v>261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8" t="s">
        <v>264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9" t="s">
        <v>250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8" t="s">
        <v>261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8" t="s">
        <v>264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9" t="s">
        <v>250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8" t="s">
        <v>261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8" t="s">
        <v>264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9" t="s">
        <v>250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8" t="s">
        <v>261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8" t="s">
        <v>264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9" t="s">
        <v>250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8" t="s">
        <v>261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8" t="s">
        <v>264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9" t="s">
        <v>250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8" t="s">
        <v>261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8" t="s">
        <v>264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9" t="s">
        <v>250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8" t="s">
        <v>261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8" t="s">
        <v>264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9" t="s">
        <v>250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8" t="s">
        <v>261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8" t="s">
        <v>264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9" t="s">
        <v>250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567" activePane="bottomLeft" state="frozen"/>
      <selection pane="bottomLeft" activeCell="G590" sqref="G590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8" t="s">
        <v>261</v>
      </c>
      <c r="B14" s="158"/>
      <c r="C14" s="158"/>
      <c r="D14" s="158"/>
      <c r="E14" s="158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377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310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348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378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379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8" t="s">
        <v>264</v>
      </c>
      <c r="B27" s="158"/>
      <c r="C27" s="158"/>
      <c r="D27" s="158"/>
      <c r="E27" s="158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9" t="s">
        <v>250</v>
      </c>
      <c r="B28" s="159"/>
      <c r="C28" s="159"/>
      <c r="D28" s="159"/>
      <c r="E28" s="159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8" t="s">
        <v>261</v>
      </c>
      <c r="B41" s="158"/>
      <c r="C41" s="158"/>
      <c r="D41" s="158"/>
      <c r="E41" s="158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380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8" t="s">
        <v>264</v>
      </c>
      <c r="B54" s="158"/>
      <c r="C54" s="158"/>
      <c r="D54" s="158"/>
      <c r="E54" s="158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9" t="s">
        <v>250</v>
      </c>
      <c r="B55" s="159"/>
      <c r="C55" s="159"/>
      <c r="D55" s="159"/>
      <c r="E55" s="159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381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382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8" t="s">
        <v>261</v>
      </c>
      <c r="B68" s="158"/>
      <c r="C68" s="158"/>
      <c r="D68" s="158"/>
      <c r="E68" s="158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383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348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8" t="s">
        <v>264</v>
      </c>
      <c r="B81" s="158"/>
      <c r="C81" s="158"/>
      <c r="D81" s="158"/>
      <c r="E81" s="158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9" t="s">
        <v>250</v>
      </c>
      <c r="B82" s="159"/>
      <c r="C82" s="159"/>
      <c r="D82" s="159"/>
      <c r="E82" s="159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8" t="s">
        <v>261</v>
      </c>
      <c r="B95" s="158"/>
      <c r="C95" s="158"/>
      <c r="D95" s="158"/>
      <c r="E95" s="158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348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8" t="s">
        <v>264</v>
      </c>
      <c r="B108" s="158"/>
      <c r="C108" s="158"/>
      <c r="D108" s="158"/>
      <c r="E108" s="158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9" t="s">
        <v>250</v>
      </c>
      <c r="B109" s="159"/>
      <c r="C109" s="159"/>
      <c r="D109" s="159"/>
      <c r="E109" s="159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384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8" t="s">
        <v>261</v>
      </c>
      <c r="B122" s="158"/>
      <c r="C122" s="158"/>
      <c r="D122" s="158"/>
      <c r="E122" s="158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385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313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348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8" t="s">
        <v>264</v>
      </c>
      <c r="B135" s="158"/>
      <c r="C135" s="158"/>
      <c r="D135" s="158"/>
      <c r="E135" s="158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9" t="s">
        <v>250</v>
      </c>
      <c r="B136" s="159"/>
      <c r="C136" s="159"/>
      <c r="D136" s="159"/>
      <c r="E136" s="159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386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387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321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388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389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264</v>
      </c>
      <c r="B162" s="158"/>
      <c r="C162" s="158"/>
      <c r="D162" s="158"/>
      <c r="E162" s="158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9" t="s">
        <v>250</v>
      </c>
      <c r="B163" s="159"/>
      <c r="C163" s="159"/>
      <c r="D163" s="159"/>
      <c r="E163" s="159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390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261</v>
      </c>
      <c r="B176" s="158"/>
      <c r="C176" s="158"/>
      <c r="D176" s="158"/>
      <c r="E176" s="158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391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264</v>
      </c>
      <c r="B189" s="158"/>
      <c r="C189" s="158"/>
      <c r="D189" s="158"/>
      <c r="E189" s="158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9" t="s">
        <v>250</v>
      </c>
      <c r="B190" s="159"/>
      <c r="C190" s="159"/>
      <c r="D190" s="159"/>
      <c r="E190" s="159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392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261</v>
      </c>
      <c r="B203" s="158"/>
      <c r="C203" s="158"/>
      <c r="D203" s="158"/>
      <c r="E203" s="158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393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394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395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8" t="s">
        <v>264</v>
      </c>
      <c r="B216" s="158"/>
      <c r="C216" s="158"/>
      <c r="D216" s="158"/>
      <c r="E216" s="158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9" t="s">
        <v>250</v>
      </c>
      <c r="B217" s="159"/>
      <c r="C217" s="159"/>
      <c r="D217" s="159"/>
      <c r="E217" s="159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396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397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8" t="s">
        <v>261</v>
      </c>
      <c r="B230" s="158"/>
      <c r="C230" s="158"/>
      <c r="D230" s="158"/>
      <c r="E230" s="158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398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399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8" t="s">
        <v>264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9" t="s">
        <v>250</v>
      </c>
      <c r="B244" s="159"/>
      <c r="C244" s="159"/>
      <c r="D244" s="159"/>
      <c r="E244" s="159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400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8" t="s">
        <v>261</v>
      </c>
      <c r="B257" s="158"/>
      <c r="C257" s="158"/>
      <c r="D257" s="158"/>
      <c r="E257" s="158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8" t="s">
        <v>264</v>
      </c>
      <c r="B270" s="158"/>
      <c r="C270" s="158"/>
      <c r="D270" s="158"/>
      <c r="E270" s="158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9" t="s">
        <v>250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8" t="s">
        <v>261</v>
      </c>
      <c r="B284" s="158"/>
      <c r="C284" s="158"/>
      <c r="D284" s="158"/>
      <c r="E284" s="158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8" t="s">
        <v>264</v>
      </c>
      <c r="B297" s="158"/>
      <c r="C297" s="158"/>
      <c r="D297" s="158"/>
      <c r="E297" s="158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9" t="s">
        <v>250</v>
      </c>
      <c r="B298" s="159"/>
      <c r="C298" s="159"/>
      <c r="D298" s="159"/>
      <c r="E298" s="159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8" t="s">
        <v>261</v>
      </c>
      <c r="B311" s="158"/>
      <c r="C311" s="158"/>
      <c r="D311" s="158"/>
      <c r="E311" s="158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8" t="s">
        <v>264</v>
      </c>
      <c r="B324" s="158"/>
      <c r="C324" s="158"/>
      <c r="D324" s="158"/>
      <c r="E324" s="158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9" t="s">
        <v>250</v>
      </c>
      <c r="B325" s="159"/>
      <c r="C325" s="159"/>
      <c r="D325" s="159"/>
      <c r="E325" s="159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8" t="s">
        <v>261</v>
      </c>
      <c r="B338" s="158"/>
      <c r="C338" s="158"/>
      <c r="D338" s="158"/>
      <c r="E338" s="158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401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402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8" t="s">
        <v>264</v>
      </c>
      <c r="B351" s="158"/>
      <c r="C351" s="158"/>
      <c r="D351" s="158"/>
      <c r="E351" s="158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9" t="s">
        <v>250</v>
      </c>
      <c r="B352" s="159"/>
      <c r="C352" s="159"/>
      <c r="D352" s="159"/>
      <c r="E352" s="159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403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404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405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8" t="s">
        <v>264</v>
      </c>
      <c r="B378" s="158"/>
      <c r="C378" s="158"/>
      <c r="D378" s="158"/>
      <c r="E378" s="158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9" t="s">
        <v>250</v>
      </c>
      <c r="B379" s="159"/>
      <c r="C379" s="159"/>
      <c r="D379" s="159"/>
      <c r="E379" s="159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335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406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8" t="s">
        <v>261</v>
      </c>
      <c r="B392" s="158"/>
      <c r="C392" s="158"/>
      <c r="D392" s="158"/>
      <c r="E392" s="158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407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8" t="s">
        <v>264</v>
      </c>
      <c r="B405" s="158"/>
      <c r="C405" s="158"/>
      <c r="D405" s="158"/>
      <c r="E405" s="158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9" t="s">
        <v>250</v>
      </c>
      <c r="B406" s="159"/>
      <c r="C406" s="159"/>
      <c r="D406" s="159"/>
      <c r="E406" s="159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408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8" t="s">
        <v>261</v>
      </c>
      <c r="B419" s="158"/>
      <c r="C419" s="158"/>
      <c r="D419" s="158"/>
      <c r="E419" s="158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409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8" t="s">
        <v>264</v>
      </c>
      <c r="B432" s="158"/>
      <c r="C432" s="158"/>
      <c r="D432" s="158"/>
      <c r="E432" s="158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9" t="s">
        <v>250</v>
      </c>
      <c r="B433" s="159"/>
      <c r="C433" s="159"/>
      <c r="D433" s="159"/>
      <c r="E433" s="159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8" t="s">
        <v>261</v>
      </c>
      <c r="B446" s="158"/>
      <c r="C446" s="158"/>
      <c r="D446" s="158"/>
      <c r="E446" s="158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410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404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8" t="s">
        <v>264</v>
      </c>
      <c r="B459" s="158"/>
      <c r="C459" s="158"/>
      <c r="D459" s="158"/>
      <c r="E459" s="158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9" t="s">
        <v>250</v>
      </c>
      <c r="B460" s="159"/>
      <c r="C460" s="159"/>
      <c r="D460" s="159"/>
      <c r="E460" s="159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8" t="s">
        <v>261</v>
      </c>
      <c r="B473" s="158"/>
      <c r="C473" s="158"/>
      <c r="D473" s="158"/>
      <c r="E473" s="158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411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370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8" t="s">
        <v>264</v>
      </c>
      <c r="B486" s="158"/>
      <c r="C486" s="158"/>
      <c r="D486" s="158"/>
      <c r="E486" s="158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9" t="s">
        <v>250</v>
      </c>
      <c r="B487" s="159"/>
      <c r="C487" s="159"/>
      <c r="D487" s="159"/>
      <c r="E487" s="159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8" t="s">
        <v>261</v>
      </c>
      <c r="B500" s="158"/>
      <c r="C500" s="158"/>
      <c r="D500" s="158"/>
      <c r="E500" s="158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412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8" t="s">
        <v>264</v>
      </c>
      <c r="B513" s="158"/>
      <c r="C513" s="158"/>
      <c r="D513" s="158"/>
      <c r="E513" s="158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9" t="s">
        <v>250</v>
      </c>
      <c r="B514" s="159"/>
      <c r="C514" s="159"/>
      <c r="D514" s="159"/>
      <c r="E514" s="159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8" t="s">
        <v>261</v>
      </c>
      <c r="B527" s="158"/>
      <c r="C527" s="158"/>
      <c r="D527" s="158"/>
      <c r="E527" s="158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8" t="s">
        <v>264</v>
      </c>
      <c r="B540" s="158"/>
      <c r="C540" s="158"/>
      <c r="D540" s="158"/>
      <c r="E540" s="158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9" t="s">
        <v>250</v>
      </c>
      <c r="B541" s="159"/>
      <c r="C541" s="159"/>
      <c r="D541" s="159"/>
      <c r="E541" s="159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413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414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8" t="s">
        <v>261</v>
      </c>
      <c r="B554" s="158"/>
      <c r="C554" s="158"/>
      <c r="D554" s="158"/>
      <c r="E554" s="158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415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416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417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418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419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420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403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8" t="s">
        <v>264</v>
      </c>
      <c r="B567" s="158"/>
      <c r="C567" s="158"/>
      <c r="D567" s="158"/>
      <c r="E567" s="158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9" t="s">
        <v>250</v>
      </c>
      <c r="B568" s="159"/>
      <c r="C568" s="159"/>
      <c r="D568" s="159"/>
      <c r="E568" s="159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404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168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421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168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168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8" t="s">
        <v>261</v>
      </c>
      <c r="B581" s="158"/>
      <c r="C581" s="158"/>
      <c r="D581" s="158"/>
      <c r="E581" s="158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262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50.400000000000006</v>
      </c>
      <c r="L583" s="70" t="s">
        <v>29</v>
      </c>
      <c r="M583" s="70" t="s">
        <v>173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422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423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50"/>
        <v>0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50"/>
        <v>0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0</v>
      </c>
      <c r="I587" s="90">
        <f>IFERROR(IF($D587="","",VLOOKUP($D587,Cadastro!$C$4:$G$7,5,FALSE())),"")</f>
        <v>0.6</v>
      </c>
      <c r="J587" s="91">
        <f t="shared" si="150"/>
        <v>0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370</v>
      </c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275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0</v>
      </c>
      <c r="I588" s="90">
        <f>IFERROR(IF($D588="","",VLOOKUP($D588,Cadastro!$C$4:$G$7,5,FALSE())),"")</f>
        <v>0.6</v>
      </c>
      <c r="J588" s="91">
        <f t="shared" si="150"/>
        <v>0</v>
      </c>
      <c r="K588" s="64">
        <f t="shared" si="151"/>
        <v>50.400000000000006</v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275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0</v>
      </c>
      <c r="I589" s="90">
        <f>IFERROR(IF($D589="","",VLOOKUP($D589,Cadastro!$C$4:$G$7,5,FALSE())),"")</f>
        <v>0.6</v>
      </c>
      <c r="J589" s="91">
        <f t="shared" si="150"/>
        <v>0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275</v>
      </c>
      <c r="F590" s="88">
        <f>IFERROR(IF($D590="","",VLOOKUP($D590,Cadastro!$C$4:$E$7,3,FALSE())),"")</f>
        <v>0.35</v>
      </c>
      <c r="G590" s="89"/>
      <c r="H590" s="88" t="str">
        <f>IFERROR(IF($G590="","",$G590*$S$594/$G$594/Cadastro!$E$33),"")</f>
        <v/>
      </c>
      <c r="I590" s="90">
        <f>IFERROR(IF($D590="","",VLOOKUP($D590,Cadastro!$C$4:$G$7,5,FALSE())),"")</f>
        <v>0.6</v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275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275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275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8" t="s">
        <v>264</v>
      </c>
      <c r="B594" s="158"/>
      <c r="C594" s="158"/>
      <c r="D594" s="158"/>
      <c r="E594" s="158"/>
      <c r="F594" s="105"/>
      <c r="G594" s="96">
        <f>SUM(G582:G593)</f>
        <v>100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419.99999999999994</v>
      </c>
      <c r="L594" s="72"/>
      <c r="M594" s="72"/>
      <c r="N594" s="72"/>
      <c r="O594" s="134"/>
      <c r="P594" s="134"/>
      <c r="Q594" s="73">
        <f ca="1">IFERROR(SUM(Q582:Q593),"")</f>
        <v>8.3333333333333259E-2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9" t="s">
        <v>250</v>
      </c>
      <c r="B595" s="159"/>
      <c r="C595" s="159"/>
      <c r="D595" s="159"/>
      <c r="E595" s="159"/>
      <c r="F595" s="108"/>
      <c r="G595" s="109">
        <f>G581+G594</f>
        <v>302</v>
      </c>
      <c r="H595" s="108">
        <f>IFERROR(H581+H594,"")</f>
        <v>759.8</v>
      </c>
      <c r="I595" s="110"/>
      <c r="J595" s="111">
        <f>IFERROR(J581+J594,"")</f>
        <v>159.55799999999996</v>
      </c>
      <c r="K595" s="1">
        <f>K581+K594</f>
        <v>1284.4000000000001</v>
      </c>
      <c r="L595" s="76"/>
      <c r="M595" s="76"/>
      <c r="N595" s="76"/>
      <c r="O595" s="135"/>
      <c r="P595" s="135"/>
      <c r="Q595" s="77">
        <f ca="1">IFERROR(Q581+Q594,"")</f>
        <v>0.21736111111111112</v>
      </c>
      <c r="R595" s="1" t="s">
        <v>265</v>
      </c>
      <c r="S595" s="82">
        <f>IFERROR(S581+S594,"")</f>
        <v>759800</v>
      </c>
      <c r="T595" s="118">
        <f>IFERROR(J595,"")</f>
        <v>159.55799999999996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8" t="s">
        <v>261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8" t="s">
        <v>264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9" t="s">
        <v>250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8" t="s">
        <v>261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8" t="s">
        <v>264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9" t="s">
        <v>250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8" t="s">
        <v>261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8" t="s">
        <v>264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9" t="s">
        <v>250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8" t="s">
        <v>261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8" t="s">
        <v>264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9" t="s">
        <v>250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8" t="s">
        <v>261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8" t="s">
        <v>264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9" t="s">
        <v>250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8" t="s">
        <v>261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8" t="s">
        <v>264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9" t="s">
        <v>250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8" t="s">
        <v>261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8" t="s">
        <v>264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9" t="s">
        <v>250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8" t="s">
        <v>261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8" t="s">
        <v>264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9" t="s">
        <v>250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8" t="s">
        <v>261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8" t="s">
        <v>264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9" t="s">
        <v>250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2026-08-23T07:23:38Z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