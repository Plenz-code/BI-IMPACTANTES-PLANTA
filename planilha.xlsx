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6" documentId="8_{AF585B22-221D-4780-BB9C-493D365A6A02}" xr6:coauthVersionLast="47" xr6:coauthVersionMax="47" xr10:uidLastSave="{F673901D-ECD2-4EFF-9AD5-B34BA82FC36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<sst xmlns="http://schemas.openxmlformats.org/spreadsheetml/2006/main" count="1498" uniqueCount="207">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</sst>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0.14541516203462379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0.19263738425684601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0.19263738425684601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K32" sqref="K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/>
      <c r="M31" s="35">
        <f t="shared" ca="1" si="7"/>
        <v>1.0692939809814561E-2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37</v>
      </c>
      <c r="G41" s="36">
        <f>SUM(G29:G40)</f>
        <v>155.4</v>
      </c>
      <c r="H41" s="37"/>
      <c r="I41" s="37"/>
      <c r="J41" s="37"/>
      <c r="K41" s="37"/>
      <c r="L41" s="37"/>
      <c r="M41" s="38">
        <f ca="1">IFERROR(SUM(M29:M40),"")</f>
        <v>3.3609606476481202E-2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37</v>
      </c>
      <c r="G55" s="40">
        <f>G41+G54</f>
        <v>155.4</v>
      </c>
      <c r="H55" s="41"/>
      <c r="I55" s="41"/>
      <c r="J55" s="41"/>
      <c r="K55" s="41"/>
      <c r="L55" s="41"/>
      <c r="M55" s="42">
        <f ca="1">IFERROR(M41+M54,"")</f>
        <v>3.3609606476481202E-2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4" sqref="F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37"/>
      <c r="L41" s="37"/>
      <c r="M41" s="38">
        <f ca="1">IFERROR(SUM(M29:M40),"")</f>
        <v>0.14652777777777776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41"/>
      <c r="L55" s="41"/>
      <c r="M55" s="42">
        <f ca="1">IFERROR(M41+M54,"")</f>
        <v>0.14652777777777776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K34" sqref="K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/>
      <c r="I33" s="33"/>
      <c r="J33" s="33"/>
      <c r="K33" s="29">
        <v>0.48055555555555557</v>
      </c>
      <c r="L33" s="29"/>
      <c r="M33" s="30">
        <f t="shared" ca="1" si="7"/>
        <v>4.4026273142662831E-2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25</v>
      </c>
      <c r="G41" s="36">
        <f>SUM(G29:G40)</f>
        <v>105</v>
      </c>
      <c r="H41" s="37"/>
      <c r="I41" s="37"/>
      <c r="J41" s="37"/>
      <c r="K41" s="61"/>
      <c r="L41" s="61"/>
      <c r="M41" s="38">
        <f ca="1">IFERROR(SUM(M29:M40),"")</f>
        <v>0.17666516203155169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25</v>
      </c>
      <c r="G55" s="40">
        <f>G41+G54</f>
        <v>105</v>
      </c>
      <c r="H55" s="41"/>
      <c r="I55" s="41"/>
      <c r="J55" s="41"/>
      <c r="K55" s="63"/>
      <c r="L55" s="63"/>
      <c r="M55" s="42">
        <f ca="1">IFERROR(M41+M54,"")</f>
        <v>0.17666516203155169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2026-07-02T16:35:57Z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