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254" documentId="8_{AF585B22-221D-4780-BB9C-493D365A6A02}" xr6:coauthVersionLast="47" xr6:coauthVersionMax="47" xr10:uidLastSave="{B42E5209-3A99-42E8-B745-9740E3AC19EC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<sst xmlns="http://schemas.openxmlformats.org/spreadsheetml/2006/main" count="4887" uniqueCount="290">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</sst>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86" sqref="F28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</v>
      </c>
      <c r="G297" s="36">
        <f>SUM(G285:G296)</f>
        <v>80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332</v>
      </c>
      <c r="G298" s="40">
        <f>G284+G297</f>
        <v>1660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4" activePane="bottomLeft" state="frozen"/>
      <selection pane="bottomLeft" activeCell="F286" sqref="F28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21</v>
      </c>
      <c r="G297" s="36">
        <f>SUM(G285:G296)</f>
        <v>88.2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204</v>
      </c>
      <c r="G298" s="40">
        <f>G284+G297</f>
        <v>856.8</v>
      </c>
      <c r="H298" s="41"/>
      <c r="I298" s="41"/>
      <c r="J298" s="41"/>
      <c r="K298" s="41"/>
      <c r="L298" s="41"/>
      <c r="M298" s="42">
        <f ca="1">IFERROR(M284+M297,"")</f>
        <v>0.15763888888888883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9" zoomScale="50" zoomScaleNormal="50" workbookViewId="0">
      <selection activeCell="F286" sqref="F28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260</v>
      </c>
      <c r="N166" s="27" t="s">
        <v>261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/>
      <c r="G286" s="28" t="str">
        <f t="shared" si="63"/>
        <v/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/>
      <c r="M286" s="30">
        <f t="shared" ca="1" si="64"/>
        <v>4.2037847219035029E-2</v>
      </c>
      <c r="N286" s="27" t="s">
        <v>262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4.5510069441257239E-2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306.59999999999997</v>
      </c>
      <c r="H298" s="41"/>
      <c r="I298" s="41"/>
      <c r="J298" s="41"/>
      <c r="K298" s="41"/>
      <c r="L298" s="41"/>
      <c r="M298" s="42">
        <f ca="1">IFERROR(M284+M297,"")</f>
        <v>0.10106562499681276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74" activePane="bottomLeft" state="frozen"/>
      <selection pane="bottomLeft" activeCell="E296" sqref="E29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269</v>
      </c>
      <c r="L58" s="29">
        <v>0.54097222222222219</v>
      </c>
      <c r="M58" s="30" t="str">
        <f t="shared" ca="1" si="13"/>
        <v/>
      </c>
      <c r="N58" s="27" t="s">
        <v>270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0.58787118055624887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0.7871767361118045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1.1545378472229155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>
        <v>0.79166666666666663</v>
      </c>
      <c r="L285" s="29"/>
      <c r="M285" s="35">
        <f t="shared" ref="M285:M296" ca="1" si="64">IFERROR(IF(K285="","",IF(L285="",MOD(NOW()-K285,1),IF(L285&gt;=K285,L285-K285,L285+1-K285))),"")</f>
        <v>4.551006944529945E-2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4.551006944529945E-2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187</v>
      </c>
      <c r="G298" s="40">
        <f>G284+G297</f>
        <v>785.40000000000009</v>
      </c>
      <c r="H298" s="41"/>
      <c r="I298" s="41"/>
      <c r="J298" s="41"/>
      <c r="K298" s="63"/>
      <c r="L298" s="63"/>
      <c r="M298" s="42">
        <f ca="1">IFERROR(M284+M297,"")</f>
        <v>0.10939895833418828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2026-07-12T00:05:33Z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