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21" documentId="8_{AF585B22-221D-4780-BB9C-493D365A6A02}" xr6:coauthVersionLast="47" xr6:coauthVersionMax="47" xr10:uidLastSave="{712CF976-4414-4E9F-A581-14D7A9B5CB6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<sst xmlns="http://schemas.openxmlformats.org/spreadsheetml/2006/main" count="8785" uniqueCount="370">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</sst>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60" sqref="F5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/>
      <c r="M555" s="35">
        <f t="shared" ref="M555:M566" ca="1" si="124">IFERROR(IF(K555="","",IF(L555="",MOD(NOW()-K555,1),IF(L555&gt;=K555,L555-K555,L555+1-K555))),"")</f>
        <v>1.4973842597100884E-2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79</v>
      </c>
      <c r="G567" s="36">
        <f>SUM(G555:G566)</f>
        <v>395</v>
      </c>
      <c r="H567" s="37"/>
      <c r="I567" s="37"/>
      <c r="J567" s="37"/>
      <c r="K567" s="37"/>
      <c r="L567" s="37"/>
      <c r="M567" s="38">
        <f ca="1">IFERROR(SUM(M555:M566),"")</f>
        <v>1.4973842597100884E-2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209</v>
      </c>
      <c r="G568" s="40">
        <f>G554+G567</f>
        <v>1045</v>
      </c>
      <c r="H568" s="41"/>
      <c r="I568" s="41"/>
      <c r="J568" s="41"/>
      <c r="K568" s="41"/>
      <c r="L568" s="41"/>
      <c r="M568" s="42">
        <f ca="1">IFERROR(M554+M567,"")</f>
        <v>0.33789050926376757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9" sqref="F5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0.765668287036533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0.92330717592542189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1.0330293981476442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0.74414050926134223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0.91497384259467562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1.0601127314835646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56</v>
      </c>
      <c r="G567" s="36">
        <f>SUM(G555:G566)</f>
        <v>235.2</v>
      </c>
      <c r="H567" s="37"/>
      <c r="I567" s="37"/>
      <c r="J567" s="37"/>
      <c r="K567" s="37"/>
      <c r="L567" s="37"/>
      <c r="M567" s="38">
        <f ca="1">IFERROR(SUM(M555:M566),"")</f>
        <v>4.5833333333333282E-2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294</v>
      </c>
      <c r="G568" s="40">
        <f>G554+G567</f>
        <v>1234.8</v>
      </c>
      <c r="H568" s="41"/>
      <c r="I568" s="41"/>
      <c r="J568" s="41"/>
      <c r="K568" s="41"/>
      <c r="L568" s="41"/>
      <c r="M568" s="42">
        <f ca="1">IFERROR(M554+M567,"")</f>
        <v>0.13055555555555554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9" sqref="F5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26</v>
      </c>
      <c r="G567" s="36">
        <f>SUM(G555:G566)</f>
        <v>109.20000000000002</v>
      </c>
      <c r="H567" s="37"/>
      <c r="I567" s="37"/>
      <c r="J567" s="37"/>
      <c r="K567" s="37"/>
      <c r="L567" s="37"/>
      <c r="M567" s="38">
        <f ca="1">IFERROR(SUM(M555:M566),"")</f>
        <v>5.5555555555556468E-3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59</v>
      </c>
      <c r="G568" s="40">
        <f>G554+G567</f>
        <v>247.80000000000004</v>
      </c>
      <c r="H568" s="41"/>
      <c r="I568" s="41"/>
      <c r="J568" s="41"/>
      <c r="K568" s="41"/>
      <c r="L568" s="41"/>
      <c r="M568" s="42">
        <f ca="1">IFERROR(M554+M567,"")</f>
        <v>6.2500000000000111E-2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L557" sqref="L55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0.75594606481899973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0.95525162037455535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1.3226127314856664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51</v>
      </c>
      <c r="G567" s="36">
        <f>SUM(G555:G566)</f>
        <v>214.2</v>
      </c>
      <c r="H567" s="37"/>
      <c r="I567" s="37"/>
      <c r="J567" s="37"/>
      <c r="K567" s="61"/>
      <c r="L567" s="61"/>
      <c r="M567" s="38">
        <f ca="1">IFERROR(SUM(M555:M566),"")</f>
        <v>3.9583333333333401E-2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201</v>
      </c>
      <c r="G568" s="40">
        <f>G554+G567</f>
        <v>844.2</v>
      </c>
      <c r="H568" s="41"/>
      <c r="I568" s="41"/>
      <c r="J568" s="41"/>
      <c r="K568" s="63"/>
      <c r="L568" s="63"/>
      <c r="M568" s="42">
        <f ca="1">IFERROR(M554+M567,"")</f>
        <v>0.21875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2026-07-22T04:08:06Z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