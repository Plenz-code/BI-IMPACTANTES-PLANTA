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75" documentId="13_ncr:1_{9DFDFEE8-78F7-4C04-B87C-99924EE6CC37}" xr6:coauthVersionLast="47" xr6:coauthVersionMax="47" xr10:uidLastSave="{B631E94B-17D5-4FB3-A63F-8E42E223514B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<sst xmlns="http://schemas.openxmlformats.org/spreadsheetml/2006/main" count="4785" uniqueCount="1313">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</sst>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K56" sqref="K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80</v>
      </c>
      <c r="G68" s="2">
        <f>SUM(G56:G67)</f>
        <v>400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80</v>
      </c>
      <c r="G82" s="1">
        <f>G68+G81</f>
        <v>400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8" sqref="G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8" sqref="G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142.80000000000001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142.80000000000001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4" activePane="bottomLeft" state="frozen"/>
      <selection pane="bottomLeft" activeCell="N56" sqref="N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29</v>
      </c>
      <c r="M56" s="76" t="s">
        <v>177</v>
      </c>
      <c r="N56" s="85" t="s">
        <v>66</v>
      </c>
      <c r="O56" s="80">
        <v>0.42777777777777776</v>
      </c>
      <c r="P56" s="80"/>
      <c r="Q56" s="81">
        <f t="shared" ref="Q56:Q67" ca="1" si="18">IFERROR(IF(O56="","",IF(P56="",MOD(NOW()-O56,1),IF(P56&gt;=O56,P56-O56,P56+1-O56))),"")</f>
        <v>3.1857638896326534E-3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218.40000000000003</v>
      </c>
      <c r="L68" s="87"/>
      <c r="M68" s="87"/>
      <c r="N68" s="87"/>
      <c r="O68" s="154"/>
      <c r="P68" s="154"/>
      <c r="Q68" s="88">
        <f ca="1">IFERROR(SUM(Q56:Q67),"")</f>
        <v>3.1857638896326534E-3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218.40000000000003</v>
      </c>
      <c r="L82" s="91"/>
      <c r="M82" s="91"/>
      <c r="N82" s="91"/>
      <c r="O82" s="155"/>
      <c r="P82" s="155"/>
      <c r="Q82" s="92">
        <f ca="1">IFERROR(Q68+Q81,"")</f>
        <v>3.1857638896326534E-3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2026-09-03T14:20:53Z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