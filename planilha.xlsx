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153" documentId="8_{AF585B22-221D-4780-BB9C-493D365A6A02}" xr6:coauthVersionLast="47" xr6:coauthVersionMax="47" xr10:uidLastSave="{A3668E69-8103-4105-A2AD-B19B3D615F69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<sst xmlns="http://schemas.openxmlformats.org/spreadsheetml/2006/main" count="11173" uniqueCount="413">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</sst>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F739" sqref="F73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338</v>
      </c>
      <c r="G743" s="36">
        <f>SUM(G731:G742)</f>
        <v>1690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338</v>
      </c>
      <c r="G757" s="40">
        <f>G743+G756</f>
        <v>1690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4" activePane="bottomLeft" state="frozen"/>
      <selection pane="bottomLeft" activeCell="H736" sqref="H7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0.46194814814225538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0.61958703703114426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0.72930925925336643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0.44042037036706461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0.611253703700398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0.75639259258928693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/>
      <c r="J736" s="26"/>
      <c r="K736" s="29">
        <v>0.7006944444444444</v>
      </c>
      <c r="L736" s="29"/>
      <c r="M736" s="30">
        <f t="shared" ca="1" si="163"/>
        <v>8.3703703421633691E-4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106</v>
      </c>
      <c r="G743" s="36">
        <f>SUM(G731:G742)</f>
        <v>445.20000000000005</v>
      </c>
      <c r="H743" s="37"/>
      <c r="I743" s="37"/>
      <c r="J743" s="37"/>
      <c r="K743" s="37"/>
      <c r="L743" s="37"/>
      <c r="M743" s="38">
        <f ca="1">IFERROR(SUM(M731:M742),"")</f>
        <v>5.9170370367549574E-2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106</v>
      </c>
      <c r="G757" s="40">
        <f>G743+G756</f>
        <v>445.20000000000005</v>
      </c>
      <c r="H757" s="41"/>
      <c r="I757" s="41"/>
      <c r="J757" s="41"/>
      <c r="K757" s="41"/>
      <c r="L757" s="41"/>
      <c r="M757" s="42">
        <f ca="1">IFERROR(M743+M756,"")</f>
        <v>5.9170370367549574E-2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1" zoomScale="50" zoomScaleNormal="50" workbookViewId="0">
      <selection activeCell="L736" sqref="L7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319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/>
      <c r="G741" s="34" t="str">
        <f>IF(F741="","",IF(E742="PC 17",F741*4.2,IF(E742="PC 19",F741*5,"")))</f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/>
      <c r="G742" s="28" t="str">
        <f>IF(F742="","",IF(#REF!="PC 17",F742*4.2,IF(#REF!="PC 19",F742*5,"")))</f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51</v>
      </c>
      <c r="G743" s="36">
        <f>SUM(G731:G742)</f>
        <v>214.2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51</v>
      </c>
      <c r="G757" s="40">
        <f>G743+G756</f>
        <v>214.2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37" sqref="F7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0.45222592592472211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0.65153148148027773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1.0188925925913888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19</v>
      </c>
      <c r="I737" s="33" t="s">
        <v>52</v>
      </c>
      <c r="J737" s="33" t="s">
        <v>27</v>
      </c>
      <c r="K737" s="29">
        <v>0.6069444444444444</v>
      </c>
      <c r="L737" s="29">
        <v>0.61875000000000002</v>
      </c>
      <c r="M737" s="35">
        <f t="shared" ca="1" si="163"/>
        <v>1.1805555555555625E-2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112</v>
      </c>
      <c r="G743" s="36">
        <f>SUM(G731:G742)</f>
        <v>470.4</v>
      </c>
      <c r="H743" s="37"/>
      <c r="I743" s="37"/>
      <c r="J743" s="37"/>
      <c r="K743" s="61"/>
      <c r="L743" s="61"/>
      <c r="M743" s="38">
        <f ca="1">IFERROR(SUM(M731:M742),"")</f>
        <v>9.8611111111111149E-2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112</v>
      </c>
      <c r="G757" s="40">
        <f>G743+G756</f>
        <v>470.4</v>
      </c>
      <c r="H757" s="41"/>
      <c r="I757" s="41"/>
      <c r="J757" s="41"/>
      <c r="K757" s="63"/>
      <c r="L757" s="63"/>
      <c r="M757" s="42">
        <f ca="1">IFERROR(M743+M756,"")</f>
        <v>9.8611111111111149E-2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2026-07-28T20:51:14Z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