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10" documentId="8_{C51EB6CB-002B-4D6B-B68F-DDEBDB4460C0}" xr6:coauthVersionLast="47" xr6:coauthVersionMax="47" xr10:uidLastSave="{2CAFF265-8AD9-44F9-B97F-F319F45C5C6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<sst xmlns="http://schemas.openxmlformats.org/spreadsheetml/2006/main" count="3244" uniqueCount="281">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</sst>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19" sqref="I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0"/>
      <c r="I19" s="17"/>
      <c r="J19" s="17"/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0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0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0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0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0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0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0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0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0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0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0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0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0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0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0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0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0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0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0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0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0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0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0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0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0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0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205</v>
      </c>
      <c r="L58" s="16"/>
      <c r="M58" s="16"/>
    </row>
    <row r="59" spans="1:13" ht="15" customHeight="1">
      <c r="H59" s="110"/>
      <c r="I59" s="17"/>
      <c r="J59" s="17"/>
      <c r="K59" s="17" t="s">
        <v>206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207</v>
      </c>
      <c r="L61" s="17"/>
      <c r="M61" s="17"/>
    </row>
    <row r="62" spans="1:13" ht="15" customHeight="1">
      <c r="H62" s="110"/>
      <c r="I62" s="16"/>
      <c r="J62" s="16"/>
      <c r="K62" s="16" t="s">
        <v>208</v>
      </c>
      <c r="L62" s="16"/>
      <c r="M62" s="16"/>
    </row>
    <row r="63" spans="1:13" ht="15" customHeight="1">
      <c r="H63" s="110"/>
      <c r="I63" s="17"/>
      <c r="J63" s="17"/>
      <c r="K63" s="17" t="s">
        <v>209</v>
      </c>
      <c r="L63" s="17"/>
      <c r="M63" s="17"/>
    </row>
    <row r="64" spans="1:13" ht="15" customHeight="1">
      <c r="H64" s="110"/>
      <c r="I64" s="16"/>
      <c r="J64" s="16"/>
      <c r="K64" s="16" t="s">
        <v>210</v>
      </c>
      <c r="L64" s="16"/>
      <c r="M64" s="16"/>
    </row>
    <row r="65" spans="8:13" ht="15" customHeight="1">
      <c r="H65" s="110"/>
      <c r="I65" s="17"/>
      <c r="J65" s="17"/>
      <c r="K65" s="17" t="s">
        <v>211</v>
      </c>
      <c r="L65" s="17"/>
      <c r="M65" s="17"/>
    </row>
    <row r="66" spans="8:13" ht="15" customHeight="1">
      <c r="H66" s="110"/>
      <c r="I66" s="16"/>
      <c r="J66" s="16"/>
      <c r="K66" s="16" t="s">
        <v>212</v>
      </c>
      <c r="L66" s="16"/>
      <c r="M66" s="16"/>
    </row>
    <row r="67" spans="8:13" ht="15" customHeight="1">
      <c r="H67" s="110"/>
      <c r="I67" s="17"/>
      <c r="J67" s="17"/>
      <c r="K67" s="17" t="s">
        <v>213</v>
      </c>
      <c r="L67" s="17"/>
      <c r="M67" s="17"/>
    </row>
    <row r="68" spans="8:13" ht="15" customHeight="1">
      <c r="H68" s="110"/>
      <c r="I68" s="16"/>
      <c r="J68" s="16"/>
      <c r="K68" s="16" t="s">
        <v>214</v>
      </c>
      <c r="L68" s="16"/>
      <c r="M68" s="16"/>
    </row>
    <row r="69" spans="8:13" ht="15" customHeight="1">
      <c r="H69" s="110"/>
      <c r="I69" s="17"/>
      <c r="J69" s="17"/>
      <c r="K69" s="17" t="s">
        <v>215</v>
      </c>
      <c r="L69" s="17"/>
      <c r="M69" s="17"/>
    </row>
    <row r="70" spans="8:13" ht="15" customHeight="1">
      <c r="H70" s="110"/>
      <c r="I70" s="16"/>
      <c r="J70" s="16"/>
      <c r="K70" s="16" t="s">
        <v>216</v>
      </c>
      <c r="L70" s="16"/>
      <c r="M70" s="16"/>
    </row>
    <row r="71" spans="8:13" ht="15" customHeight="1">
      <c r="H71" s="110"/>
      <c r="I71" s="17"/>
      <c r="J71" s="17"/>
      <c r="K71" s="17" t="s">
        <v>217</v>
      </c>
      <c r="L71" s="17"/>
      <c r="M71" s="17"/>
    </row>
    <row r="72" spans="8:13" ht="15" customHeight="1">
      <c r="H72" s="110"/>
      <c r="I72" s="16"/>
      <c r="J72" s="16"/>
      <c r="K72" s="16" t="s">
        <v>218</v>
      </c>
      <c r="L72" s="16"/>
      <c r="M72" s="16"/>
    </row>
    <row r="73" spans="8:13" ht="15" customHeight="1">
      <c r="H73" s="110"/>
      <c r="I73" s="17"/>
      <c r="J73" s="17"/>
      <c r="K73" s="17" t="s">
        <v>219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0" activePane="bottomLeft" state="frozen"/>
      <selection pane="bottomLeft" activeCell="F140" sqref="F1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231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230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230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232</v>
      </c>
      <c r="O27" s="39">
        <v>997910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230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230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231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230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230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230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232</v>
      </c>
      <c r="O54" s="39">
        <v>981310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230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231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230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232</v>
      </c>
      <c r="O81" s="39">
        <v>1547910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230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230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231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3156240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231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232</v>
      </c>
      <c r="O135" s="39">
        <v>2875180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230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230</v>
      </c>
      <c r="F139" s="27">
        <v>25</v>
      </c>
      <c r="G139" s="34">
        <f t="shared" si="30"/>
        <v>125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230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230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230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230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230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230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230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230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230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231</v>
      </c>
      <c r="B149" s="101"/>
      <c r="C149" s="101"/>
      <c r="D149" s="101"/>
      <c r="E149" s="102">
        <f>SUM(E137:E148)</f>
        <v>0</v>
      </c>
      <c r="F149" s="36">
        <f>SUM(F137:F148)</f>
        <v>75</v>
      </c>
      <c r="G149" s="36">
        <f>SUM(G137:G148)</f>
        <v>375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232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4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75</v>
      </c>
      <c r="G163" s="40">
        <f>G149+G162</f>
        <v>375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231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231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231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231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231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231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231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231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231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231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231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231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231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231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231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231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231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231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231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231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231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231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231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231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12" t="s">
        <v>235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231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234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F140" sqref="F1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157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128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129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129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231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232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133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155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133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232</v>
      </c>
      <c r="O27" s="77">
        <v>549860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236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155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231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232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157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157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128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128</v>
      </c>
      <c r="K53" s="29">
        <v>0.12152777777777778</v>
      </c>
      <c r="L53" s="29"/>
      <c r="M53" s="30">
        <f t="shared" ca="1" si="11"/>
        <v>0.30415648147754837</v>
      </c>
      <c r="N53" s="46" t="s">
        <v>252</v>
      </c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0.44304537036643726</v>
      </c>
      <c r="N54" s="36" t="s">
        <v>232</v>
      </c>
      <c r="O54" s="84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0.52776759258865957</v>
      </c>
      <c r="N55" s="40" t="s">
        <v>236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121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121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121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121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121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121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231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232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147</v>
      </c>
      <c r="J69" s="26" t="s">
        <v>183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133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155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>
        <v>5</v>
      </c>
      <c r="G72" s="28">
        <f t="shared" si="15"/>
        <v>21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>
        <v>19</v>
      </c>
      <c r="G74" s="28">
        <f t="shared" si="15"/>
        <v>79.8</v>
      </c>
      <c r="H74" s="26" t="s">
        <v>20</v>
      </c>
      <c r="I74" s="26" t="s">
        <v>155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198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243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243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232</v>
      </c>
      <c r="O81" s="54">
        <v>634210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236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254</v>
      </c>
      <c r="E83" s="59" t="s">
        <v>243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136</v>
      </c>
      <c r="J83" s="33" t="s">
        <v>207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14</v>
      </c>
      <c r="G87" s="28">
        <f t="shared" si="18"/>
        <v>58.800000000000004</v>
      </c>
      <c r="H87" s="33" t="s">
        <v>18</v>
      </c>
      <c r="I87" s="33" t="s">
        <v>136</v>
      </c>
      <c r="J87" s="33" t="s">
        <v>116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231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232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139</v>
      </c>
      <c r="J96" s="26" t="s">
        <v>116</v>
      </c>
      <c r="K96" s="29">
        <v>0.79166666666666663</v>
      </c>
      <c r="L96" s="29" t="s">
        <v>255</v>
      </c>
      <c r="M96" s="30" t="str">
        <f t="shared" ref="M96:M107" ca="1" si="22">IFERROR(IF(K96="","",IF(L96="",MOD(NOW()-K96,1),IF(L96&gt;=K96,L96-K96,L96+1-K96))),"")</f>
        <v/>
      </c>
      <c r="N96" s="46" t="s">
        <v>256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181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233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232</v>
      </c>
      <c r="O108" s="54">
        <v>456830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236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154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154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231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232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157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154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133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17</v>
      </c>
      <c r="I126" s="26" t="s">
        <v>133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121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232</v>
      </c>
      <c r="O135" s="54">
        <v>756720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236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243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2"/>
        <v/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231</v>
      </c>
      <c r="B149" s="101"/>
      <c r="C149" s="101"/>
      <c r="D149" s="101"/>
      <c r="E149" s="102">
        <f>SUM(E137:E148)</f>
        <v>0</v>
      </c>
      <c r="F149" s="36">
        <f>SUM(F137:F148)</f>
        <v>47</v>
      </c>
      <c r="G149" s="36">
        <f>SUM(G137:G148)</f>
        <v>197.4</v>
      </c>
      <c r="H149" s="37"/>
      <c r="I149" s="37"/>
      <c r="J149" s="37"/>
      <c r="K149" s="37"/>
      <c r="L149" s="37"/>
      <c r="M149" s="38">
        <f ca="1">IFERROR(SUM(M137:M148),"")</f>
        <v>4.3749999999999956E-2</v>
      </c>
      <c r="N149" s="36" t="s">
        <v>232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5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47</v>
      </c>
      <c r="G163" s="40">
        <f>G149+G162</f>
        <v>197.4</v>
      </c>
      <c r="H163" s="41"/>
      <c r="I163" s="41"/>
      <c r="J163" s="41"/>
      <c r="K163" s="41"/>
      <c r="L163" s="41"/>
      <c r="M163" s="42">
        <f ca="1">IFERROR(M149+M162,"")</f>
        <v>4.3749999999999956E-2</v>
      </c>
      <c r="N163" s="40" t="s">
        <v>236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231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231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77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231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77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231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77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231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77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231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77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231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77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231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77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231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77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231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77"/>
    </row>
    <row r="433" spans="1:15" ht="18" customHeight="1">
      <c r="A433" s="92" t="s">
        <v>235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231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77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231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77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231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77"/>
    </row>
    <row r="514" spans="1:15" ht="18" customHeight="1">
      <c r="A514" s="92" t="s">
        <v>235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231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77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231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77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231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77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231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231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231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231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231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231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231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231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231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234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84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40" sqref="F1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231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232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133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155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133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159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232</v>
      </c>
      <c r="O27" s="39">
        <v>358000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236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231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232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165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155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132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232</v>
      </c>
      <c r="O54" s="39">
        <v>279980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236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121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121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121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128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231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232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147</v>
      </c>
      <c r="J70" s="26" t="s">
        <v>183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155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0</v>
      </c>
      <c r="G72" s="28">
        <f t="shared" si="15"/>
        <v>0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7</v>
      </c>
      <c r="G73" s="34">
        <f t="shared" si="15"/>
        <v>29.400000000000002</v>
      </c>
      <c r="H73" s="33" t="s">
        <v>20</v>
      </c>
      <c r="I73" s="33" t="s">
        <v>155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232</v>
      </c>
      <c r="O81" s="39">
        <v>185920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236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0</v>
      </c>
      <c r="G84" s="34">
        <f t="shared" si="18"/>
        <v>0</v>
      </c>
      <c r="H84" s="26" t="s">
        <v>18</v>
      </c>
      <c r="I84" s="26" t="s">
        <v>136</v>
      </c>
      <c r="J84" s="26" t="s">
        <v>116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231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232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136</v>
      </c>
      <c r="J96" s="26" t="s">
        <v>116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18</v>
      </c>
      <c r="I97" s="33" t="s">
        <v>136</v>
      </c>
      <c r="J97" s="33" t="s">
        <v>116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7</v>
      </c>
      <c r="G99" s="28">
        <f t="shared" si="21"/>
        <v>29.400000000000002</v>
      </c>
      <c r="H99" s="33" t="s">
        <v>20</v>
      </c>
      <c r="I99" s="33" t="s">
        <v>155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232</v>
      </c>
      <c r="O108" s="39">
        <v>434370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236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231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232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155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9</v>
      </c>
      <c r="G124" s="28">
        <f t="shared" si="27"/>
        <v>37.800000000000004</v>
      </c>
      <c r="H124" s="26" t="s">
        <v>20</v>
      </c>
      <c r="I124" s="26" t="s">
        <v>155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133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129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196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232</v>
      </c>
      <c r="O135" s="39">
        <v>416350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236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</v>
      </c>
      <c r="G138" s="28">
        <f t="shared" si="30"/>
        <v>4.2</v>
      </c>
      <c r="H138" s="26" t="s">
        <v>20</v>
      </c>
      <c r="I138" s="26" t="s">
        <v>47</v>
      </c>
      <c r="J138" s="26" t="s">
        <v>51</v>
      </c>
      <c r="K138" s="29">
        <v>0.40277777777777779</v>
      </c>
      <c r="L138" s="29"/>
      <c r="M138" s="30">
        <f t="shared" ca="1" si="31"/>
        <v>2.2906481477548368E-2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5</v>
      </c>
      <c r="G139" s="34">
        <f t="shared" si="30"/>
        <v>21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231</v>
      </c>
      <c r="B149" s="101"/>
      <c r="C149" s="101"/>
      <c r="D149" s="101"/>
      <c r="E149" s="102">
        <f>SUM(E137:E148)</f>
        <v>0</v>
      </c>
      <c r="F149" s="36">
        <f>SUM(F137:F148)</f>
        <v>9</v>
      </c>
      <c r="G149" s="36">
        <f>SUM(G137:G148)</f>
        <v>37.799999999999997</v>
      </c>
      <c r="H149" s="37"/>
      <c r="I149" s="37"/>
      <c r="J149" s="37"/>
      <c r="K149" s="37"/>
      <c r="L149" s="37"/>
      <c r="M149" s="38">
        <f ca="1">IFERROR(SUM(M137:M148),"")</f>
        <v>4.3739814810881739E-2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9</v>
      </c>
      <c r="G163" s="40">
        <f>G149+G162</f>
        <v>37.799999999999997</v>
      </c>
      <c r="H163" s="41"/>
      <c r="I163" s="41"/>
      <c r="J163" s="41"/>
      <c r="K163" s="41"/>
      <c r="L163" s="41"/>
      <c r="M163" s="42">
        <f ca="1">IFERROR(M149+M162,"")</f>
        <v>4.3739814810881739E-2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231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231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39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231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231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231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231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231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231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231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231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231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231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231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231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231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231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231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231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231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231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231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231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231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231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231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234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J139" sqref="J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231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232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128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128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159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232</v>
      </c>
      <c r="O27" s="39">
        <v>491520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236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231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232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232</v>
      </c>
      <c r="O54" s="39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236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204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128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231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232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214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128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204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243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232</v>
      </c>
      <c r="O81" s="39">
        <v>612410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236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160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231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232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160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128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232</v>
      </c>
      <c r="O108" s="39">
        <v>956070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236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160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214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219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219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160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231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232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204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128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232</v>
      </c>
      <c r="O135" s="39">
        <v>912240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236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160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279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231</v>
      </c>
      <c r="B149" s="88"/>
      <c r="C149" s="88"/>
      <c r="D149" s="88"/>
      <c r="E149" s="89">
        <f>SUM(E137:E148)</f>
        <v>0</v>
      </c>
      <c r="F149" s="36">
        <f>SUM(F137:F148)</f>
        <v>59</v>
      </c>
      <c r="G149" s="36">
        <f>SUM(G137:G148)</f>
        <v>247.8</v>
      </c>
      <c r="H149" s="37"/>
      <c r="I149" s="37"/>
      <c r="J149" s="37"/>
      <c r="K149" s="61"/>
      <c r="L149" s="61"/>
      <c r="M149" s="38">
        <f ca="1">IFERROR(SUM(M137:M148),"")</f>
        <v>2.7083333333333293E-2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59</v>
      </c>
      <c r="G163" s="40">
        <f>G149+G162</f>
        <v>247.8</v>
      </c>
      <c r="H163" s="41"/>
      <c r="I163" s="41"/>
      <c r="J163" s="41"/>
      <c r="K163" s="63"/>
      <c r="L163" s="63"/>
      <c r="M163" s="42">
        <f ca="1">IFERROR(M149+M162,"")</f>
        <v>2.7083333333333293E-2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231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231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231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231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231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231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231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231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231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232</v>
      </c>
      <c r="O432" s="39"/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231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232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231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231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231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231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231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231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231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231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231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231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231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231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231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231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234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236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2026-08-06T14:13:15Z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