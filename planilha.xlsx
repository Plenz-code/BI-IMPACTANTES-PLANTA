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57" documentId="8_{AF585B22-221D-4780-BB9C-493D365A6A02}" xr6:coauthVersionLast="47" xr6:coauthVersionMax="47" xr10:uidLastSave="{4DAD3B98-E999-4A3B-BE5B-F707F0FF56B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<sst xmlns="http://schemas.openxmlformats.org/spreadsheetml/2006/main" count="4343" uniqueCount="283">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</sst>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6" zoomScale="85" zoomScaleNormal="85" workbookViewId="0">
      <selection activeCell="K62" sqref="K6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8" activePane="bottomLeft" state="frozen"/>
      <selection pane="bottomLeft" activeCell="F251" sqref="F2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210</v>
      </c>
      <c r="E2" s="59" t="s">
        <v>211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214</v>
      </c>
      <c r="O27" s="39">
        <v>1183060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214</v>
      </c>
      <c r="O54" s="39">
        <v>959290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214</v>
      </c>
      <c r="O81" s="39">
        <v>878050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211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214</v>
      </c>
      <c r="O108" s="39">
        <v>1700000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214</v>
      </c>
      <c r="O135" s="39">
        <v>862330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214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214</v>
      </c>
      <c r="O162" s="44">
        <v>1546080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217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214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214</v>
      </c>
      <c r="O189" s="39">
        <v>2355810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217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214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214</v>
      </c>
      <c r="O216" s="45">
        <v>2013260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217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214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214</v>
      </c>
      <c r="O243" s="39">
        <v>1545480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217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211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211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211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211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211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211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125</v>
      </c>
      <c r="G257" s="36">
        <f>SUM(G245:G256)</f>
        <v>625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125</v>
      </c>
      <c r="G271" s="40">
        <f>G257+G270</f>
        <v>625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0" sqref="F2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214</v>
      </c>
      <c r="O27" s="78">
        <v>393200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85">
        <v>276360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214</v>
      </c>
      <c r="O81" s="54">
        <v>787860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214</v>
      </c>
      <c r="O108" s="54">
        <v>1087080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214</v>
      </c>
      <c r="O135" s="54">
        <v>794480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214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214</v>
      </c>
      <c r="O162" s="54">
        <v>882280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217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214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214</v>
      </c>
      <c r="O189" s="78"/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214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214</v>
      </c>
      <c r="O216" s="78">
        <v>648410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217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213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214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214</v>
      </c>
      <c r="O243" s="78">
        <v>849060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217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59</v>
      </c>
      <c r="G257" s="36">
        <f>SUM(G245:G256)</f>
        <v>247.79999999999998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78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59</v>
      </c>
      <c r="G271" s="40">
        <f>G257+G270</f>
        <v>247.79999999999998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78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78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78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78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78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78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78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78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78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78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78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78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78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78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78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78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78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0" sqref="F2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214</v>
      </c>
      <c r="O27" s="39">
        <v>308500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39">
        <v>124290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214</v>
      </c>
      <c r="O81" s="39">
        <v>396340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214</v>
      </c>
      <c r="O108" s="39">
        <v>41230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214</v>
      </c>
      <c r="O135" s="39">
        <v>381250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214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214</v>
      </c>
      <c r="O162" s="39">
        <v>337120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217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255</v>
      </c>
      <c r="N166" s="27" t="s">
        <v>256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214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214</v>
      </c>
      <c r="O189" s="39">
        <v>747210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217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214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214</v>
      </c>
      <c r="O216" s="39">
        <v>468430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217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214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214</v>
      </c>
      <c r="O243" s="39">
        <v>575930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217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78</v>
      </c>
      <c r="G257" s="36">
        <f>SUM(G245:G256)</f>
        <v>327.60000000000002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78</v>
      </c>
      <c r="G271" s="40">
        <f>G257+G270</f>
        <v>327.60000000000002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0" sqref="F2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214</v>
      </c>
      <c r="O27" s="39">
        <v>202230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214</v>
      </c>
      <c r="O54" s="39">
        <v>473910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262</v>
      </c>
      <c r="L58" s="29">
        <v>0.54097222222222219</v>
      </c>
      <c r="M58" s="30" t="str">
        <f t="shared" ca="1" si="13"/>
        <v/>
      </c>
      <c r="N58" s="27" t="s">
        <v>263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214</v>
      </c>
      <c r="O81" s="39">
        <v>565120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214</v>
      </c>
      <c r="O108" s="39">
        <v>558590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0.29330636574013624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0.49261192129569187</v>
      </c>
      <c r="N135" s="36" t="s">
        <v>214</v>
      </c>
      <c r="O135" s="39">
        <v>729290</v>
      </c>
    </row>
    <row r="136" spans="1:18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0.8599730324068029</v>
      </c>
      <c r="N136" s="40" t="s">
        <v>217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214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214</v>
      </c>
      <c r="O162" s="39">
        <v>697320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217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214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214</v>
      </c>
      <c r="O189" s="39">
        <v>973580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217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214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214</v>
      </c>
      <c r="O216" s="45">
        <v>1060630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217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214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214</v>
      </c>
      <c r="O243" s="39">
        <v>982340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217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17</v>
      </c>
      <c r="G247" s="28">
        <f t="shared" si="54"/>
        <v>71.400000000000006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77</v>
      </c>
      <c r="G257" s="36">
        <f>SUM(G245:G256)</f>
        <v>323.39999999999998</v>
      </c>
      <c r="H257" s="37"/>
      <c r="I257" s="37"/>
      <c r="J257" s="37"/>
      <c r="K257" s="61"/>
      <c r="L257" s="61"/>
      <c r="M257" s="38">
        <f ca="1">IFERROR(SUM(M245:M256),"")</f>
        <v>9.2361111111111116E-2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77</v>
      </c>
      <c r="G271" s="40">
        <f>G257+G270</f>
        <v>323.39999999999998</v>
      </c>
      <c r="H271" s="41"/>
      <c r="I271" s="41"/>
      <c r="J271" s="41"/>
      <c r="K271" s="63"/>
      <c r="L271" s="63"/>
      <c r="M271" s="42">
        <f ca="1">IFERROR(M257+M270,"")</f>
        <v>9.2361111111111116E-2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214</v>
      </c>
      <c r="O432" s="39"/>
    </row>
    <row r="433" spans="1:17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2026-07-10T17:01:51Z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