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12" documentId="8_{AF585B22-221D-4780-BB9C-493D365A6A02}" xr6:coauthVersionLast="47" xr6:coauthVersionMax="47" xr10:uidLastSave="{9A8CCDB7-E011-4E8A-A281-73801FEC329E}"/>
  <bookViews>
    <workbookView xWindow="-120" yWindow="-12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" i="1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<sst xmlns="http://schemas.openxmlformats.org/spreadsheetml/2006/main" count="8961" uniqueCount="376">
  <si>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</si>
  <si>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</si>
  <si>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</si>
  <si>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</si>
  <si>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</si>
  <si>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</si>
  <si>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</si>
  <si>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</si>
  <si>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</si>
  <si>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</si>
  <si>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</si>
  <si>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</si>
  <si>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</si>
  <si>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</si>
  <si>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</si>
  <si>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</si>
  <si>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</si>
  <si>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</si>
  <si>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</si>
  <si>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</si>
  <si>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</si>
  <si>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</si>
  <si>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</si>
  <si>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</si>
  <si>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</si>
  <si>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</si>
  <si>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</si>
  <si>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</si>
  <si>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</si>
  <si>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</si>
  <si>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</si>
  <si>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</si>
  <si>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</si>
  <si>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</si>
  <si>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</si>
  <si>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</si>
  <si>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</si>
  <si>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</si>
  <si>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</si>
  <si>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</si>
  <si>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</si>
  <si>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</si>
  <si>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</si>
  <si>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</si>
  <si>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</si>
  <si>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</si>
  <si>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</si>
  <si>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</si>
  <si>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</si>
  <si>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</si>
  <si>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</si>
  <si>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</si>
  <si>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</si>
  <si>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</si>
  <si>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</si>
  <si>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</si>
  <si>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</si>
  <si>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</si>
  <si>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</si>
  <si>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</si>
  <si>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</si>
  <si>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</si>
  <si>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</si>
  <si>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</si>
  <si>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</si>
  <si>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</si>
  <si>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</si>
  <si>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</si>
  <si>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</si>
  <si>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</si>
  <si>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</si>
  <si>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</si>
  <si>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</si>
  <si>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</si>
  <si>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</si>
  <si>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</si>
  <si>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</si>
  <si>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</si>
  <si>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</si>
  <si>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</si>
  <si>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</si>
  <si>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</si>
  <si>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</si>
  <si>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</si>
  <si>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</si>
  <si>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</si>
  <si>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</si>
  <si>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</si>
  <si>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</si>
  <si>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</si>
  <si>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</si>
  <si>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</si>
  <si>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</si>
  <si>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</si>
  <si>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</si>
  <si>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</si>
  <si>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</si>
  <si>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</si>
  <si>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</si>
  <si>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</si>
  <si>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</si>
  <si>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</si>
  <si>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</si>
  <si>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</si>
  <si>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</si>
  <si>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</si>
  <si>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</si>
  <si>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</si>
  <si>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</si>
  <si>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</si>
  <si>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</si>
  <si>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</si>
  <si>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</si>
  <si>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</si>
  <si>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</si>
  <si>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</si>
  <si>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</si>
  <si>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</si>
  <si>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</si>
  <si>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</si>
  <si>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</si>
  <si>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</si>
  <si>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</si>
  <si>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</si>
  <si>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</si>
  <si>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</si>
  <si>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</si>
  <si>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</si>
  <si>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</si>
  <si>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</si>
  <si>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</si>
  <si>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</si>
  <si>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</si>
  <si>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</si>
  <si>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</si>
  <si>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</si>
  <si>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</si>
  <si>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</si>
  <si>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</si>
  <si>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</si>
  <si>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</si>
  <si>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</si>
  <si>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</si>
  <si>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</si>
  <si>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</si>
  <si>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</si>
  <si>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</si>
  <si>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</si>
  <si>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</si>
  <si>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</si>
  <si>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</si>
  <si>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</si>
  <si>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</si>
  <si>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</si>
  <si>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</si>
  <si>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</si>
  <si>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</si>
  <si>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</si>
  <si>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</si>
  <si>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</si>
  <si>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</si>
  <si>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</si>
  <si>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</si>
  <si>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</si>
  <si>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</si>
  <si>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</si>
  <si>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</si>
  <si>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</si>
  <si>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</si>
  <si>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</si>
  <si>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</si>
  <si>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</si>
  <si>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</si>
  <si>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</si>
  <si>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</si>
  <si>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</si>
  <si>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</si>
  <si>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</si>
  <si>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</si>
  <si>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</si>
  <si>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</si>
  <si>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</si>
  <si>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</si>
  <si>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</si>
  <si>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</si>
  <si>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</si>
  <si>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</si>
  <si>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</si>
  <si>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</si>
  <si>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</si>
  <si>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</si>
  <si>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</si>
  <si>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</si>
  <si>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</si>
  <si>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</si>
  <si>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</si>
  <si>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</si>
  <si>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</si>
  <si>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</si>
  <si>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</si>
  <si>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</si>
  <si>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</si>
  <si>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</si>
  <si>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</si>
  <si>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</si>
  <si>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</si>
  <si>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</si>
  <si>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</si>
  <si>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</si>
  <si>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</si>
  <si>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</si>
  <si>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</si>
  <si>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</si>
  <si>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</si>
  <si>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</si>
  <si>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</si>
  <si>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</si>
  <si>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</si>
  <si>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</si>
  <si>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</si>
  <si>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</si>
  <si>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</si>
  <si>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</si>
  <si>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</si>
  <si>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</si>
  <si>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</si>
  <si>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</si>
  <si>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</si>
  <si>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</si>
  <si>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</si>
  <si>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</si>
  <si>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</si>
  <si>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</si>
  <si>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</si>
  <si>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</si>
  <si>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</si>
  <si>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</si>
  <si>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</si>
  <si>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</si>
  <si>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</si>
  <si>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</si>
  <si>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</si>
  <si>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</si>
  <si>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</si>
  <si>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</si>
  <si>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</si>
  <si>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</si>
  <si>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</si>
  <si>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</si>
  <si>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</si>
  <si>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</si>
  <si>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</si>
  <si>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</si>
  <si>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</si>
  <si>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</si>
  <si>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</si>
  <si>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</si>
  <si>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</si>
  <si>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</si>
  <si>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</si>
  <si>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</si>
  <si>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</si>
  <si>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</si>
  <si>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</si>
  <si>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</si>
  <si>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</si>
  <si>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</si>
  <si>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</si>
  <si>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</si>
  <si>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</si>
  <si>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</si>
  <si>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</si>
  <si>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</si>
  <si>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</si>
  <si>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</si>
  <si>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</si>
  <si>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</si>
  <si>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</si>
  <si>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</si>
  <si>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</si>
  <si>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</si>
  <si>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</si>
  <si>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</si>
  <si>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</si>
  <si>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</si>
  <si>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</si>
  <si>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</si>
  <si>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</si>
  <si>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</si>
  <si>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</si>
  <si>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</si>
  <si>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</si>
  <si>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</si>
  <si>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</si>
  <si>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</si>
  <si>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</si>
  <si>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</si>
  <si>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</si>
  <si>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</si>
  <si>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</si>
  <si>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</si>
  <si>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</si>
  <si>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</si>
  <si>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</si>
  <si>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</si>
  <si>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</si>
  <si>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</si>
  <si>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</si>
  <si>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</si>
  <si>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</si>
  <si>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</si>
  <si>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</si>
  <si>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</si>
  <si>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</si>
  <si>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</si>
  <si>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</si>
  <si>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</si>
  <si>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</si>
  <si>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</si>
  <si>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</si>
  <si>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</si>
  <si>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</si>
  <si>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</si>
  <si>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</si>
  <si>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</si>
  <si>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</si>
  <si>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</si>
  <si>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</si>
  <si>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</si>
  <si>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</si>
  <si>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</si>
  <si>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</si>
  <si>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</si>
  <si>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</si>
  <si>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</si>
  <si>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</si>
  <si>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</si>
  <si>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</si>
  <si>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</si>
  <si>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</si>
  <si>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</si>
  <si>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</si>
  <si>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</si>
  <si>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</si>
  <si>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</si>
  <si>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</si>
  <si>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</si>
  <si>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</si>
  <si>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</si>
  <si>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</si>
  <si>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</si>
  <si>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</si>
  <si>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</si>
  <si>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</si>
  <si>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</si>
  <si>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</si>
  <si>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</si>
  <si>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</si>
  <si>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</si>
  <si>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</si>
  <si>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</si>
  <si>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</si>
  <si>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</si>
  <si>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</si>
  <si>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</si>
  <si>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</si>
  <si>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</si>
  <si>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</si>
  <si>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</si>
  <si>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</si>
  <si>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</si>
  <si>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</si>
  <si>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</si>
  <si>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</si>
  <si>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 xml:space="preserve">colocado borracha para sanar vazamento nos moinhos, </t>
  </si>
  <si>
    <t>09:1'0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</si>
</sst>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5" x14ac:dyDescent="0.2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 x14ac:dyDescent="0.25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 x14ac:dyDescent="0.25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25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25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25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25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25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25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25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 x14ac:dyDescent="0.25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 x14ac:dyDescent="0.25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 x14ac:dyDescent="0.25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 x14ac:dyDescent="0.25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 x14ac:dyDescent="0.25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 x14ac:dyDescent="0.25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 x14ac:dyDescent="0.25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 x14ac:dyDescent="0.25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 x14ac:dyDescent="0.25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 x14ac:dyDescent="0.25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 x14ac:dyDescent="0.25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 x14ac:dyDescent="0.25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 x14ac:dyDescent="0.25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 x14ac:dyDescent="0.25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 x14ac:dyDescent="0.25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 x14ac:dyDescent="0.25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25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25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25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25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25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25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25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25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25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25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 x14ac:dyDescent="0.25">
      <c r="H2" s="109"/>
    </row>
    <row r="3" spans="1:13" ht="21.75" customHeight="1" x14ac:dyDescent="0.25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25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25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25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25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25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25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25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25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25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25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25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25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25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25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25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 x14ac:dyDescent="0.25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 x14ac:dyDescent="0.25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 x14ac:dyDescent="0.25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 x14ac:dyDescent="0.25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 x14ac:dyDescent="0.25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 x14ac:dyDescent="0.25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 x14ac:dyDescent="0.25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 x14ac:dyDescent="0.25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 x14ac:dyDescent="0.25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 x14ac:dyDescent="0.25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 x14ac:dyDescent="0.25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 x14ac:dyDescent="0.25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 x14ac:dyDescent="0.25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 x14ac:dyDescent="0.25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 x14ac:dyDescent="0.25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 x14ac:dyDescent="0.25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 x14ac:dyDescent="0.25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 x14ac:dyDescent="0.25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 x14ac:dyDescent="0.25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 x14ac:dyDescent="0.25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 x14ac:dyDescent="0.25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 x14ac:dyDescent="0.25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 x14ac:dyDescent="0.25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 x14ac:dyDescent="0.25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 x14ac:dyDescent="0.25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 x14ac:dyDescent="0.25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 x14ac:dyDescent="0.25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 x14ac:dyDescent="0.25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 x14ac:dyDescent="0.25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 x14ac:dyDescent="0.25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 x14ac:dyDescent="0.25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 x14ac:dyDescent="0.25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 x14ac:dyDescent="0.25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 x14ac:dyDescent="0.25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 x14ac:dyDescent="0.25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 x14ac:dyDescent="0.25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 x14ac:dyDescent="0.25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 x14ac:dyDescent="0.25">
      <c r="H56" s="109"/>
      <c r="I56" s="16"/>
      <c r="J56" s="16"/>
      <c r="K56" s="16" t="s">
        <v>202</v>
      </c>
      <c r="L56" s="16"/>
      <c r="M56" s="16"/>
    </row>
    <row r="57" spans="1:13" ht="15" customHeight="1" x14ac:dyDescent="0.25">
      <c r="H57" s="109"/>
      <c r="I57" s="17"/>
      <c r="J57" s="17"/>
      <c r="K57" s="17" t="s">
        <v>50</v>
      </c>
      <c r="L57" s="17"/>
      <c r="M57" s="17"/>
    </row>
    <row r="58" spans="1:13" ht="15" customHeight="1" x14ac:dyDescent="0.25">
      <c r="H58" s="109"/>
      <c r="I58" s="16"/>
      <c r="J58" s="16"/>
      <c r="K58" s="16" t="s">
        <v>203</v>
      </c>
      <c r="L58" s="16"/>
      <c r="M58" s="16"/>
    </row>
    <row r="59" spans="1:13" ht="15" customHeight="1" x14ac:dyDescent="0.25">
      <c r="H59" s="109"/>
      <c r="I59" s="17"/>
      <c r="J59" s="17"/>
      <c r="K59" s="17" t="s">
        <v>204</v>
      </c>
      <c r="L59" s="17"/>
      <c r="M59" s="17"/>
    </row>
    <row r="60" spans="1:13" ht="15" customHeight="1" x14ac:dyDescent="0.25">
      <c r="H60" s="109"/>
      <c r="I60" s="16"/>
      <c r="J60" s="16"/>
      <c r="K60" s="86" t="s">
        <v>105</v>
      </c>
      <c r="L60" s="16"/>
      <c r="M60" s="16"/>
    </row>
    <row r="61" spans="1:13" ht="15" customHeight="1" x14ac:dyDescent="0.25">
      <c r="H61" s="109"/>
      <c r="I61" s="17"/>
      <c r="J61" s="17"/>
      <c r="K61" s="17" t="s">
        <v>205</v>
      </c>
      <c r="L61" s="17"/>
      <c r="M61" s="17"/>
    </row>
    <row r="62" spans="1:13" ht="15" customHeight="1" x14ac:dyDescent="0.25">
      <c r="H62" s="109"/>
      <c r="I62" s="16"/>
      <c r="J62" s="16"/>
      <c r="K62" s="16" t="s">
        <v>206</v>
      </c>
      <c r="L62" s="16"/>
      <c r="M62" s="16"/>
    </row>
    <row r="63" spans="1:13" ht="15" customHeight="1" x14ac:dyDescent="0.25">
      <c r="H63" s="109"/>
      <c r="I63" s="17"/>
      <c r="J63" s="17"/>
      <c r="K63" s="17" t="s">
        <v>207</v>
      </c>
      <c r="L63" s="17"/>
      <c r="M63" s="17"/>
    </row>
    <row r="64" spans="1:13" ht="15" customHeight="1" x14ac:dyDescent="0.25">
      <c r="H64" s="109"/>
      <c r="I64" s="16"/>
      <c r="J64" s="16"/>
      <c r="K64" s="16" t="s">
        <v>208</v>
      </c>
      <c r="L64" s="16"/>
      <c r="M64" s="16"/>
    </row>
    <row r="65" spans="8:13" ht="15" customHeight="1" x14ac:dyDescent="0.25">
      <c r="H65" s="109"/>
      <c r="I65" s="17"/>
      <c r="J65" s="17"/>
      <c r="K65" s="17" t="s">
        <v>209</v>
      </c>
      <c r="L65" s="17"/>
      <c r="M65" s="17"/>
    </row>
    <row r="66" spans="8:13" ht="15" customHeight="1" x14ac:dyDescent="0.25">
      <c r="H66" s="109"/>
      <c r="I66" s="16"/>
      <c r="J66" s="16"/>
      <c r="K66" s="16" t="s">
        <v>210</v>
      </c>
      <c r="L66" s="16"/>
      <c r="M66" s="16"/>
    </row>
    <row r="67" spans="8:13" ht="15" customHeight="1" x14ac:dyDescent="0.25">
      <c r="H67" s="109"/>
      <c r="I67" s="17"/>
      <c r="J67" s="17"/>
      <c r="K67" s="17" t="s">
        <v>211</v>
      </c>
      <c r="L67" s="17"/>
      <c r="M67" s="17"/>
    </row>
    <row r="68" spans="8:13" ht="15" customHeight="1" x14ac:dyDescent="0.25">
      <c r="H68" s="109"/>
      <c r="I68" s="16"/>
      <c r="J68" s="16"/>
      <c r="K68" s="16" t="s">
        <v>212</v>
      </c>
      <c r="L68" s="16"/>
      <c r="M68" s="16"/>
    </row>
    <row r="69" spans="8:13" ht="15" customHeight="1" x14ac:dyDescent="0.25">
      <c r="H69" s="109"/>
      <c r="I69" s="17"/>
      <c r="J69" s="17"/>
      <c r="K69" s="17" t="s">
        <v>213</v>
      </c>
      <c r="L69" s="17"/>
      <c r="M69" s="17"/>
    </row>
    <row r="70" spans="8:13" ht="15" customHeight="1" x14ac:dyDescent="0.25">
      <c r="H70" s="109"/>
      <c r="I70" s="16"/>
      <c r="J70" s="16"/>
      <c r="K70" s="16" t="s">
        <v>214</v>
      </c>
      <c r="L70" s="16"/>
      <c r="M70" s="16"/>
    </row>
    <row r="71" spans="8:13" ht="15" customHeight="1" x14ac:dyDescent="0.25">
      <c r="H71" s="109"/>
      <c r="I71" s="17"/>
      <c r="J71" s="17"/>
      <c r="K71" s="17" t="s">
        <v>215</v>
      </c>
      <c r="L71" s="17"/>
      <c r="M71" s="17"/>
    </row>
    <row r="72" spans="8:13" ht="15" customHeight="1" x14ac:dyDescent="0.25">
      <c r="H72" s="109"/>
      <c r="I72" s="16"/>
      <c r="J72" s="16"/>
      <c r="K72" s="16" t="s">
        <v>216</v>
      </c>
      <c r="L72" s="16"/>
      <c r="M72" s="16"/>
    </row>
    <row r="73" spans="8:13" ht="15" customHeight="1" x14ac:dyDescent="0.25">
      <c r="H73" s="109"/>
      <c r="I73" s="17"/>
      <c r="J73" s="17"/>
      <c r="K73" s="17"/>
      <c r="L73" s="17"/>
      <c r="M73" s="17"/>
    </row>
    <row r="74" spans="8:13" ht="15" customHeight="1" x14ac:dyDescent="0.25">
      <c r="H74" s="109"/>
      <c r="I74" s="16"/>
      <c r="J74" s="16"/>
      <c r="K74" s="16"/>
      <c r="L74" s="16"/>
      <c r="M74" s="16"/>
    </row>
    <row r="75" spans="8:13" ht="15" customHeight="1" x14ac:dyDescent="0.25">
      <c r="H75" s="109"/>
      <c r="I75" s="17"/>
      <c r="J75" s="17"/>
      <c r="K75" s="17"/>
      <c r="L75" s="17"/>
      <c r="M75" s="17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80" zoomScaleNormal="80" workbookViewId="0">
      <pane ySplit="1" topLeftCell="A536" activePane="bottomLeft" state="frozen"/>
      <selection pane="bottomLeft" activeCell="J574" sqref="J574"/>
    </sheetView>
  </sheetViews>
  <sheetFormatPr defaultColWidth="8.5703125" defaultRowHeight="15" x14ac:dyDescent="0.2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 x14ac:dyDescent="0.25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25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25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25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25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 x14ac:dyDescent="0.25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25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25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 x14ac:dyDescent="0.25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 x14ac:dyDescent="0.25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 x14ac:dyDescent="0.25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 x14ac:dyDescent="0.25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 x14ac:dyDescent="0.25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 x14ac:dyDescent="0.25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 x14ac:dyDescent="0.25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 x14ac:dyDescent="0.25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 x14ac:dyDescent="0.25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 x14ac:dyDescent="0.25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 x14ac:dyDescent="0.25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 x14ac:dyDescent="0.25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 x14ac:dyDescent="0.25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 x14ac:dyDescent="0.25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 x14ac:dyDescent="0.25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 x14ac:dyDescent="0.25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 x14ac:dyDescent="0.25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 x14ac:dyDescent="0.25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 x14ac:dyDescent="0.25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 x14ac:dyDescent="0.25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 x14ac:dyDescent="0.25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 x14ac:dyDescent="0.25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 x14ac:dyDescent="0.25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 x14ac:dyDescent="0.25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9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 x14ac:dyDescent="0.25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25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25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25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25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25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25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25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25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25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25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 x14ac:dyDescent="0.25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 x14ac:dyDescent="0.25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 x14ac:dyDescent="0.25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 t="s">
        <v>375</v>
      </c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 x14ac:dyDescent="0.25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 x14ac:dyDescent="0.25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 x14ac:dyDescent="0.25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 x14ac:dyDescent="0.25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 x14ac:dyDescent="0.25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 x14ac:dyDescent="0.25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 x14ac:dyDescent="0.25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 x14ac:dyDescent="0.25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 x14ac:dyDescent="0.25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 x14ac:dyDescent="0.25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 x14ac:dyDescent="0.25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 x14ac:dyDescent="0.25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 x14ac:dyDescent="0.25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 x14ac:dyDescent="0.25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 x14ac:dyDescent="0.25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 x14ac:dyDescent="0.25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 x14ac:dyDescent="0.25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 x14ac:dyDescent="0.25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 x14ac:dyDescent="0.25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 x14ac:dyDescent="0.25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 x14ac:dyDescent="0.25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 x14ac:dyDescent="0.25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 x14ac:dyDescent="0.25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 x14ac:dyDescent="0.25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 x14ac:dyDescent="0.25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80" zoomScaleNormal="80" workbookViewId="0">
      <pane ySplit="1" topLeftCell="A557" activePane="bottomLeft" state="frozen"/>
      <selection pane="bottomLeft" activeCell="I576" sqref="I576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 x14ac:dyDescent="0.25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25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25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25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25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25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25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25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25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25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25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25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25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25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25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25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25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25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25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25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25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25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25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25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25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 x14ac:dyDescent="0.25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25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25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25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 x14ac:dyDescent="0.25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25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25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25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25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25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25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25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25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25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 x14ac:dyDescent="0.25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35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35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 x14ac:dyDescent="0.25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35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35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 x14ac:dyDescent="0.25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35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35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 x14ac:dyDescent="0.25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35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35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 x14ac:dyDescent="0.25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25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25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 x14ac:dyDescent="0.25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25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 x14ac:dyDescent="0.25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 x14ac:dyDescent="0.25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 x14ac:dyDescent="0.25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 x14ac:dyDescent="0.25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 x14ac:dyDescent="0.25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 x14ac:dyDescent="0.25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 x14ac:dyDescent="0.25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 x14ac:dyDescent="0.25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 x14ac:dyDescent="0.25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 x14ac:dyDescent="0.25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0.14280196758772945</v>
      </c>
      <c r="N377" s="46"/>
      <c r="O377" s="47"/>
    </row>
    <row r="378" spans="1:15" ht="15.75" customHeight="1" x14ac:dyDescent="0.25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0.30044085647661833</v>
      </c>
      <c r="N378" s="36" t="s">
        <v>231</v>
      </c>
      <c r="O378" s="77">
        <v>511980</v>
      </c>
    </row>
    <row r="379" spans="1:15" ht="18" customHeight="1" x14ac:dyDescent="0.25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0.4101630786988405</v>
      </c>
      <c r="N379" s="40" t="s">
        <v>234</v>
      </c>
      <c r="O379" s="83">
        <f>IFERROR(O365+O378,"")</f>
        <v>1320530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 x14ac:dyDescent="0.25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0.12127418981253868</v>
      </c>
      <c r="N423" s="46"/>
      <c r="O423" s="47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0.29210752314587207</v>
      </c>
      <c r="N432" s="36" t="s">
        <v>231</v>
      </c>
      <c r="O432" s="77">
        <v>484540</v>
      </c>
    </row>
    <row r="433" spans="1:15" ht="18" customHeight="1" x14ac:dyDescent="0.25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0.43724641203476095</v>
      </c>
      <c r="N433" s="40" t="s">
        <v>234</v>
      </c>
      <c r="O433" s="83">
        <f>IFERROR(O419+O432,"")</f>
        <v>1184540</v>
      </c>
    </row>
    <row r="434" spans="1:15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 x14ac:dyDescent="0.25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 x14ac:dyDescent="0.25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 x14ac:dyDescent="0.25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 x14ac:dyDescent="0.25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 x14ac:dyDescent="0.25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 x14ac:dyDescent="0.25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 x14ac:dyDescent="0.25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 x14ac:dyDescent="0.25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 x14ac:dyDescent="0.25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 x14ac:dyDescent="0.25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 x14ac:dyDescent="0.25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 x14ac:dyDescent="0.25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 x14ac:dyDescent="0.25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 x14ac:dyDescent="0.25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 x14ac:dyDescent="0.25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 x14ac:dyDescent="0.25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 x14ac:dyDescent="0.25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 x14ac:dyDescent="0.25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 x14ac:dyDescent="0.25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 x14ac:dyDescent="0.25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30</v>
      </c>
      <c r="G581" s="36">
        <f>SUM(G569:G580)</f>
        <v>126</v>
      </c>
      <c r="H581" s="37"/>
      <c r="I581" s="37"/>
      <c r="J581" s="37"/>
      <c r="K581" s="37"/>
      <c r="L581" s="37"/>
      <c r="M581" s="38">
        <f ca="1">IFERROR(SUM(M569:M580),"")</f>
        <v>4.8611111111110938E-3</v>
      </c>
      <c r="N581" s="36" t="s">
        <v>231</v>
      </c>
      <c r="O581" s="77"/>
    </row>
    <row r="582" spans="1:15" ht="15" customHeight="1" x14ac:dyDescent="0.25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 x14ac:dyDescent="0.25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30</v>
      </c>
      <c r="G595" s="40">
        <f>G581+G594</f>
        <v>126</v>
      </c>
      <c r="H595" s="41"/>
      <c r="I595" s="41"/>
      <c r="J595" s="41"/>
      <c r="K595" s="41"/>
      <c r="L595" s="41"/>
      <c r="M595" s="42">
        <f ca="1">IFERROR(M581+M594,"")</f>
        <v>4.8611111111110938E-3</v>
      </c>
      <c r="N595" s="40" t="s">
        <v>234</v>
      </c>
      <c r="O595" s="83">
        <f>IFERROR(O581+O594,"")</f>
        <v>0</v>
      </c>
    </row>
    <row r="596" spans="1:15" ht="15" customHeight="1" x14ac:dyDescent="0.25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 x14ac:dyDescent="0.25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 x14ac:dyDescent="0.25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 x14ac:dyDescent="0.25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 x14ac:dyDescent="0.25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 x14ac:dyDescent="0.25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 x14ac:dyDescent="0.25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 x14ac:dyDescent="0.25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 x14ac:dyDescent="0.25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 x14ac:dyDescent="0.25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 x14ac:dyDescent="0.25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 x14ac:dyDescent="0.25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 x14ac:dyDescent="0.25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 x14ac:dyDescent="0.25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 x14ac:dyDescent="0.25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 x14ac:dyDescent="0.25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 x14ac:dyDescent="0.25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 x14ac:dyDescent="0.25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 x14ac:dyDescent="0.25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 x14ac:dyDescent="0.25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 x14ac:dyDescent="0.25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 x14ac:dyDescent="0.25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 x14ac:dyDescent="0.25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5" zoomScale="80" zoomScaleNormal="80" workbookViewId="0">
      <selection activeCell="L571" sqref="L571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25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25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 x14ac:dyDescent="0.25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25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 x14ac:dyDescent="0.25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25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25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25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25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25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25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25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25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25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25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25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25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25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25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25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25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25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25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25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 x14ac:dyDescent="0.25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25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25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 x14ac:dyDescent="0.25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 x14ac:dyDescent="0.25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 x14ac:dyDescent="0.25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 x14ac:dyDescent="0.25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 x14ac:dyDescent="0.25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 x14ac:dyDescent="0.25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25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 x14ac:dyDescent="0.25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25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25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 x14ac:dyDescent="0.25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25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25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 x14ac:dyDescent="0.25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25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25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 x14ac:dyDescent="0.25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25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25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 x14ac:dyDescent="0.25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 x14ac:dyDescent="0.25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 x14ac:dyDescent="0.25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 x14ac:dyDescent="0.25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 x14ac:dyDescent="0.25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 x14ac:dyDescent="0.25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 x14ac:dyDescent="0.25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 x14ac:dyDescent="0.25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25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25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25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25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25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25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 x14ac:dyDescent="0.25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25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25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 x14ac:dyDescent="0.25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25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25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 x14ac:dyDescent="0.25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25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25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 x14ac:dyDescent="0.25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25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25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 x14ac:dyDescent="0.25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25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25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 x14ac:dyDescent="0.25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 x14ac:dyDescent="0.25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25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25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25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25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25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25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25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25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25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25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25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25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 x14ac:dyDescent="0.25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25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 x14ac:dyDescent="0.25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 x14ac:dyDescent="0.25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 x14ac:dyDescent="0.25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 x14ac:dyDescent="0.25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 x14ac:dyDescent="0.25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 x14ac:dyDescent="0.25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25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25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25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25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25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25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 x14ac:dyDescent="0.25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25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 x14ac:dyDescent="0.25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 x14ac:dyDescent="0.25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 x14ac:dyDescent="0.25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25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25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25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25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25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25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25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25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25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 x14ac:dyDescent="0.25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330</v>
      </c>
      <c r="O570" s="47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25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6</v>
      </c>
      <c r="G581" s="36">
        <f>SUM(G569:G580)</f>
        <v>25.200000000000003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/>
    </row>
    <row r="582" spans="1:15" ht="15" customHeight="1" x14ac:dyDescent="0.25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25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25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25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 x14ac:dyDescent="0.25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6</v>
      </c>
      <c r="G595" s="40">
        <f>G581+G594</f>
        <v>25.200000000000003</v>
      </c>
      <c r="H595" s="41"/>
      <c r="I595" s="41"/>
      <c r="J595" s="41"/>
      <c r="K595" s="41"/>
      <c r="L595" s="41"/>
      <c r="M595" s="42">
        <f ca="1">IFERROR(M581+M594,"")</f>
        <v>4.3055555555555569E-2</v>
      </c>
      <c r="N595" s="40" t="s">
        <v>234</v>
      </c>
      <c r="O595" s="48">
        <f>IFERROR(O581+O594,"")</f>
        <v>0</v>
      </c>
    </row>
    <row r="596" spans="1:15" ht="15" customHeight="1" x14ac:dyDescent="0.25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25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 x14ac:dyDescent="0.25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25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25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25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 x14ac:dyDescent="0.25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 x14ac:dyDescent="0.25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25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 x14ac:dyDescent="0.25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25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25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25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 x14ac:dyDescent="0.25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 x14ac:dyDescent="0.25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25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 x14ac:dyDescent="0.25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25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25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25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25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 x14ac:dyDescent="0.25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 x14ac:dyDescent="0.25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25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 x14ac:dyDescent="0.25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25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25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25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 x14ac:dyDescent="0.25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 x14ac:dyDescent="0.25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25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 x14ac:dyDescent="0.25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25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25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25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25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25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25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25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25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 x14ac:dyDescent="0.25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 x14ac:dyDescent="0.25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25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25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25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25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25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25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 x14ac:dyDescent="0.25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25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25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25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25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25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25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25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25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 x14ac:dyDescent="0.25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 x14ac:dyDescent="0.25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25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25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25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25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25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25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 x14ac:dyDescent="0.25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25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25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25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25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25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25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25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25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 x14ac:dyDescent="0.25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 x14ac:dyDescent="0.25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25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25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25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25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25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25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25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 x14ac:dyDescent="0.25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80" zoomScaleNormal="80" workbookViewId="0">
      <pane ySplit="1" topLeftCell="A549" activePane="bottomLeft" state="frozen"/>
      <selection pane="bottomLeft" activeCell="N569" sqref="N569"/>
    </sheetView>
  </sheetViews>
  <sheetFormatPr defaultColWidth="8.5703125" defaultRowHeight="15" x14ac:dyDescent="0.2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 x14ac:dyDescent="0.25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331</v>
      </c>
      <c r="O2" s="60"/>
    </row>
    <row r="3" spans="1:15" ht="15" customHeight="1" x14ac:dyDescent="0.25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 x14ac:dyDescent="0.25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25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25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25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25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25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25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25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25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25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25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25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332</v>
      </c>
      <c r="O16" s="60"/>
    </row>
    <row r="17" spans="1:15" ht="15" customHeight="1" x14ac:dyDescent="0.25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25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25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25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25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25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25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25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25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25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25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 x14ac:dyDescent="0.25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333</v>
      </c>
      <c r="O29" s="60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334</v>
      </c>
      <c r="O34" s="60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25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25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25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25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25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25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25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25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25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25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25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25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25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 x14ac:dyDescent="0.25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335</v>
      </c>
      <c r="L58" s="29">
        <v>0.54097222222222219</v>
      </c>
      <c r="M58" s="30" t="str">
        <f t="shared" ca="1" si="13"/>
        <v/>
      </c>
      <c r="N58" s="27" t="s">
        <v>336</v>
      </c>
      <c r="O58" s="60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25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337</v>
      </c>
      <c r="O72" s="60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338</v>
      </c>
      <c r="O73" s="60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339</v>
      </c>
      <c r="O74" s="60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340</v>
      </c>
      <c r="O75" s="60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25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 x14ac:dyDescent="0.25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341</v>
      </c>
      <c r="O83" s="60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25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25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 x14ac:dyDescent="0.25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342</v>
      </c>
      <c r="O110" s="60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25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343</v>
      </c>
      <c r="O124" s="60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344</v>
      </c>
      <c r="O125" s="60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0.13307974537019618</v>
      </c>
      <c r="N128" s="27"/>
      <c r="O128" s="60"/>
    </row>
    <row r="129" spans="1:18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25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0.3323853009257518</v>
      </c>
      <c r="N135" s="36" t="s">
        <v>231</v>
      </c>
      <c r="O135" s="39">
        <v>729290</v>
      </c>
    </row>
    <row r="136" spans="1:18" ht="18" customHeight="1" x14ac:dyDescent="0.25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0.69974641203686283</v>
      </c>
      <c r="N136" s="40" t="s">
        <v>234</v>
      </c>
      <c r="O136" s="48">
        <f>IFERROR(O122+O135,"")</f>
        <v>1003740</v>
      </c>
    </row>
    <row r="137" spans="1:18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345</v>
      </c>
      <c r="O139" s="31"/>
    </row>
    <row r="140" spans="1:18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346</v>
      </c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 x14ac:dyDescent="0.25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347</v>
      </c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 x14ac:dyDescent="0.25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348</v>
      </c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349</v>
      </c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350</v>
      </c>
      <c r="O206" s="60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25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 x14ac:dyDescent="0.25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351</v>
      </c>
      <c r="O218" s="60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352</v>
      </c>
      <c r="O220" s="60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25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354</v>
      </c>
      <c r="O232" s="60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25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 x14ac:dyDescent="0.25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355</v>
      </c>
      <c r="O245" s="60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25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25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 x14ac:dyDescent="0.25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25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25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 x14ac:dyDescent="0.25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356</v>
      </c>
      <c r="O299" s="60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25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25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 x14ac:dyDescent="0.25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 x14ac:dyDescent="0.25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 x14ac:dyDescent="0.25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 x14ac:dyDescent="0.25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25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25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25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25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25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25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25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25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25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358</v>
      </c>
      <c r="O347" s="60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25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 x14ac:dyDescent="0.25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25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 x14ac:dyDescent="0.25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 x14ac:dyDescent="0.25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360</v>
      </c>
      <c r="O380" s="60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347</v>
      </c>
      <c r="O382" s="60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25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361</v>
      </c>
      <c r="O394" s="60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362</v>
      </c>
      <c r="O398" s="60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25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 x14ac:dyDescent="0.25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25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363</v>
      </c>
      <c r="O425" s="60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25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 x14ac:dyDescent="0.25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25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25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 x14ac:dyDescent="0.25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365</v>
      </c>
      <c r="O461" s="60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366</v>
      </c>
      <c r="O462" s="60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340</v>
      </c>
      <c r="O465" s="60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25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25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 x14ac:dyDescent="0.25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 x14ac:dyDescent="0.25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340</v>
      </c>
      <c r="O489" s="60"/>
    </row>
    <row r="490" spans="1:15" ht="15" customHeight="1" x14ac:dyDescent="0.25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 x14ac:dyDescent="0.25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 x14ac:dyDescent="0.25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25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25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25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25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25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25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25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25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367</v>
      </c>
      <c r="O503" s="60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25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 x14ac:dyDescent="0.25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368</v>
      </c>
      <c r="O515" s="60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369</v>
      </c>
      <c r="O517" s="60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25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 x14ac:dyDescent="0.25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 x14ac:dyDescent="0.25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 x14ac:dyDescent="0.25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 x14ac:dyDescent="0.25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 x14ac:dyDescent="0.25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 x14ac:dyDescent="0.25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25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25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25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25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25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25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 x14ac:dyDescent="0.25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370</v>
      </c>
      <c r="O542" s="60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371</v>
      </c>
      <c r="O543" s="60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372</v>
      </c>
      <c r="O544" s="60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25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 x14ac:dyDescent="0.25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6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 x14ac:dyDescent="0.25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373</v>
      </c>
      <c r="O557" s="60"/>
    </row>
    <row r="558" spans="1:15" ht="15" customHeight="1" x14ac:dyDescent="0.25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25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25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25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25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25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25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25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25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25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 x14ac:dyDescent="0.25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9.0718634259246755E-2</v>
      </c>
      <c r="N569" s="27" t="s">
        <v>374</v>
      </c>
      <c r="O569" s="60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25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9.0718634259246755E-2</v>
      </c>
      <c r="N581" s="36" t="s">
        <v>231</v>
      </c>
      <c r="O581" s="39"/>
    </row>
    <row r="582" spans="1:15" ht="15" customHeight="1" x14ac:dyDescent="0.25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25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25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25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 x14ac:dyDescent="0.25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9.0718634259246755E-2</v>
      </c>
      <c r="N595" s="40" t="s">
        <v>234</v>
      </c>
      <c r="O595" s="48">
        <f>IFERROR(O581+O594,"")</f>
        <v>0</v>
      </c>
    </row>
    <row r="596" spans="1:15" ht="15" customHeight="1" x14ac:dyDescent="0.25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25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 x14ac:dyDescent="0.25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25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25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25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 x14ac:dyDescent="0.25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 x14ac:dyDescent="0.25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25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 x14ac:dyDescent="0.25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25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25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25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 x14ac:dyDescent="0.25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 x14ac:dyDescent="0.25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25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 x14ac:dyDescent="0.25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25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25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25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25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 x14ac:dyDescent="0.25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 x14ac:dyDescent="0.25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25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 x14ac:dyDescent="0.25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25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25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25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 x14ac:dyDescent="0.25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 x14ac:dyDescent="0.25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25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 x14ac:dyDescent="0.25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25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25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25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25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25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25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25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25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 x14ac:dyDescent="0.25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 x14ac:dyDescent="0.25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25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25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25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25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25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25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 x14ac:dyDescent="0.25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25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25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25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25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25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25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25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25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 x14ac:dyDescent="0.25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 x14ac:dyDescent="0.25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25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25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25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25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25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25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 x14ac:dyDescent="0.25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25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25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25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25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25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25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25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25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 x14ac:dyDescent="0.25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 x14ac:dyDescent="0.25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25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25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25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25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25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25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25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 x14ac:dyDescent="0.25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2026-07-22T13:10:48Z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