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68" documentId="13_ncr:1_{0A10D8D4-8450-4366-8075-B53B08E6B7EA}" xr6:coauthVersionLast="47" xr6:coauthVersionMax="47" xr10:uidLastSave="{101C5D24-9A94-46E9-91AB-4C7DDC95E5A7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7" i="5"/>
  <c r="J437" i="5" s="1"/>
  <c r="H438" i="5"/>
  <c r="J438" i="5" s="1"/>
  <c r="H439" i="5"/>
  <c r="J439" i="5" s="1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37" i="4"/>
  <c r="J437" i="4" s="1"/>
  <c r="H438" i="4"/>
  <c r="J438" i="4" s="1"/>
  <c r="H439" i="4"/>
  <c r="J439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H436" i="6" s="1"/>
  <c r="J436" i="6" s="1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H436" i="5" s="1"/>
  <c r="J436" i="5" s="1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H436" i="4" s="1"/>
  <c r="J436" i="4" s="1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4" i="6" l="1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<sst xmlns="http://schemas.openxmlformats.org/spreadsheetml/2006/main" count="7518" uniqueCount="363">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</sst>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2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3412.1299999999997</v>
      </c>
      <c r="J35" s="130">
        <f>IFERROR(AVERAGE(J4:J34),"-")</f>
        <v>0.73940661175970868</v>
      </c>
      <c r="K35" s="157">
        <f>SUM(K4:K34)</f>
        <v>450.78</v>
      </c>
    </row>
  </sheetData>
  <sheetProtection algorithmName="SHA-512" hashValue="vpEPyIQ+isvhVNIhNXU5EEsbytcsu9Kt3n0qT2R0xzcP/yehSKOYg+oMKHRjbnTLVVLKhM6h/OPt0FoZ1a8srg==" saltValue="/7ZKhIhiYjEA6BCa9v2PBQ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04" activePane="bottomLeft" state="frozen"/>
      <selection pane="bottomLeft" activeCell="F437" sqref="F437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40</v>
      </c>
      <c r="G446" s="36">
        <f>SUM(G434:G445)</f>
        <v>200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40</v>
      </c>
      <c r="G460" s="40">
        <f>G446+G459</f>
        <v>200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5" activePane="bottomLeft" state="frozen"/>
      <selection pane="bottomLeft" activeCell="G437" sqref="G437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0.29817430554976454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0.43706319443865344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0.52178541666087574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308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22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92.4</v>
      </c>
      <c r="L446" s="37"/>
      <c r="M446" s="37"/>
      <c r="N446" s="37"/>
      <c r="O446" s="37"/>
      <c r="P446" s="37"/>
      <c r="Q446" s="38">
        <f ca="1">IFERROR(SUM(Q434:Q445),"")</f>
        <v>3.6805555555555536E-2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22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92.4</v>
      </c>
      <c r="L460" s="41"/>
      <c r="M460" s="41"/>
      <c r="N460" s="41"/>
      <c r="O460" s="41"/>
      <c r="P460" s="41"/>
      <c r="Q460" s="42">
        <f ca="1">IFERROR(Q446+Q459,"")</f>
        <v>3.6805555555555536E-2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0" activePane="bottomLeft" state="frozen"/>
      <selection pane="bottomLeft" activeCell="G437" sqref="G437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20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84</v>
      </c>
      <c r="L446" s="37"/>
      <c r="M446" s="37"/>
      <c r="N446" s="37"/>
      <c r="O446" s="37"/>
      <c r="P446" s="37"/>
      <c r="Q446" s="38">
        <f ca="1">IFERROR(SUM(Q434:Q445),"")</f>
        <v>9.7222222222222432E-3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20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84</v>
      </c>
      <c r="L460" s="41"/>
      <c r="M460" s="41"/>
      <c r="N460" s="41"/>
      <c r="O460" s="41"/>
      <c r="P460" s="41"/>
      <c r="Q460" s="42">
        <f ca="1">IFERROR(Q446+Q459,"")</f>
        <v>9.7222222222222432E-3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00" activePane="bottomLeft" state="frozen"/>
      <selection pane="bottomLeft" activeCell="G437" sqref="G437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71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298.20000000000005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71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298.20000000000005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2026-08-17T14:05:54Z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