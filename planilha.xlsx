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32" documentId="8_{AF585B22-221D-4780-BB9C-493D365A6A02}" xr6:coauthVersionLast="47" xr6:coauthVersionMax="47" xr10:uidLastSave="{A2BE70DF-EECC-41CC-B592-5AFC5AD3D4A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<sst xmlns="http://schemas.openxmlformats.org/spreadsheetml/2006/main" count="12385" uniqueCount="443">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</sst>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21" sqref="G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J816" sqref="J81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0.50132986110838829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0.65896874999727717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0.76869097221949934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0.47980208333319752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0.65063541666653091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0.79577430555541984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/>
      <c r="M816" s="78">
        <f ca="1">IFERROR(IF(K816="","",IF(L816="",MOD(NOW()-K816,1),IF(L816&gt;=K816,L816-K816,L816+1-K816))),"")</f>
        <v>1.1052083333197515E-2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161</v>
      </c>
      <c r="G824" s="109">
        <f>SUM(G812:G823)</f>
        <v>676.2</v>
      </c>
      <c r="H824" s="37"/>
      <c r="I824" s="37"/>
      <c r="J824" s="37"/>
      <c r="K824" s="37"/>
      <c r="L824" s="37"/>
      <c r="M824" s="110">
        <f ca="1">IFERROR(SUM(M812:M823),"")</f>
        <v>8.4663194444308643E-2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161</v>
      </c>
      <c r="G838" s="111">
        <f>G824+G837</f>
        <v>676.2</v>
      </c>
      <c r="H838" s="41"/>
      <c r="I838" s="41"/>
      <c r="J838" s="41"/>
      <c r="K838" s="41"/>
      <c r="L838" s="41"/>
      <c r="M838" s="112">
        <f ca="1">IFERROR(M824+M837,"")</f>
        <v>8.4663194444308643E-2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J813" sqref="J8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/>
      <c r="M813" s="79">
        <f ca="1">IFERROR(IF(K813="","",IF(L813="",MOD(NOW()-K813,1),IF(L813&gt;=K813,L813-K813,L813+1-K813))),"")</f>
        <v>1.1052083333197515E-2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90</v>
      </c>
      <c r="G824" s="109">
        <f>SUM(G812:G823)</f>
        <v>377.99999999999994</v>
      </c>
      <c r="H824" s="37"/>
      <c r="I824" s="37"/>
      <c r="J824" s="37"/>
      <c r="K824" s="37"/>
      <c r="L824" s="37"/>
      <c r="M824" s="110">
        <f ca="1">IFERROR(SUM(M812:M823),"")</f>
        <v>3.7440972222086422E-2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90</v>
      </c>
      <c r="G838" s="111">
        <f>G824+G837</f>
        <v>377.99999999999994</v>
      </c>
      <c r="H838" s="41"/>
      <c r="I838" s="41"/>
      <c r="J838" s="41"/>
      <c r="K838" s="41"/>
      <c r="L838" s="41"/>
      <c r="M838" s="112">
        <f ca="1">IFERROR(M824+M837,"")</f>
        <v>3.7440972222086422E-2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J815" sqref="J8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0.49160763889085501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0.69091319444641064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1.0582743055575217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/>
      <c r="M815" s="79">
        <f ca="1">IFERROR(IF(K815="","",IF(L815="",MOD(NOW()-K815,1),IF(L815&gt;=K815,L815-K815,L815+1-K815))),"")</f>
        <v>6.35416668956168E-4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106</v>
      </c>
      <c r="G824" s="109">
        <f>SUM(G812:G823)</f>
        <v>445.20000000000005</v>
      </c>
      <c r="H824" s="37"/>
      <c r="I824" s="37"/>
      <c r="J824" s="37"/>
      <c r="K824" s="37"/>
      <c r="L824" s="37"/>
      <c r="M824" s="110">
        <f ca="1">IFERROR(SUM(M812:M823),"")</f>
        <v>9.5774305557845052E-2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106</v>
      </c>
      <c r="G838" s="111">
        <f>G824+G837</f>
        <v>445.20000000000005</v>
      </c>
      <c r="H838" s="41"/>
      <c r="I838" s="41"/>
      <c r="J838" s="41"/>
      <c r="K838" s="41"/>
      <c r="L838" s="41"/>
      <c r="M838" s="112">
        <f ca="1">IFERROR(M824+M837,"")</f>
        <v>9.5774305557845052E-2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2026-07-31T21:47:13Z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