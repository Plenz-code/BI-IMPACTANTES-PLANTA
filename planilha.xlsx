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2605" documentId="8_{AF585B22-221D-4780-BB9C-493D365A6A02}" xr6:coauthVersionLast="47" xr6:coauthVersionMax="47" xr10:uidLastSave="{297B771D-C6B5-4EEA-BC28-CD8286FEBFAC}"/>
  <bookViews>
    <workbookView xWindow="-110" yWindow="-110" windowWidth="25820" windowHeight="15500" tabRatio="500" firstSheet="3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25" i="4" l="1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<sst xmlns="http://schemas.openxmlformats.org/spreadsheetml/2006/main" count="2712" uniqueCount="243">
  <si>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</si>
  <si>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</si>
  <si>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</si>
  <si>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</si>
  <si>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</si>
  <si>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</si>
  <si>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</si>
  <si>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</si>
  <si>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</si>
  <si>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</si>
  <si>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</si>
  <si>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</si>
  <si>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</si>
  <si>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</si>
  <si>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</si>
  <si>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</si>
  <si>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</si>
  <si>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</si>
  <si>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</si>
  <si>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</si>
  <si>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</si>
  <si>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</si>
  <si>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</si>
  <si>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</si>
  <si>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</si>
  <si>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</si>
  <si>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</si>
  <si>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</si>
  <si>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</si>
  <si>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</si>
  <si>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</si>
  <si>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</si>
  <si>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</si>
  <si>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</si>
  <si>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</si>
  <si>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</si>
  <si>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</si>
  <si>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</si>
  <si>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</si>
  <si>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</si>
  <si>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</si>
  <si>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</si>
  <si>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</si>
  <si>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</si>
  <si>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</si>
  <si>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</si>
  <si>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</si>
  <si>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</si>
  <si>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</si>
  <si>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</si>
  <si>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</si>
  <si>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</si>
  <si>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</si>
  <si>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</si>
  <si>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</si>
  <si>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</si>
  <si>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</si>
  <si>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</si>
  <si>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</si>
  <si>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</si>
  <si>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</si>
  <si>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</si>
  <si>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</si>
  <si>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</si>
  <si>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</si>
  <si>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</si>
  <si>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</si>
  <si>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</si>
  <si>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</si>
  <si>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</si>
  <si>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</si>
  <si>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</si>
  <si>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</si>
  <si>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</si>
  <si>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</si>
  <si>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</si>
  <si>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</si>
  <si>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</si>
  <si>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</si>
  <si>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</si>
  <si>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</si>
  <si>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</si>
  <si>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</si>
  <si>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</si>
  <si>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</si>
  <si>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</si>
  <si>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</si>
  <si>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</si>
  <si>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</si>
  <si>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</si>
  <si>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</si>
  <si>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</si>
  <si>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</si>
  <si>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</si>
  <si>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</si>
  <si>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</si>
  <si>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</si>
  <si>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</si>
  <si>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</si>
  <si>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</si>
  <si>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</si>
  <si>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</si>
  <si>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</si>
  <si>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</si>
  <si>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</si>
  <si>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</si>
  <si>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</si>
  <si>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</si>
  <si>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</si>
  <si>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</si>
  <si>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</si>
  <si>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</si>
  <si>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</si>
  <si>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</si>
  <si>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</si>
  <si>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</si>
  <si>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</si>
  <si>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</si>
  <si>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</si>
  <si>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</si>
  <si>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</si>
  <si>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</si>
  <si>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</si>
  <si>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</si>
  <si>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</si>
  <si>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</si>
  <si>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</si>
  <si>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</si>
  <si>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</si>
  <si>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</si>
  <si>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</si>
  <si>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</si>
  <si>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</si>
  <si>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</si>
  <si>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</si>
  <si>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</si>
  <si>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</si>
  <si>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</si>
  <si>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</si>
  <si>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</si>
  <si>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</si>
  <si>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</si>
  <si>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</si>
  <si>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</si>
  <si>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</si>
  <si>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</si>
  <si>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</si>
  <si>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</si>
  <si>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</si>
  <si>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</si>
  <si>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</si>
  <si>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</si>
  <si>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</si>
  <si>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</si>
  <si>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</si>
  <si>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</si>
  <si>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</si>
  <si>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</si>
  <si>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</si>
  <si>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</si>
  <si>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</si>
  <si>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</si>
  <si>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</si>
  <si>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</si>
  <si>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</si>
  <si>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</si>
  <si>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</si>
  <si>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</si>
  <si>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</si>
  <si>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</si>
  <si>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</si>
  <si>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</si>
  <si>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</si>
  <si>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</si>
  <si>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</si>
  <si>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</si>
  <si>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</si>
  <si>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</si>
  <si>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</si>
  <si>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</si>
  <si>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ℹ  Cada coluna corresponde a um Tipo de Parada. Adicione descrições nas linhas vazias de cada coluna.</t>
  </si>
  <si>
    <t>anel de vedaçao encostando na trampa</t>
  </si>
  <si>
    <t>solda na luva do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</si>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</sst>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H9" sqref="H9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2" t="s">
        <v>0</v>
      </c>
      <c r="B1" s="92"/>
      <c r="C1" s="92"/>
      <c r="D1" s="92"/>
      <c r="E1" s="92"/>
      <c r="F1" s="92"/>
      <c r="G1" s="92"/>
    </row>
    <row r="2" spans="1:7" ht="24.75" customHeight="1">
      <c r="A2" s="93"/>
      <c r="B2" s="93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1625420</v>
      </c>
      <c r="D8" s="8">
        <f>IFERROR('Linha 1'!O136,"")</f>
        <v>869260</v>
      </c>
      <c r="E8" s="8">
        <f>IFERROR('Linha 2'!O136,"")</f>
        <v>51130</v>
      </c>
      <c r="F8" s="8">
        <f>IFERROR('Linha 3'!O136,"")</f>
        <v>274450</v>
      </c>
      <c r="G8" s="9">
        <f t="shared" si="0"/>
        <v>1194840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4" t="s">
        <v>9</v>
      </c>
      <c r="B35" s="94"/>
      <c r="C35" s="13">
        <f>IFERROR(SUM(C4:C34),"")</f>
        <v>11601440</v>
      </c>
      <c r="D35" s="13">
        <f>IFERROR(SUM(D4:D34),"")</f>
        <v>4970370</v>
      </c>
      <c r="E35" s="13">
        <f>IFERROR(SUM(E4:E34),"")</f>
        <v>2397340</v>
      </c>
      <c r="F35" s="13">
        <f>IFERROR(SUM(F4:F34),"")</f>
        <v>4246640</v>
      </c>
      <c r="G35" s="13">
        <f>IFERROR(SUM(G4:G34),"")</f>
        <v>11614350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I37" zoomScale="85" zoomScaleNormal="85" workbookViewId="0">
      <selection activeCell="K57" sqref="K57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5" t="s">
        <v>10</v>
      </c>
      <c r="B1" s="95"/>
      <c r="C1" s="95"/>
      <c r="D1" s="95"/>
      <c r="E1" s="95"/>
      <c r="F1" s="95"/>
      <c r="G1" s="95"/>
      <c r="H1" s="96"/>
      <c r="I1" s="97" t="s">
        <v>11</v>
      </c>
      <c r="J1" s="97"/>
      <c r="K1" s="97"/>
      <c r="L1" s="97"/>
      <c r="M1" s="97"/>
    </row>
    <row r="2" spans="1:13" ht="4.5" customHeight="1">
      <c r="H2" s="96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6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6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6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6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6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6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6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6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6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6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6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96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96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96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96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96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96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96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96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96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96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96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96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96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96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96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96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96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96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96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96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96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96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96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96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96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96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96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96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96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96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96"/>
      <c r="I44" s="16"/>
      <c r="J44" s="16"/>
      <c r="K44" s="16" t="s">
        <v>170</v>
      </c>
      <c r="L44" s="16"/>
      <c r="M44" s="16" t="s">
        <v>171</v>
      </c>
    </row>
    <row r="45" spans="1:13" ht="15.75" customHeight="1">
      <c r="A45" s="17"/>
      <c r="C45" s="17"/>
      <c r="E45" s="17"/>
      <c r="G45" s="17"/>
      <c r="H45" s="96"/>
      <c r="I45" s="17"/>
      <c r="J45" s="17"/>
      <c r="K45" s="17"/>
      <c r="L45" s="17"/>
      <c r="M45" s="17" t="s">
        <v>172</v>
      </c>
    </row>
    <row r="46" spans="1:13" ht="15.75" customHeight="1">
      <c r="A46" s="16"/>
      <c r="C46" s="16"/>
      <c r="E46" s="16"/>
      <c r="G46" s="16"/>
      <c r="H46" s="96"/>
      <c r="I46" s="16"/>
      <c r="J46" s="16"/>
      <c r="K46" s="16" t="s">
        <v>173</v>
      </c>
      <c r="L46" s="16"/>
      <c r="M46" s="16" t="s">
        <v>174</v>
      </c>
    </row>
    <row r="47" spans="1:13" ht="15.75" customHeight="1">
      <c r="A47" s="17"/>
      <c r="C47" s="17"/>
      <c r="E47" s="17"/>
      <c r="G47" s="17"/>
      <c r="H47" s="96"/>
      <c r="I47" s="17"/>
      <c r="J47" s="17"/>
      <c r="K47" s="17" t="s">
        <v>175</v>
      </c>
      <c r="L47" s="17"/>
      <c r="M47" s="17" t="s">
        <v>176</v>
      </c>
    </row>
    <row r="48" spans="1:13" ht="15.75" customHeight="1">
      <c r="A48" s="16"/>
      <c r="C48" s="16"/>
      <c r="E48" s="16"/>
      <c r="G48" s="16"/>
      <c r="H48" s="96"/>
      <c r="I48" s="16"/>
      <c r="J48" s="16"/>
      <c r="K48" s="16" t="s">
        <v>177</v>
      </c>
      <c r="L48" s="16"/>
      <c r="M48" s="16" t="s">
        <v>178</v>
      </c>
    </row>
    <row r="49" spans="1:13" ht="18" customHeight="1">
      <c r="H49" s="96"/>
      <c r="I49" s="17"/>
      <c r="J49" s="17"/>
      <c r="K49" s="17" t="s">
        <v>179</v>
      </c>
      <c r="L49" s="17"/>
      <c r="M49" s="17"/>
    </row>
    <row r="50" spans="1:13" ht="21" customHeight="1">
      <c r="A50" s="19" t="s">
        <v>180</v>
      </c>
      <c r="B50" s="19"/>
      <c r="C50" s="19"/>
      <c r="D50" s="19"/>
      <c r="E50" s="19"/>
      <c r="F50" s="19"/>
      <c r="G50" s="19"/>
      <c r="H50" s="96"/>
      <c r="I50" s="16"/>
      <c r="J50" s="16"/>
      <c r="K50" s="16" t="s">
        <v>181</v>
      </c>
      <c r="L50" s="16"/>
      <c r="M50" s="16"/>
    </row>
    <row r="51" spans="1:13" ht="24" customHeight="1">
      <c r="H51" s="96"/>
      <c r="I51" s="17"/>
      <c r="J51" s="17"/>
      <c r="K51" s="17" t="s">
        <v>182</v>
      </c>
      <c r="L51" s="17"/>
      <c r="M51" s="17"/>
    </row>
    <row r="52" spans="1:13" ht="24" customHeight="1">
      <c r="H52" s="96"/>
      <c r="I52" s="16"/>
      <c r="J52" s="16"/>
      <c r="K52" s="16" t="s">
        <v>183</v>
      </c>
      <c r="L52" s="16"/>
      <c r="M52" s="16"/>
    </row>
    <row r="53" spans="1:13" ht="36" customHeight="1">
      <c r="H53" s="96"/>
      <c r="I53" s="17"/>
      <c r="J53" s="17"/>
      <c r="K53" s="17" t="s">
        <v>184</v>
      </c>
      <c r="L53" s="17"/>
      <c r="M53" s="17"/>
    </row>
    <row r="54" spans="1:13" ht="15" customHeight="1">
      <c r="H54" s="96"/>
      <c r="I54" s="16"/>
      <c r="J54" s="16"/>
      <c r="K54" s="16" t="s">
        <v>185</v>
      </c>
      <c r="L54" s="16"/>
      <c r="M54" s="16"/>
    </row>
    <row r="55" spans="1:13" ht="15" customHeight="1">
      <c r="H55" s="96"/>
      <c r="I55" s="17"/>
      <c r="J55" s="17"/>
      <c r="K55" s="17" t="s">
        <v>186</v>
      </c>
      <c r="L55" s="17"/>
      <c r="M55" s="17"/>
    </row>
    <row r="56" spans="1:13" ht="15" customHeight="1">
      <c r="H56" s="96"/>
      <c r="I56" s="16"/>
      <c r="J56" s="16"/>
      <c r="K56" s="16" t="s">
        <v>187</v>
      </c>
      <c r="L56" s="16"/>
      <c r="M56" s="16"/>
    </row>
    <row r="57" spans="1:13" ht="15" customHeight="1">
      <c r="H57" s="96"/>
      <c r="I57" s="17"/>
      <c r="J57" s="17"/>
      <c r="K57" s="17"/>
      <c r="L57" s="17"/>
      <c r="M57" s="17"/>
    </row>
    <row r="58" spans="1:13" ht="15" customHeight="1">
      <c r="H58" s="96"/>
      <c r="I58" s="16"/>
      <c r="J58" s="16"/>
      <c r="K58" s="16"/>
      <c r="L58" s="16"/>
      <c r="M58" s="16"/>
    </row>
    <row r="59" spans="1:13" ht="15" customHeight="1">
      <c r="H59" s="96"/>
      <c r="I59" s="17"/>
      <c r="J59" s="17"/>
      <c r="K59" s="17"/>
      <c r="L59" s="17"/>
      <c r="M59" s="17"/>
    </row>
    <row r="60" spans="1:13" ht="15" customHeight="1">
      <c r="H60" s="96"/>
      <c r="I60" s="16"/>
      <c r="J60" s="16"/>
      <c r="K60" s="16"/>
      <c r="L60" s="16"/>
      <c r="M60" s="16"/>
    </row>
    <row r="61" spans="1:13" ht="15" customHeight="1">
      <c r="H61" s="96"/>
      <c r="I61" s="17"/>
      <c r="J61" s="17"/>
      <c r="K61" s="17"/>
      <c r="L61" s="17"/>
      <c r="M61" s="17"/>
    </row>
    <row r="62" spans="1:13" ht="15" customHeight="1">
      <c r="H62" s="96"/>
      <c r="I62" s="16"/>
      <c r="J62" s="16"/>
      <c r="K62" s="16"/>
      <c r="L62" s="16"/>
      <c r="M62" s="16"/>
    </row>
    <row r="63" spans="1:13" ht="15" customHeight="1">
      <c r="H63" s="96"/>
      <c r="I63" s="17"/>
      <c r="J63" s="17"/>
      <c r="K63" s="17"/>
      <c r="L63" s="17"/>
      <c r="M63" s="17"/>
    </row>
    <row r="64" spans="1:13" ht="15" customHeight="1">
      <c r="H64" s="96"/>
      <c r="I64" s="16"/>
      <c r="J64" s="16"/>
      <c r="K64" s="16"/>
      <c r="L64" s="16"/>
      <c r="M64" s="16"/>
    </row>
    <row r="65" spans="8:13" ht="15" customHeight="1">
      <c r="H65" s="96"/>
      <c r="I65" s="17"/>
      <c r="J65" s="17"/>
      <c r="K65" s="17"/>
      <c r="L65" s="17"/>
      <c r="M65" s="17"/>
    </row>
    <row r="66" spans="8:13" ht="15" customHeight="1">
      <c r="H66" s="96"/>
      <c r="I66" s="16"/>
      <c r="J66" s="16"/>
      <c r="K66" s="16"/>
      <c r="L66" s="16"/>
      <c r="M66" s="16"/>
    </row>
    <row r="67" spans="8:13" ht="15" customHeight="1">
      <c r="H67" s="96"/>
      <c r="I67" s="17"/>
      <c r="J67" s="17"/>
      <c r="K67" s="17"/>
      <c r="L67" s="17"/>
      <c r="M67" s="17"/>
    </row>
    <row r="68" spans="8:13" ht="15" customHeight="1">
      <c r="H68" s="96"/>
      <c r="I68" s="16"/>
      <c r="J68" s="16"/>
      <c r="K68" s="16"/>
      <c r="L68" s="16"/>
      <c r="M68" s="16"/>
    </row>
    <row r="69" spans="8:13" ht="15" customHeight="1">
      <c r="H69" s="96"/>
      <c r="I69" s="17"/>
      <c r="J69" s="17"/>
      <c r="K69" s="17"/>
      <c r="L69" s="17"/>
      <c r="M69" s="17"/>
    </row>
    <row r="70" spans="8:13" ht="15" customHeight="1">
      <c r="H70" s="96"/>
      <c r="I70" s="16"/>
      <c r="J70" s="16"/>
      <c r="K70" s="16"/>
      <c r="L70" s="16"/>
      <c r="M70" s="16"/>
    </row>
    <row r="71" spans="8:13" ht="15" customHeight="1">
      <c r="H71" s="96"/>
      <c r="I71" s="17"/>
      <c r="J71" s="17"/>
      <c r="K71" s="17"/>
      <c r="L71" s="17"/>
      <c r="M71" s="17"/>
    </row>
    <row r="72" spans="8:13" ht="15" customHeight="1">
      <c r="H72" s="96"/>
      <c r="I72" s="16"/>
      <c r="J72" s="16"/>
      <c r="K72" s="16"/>
      <c r="L72" s="16"/>
      <c r="M72" s="16"/>
    </row>
    <row r="73" spans="8:13" ht="15" customHeight="1">
      <c r="H73" s="96"/>
      <c r="I73" s="17"/>
      <c r="J73" s="17"/>
      <c r="K73" s="17"/>
      <c r="L73" s="17"/>
      <c r="M73" s="17"/>
    </row>
    <row r="74" spans="8:13" ht="15" customHeight="1">
      <c r="H74" s="96"/>
      <c r="I74" s="16"/>
      <c r="J74" s="16"/>
      <c r="K74" s="16"/>
      <c r="L74" s="16"/>
      <c r="M74" s="16"/>
    </row>
    <row r="75" spans="8:13" ht="15" customHeight="1">
      <c r="H75" s="96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100" activePane="bottomLeft" state="frozen"/>
      <selection pane="bottomLeft" activeCell="L124" sqref="L124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188</v>
      </c>
      <c r="C1" s="23" t="s">
        <v>12</v>
      </c>
      <c r="D1" s="22" t="s">
        <v>13</v>
      </c>
      <c r="E1" s="22" t="s">
        <v>189</v>
      </c>
      <c r="F1" s="23" t="s">
        <v>190</v>
      </c>
      <c r="G1" s="23" t="s">
        <v>191</v>
      </c>
      <c r="H1" s="23" t="s">
        <v>14</v>
      </c>
      <c r="I1" s="23" t="s">
        <v>15</v>
      </c>
      <c r="J1" s="23" t="s">
        <v>192</v>
      </c>
      <c r="K1" s="23" t="s">
        <v>193</v>
      </c>
      <c r="L1" s="23" t="s">
        <v>194</v>
      </c>
      <c r="M1" s="24" t="s">
        <v>195</v>
      </c>
      <c r="N1" s="23" t="s">
        <v>196</v>
      </c>
      <c r="O1" s="23" t="s">
        <v>197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198</v>
      </c>
      <c r="E2" s="59" t="s">
        <v>199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200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199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199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199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199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199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199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199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199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199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199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199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6" t="s">
        <v>201</v>
      </c>
      <c r="B14" s="87"/>
      <c r="C14" s="87"/>
      <c r="D14" s="87"/>
      <c r="E14" s="88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202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199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199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199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199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199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199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199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199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199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199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199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199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6" t="s">
        <v>203</v>
      </c>
      <c r="B27" s="87"/>
      <c r="C27" s="87"/>
      <c r="D27" s="87"/>
      <c r="E27" s="88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202</v>
      </c>
      <c r="O27" s="39">
        <v>1183060</v>
      </c>
    </row>
    <row r="28" spans="1:15" ht="18" customHeight="1">
      <c r="A28" s="89" t="s">
        <v>204</v>
      </c>
      <c r="B28" s="90"/>
      <c r="C28" s="90"/>
      <c r="D28" s="90"/>
      <c r="E28" s="91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205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199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199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175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206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199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199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199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199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199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199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199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6" t="s">
        <v>201</v>
      </c>
      <c r="B41" s="87"/>
      <c r="C41" s="87"/>
      <c r="D41" s="87"/>
      <c r="E41" s="88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202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199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199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199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199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199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199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199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199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199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199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199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6" t="s">
        <v>203</v>
      </c>
      <c r="B54" s="87"/>
      <c r="C54" s="87"/>
      <c r="D54" s="87"/>
      <c r="E54" s="88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202</v>
      </c>
      <c r="O54" s="39">
        <v>959290</v>
      </c>
    </row>
    <row r="55" spans="1:15" ht="18" customHeight="1">
      <c r="A55" s="89" t="s">
        <v>204</v>
      </c>
      <c r="B55" s="90"/>
      <c r="C55" s="90"/>
      <c r="D55" s="90"/>
      <c r="E55" s="91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205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199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199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199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199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199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199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199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199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199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199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199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199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6" t="s">
        <v>201</v>
      </c>
      <c r="B68" s="87"/>
      <c r="C68" s="87"/>
      <c r="D68" s="87"/>
      <c r="E68" s="88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202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199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172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199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124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207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199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199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199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199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199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199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199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199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199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199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6" t="s">
        <v>203</v>
      </c>
      <c r="B81" s="87"/>
      <c r="C81" s="87"/>
      <c r="D81" s="87"/>
      <c r="E81" s="88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202</v>
      </c>
      <c r="O81" s="39">
        <v>878050</v>
      </c>
    </row>
    <row r="82" spans="1:15" ht="18" customHeight="1">
      <c r="A82" s="89" t="s">
        <v>204</v>
      </c>
      <c r="B82" s="90"/>
      <c r="C82" s="90"/>
      <c r="D82" s="90"/>
      <c r="E82" s="91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205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199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158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208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199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199</v>
      </c>
      <c r="F85" s="27">
        <v>0</v>
      </c>
      <c r="G85" s="28">
        <f t="shared" si="18"/>
        <v>0</v>
      </c>
      <c r="H85" s="33" t="s">
        <v>20</v>
      </c>
      <c r="I85" s="33" t="s">
        <v>136</v>
      </c>
      <c r="J85" s="33" t="s">
        <v>121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199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199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199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199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199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199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199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6" t="s">
        <v>201</v>
      </c>
      <c r="B95" s="87"/>
      <c r="C95" s="87"/>
      <c r="D95" s="87"/>
      <c r="E95" s="88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202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209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6" t="s">
        <v>203</v>
      </c>
      <c r="B108" s="87"/>
      <c r="C108" s="87"/>
      <c r="D108" s="87"/>
      <c r="E108" s="88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202</v>
      </c>
      <c r="O108" s="39">
        <v>1700000</v>
      </c>
    </row>
    <row r="109" spans="1:15" ht="18" customHeight="1">
      <c r="A109" s="89" t="s">
        <v>204</v>
      </c>
      <c r="B109" s="90"/>
      <c r="C109" s="90"/>
      <c r="D109" s="90"/>
      <c r="E109" s="91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205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199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186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199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199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199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199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199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199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199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199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199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199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199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6" t="s">
        <v>201</v>
      </c>
      <c r="B122" s="87"/>
      <c r="C122" s="87"/>
      <c r="D122" s="87"/>
      <c r="E122" s="88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202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178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199</v>
      </c>
      <c r="F124" s="27">
        <v>4</v>
      </c>
      <c r="G124" s="28">
        <f t="shared" si="27"/>
        <v>20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6" t="s">
        <v>203</v>
      </c>
      <c r="B135" s="87"/>
      <c r="C135" s="87"/>
      <c r="D135" s="87"/>
      <c r="E135" s="88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2.777777777777779E-2</v>
      </c>
      <c r="N135" s="36" t="s">
        <v>202</v>
      </c>
      <c r="O135" s="39"/>
    </row>
    <row r="136" spans="1:15" ht="18" customHeight="1">
      <c r="A136" s="89" t="s">
        <v>204</v>
      </c>
      <c r="B136" s="90"/>
      <c r="C136" s="90"/>
      <c r="D136" s="90"/>
      <c r="E136" s="91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4.1666666666666685E-2</v>
      </c>
      <c r="N136" s="40" t="s">
        <v>205</v>
      </c>
      <c r="O136" s="43">
        <f>IFERROR(O122+O135,"")</f>
        <v>1625420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6" t="s">
        <v>201</v>
      </c>
      <c r="B149" s="87"/>
      <c r="C149" s="87"/>
      <c r="D149" s="87"/>
      <c r="E149" s="8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202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6" t="s">
        <v>203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202</v>
      </c>
      <c r="O162" s="44"/>
    </row>
    <row r="163" spans="1:15" ht="18" customHeight="1">
      <c r="A163" s="89" t="s">
        <v>204</v>
      </c>
      <c r="B163" s="90"/>
      <c r="C163" s="90"/>
      <c r="D163" s="90"/>
      <c r="E163" s="91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205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6" t="s">
        <v>201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202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6" t="s">
        <v>203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202</v>
      </c>
      <c r="O189" s="39"/>
    </row>
    <row r="190" spans="1:15" ht="18" customHeight="1">
      <c r="A190" s="89" t="s">
        <v>204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205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6" t="s">
        <v>201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202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6" t="s">
        <v>203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202</v>
      </c>
      <c r="O216" s="45"/>
    </row>
    <row r="217" spans="1:15" ht="18" customHeight="1">
      <c r="A217" s="89" t="s">
        <v>204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205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6" t="s">
        <v>201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202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6" t="s">
        <v>203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202</v>
      </c>
      <c r="O243" s="39"/>
    </row>
    <row r="244" spans="1:15" ht="18" customHeight="1">
      <c r="A244" s="89" t="s">
        <v>204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205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6" t="s">
        <v>201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202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6" t="s">
        <v>203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202</v>
      </c>
      <c r="O270" s="39"/>
    </row>
    <row r="271" spans="1:15" ht="18" customHeight="1">
      <c r="A271" s="89" t="s">
        <v>204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205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6" t="s">
        <v>201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202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6" t="s">
        <v>203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202</v>
      </c>
      <c r="O297" s="39"/>
    </row>
    <row r="298" spans="1:15" ht="18" customHeight="1">
      <c r="A298" s="89" t="s">
        <v>204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205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6" t="s">
        <v>201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202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6" t="s">
        <v>203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202</v>
      </c>
      <c r="O324" s="39"/>
    </row>
    <row r="325" spans="1:15" ht="18" customHeight="1">
      <c r="A325" s="89" t="s">
        <v>204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205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6" t="s">
        <v>201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202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6" t="s">
        <v>203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202</v>
      </c>
      <c r="O351" s="39"/>
    </row>
    <row r="352" spans="1:15" ht="18" customHeight="1">
      <c r="A352" s="89" t="s">
        <v>204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205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6" t="s">
        <v>201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202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6" t="s">
        <v>203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202</v>
      </c>
      <c r="O378" s="39"/>
    </row>
    <row r="379" spans="1:15" ht="18" customHeight="1">
      <c r="A379" s="89" t="s">
        <v>204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205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6" t="s">
        <v>201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202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6" t="s">
        <v>203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202</v>
      </c>
      <c r="O405" s="39"/>
    </row>
    <row r="406" spans="1:15" ht="18" customHeight="1">
      <c r="A406" s="89" t="s">
        <v>204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205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6" t="s">
        <v>201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202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6" t="s">
        <v>203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202</v>
      </c>
      <c r="O432" s="39"/>
    </row>
    <row r="433" spans="1:15" ht="18" customHeight="1">
      <c r="A433" s="89" t="s">
        <v>204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205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6" t="s">
        <v>201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202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6" t="s">
        <v>203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202</v>
      </c>
      <c r="O459" s="39"/>
    </row>
    <row r="460" spans="1:15" ht="18" customHeight="1">
      <c r="A460" s="89" t="s">
        <v>204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205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6" t="s">
        <v>201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202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6" t="s">
        <v>203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202</v>
      </c>
      <c r="O486" s="39"/>
    </row>
    <row r="487" spans="1:15" ht="18" customHeight="1">
      <c r="A487" s="89" t="s">
        <v>204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205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6" t="s">
        <v>201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202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6" t="s">
        <v>203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202</v>
      </c>
      <c r="O513" s="39"/>
    </row>
    <row r="514" spans="1:15" ht="18" customHeight="1">
      <c r="A514" s="89" t="s">
        <v>204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205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6" t="s">
        <v>201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202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6" t="s">
        <v>203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202</v>
      </c>
      <c r="O540" s="39"/>
    </row>
    <row r="541" spans="1:15" ht="18" customHeight="1">
      <c r="A541" s="89" t="s">
        <v>204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205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6" t="s">
        <v>201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202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6" t="s">
        <v>203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202</v>
      </c>
      <c r="O567" s="39"/>
    </row>
    <row r="568" spans="1:15" ht="18" customHeight="1">
      <c r="A568" s="89" t="s">
        <v>204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205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6" t="s">
        <v>201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202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6" t="s">
        <v>203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202</v>
      </c>
      <c r="O594" s="39"/>
    </row>
    <row r="595" spans="1:15" ht="18" customHeight="1">
      <c r="A595" s="89" t="s">
        <v>204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205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6" t="s">
        <v>201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202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6" t="s">
        <v>203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202</v>
      </c>
      <c r="O621" s="39"/>
    </row>
    <row r="622" spans="1:15" ht="18" customHeight="1">
      <c r="A622" s="89" t="s">
        <v>204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205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6" t="s">
        <v>201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202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6" t="s">
        <v>203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202</v>
      </c>
      <c r="O648" s="39"/>
    </row>
    <row r="649" spans="1:15" ht="18" customHeight="1">
      <c r="A649" s="89" t="s">
        <v>204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205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6" t="s">
        <v>201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202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6" t="s">
        <v>203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202</v>
      </c>
      <c r="O675" s="39"/>
    </row>
    <row r="676" spans="1:15" ht="18" customHeight="1">
      <c r="A676" s="89" t="s">
        <v>204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205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6" t="s">
        <v>201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202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6" t="s">
        <v>203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202</v>
      </c>
      <c r="O702" s="39"/>
    </row>
    <row r="703" spans="1:15" ht="18" customHeight="1">
      <c r="A703" s="89" t="s">
        <v>204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205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6" t="s">
        <v>201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202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6" t="s">
        <v>203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202</v>
      </c>
      <c r="O729" s="39"/>
    </row>
    <row r="730" spans="1:15" ht="18" customHeight="1">
      <c r="A730" s="89" t="s">
        <v>204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205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6" t="s">
        <v>201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202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6" t="s">
        <v>203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202</v>
      </c>
      <c r="O756" s="39"/>
    </row>
    <row r="757" spans="1:15" ht="18" customHeight="1">
      <c r="A757" s="89" t="s">
        <v>204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205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6" t="s">
        <v>201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202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6" t="s">
        <v>203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202</v>
      </c>
      <c r="O783" s="39"/>
    </row>
    <row r="784" spans="1:15" ht="18" customHeight="1">
      <c r="A784" s="89" t="s">
        <v>204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205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6" t="s">
        <v>201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202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6" t="s">
        <v>203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202</v>
      </c>
      <c r="O810" s="39"/>
    </row>
    <row r="811" spans="1:15" ht="18" customHeight="1">
      <c r="A811" s="89" t="s">
        <v>204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205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108" activePane="bottomLeft" state="frozen"/>
      <selection pane="bottomLeft" activeCell="F129" sqref="F129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188</v>
      </c>
      <c r="C1" s="23" t="s">
        <v>12</v>
      </c>
      <c r="D1" s="22" t="s">
        <v>13</v>
      </c>
      <c r="E1" s="22" t="s">
        <v>189</v>
      </c>
      <c r="F1" s="23" t="s">
        <v>190</v>
      </c>
      <c r="G1" s="23" t="s">
        <v>191</v>
      </c>
      <c r="H1" s="23" t="s">
        <v>14</v>
      </c>
      <c r="I1" s="23" t="s">
        <v>15</v>
      </c>
      <c r="J1" s="23" t="s">
        <v>192</v>
      </c>
      <c r="K1" s="23" t="s">
        <v>193</v>
      </c>
      <c r="L1" s="23" t="s">
        <v>194</v>
      </c>
      <c r="M1" s="24" t="s">
        <v>195</v>
      </c>
      <c r="N1" s="23" t="s">
        <v>196</v>
      </c>
      <c r="O1" s="23" t="s">
        <v>197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210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210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210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210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210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210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210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210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210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210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210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210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6" t="s">
        <v>201</v>
      </c>
      <c r="B14" s="87"/>
      <c r="C14" s="87"/>
      <c r="D14" s="87"/>
      <c r="E14" s="88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202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210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210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210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210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210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210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210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210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210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210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210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210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6" t="s">
        <v>203</v>
      </c>
      <c r="B27" s="87"/>
      <c r="C27" s="87"/>
      <c r="D27" s="87"/>
      <c r="E27" s="88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202</v>
      </c>
      <c r="O27" s="78">
        <v>393200</v>
      </c>
    </row>
    <row r="28" spans="1:15" ht="18" customHeight="1">
      <c r="A28" s="89" t="s">
        <v>204</v>
      </c>
      <c r="B28" s="90"/>
      <c r="C28" s="90"/>
      <c r="D28" s="90"/>
      <c r="E28" s="91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205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210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211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210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210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157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210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210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210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210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210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6" t="s">
        <v>201</v>
      </c>
      <c r="B41" s="87"/>
      <c r="C41" s="87"/>
      <c r="D41" s="87"/>
      <c r="E41" s="88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202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210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210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210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96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212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210</v>
      </c>
      <c r="F45" s="27">
        <v>0</v>
      </c>
      <c r="G45" s="28">
        <f t="shared" si="9"/>
        <v>0</v>
      </c>
      <c r="H45" s="33" t="s">
        <v>20</v>
      </c>
      <c r="I45" s="33" t="s">
        <v>149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210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210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210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210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210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210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210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210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6" t="s">
        <v>203</v>
      </c>
      <c r="B54" s="87"/>
      <c r="C54" s="87"/>
      <c r="D54" s="87"/>
      <c r="E54" s="88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202</v>
      </c>
      <c r="O54" s="85">
        <v>276360</v>
      </c>
    </row>
    <row r="55" spans="1:15" ht="18" customHeight="1">
      <c r="A55" s="89" t="s">
        <v>204</v>
      </c>
      <c r="B55" s="90"/>
      <c r="C55" s="90"/>
      <c r="D55" s="90"/>
      <c r="E55" s="91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205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96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213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214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6" t="s">
        <v>201</v>
      </c>
      <c r="B68" s="87"/>
      <c r="C68" s="87"/>
      <c r="D68" s="87"/>
      <c r="E68" s="88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202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210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210</v>
      </c>
      <c r="F70" s="27">
        <v>18</v>
      </c>
      <c r="G70" s="28">
        <f t="shared" si="15"/>
        <v>75.600000000000009</v>
      </c>
      <c r="H70" s="26" t="s">
        <v>19</v>
      </c>
      <c r="I70" s="26" t="s">
        <v>149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210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210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210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210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210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210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210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210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210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210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6" t="s">
        <v>203</v>
      </c>
      <c r="B81" s="87"/>
      <c r="C81" s="87"/>
      <c r="D81" s="87"/>
      <c r="E81" s="88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202</v>
      </c>
      <c r="O81" s="54">
        <v>787860</v>
      </c>
    </row>
    <row r="82" spans="1:15" ht="18" customHeight="1">
      <c r="A82" s="89" t="s">
        <v>204</v>
      </c>
      <c r="B82" s="90"/>
      <c r="C82" s="90"/>
      <c r="D82" s="90"/>
      <c r="E82" s="91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205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210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215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210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176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210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210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210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199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199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199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199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199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199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6" t="s">
        <v>201</v>
      </c>
      <c r="B95" s="87"/>
      <c r="C95" s="87"/>
      <c r="D95" s="87"/>
      <c r="E95" s="88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202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210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137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216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210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217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210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146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218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210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210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210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210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210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210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210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210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210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6" t="s">
        <v>203</v>
      </c>
      <c r="B108" s="87"/>
      <c r="C108" s="87"/>
      <c r="D108" s="87"/>
      <c r="E108" s="88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202</v>
      </c>
      <c r="O108" s="54">
        <v>1087080</v>
      </c>
    </row>
    <row r="109" spans="1:15" ht="18" customHeight="1">
      <c r="A109" s="89" t="s">
        <v>204</v>
      </c>
      <c r="B109" s="90"/>
      <c r="C109" s="90"/>
      <c r="D109" s="90"/>
      <c r="E109" s="91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205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210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96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210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157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219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210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210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210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210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210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6" t="s">
        <v>201</v>
      </c>
      <c r="B122" s="87"/>
      <c r="C122" s="87"/>
      <c r="D122" s="87"/>
      <c r="E122" s="88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202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199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156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220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199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199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146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221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199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146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222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199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199</v>
      </c>
      <c r="F128" s="27">
        <v>1</v>
      </c>
      <c r="G128" s="28">
        <f t="shared" si="27"/>
        <v>5</v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199</v>
      </c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199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199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199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199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199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6" t="s">
        <v>203</v>
      </c>
      <c r="B135" s="87"/>
      <c r="C135" s="87"/>
      <c r="D135" s="87"/>
      <c r="E135" s="88">
        <f>SUM(E123:E134)</f>
        <v>0</v>
      </c>
      <c r="F135" s="36">
        <f>SUM(F123:F134)</f>
        <v>84</v>
      </c>
      <c r="G135" s="36">
        <f>SUM(G123:G134)</f>
        <v>420</v>
      </c>
      <c r="H135" s="37"/>
      <c r="I135" s="37"/>
      <c r="J135" s="37"/>
      <c r="K135" s="37"/>
      <c r="L135" s="37"/>
      <c r="M135" s="38">
        <f ca="1">IFERROR(SUM(M123:M134),"")</f>
        <v>7.361111111111128E-2</v>
      </c>
      <c r="N135" s="36" t="s">
        <v>202</v>
      </c>
      <c r="O135" s="54"/>
    </row>
    <row r="136" spans="1:15" ht="18" customHeight="1">
      <c r="A136" s="89" t="s">
        <v>204</v>
      </c>
      <c r="B136" s="90"/>
      <c r="C136" s="90"/>
      <c r="D136" s="90"/>
      <c r="E136" s="91">
        <f>E122+E135</f>
        <v>0</v>
      </c>
      <c r="F136" s="40">
        <f>F122+F135</f>
        <v>219</v>
      </c>
      <c r="G136" s="40">
        <f>G122+G135</f>
        <v>987</v>
      </c>
      <c r="H136" s="41"/>
      <c r="I136" s="41"/>
      <c r="J136" s="41"/>
      <c r="K136" s="41"/>
      <c r="L136" s="41"/>
      <c r="M136" s="42">
        <f ca="1">IFERROR(M122+M135,"")</f>
        <v>0.21527777777777796</v>
      </c>
      <c r="N136" s="40" t="s">
        <v>205</v>
      </c>
      <c r="O136" s="83">
        <f>IFERROR(O122+O135,"")</f>
        <v>869260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6" t="s">
        <v>201</v>
      </c>
      <c r="B149" s="87"/>
      <c r="C149" s="87"/>
      <c r="D149" s="87"/>
      <c r="E149" s="8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202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6" t="s">
        <v>203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202</v>
      </c>
      <c r="O162" s="54"/>
    </row>
    <row r="163" spans="1:15" ht="18" customHeight="1">
      <c r="A163" s="89" t="s">
        <v>204</v>
      </c>
      <c r="B163" s="90"/>
      <c r="C163" s="90"/>
      <c r="D163" s="90"/>
      <c r="E163" s="91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205</v>
      </c>
      <c r="O163" s="8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6" t="s">
        <v>201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202</v>
      </c>
      <c r="O176" s="78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6" t="s">
        <v>203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202</v>
      </c>
      <c r="O189" s="78"/>
    </row>
    <row r="190" spans="1:15" ht="18" customHeight="1">
      <c r="A190" s="89" t="s">
        <v>204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205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6" t="s">
        <v>201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202</v>
      </c>
      <c r="O203" s="78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6" t="s">
        <v>203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202</v>
      </c>
      <c r="O216" s="78"/>
    </row>
    <row r="217" spans="1:15" ht="18" customHeight="1">
      <c r="A217" s="89" t="s">
        <v>204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205</v>
      </c>
      <c r="O217" s="84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6" t="s">
        <v>201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202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6" t="s">
        <v>203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202</v>
      </c>
      <c r="O243" s="78"/>
    </row>
    <row r="244" spans="1:15" ht="18" customHeight="1">
      <c r="A244" s="89" t="s">
        <v>204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205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6" t="s">
        <v>201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202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6" t="s">
        <v>203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202</v>
      </c>
      <c r="O270" s="78"/>
    </row>
    <row r="271" spans="1:15" ht="18" customHeight="1">
      <c r="A271" s="89" t="s">
        <v>204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205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6" t="s">
        <v>201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202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6" t="s">
        <v>203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202</v>
      </c>
      <c r="O297" s="78"/>
    </row>
    <row r="298" spans="1:15" ht="18" customHeight="1">
      <c r="A298" s="89" t="s">
        <v>204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205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6" t="s">
        <v>201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202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6" t="s">
        <v>203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202</v>
      </c>
      <c r="O324" s="78"/>
    </row>
    <row r="325" spans="1:15" ht="18" customHeight="1">
      <c r="A325" s="89" t="s">
        <v>204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205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6" t="s">
        <v>201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202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6" t="s">
        <v>203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202</v>
      </c>
      <c r="O351" s="78"/>
    </row>
    <row r="352" spans="1:15" ht="18" customHeight="1">
      <c r="A352" s="89" t="s">
        <v>204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205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6" t="s">
        <v>201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202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6" t="s">
        <v>203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202</v>
      </c>
      <c r="O378" s="78"/>
    </row>
    <row r="379" spans="1:15" ht="18" customHeight="1">
      <c r="A379" s="89" t="s">
        <v>204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205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6" t="s">
        <v>201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202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6" t="s">
        <v>203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202</v>
      </c>
      <c r="O405" s="78"/>
    </row>
    <row r="406" spans="1:15" ht="18" customHeight="1">
      <c r="A406" s="89" t="s">
        <v>204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205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6" t="s">
        <v>201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202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6" t="s">
        <v>203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202</v>
      </c>
      <c r="O432" s="78"/>
    </row>
    <row r="433" spans="1:15" ht="18" customHeight="1">
      <c r="A433" s="89" t="s">
        <v>204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205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6" t="s">
        <v>201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202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6" t="s">
        <v>203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202</v>
      </c>
      <c r="O459" s="78"/>
    </row>
    <row r="460" spans="1:15" ht="18" customHeight="1">
      <c r="A460" s="89" t="s">
        <v>204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205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6" t="s">
        <v>201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202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6" t="s">
        <v>203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202</v>
      </c>
      <c r="O486" s="78"/>
    </row>
    <row r="487" spans="1:15" ht="18" customHeight="1">
      <c r="A487" s="89" t="s">
        <v>204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205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6" t="s">
        <v>201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202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6" t="s">
        <v>203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202</v>
      </c>
      <c r="O513" s="78"/>
    </row>
    <row r="514" spans="1:15" ht="18" customHeight="1">
      <c r="A514" s="89" t="s">
        <v>204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205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6" t="s">
        <v>201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202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6" t="s">
        <v>203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202</v>
      </c>
      <c r="O540" s="78"/>
    </row>
    <row r="541" spans="1:15" ht="18" customHeight="1">
      <c r="A541" s="89" t="s">
        <v>204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205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6" t="s">
        <v>201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202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6" t="s">
        <v>203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202</v>
      </c>
      <c r="O567" s="78"/>
    </row>
    <row r="568" spans="1:15" ht="18" customHeight="1">
      <c r="A568" s="89" t="s">
        <v>204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205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6" t="s">
        <v>201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202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6" t="s">
        <v>203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202</v>
      </c>
      <c r="O594" s="78"/>
    </row>
    <row r="595" spans="1:15" ht="18" customHeight="1">
      <c r="A595" s="89" t="s">
        <v>204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205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6" t="s">
        <v>201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202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6" t="s">
        <v>203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202</v>
      </c>
      <c r="O621" s="78"/>
    </row>
    <row r="622" spans="1:15" ht="18" customHeight="1">
      <c r="A622" s="89" t="s">
        <v>204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205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6" t="s">
        <v>201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202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6" t="s">
        <v>203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202</v>
      </c>
      <c r="O648" s="78"/>
    </row>
    <row r="649" spans="1:15" ht="18" customHeight="1">
      <c r="A649" s="89" t="s">
        <v>204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205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6" t="s">
        <v>201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202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6" t="s">
        <v>203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202</v>
      </c>
      <c r="O675" s="78"/>
    </row>
    <row r="676" spans="1:15" ht="18" customHeight="1">
      <c r="A676" s="89" t="s">
        <v>204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205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6" t="s">
        <v>201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202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6" t="s">
        <v>203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202</v>
      </c>
      <c r="O702" s="78"/>
    </row>
    <row r="703" spans="1:15" ht="18" customHeight="1">
      <c r="A703" s="89" t="s">
        <v>204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205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6" t="s">
        <v>201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202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6" t="s">
        <v>203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202</v>
      </c>
      <c r="O729" s="78"/>
    </row>
    <row r="730" spans="1:15" ht="18" customHeight="1">
      <c r="A730" s="89" t="s">
        <v>204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205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6" t="s">
        <v>201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202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6" t="s">
        <v>203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202</v>
      </c>
      <c r="O756" s="39"/>
    </row>
    <row r="757" spans="1:15" ht="18" customHeight="1">
      <c r="A757" s="89" t="s">
        <v>204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205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6" t="s">
        <v>201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202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6" t="s">
        <v>203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202</v>
      </c>
      <c r="O783" s="39"/>
    </row>
    <row r="784" spans="1:15" ht="18" customHeight="1">
      <c r="A784" s="89" t="s">
        <v>204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205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6" t="s">
        <v>201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202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6" t="s">
        <v>203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202</v>
      </c>
      <c r="O810" s="39"/>
    </row>
    <row r="811" spans="1:15" ht="18" customHeight="1">
      <c r="A811" s="89" t="s">
        <v>204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205</v>
      </c>
      <c r="O811" s="83">
        <f>IFERROR(O797+O810,"")</f>
        <v>0</v>
      </c>
    </row>
  </sheetData>
  <mergeCells count="90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zoomScale="50" zoomScaleNormal="50" workbookViewId="0">
      <pane ySplit="1" topLeftCell="A107" activePane="bottomLeft" state="frozen"/>
      <selection pane="bottomLeft" activeCell="F129" sqref="F129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0" style="20" customWidth="1"/>
    <col min="15" max="15" width="14" customWidth="1"/>
  </cols>
  <sheetData>
    <row r="1" spans="1:15" ht="37.5" customHeight="1">
      <c r="A1" s="68" t="s">
        <v>7</v>
      </c>
      <c r="B1" s="23" t="s">
        <v>188</v>
      </c>
      <c r="C1" s="23" t="s">
        <v>12</v>
      </c>
      <c r="D1" s="22" t="s">
        <v>13</v>
      </c>
      <c r="E1" s="22" t="s">
        <v>189</v>
      </c>
      <c r="F1" s="23" t="s">
        <v>190</v>
      </c>
      <c r="G1" s="23" t="s">
        <v>191</v>
      </c>
      <c r="H1" s="23" t="s">
        <v>14</v>
      </c>
      <c r="I1" s="23" t="s">
        <v>15</v>
      </c>
      <c r="J1" s="23" t="s">
        <v>192</v>
      </c>
      <c r="K1" s="23" t="s">
        <v>193</v>
      </c>
      <c r="L1" s="23" t="s">
        <v>194</v>
      </c>
      <c r="M1" s="24" t="s">
        <v>195</v>
      </c>
      <c r="N1" s="23" t="s">
        <v>196</v>
      </c>
      <c r="O1" s="23" t="s">
        <v>197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210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210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210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223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210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210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224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210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210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210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210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210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210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6" t="s">
        <v>201</v>
      </c>
      <c r="B14" s="87"/>
      <c r="C14" s="87"/>
      <c r="D14" s="87"/>
      <c r="E14" s="88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202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210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210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210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210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210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210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210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210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210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210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210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210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6" t="s">
        <v>203</v>
      </c>
      <c r="B27" s="87"/>
      <c r="C27" s="87"/>
      <c r="D27" s="87"/>
      <c r="E27" s="88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202</v>
      </c>
      <c r="O27" s="39">
        <v>308500</v>
      </c>
    </row>
    <row r="28" spans="1:15" ht="18" customHeight="1">
      <c r="A28" s="89" t="s">
        <v>204</v>
      </c>
      <c r="B28" s="90"/>
      <c r="C28" s="90"/>
      <c r="D28" s="90"/>
      <c r="E28" s="91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205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210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225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210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210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210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210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210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210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210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210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210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210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210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6" t="s">
        <v>201</v>
      </c>
      <c r="B41" s="87"/>
      <c r="C41" s="87"/>
      <c r="D41" s="87"/>
      <c r="E41" s="88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202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210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210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210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210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210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210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210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210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210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210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210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210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6" t="s">
        <v>203</v>
      </c>
      <c r="B54" s="87"/>
      <c r="C54" s="87"/>
      <c r="D54" s="87"/>
      <c r="E54" s="88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202</v>
      </c>
      <c r="O54" s="39">
        <v>124290</v>
      </c>
    </row>
    <row r="55" spans="1:15" ht="18" customHeight="1">
      <c r="A55" s="89" t="s">
        <v>204</v>
      </c>
      <c r="B55" s="90"/>
      <c r="C55" s="90"/>
      <c r="D55" s="90"/>
      <c r="E55" s="91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205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210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210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210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210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226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210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210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210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210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210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210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210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210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6" t="s">
        <v>201</v>
      </c>
      <c r="B68" s="87"/>
      <c r="C68" s="87"/>
      <c r="D68" s="87"/>
      <c r="E68" s="88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202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210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157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227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210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210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210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210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210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210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210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210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210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210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210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6" t="s">
        <v>203</v>
      </c>
      <c r="B81" s="87"/>
      <c r="C81" s="87"/>
      <c r="D81" s="87"/>
      <c r="E81" s="88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202</v>
      </c>
      <c r="O81" s="39">
        <v>396340</v>
      </c>
    </row>
    <row r="82" spans="1:15" ht="18" customHeight="1">
      <c r="A82" s="89" t="s">
        <v>204</v>
      </c>
      <c r="B82" s="90"/>
      <c r="C82" s="90"/>
      <c r="D82" s="90"/>
      <c r="E82" s="91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205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199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199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199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199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199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199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228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199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199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199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199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199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199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6" t="s">
        <v>201</v>
      </c>
      <c r="B95" s="87"/>
      <c r="C95" s="87"/>
      <c r="D95" s="87"/>
      <c r="E95" s="88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202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210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210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210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210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210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210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210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210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210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210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210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6" t="s">
        <v>203</v>
      </c>
      <c r="B108" s="87"/>
      <c r="C108" s="87"/>
      <c r="D108" s="87"/>
      <c r="E108" s="88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202</v>
      </c>
      <c r="O108" s="39">
        <v>41230</v>
      </c>
    </row>
    <row r="109" spans="1:15" ht="18" customHeight="1">
      <c r="A109" s="89" t="s">
        <v>204</v>
      </c>
      <c r="B109" s="90"/>
      <c r="C109" s="90"/>
      <c r="D109" s="90"/>
      <c r="E109" s="91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205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210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210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210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6" t="s">
        <v>201</v>
      </c>
      <c r="B122" s="87"/>
      <c r="C122" s="87"/>
      <c r="D122" s="87"/>
      <c r="E122" s="88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202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199</v>
      </c>
      <c r="F123" s="27">
        <v>12</v>
      </c>
      <c r="G123" s="34">
        <f t="shared" ref="G123:G134" si="27">IF(F123="","",IF(E123="PC 17",F123*4.2,IF(E123="PC 19",F123*5,"")))</f>
        <v>60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199</v>
      </c>
      <c r="F124" s="27">
        <v>8</v>
      </c>
      <c r="G124" s="28">
        <f t="shared" si="27"/>
        <v>40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199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199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199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199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199</v>
      </c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199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199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199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199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199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6" t="s">
        <v>203</v>
      </c>
      <c r="B135" s="87"/>
      <c r="C135" s="87"/>
      <c r="D135" s="87"/>
      <c r="E135" s="88">
        <f>SUM(E123:E134)</f>
        <v>0</v>
      </c>
      <c r="F135" s="36">
        <f>SUM(F123:F134)</f>
        <v>44</v>
      </c>
      <c r="G135" s="36">
        <f>SUM(G123:G134)</f>
        <v>220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202</v>
      </c>
      <c r="O135" s="39"/>
    </row>
    <row r="136" spans="1:15" ht="18" customHeight="1">
      <c r="A136" s="89" t="s">
        <v>204</v>
      </c>
      <c r="B136" s="90"/>
      <c r="C136" s="90"/>
      <c r="D136" s="90"/>
      <c r="E136" s="91">
        <f>E122+E135</f>
        <v>0</v>
      </c>
      <c r="F136" s="40">
        <f>F122+F135</f>
        <v>51</v>
      </c>
      <c r="G136" s="40">
        <f>G122+G135</f>
        <v>249.4</v>
      </c>
      <c r="H136" s="41"/>
      <c r="I136" s="41"/>
      <c r="J136" s="41"/>
      <c r="K136" s="41"/>
      <c r="L136" s="41"/>
      <c r="M136" s="42">
        <f ca="1">IFERROR(M122+M135,"")</f>
        <v>0.4513888888888889</v>
      </c>
      <c r="N136" s="40" t="s">
        <v>205</v>
      </c>
      <c r="O136" s="43">
        <f>IFERROR(O122+O135,"")</f>
        <v>51130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6" t="s">
        <v>201</v>
      </c>
      <c r="B149" s="87"/>
      <c r="C149" s="87"/>
      <c r="D149" s="87"/>
      <c r="E149" s="8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202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6" t="s">
        <v>203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202</v>
      </c>
      <c r="O162" s="39"/>
    </row>
    <row r="163" spans="1:15" ht="18" customHeight="1">
      <c r="A163" s="89" t="s">
        <v>204</v>
      </c>
      <c r="B163" s="90"/>
      <c r="C163" s="90"/>
      <c r="D163" s="90"/>
      <c r="E163" s="91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205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6" t="s">
        <v>201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202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6" t="s">
        <v>203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202</v>
      </c>
      <c r="O189" s="39"/>
    </row>
    <row r="190" spans="1:15" ht="18" customHeight="1">
      <c r="A190" s="89" t="s">
        <v>204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205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6" t="s">
        <v>201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202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6" t="s">
        <v>203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202</v>
      </c>
      <c r="O216" s="39"/>
    </row>
    <row r="217" spans="1:15" ht="18" customHeight="1">
      <c r="A217" s="89" t="s">
        <v>204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205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6" t="s">
        <v>201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202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6" t="s">
        <v>203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202</v>
      </c>
      <c r="O243" s="39"/>
    </row>
    <row r="244" spans="1:15" ht="18" customHeight="1">
      <c r="A244" s="89" t="s">
        <v>204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205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6" t="s">
        <v>201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202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6" t="s">
        <v>203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202</v>
      </c>
      <c r="O270" s="39"/>
    </row>
    <row r="271" spans="1:15" ht="18" customHeight="1">
      <c r="A271" s="89" t="s">
        <v>204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205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6" t="s">
        <v>201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202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6" t="s">
        <v>203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202</v>
      </c>
      <c r="O297" s="39"/>
    </row>
    <row r="298" spans="1:15" ht="18" customHeight="1">
      <c r="A298" s="89" t="s">
        <v>204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205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6" t="s">
        <v>201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202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6" t="s">
        <v>203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202</v>
      </c>
      <c r="O324" s="39"/>
    </row>
    <row r="325" spans="1:15" ht="18" customHeight="1">
      <c r="A325" s="89" t="s">
        <v>204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205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6" t="s">
        <v>201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202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6" t="s">
        <v>203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202</v>
      </c>
      <c r="O351" s="39"/>
    </row>
    <row r="352" spans="1:15" ht="18" customHeight="1">
      <c r="A352" s="89" t="s">
        <v>204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205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6" t="s">
        <v>201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202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6" t="s">
        <v>203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202</v>
      </c>
      <c r="O378" s="39"/>
    </row>
    <row r="379" spans="1:15" ht="18" customHeight="1">
      <c r="A379" s="89" t="s">
        <v>204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205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6" t="s">
        <v>201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202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6" t="s">
        <v>203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202</v>
      </c>
      <c r="O405" s="39"/>
    </row>
    <row r="406" spans="1:15" ht="18" customHeight="1">
      <c r="A406" s="89" t="s">
        <v>204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205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6" t="s">
        <v>201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202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6" t="s">
        <v>203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202</v>
      </c>
      <c r="O432" s="39"/>
    </row>
    <row r="433" spans="1:15" ht="18" customHeight="1">
      <c r="A433" s="89" t="s">
        <v>204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205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6" t="s">
        <v>201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202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6" t="s">
        <v>203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202</v>
      </c>
      <c r="O459" s="39"/>
    </row>
    <row r="460" spans="1:15" ht="18" customHeight="1">
      <c r="A460" s="89" t="s">
        <v>204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205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6" t="s">
        <v>201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202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6" t="s">
        <v>203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202</v>
      </c>
      <c r="O486" s="39"/>
    </row>
    <row r="487" spans="1:15" ht="18" customHeight="1">
      <c r="A487" s="89" t="s">
        <v>204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205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6" t="s">
        <v>201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202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6" t="s">
        <v>203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202</v>
      </c>
      <c r="O513" s="39"/>
    </row>
    <row r="514" spans="1:15" ht="18" customHeight="1">
      <c r="A514" s="89" t="s">
        <v>204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205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6" t="s">
        <v>201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202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6" t="s">
        <v>203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202</v>
      </c>
      <c r="O540" s="39"/>
    </row>
    <row r="541" spans="1:15" ht="18" customHeight="1">
      <c r="A541" s="89" t="s">
        <v>204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205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6" t="s">
        <v>201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202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6" t="s">
        <v>203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202</v>
      </c>
      <c r="O567" s="39"/>
    </row>
    <row r="568" spans="1:15" ht="18" customHeight="1">
      <c r="A568" s="89" t="s">
        <v>204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205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6" t="s">
        <v>201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202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6" t="s">
        <v>203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202</v>
      </c>
      <c r="O594" s="39"/>
    </row>
    <row r="595" spans="1:15" ht="18" customHeight="1">
      <c r="A595" s="89" t="s">
        <v>204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205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6" t="s">
        <v>201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202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6" t="s">
        <v>203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202</v>
      </c>
      <c r="O621" s="39"/>
    </row>
    <row r="622" spans="1:15" ht="18" customHeight="1">
      <c r="A622" s="89" t="s">
        <v>204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205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6" t="s">
        <v>201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202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6" t="s">
        <v>203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202</v>
      </c>
      <c r="O648" s="39"/>
    </row>
    <row r="649" spans="1:15" ht="18" customHeight="1">
      <c r="A649" s="89" t="s">
        <v>204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205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6" t="s">
        <v>201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202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6" t="s">
        <v>203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202</v>
      </c>
      <c r="O675" s="39"/>
    </row>
    <row r="676" spans="1:15" ht="18" customHeight="1">
      <c r="A676" s="89" t="s">
        <v>204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205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6" t="s">
        <v>201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202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6" t="s">
        <v>203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202</v>
      </c>
      <c r="O702" s="39"/>
    </row>
    <row r="703" spans="1:15" ht="18" customHeight="1">
      <c r="A703" s="89" t="s">
        <v>204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205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6" t="s">
        <v>201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202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6" t="s">
        <v>203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202</v>
      </c>
      <c r="O729" s="39"/>
    </row>
    <row r="730" spans="1:15" ht="18" customHeight="1">
      <c r="A730" s="89" t="s">
        <v>204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205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6" t="s">
        <v>201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202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6" t="s">
        <v>203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202</v>
      </c>
      <c r="O756" s="39"/>
    </row>
    <row r="757" spans="1:15" ht="18" customHeight="1">
      <c r="A757" s="89" t="s">
        <v>204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205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6" t="s">
        <v>201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202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6" t="s">
        <v>203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202</v>
      </c>
      <c r="O783" s="39"/>
    </row>
    <row r="784" spans="1:15" ht="18" customHeight="1">
      <c r="A784" s="89" t="s">
        <v>204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205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6" t="s">
        <v>201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202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6" t="s">
        <v>203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202</v>
      </c>
      <c r="O810" s="39"/>
    </row>
    <row r="811" spans="1:15" ht="18" customHeight="1">
      <c r="A811" s="89" t="s">
        <v>204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205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zoomScale="50" zoomScaleNormal="50" workbookViewId="0">
      <pane ySplit="1" topLeftCell="A114" activePane="bottomLeft" state="frozen"/>
      <selection pane="bottomLeft" activeCell="L125" sqref="L125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2.140625" style="57" customWidth="1"/>
    <col min="15" max="15" width="14" customWidth="1"/>
  </cols>
  <sheetData>
    <row r="1" spans="1:15" ht="37.5" customHeight="1">
      <c r="A1" s="68" t="s">
        <v>7</v>
      </c>
      <c r="B1" s="23" t="s">
        <v>188</v>
      </c>
      <c r="C1" s="23" t="s">
        <v>12</v>
      </c>
      <c r="D1" s="22" t="s">
        <v>13</v>
      </c>
      <c r="E1" s="22" t="s">
        <v>189</v>
      </c>
      <c r="F1" s="23" t="s">
        <v>190</v>
      </c>
      <c r="G1" s="23" t="s">
        <v>191</v>
      </c>
      <c r="H1" s="23" t="s">
        <v>14</v>
      </c>
      <c r="I1" s="23" t="s">
        <v>15</v>
      </c>
      <c r="J1" s="23" t="s">
        <v>192</v>
      </c>
      <c r="K1" s="23" t="s">
        <v>193</v>
      </c>
      <c r="L1" s="23" t="s">
        <v>194</v>
      </c>
      <c r="M1" s="24" t="s">
        <v>195</v>
      </c>
      <c r="N1" s="23" t="s">
        <v>196</v>
      </c>
      <c r="O1" s="23" t="s">
        <v>197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210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229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210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227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210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210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210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210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210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210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210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210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210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6" t="s">
        <v>201</v>
      </c>
      <c r="B14" s="87"/>
      <c r="C14" s="87"/>
      <c r="D14" s="87"/>
      <c r="E14" s="88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202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210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210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230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210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210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210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210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210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210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210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210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210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6" t="s">
        <v>203</v>
      </c>
      <c r="B27" s="87"/>
      <c r="C27" s="87"/>
      <c r="D27" s="87"/>
      <c r="E27" s="88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202</v>
      </c>
      <c r="O27" s="39">
        <v>202230</v>
      </c>
    </row>
    <row r="28" spans="1:15" ht="18" customHeight="1">
      <c r="A28" s="89" t="s">
        <v>204</v>
      </c>
      <c r="B28" s="90"/>
      <c r="C28" s="90"/>
      <c r="D28" s="90"/>
      <c r="E28" s="91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205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210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183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231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210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210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210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210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210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232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210</v>
      </c>
      <c r="F35" s="27">
        <v>0</v>
      </c>
      <c r="G35" s="28">
        <f t="shared" si="6"/>
        <v>0</v>
      </c>
      <c r="H35" s="33" t="s">
        <v>20</v>
      </c>
      <c r="I35" s="33" t="s">
        <v>142</v>
      </c>
      <c r="J35" s="33" t="s">
        <v>171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210</v>
      </c>
      <c r="F36" s="27">
        <v>0</v>
      </c>
      <c r="G36" s="34">
        <f t="shared" si="6"/>
        <v>0</v>
      </c>
      <c r="H36" s="26" t="s">
        <v>20</v>
      </c>
      <c r="I36" s="26" t="s">
        <v>142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210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210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210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6" t="s">
        <v>201</v>
      </c>
      <c r="B41" s="87"/>
      <c r="C41" s="87"/>
      <c r="D41" s="87"/>
      <c r="E41" s="88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202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210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210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210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210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210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210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210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210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210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210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210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6" t="s">
        <v>203</v>
      </c>
      <c r="B54" s="87"/>
      <c r="C54" s="87"/>
      <c r="D54" s="87"/>
      <c r="E54" s="88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202</v>
      </c>
      <c r="O54" s="39">
        <v>473910</v>
      </c>
    </row>
    <row r="55" spans="1:15" ht="18" customHeight="1">
      <c r="A55" s="89" t="s">
        <v>204</v>
      </c>
      <c r="B55" s="90"/>
      <c r="C55" s="90"/>
      <c r="D55" s="90"/>
      <c r="E55" s="91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205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210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210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210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233</v>
      </c>
      <c r="L58" s="29">
        <v>0.54097222222222219</v>
      </c>
      <c r="M58" s="30" t="str">
        <f t="shared" ca="1" si="13"/>
        <v/>
      </c>
      <c r="N58" s="27" t="s">
        <v>234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210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210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210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210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210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210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210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210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6" t="s">
        <v>201</v>
      </c>
      <c r="B68" s="87"/>
      <c r="C68" s="87"/>
      <c r="D68" s="87"/>
      <c r="E68" s="88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202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210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210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223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210</v>
      </c>
      <c r="F71" s="27">
        <v>12</v>
      </c>
      <c r="G71" s="34">
        <f t="shared" si="15"/>
        <v>50.400000000000006</v>
      </c>
      <c r="H71" s="33" t="s">
        <v>18</v>
      </c>
      <c r="I71" s="33" t="s">
        <v>119</v>
      </c>
      <c r="J71" s="33" t="s">
        <v>184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210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157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235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210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157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236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210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237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210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157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238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210</v>
      </c>
      <c r="F76" s="27">
        <v>1</v>
      </c>
      <c r="G76" s="28">
        <f t="shared" si="15"/>
        <v>4.2</v>
      </c>
      <c r="H76" s="26" t="s">
        <v>20</v>
      </c>
      <c r="I76" s="26" t="s">
        <v>142</v>
      </c>
      <c r="J76" s="26" t="s">
        <v>174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210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210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210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6" t="s">
        <v>203</v>
      </c>
      <c r="B81" s="87"/>
      <c r="C81" s="87"/>
      <c r="D81" s="87"/>
      <c r="E81" s="88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202</v>
      </c>
      <c r="O81" s="39">
        <v>565120</v>
      </c>
    </row>
    <row r="82" spans="1:15" ht="18" customHeight="1">
      <c r="A82" s="89" t="s">
        <v>204</v>
      </c>
      <c r="B82" s="90"/>
      <c r="C82" s="90"/>
      <c r="D82" s="90"/>
      <c r="E82" s="91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205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239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210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210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199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199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199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199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199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199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199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6" t="s">
        <v>201</v>
      </c>
      <c r="B95" s="87"/>
      <c r="C95" s="87"/>
      <c r="D95" s="87"/>
      <c r="E95" s="88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202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210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152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210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210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185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210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210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210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210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210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210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210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6" t="s">
        <v>203</v>
      </c>
      <c r="B108" s="87"/>
      <c r="C108" s="87"/>
      <c r="D108" s="87"/>
      <c r="E108" s="88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202</v>
      </c>
      <c r="O108" s="39">
        <v>558590</v>
      </c>
    </row>
    <row r="109" spans="1:15" ht="18" customHeight="1">
      <c r="A109" s="89" t="s">
        <v>204</v>
      </c>
      <c r="B109" s="90"/>
      <c r="C109" s="90"/>
      <c r="D109" s="90"/>
      <c r="E109" s="91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205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210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185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240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210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210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210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210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6" t="s">
        <v>201</v>
      </c>
      <c r="B122" s="87"/>
      <c r="C122" s="87"/>
      <c r="D122" s="87"/>
      <c r="E122" s="88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202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199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96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199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241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199</v>
      </c>
      <c r="F125" s="27">
        <v>20</v>
      </c>
      <c r="G125" s="34">
        <f t="shared" si="27"/>
        <v>100</v>
      </c>
      <c r="H125" s="33" t="s">
        <v>18</v>
      </c>
      <c r="I125" s="33" t="s">
        <v>119</v>
      </c>
      <c r="J125" s="33" t="s">
        <v>187</v>
      </c>
      <c r="K125" s="29">
        <v>0.99583333333333335</v>
      </c>
      <c r="L125" s="29"/>
      <c r="M125" s="35">
        <f t="shared" ca="1" si="28"/>
        <v>4.5029050925222691E-2</v>
      </c>
      <c r="N125" s="27" t="s">
        <v>242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199</v>
      </c>
      <c r="F126" s="27">
        <v>23</v>
      </c>
      <c r="G126" s="28">
        <f t="shared" si="27"/>
        <v>115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199</v>
      </c>
      <c r="F127" s="27">
        <v>9</v>
      </c>
      <c r="G127" s="34">
        <f t="shared" si="27"/>
        <v>45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199</v>
      </c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199</v>
      </c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199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199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199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199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199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86" t="s">
        <v>203</v>
      </c>
      <c r="B135" s="87"/>
      <c r="C135" s="87"/>
      <c r="D135" s="87"/>
      <c r="E135" s="88">
        <f>SUM(E123:E134)</f>
        <v>0</v>
      </c>
      <c r="F135" s="36">
        <f>SUM(F123:F134)</f>
        <v>71</v>
      </c>
      <c r="G135" s="36">
        <f>SUM(G123:G134)</f>
        <v>355</v>
      </c>
      <c r="H135" s="37"/>
      <c r="I135" s="37"/>
      <c r="J135" s="37"/>
      <c r="K135" s="61"/>
      <c r="L135" s="61"/>
      <c r="M135" s="38">
        <f ca="1">IFERROR(SUM(M123:M134),"")</f>
        <v>0.12836238425855606</v>
      </c>
      <c r="N135" s="36" t="s">
        <v>202</v>
      </c>
      <c r="O135" s="39"/>
    </row>
    <row r="136" spans="1:15" ht="18" customHeight="1">
      <c r="A136" s="89" t="s">
        <v>204</v>
      </c>
      <c r="B136" s="90"/>
      <c r="C136" s="90"/>
      <c r="D136" s="90"/>
      <c r="E136" s="91">
        <f>E122+E135</f>
        <v>0</v>
      </c>
      <c r="F136" s="40">
        <f>F122+F135</f>
        <v>125</v>
      </c>
      <c r="G136" s="40">
        <f>G122+G135</f>
        <v>581.79999999999995</v>
      </c>
      <c r="H136" s="41"/>
      <c r="I136" s="41"/>
      <c r="J136" s="41"/>
      <c r="K136" s="63"/>
      <c r="L136" s="63"/>
      <c r="M136" s="42">
        <f ca="1">IFERROR(M122+M135,"")</f>
        <v>0.49572349536966714</v>
      </c>
      <c r="N136" s="40" t="s">
        <v>205</v>
      </c>
      <c r="O136" s="48">
        <f>IFERROR(O122+O135,"")</f>
        <v>274450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6" t="s">
        <v>201</v>
      </c>
      <c r="B149" s="87"/>
      <c r="C149" s="87"/>
      <c r="D149" s="87"/>
      <c r="E149" s="8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202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6" t="s">
        <v>203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202</v>
      </c>
      <c r="O162" s="39"/>
    </row>
    <row r="163" spans="1:15" ht="18" customHeight="1">
      <c r="A163" s="89" t="s">
        <v>204</v>
      </c>
      <c r="B163" s="90"/>
      <c r="C163" s="90"/>
      <c r="D163" s="90"/>
      <c r="E163" s="91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205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6" t="s">
        <v>201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202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6" t="s">
        <v>203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202</v>
      </c>
      <c r="O189" s="39"/>
    </row>
    <row r="190" spans="1:15" ht="18" customHeight="1">
      <c r="A190" s="89" t="s">
        <v>204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205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6" t="s">
        <v>201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202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6" t="s">
        <v>203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202</v>
      </c>
      <c r="O216" s="45"/>
    </row>
    <row r="217" spans="1:15" ht="18" customHeight="1">
      <c r="A217" s="89" t="s">
        <v>204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205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6" t="s">
        <v>201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202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6" t="s">
        <v>203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202</v>
      </c>
      <c r="O243" s="39"/>
    </row>
    <row r="244" spans="1:15" ht="18" customHeight="1">
      <c r="A244" s="89" t="s">
        <v>204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205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6" t="s">
        <v>201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202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6" t="s">
        <v>203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202</v>
      </c>
      <c r="O270" s="39"/>
    </row>
    <row r="271" spans="1:15" ht="18" customHeight="1">
      <c r="A271" s="89" t="s">
        <v>204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205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6" t="s">
        <v>201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202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6" t="s">
        <v>203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202</v>
      </c>
      <c r="O297" s="39"/>
    </row>
    <row r="298" spans="1:15" ht="18" customHeight="1">
      <c r="A298" s="89" t="s">
        <v>204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205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6" t="s">
        <v>201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202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6" t="s">
        <v>203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202</v>
      </c>
      <c r="O324" s="39"/>
    </row>
    <row r="325" spans="1:15" ht="18" customHeight="1">
      <c r="A325" s="89" t="s">
        <v>204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205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6" t="s">
        <v>201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202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6" t="s">
        <v>203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202</v>
      </c>
      <c r="O351" s="39"/>
    </row>
    <row r="352" spans="1:15" ht="18" customHeight="1">
      <c r="A352" s="89" t="s">
        <v>204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205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6" t="s">
        <v>201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202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6" t="s">
        <v>203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202</v>
      </c>
      <c r="O378" s="39"/>
    </row>
    <row r="379" spans="1:15" ht="18" customHeight="1">
      <c r="A379" s="89" t="s">
        <v>204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205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6" t="s">
        <v>201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202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6" t="s">
        <v>203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202</v>
      </c>
      <c r="O405" s="39"/>
    </row>
    <row r="406" spans="1:15" ht="18" customHeight="1">
      <c r="A406" s="89" t="s">
        <v>204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205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6" t="s">
        <v>201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202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6" t="s">
        <v>203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202</v>
      </c>
      <c r="O432" s="39"/>
    </row>
    <row r="433" spans="1:17" ht="18" customHeight="1">
      <c r="A433" s="89" t="s">
        <v>204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205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6" t="s">
        <v>201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202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6" t="s">
        <v>203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202</v>
      </c>
      <c r="O459" s="39"/>
    </row>
    <row r="460" spans="1:15" ht="18" customHeight="1">
      <c r="A460" s="89" t="s">
        <v>204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205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6" t="s">
        <v>201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202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6" t="s">
        <v>203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202</v>
      </c>
      <c r="O486" s="39"/>
    </row>
    <row r="487" spans="1:15" ht="18" customHeight="1">
      <c r="A487" s="89" t="s">
        <v>204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205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6" t="s">
        <v>201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202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6" t="s">
        <v>203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202</v>
      </c>
      <c r="O513" s="39"/>
    </row>
    <row r="514" spans="1:15" ht="18" customHeight="1">
      <c r="A514" s="89" t="s">
        <v>204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205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6" t="s">
        <v>201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202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6" t="s">
        <v>203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202</v>
      </c>
      <c r="O540" s="39"/>
    </row>
    <row r="541" spans="1:15" ht="18" customHeight="1">
      <c r="A541" s="89" t="s">
        <v>204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205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6" t="s">
        <v>201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202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6" t="s">
        <v>203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202</v>
      </c>
      <c r="O567" s="39"/>
    </row>
    <row r="568" spans="1:15" ht="18" customHeight="1">
      <c r="A568" s="89" t="s">
        <v>204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205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6" t="s">
        <v>201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202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6" t="s">
        <v>203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202</v>
      </c>
      <c r="O594" s="39"/>
    </row>
    <row r="595" spans="1:15" ht="18" customHeight="1">
      <c r="A595" s="89" t="s">
        <v>204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205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6" t="s">
        <v>201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202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6" t="s">
        <v>203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202</v>
      </c>
      <c r="O621" s="39"/>
    </row>
    <row r="622" spans="1:15" ht="18" customHeight="1">
      <c r="A622" s="89" t="s">
        <v>204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205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6" t="s">
        <v>201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202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6" t="s">
        <v>203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202</v>
      </c>
      <c r="O648" s="39"/>
    </row>
    <row r="649" spans="1:15" ht="18" customHeight="1">
      <c r="A649" s="89" t="s">
        <v>204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205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6" t="s">
        <v>201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202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6" t="s">
        <v>203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202</v>
      </c>
      <c r="O675" s="39"/>
    </row>
    <row r="676" spans="1:15" ht="18" customHeight="1">
      <c r="A676" s="89" t="s">
        <v>204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205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6" t="s">
        <v>201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202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6" t="s">
        <v>203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202</v>
      </c>
      <c r="O702" s="39"/>
    </row>
    <row r="703" spans="1:15" ht="18" customHeight="1">
      <c r="A703" s="89" t="s">
        <v>204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205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6" t="s">
        <v>201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202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6" t="s">
        <v>203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202</v>
      </c>
      <c r="O729" s="39"/>
    </row>
    <row r="730" spans="1:15" ht="18" customHeight="1">
      <c r="A730" s="89" t="s">
        <v>204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205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6" t="s">
        <v>201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202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6" t="s">
        <v>203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202</v>
      </c>
      <c r="O756" s="39"/>
    </row>
    <row r="757" spans="1:15" ht="18" customHeight="1">
      <c r="A757" s="89" t="s">
        <v>204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205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6" t="s">
        <v>201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202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6" t="s">
        <v>203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202</v>
      </c>
      <c r="O783" s="39"/>
    </row>
    <row r="784" spans="1:15" ht="18" customHeight="1">
      <c r="A784" s="89" t="s">
        <v>204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205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6" t="s">
        <v>201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202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6" t="s">
        <v>203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202</v>
      </c>
      <c r="O810" s="39"/>
    </row>
    <row r="811" spans="1:15" ht="18" customHeight="1">
      <c r="A811" s="89" t="s">
        <v>204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205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2026-07-06T04:59:17Z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