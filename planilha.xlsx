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321" documentId="8_{AF585B22-221D-4780-BB9C-493D365A6A02}" xr6:coauthVersionLast="47" xr6:coauthVersionMax="47" xr10:uidLastSave="{C82278C3-2C5A-44F2-AD93-1ECBB24FC534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<sst xmlns="http://schemas.openxmlformats.org/spreadsheetml/2006/main" count="6488" uniqueCount="326">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</sst>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1576070</v>
      </c>
      <c r="D18" s="8">
        <f>IFERROR('Linha 1'!O406,"")</f>
        <v>281950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1247460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43719092</v>
      </c>
      <c r="D35" s="13">
        <f>IFERROR(SUM(D4:D34),"")</f>
        <v>16028150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46710870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0" activePane="bottomLeft" state="frozen"/>
      <selection pane="bottomLeft" activeCell="K394" sqref="K39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52</v>
      </c>
      <c r="G405" s="36">
        <f>SUM(G393:G404)</f>
        <v>260</v>
      </c>
      <c r="H405" s="37"/>
      <c r="I405" s="37"/>
      <c r="J405" s="37"/>
      <c r="K405" s="37"/>
      <c r="L405" s="37"/>
      <c r="M405" s="38">
        <f ca="1">IFERROR(SUM(M393:M404),"")</f>
        <v>8.3333333333333037E-3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312</v>
      </c>
      <c r="G406" s="40">
        <f>G392+G405</f>
        <v>1560</v>
      </c>
      <c r="H406" s="41"/>
      <c r="I406" s="41"/>
      <c r="J406" s="41"/>
      <c r="K406" s="41"/>
      <c r="L406" s="41"/>
      <c r="M406" s="42">
        <f ca="1">IFERROR(M392+M405,"")</f>
        <v>0.12361111111111106</v>
      </c>
      <c r="N406" s="40" t="s">
        <v>226</v>
      </c>
      <c r="O406" s="48">
        <f>IFERROR(O392+O405,"")</f>
        <v>1576070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F397" sqref="F3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242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244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242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242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242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242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242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242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242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242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242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245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246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242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249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250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251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252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253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255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242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259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260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262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257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242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265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266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267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268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269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270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242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242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242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242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242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242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242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242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272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273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0.7207839120310382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0.87842280091992708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0.98814502314214925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257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274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242</v>
      </c>
      <c r="F393" s="27"/>
      <c r="G393" s="34" t="str">
        <f t="shared" ref="G393:G404" si="87">IF(F393="","",IF(E393="PC 17",F393*4.2,IF(E393="PC 19",F393*5,"")))</f>
        <v/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275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/>
      <c r="F394" s="27">
        <v>7</v>
      </c>
      <c r="G394" s="28" t="str">
        <f t="shared" si="87"/>
        <v/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/>
      <c r="F395" s="27">
        <v>10</v>
      </c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40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57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0.12013888888888891</v>
      </c>
      <c r="N405" s="36" t="s">
        <v>223</v>
      </c>
      <c r="O405" s="78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131</v>
      </c>
      <c r="G406" s="40">
        <f>G392+G405</f>
        <v>310.8</v>
      </c>
      <c r="H406" s="41"/>
      <c r="I406" s="41"/>
      <c r="J406" s="41"/>
      <c r="K406" s="41"/>
      <c r="L406" s="41"/>
      <c r="M406" s="42">
        <f ca="1">IFERROR(M392+M405,"")</f>
        <v>0.46041666666666664</v>
      </c>
      <c r="N406" s="40" t="s">
        <v>226</v>
      </c>
      <c r="O406" s="84">
        <f>IFERROR(O392+O405,"")</f>
        <v>281950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9" zoomScale="50" zoomScaleNormal="50" workbookViewId="0">
      <selection activeCell="F397" sqref="F39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242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242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242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242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242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242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242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242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242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242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242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242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242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242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242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242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242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242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242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242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242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242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242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242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242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242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242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242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256</v>
      </c>
      <c r="K141" s="29">
        <v>0.71597222222222223</v>
      </c>
      <c r="L141" s="29" t="s">
        <v>283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242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285</v>
      </c>
      <c r="N166" s="27" t="s">
        <v>286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242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242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242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242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242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242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242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242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242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242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242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242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242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242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242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242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242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242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242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242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242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242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242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242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242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242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242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242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242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242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242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242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242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242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242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242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242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242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242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242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242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242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242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242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242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242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9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35</v>
      </c>
      <c r="G405" s="36">
        <f>SUM(G393:G404)</f>
        <v>118.8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130</v>
      </c>
      <c r="G406" s="40">
        <f>G392+G405</f>
        <v>517.80000000000007</v>
      </c>
      <c r="H406" s="41"/>
      <c r="I406" s="41"/>
      <c r="J406" s="41"/>
      <c r="K406" s="41"/>
      <c r="L406" s="41"/>
      <c r="M406" s="42">
        <f ca="1">IFERROR(M392+M405,"")</f>
        <v>2.9861111111111061E-2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2" activePane="bottomLeft" state="frozen"/>
      <selection pane="bottomLeft" activeCell="F397" sqref="F39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242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242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242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242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242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242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242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242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242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242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242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242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242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242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242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242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242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242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242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242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242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242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242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242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242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242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242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242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242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242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242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242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242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242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242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242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242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242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242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242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242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242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242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242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242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300</v>
      </c>
      <c r="L58" s="29">
        <v>0.54097222222222219</v>
      </c>
      <c r="M58" s="30" t="str">
        <f t="shared" ca="1" si="13"/>
        <v/>
      </c>
      <c r="N58" s="27" t="s">
        <v>301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242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242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242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242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242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242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242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242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242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242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242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242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242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242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242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242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242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242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242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242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242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242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242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242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242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242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242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242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242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242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242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242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242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242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242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242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242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242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242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242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242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0.71106168981350493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254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0.91036724536906055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1.2777283564801716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242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242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242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242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242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242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242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242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242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242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242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242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242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242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242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242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242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242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242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242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242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242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242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242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242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242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242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242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242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242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242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242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242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242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242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242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242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242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242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242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242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242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242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242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242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242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242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242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242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242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242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242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242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242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242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242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242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242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242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242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242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242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242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242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242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242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242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242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242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242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242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242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242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242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242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242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242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242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242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242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242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242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242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242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242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242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242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242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242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242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242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242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242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242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242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242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242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242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242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242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242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242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242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242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242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242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242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242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242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242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242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242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242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242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242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242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242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242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242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242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242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242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242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242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242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242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242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242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242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242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242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242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242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242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242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242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242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242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242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242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251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242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242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242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242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242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242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242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242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242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242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242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242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242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242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242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242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242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242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242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242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242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242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242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242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242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242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242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242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242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242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242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242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242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242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242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242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242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242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242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242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242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242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242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242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242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242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242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242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242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242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242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242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242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242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242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242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242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242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242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242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242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242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242</v>
      </c>
      <c r="F394" s="27">
        <v>10</v>
      </c>
      <c r="G394" s="28">
        <f t="shared" si="87"/>
        <v>42</v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242</v>
      </c>
      <c r="F395" s="27">
        <v>8</v>
      </c>
      <c r="G395" s="34">
        <f t="shared" si="87"/>
        <v>33.6</v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/>
      <c r="F396" s="27">
        <v>21</v>
      </c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64</v>
      </c>
      <c r="G405" s="36">
        <f>SUM(G393:G404)</f>
        <v>200.6</v>
      </c>
      <c r="H405" s="37"/>
      <c r="I405" s="37"/>
      <c r="J405" s="37"/>
      <c r="K405" s="61"/>
      <c r="L405" s="61"/>
      <c r="M405" s="38">
        <f ca="1">IFERROR(SUM(M393:M404),"")</f>
        <v>1.6666666666666718E-2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207</v>
      </c>
      <c r="G406" s="40">
        <f>G392+G405</f>
        <v>801.2</v>
      </c>
      <c r="H406" s="41"/>
      <c r="I406" s="41"/>
      <c r="J406" s="41"/>
      <c r="K406" s="63"/>
      <c r="L406" s="63"/>
      <c r="M406" s="42">
        <f ca="1">IFERROR(M392+M405,"")</f>
        <v>0.19930555555555568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2026-07-16T03:02:58Z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