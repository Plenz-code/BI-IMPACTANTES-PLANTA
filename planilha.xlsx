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78" documentId="13_ncr:1_{A6DBCFB4-28D9-4249-9038-216934055CA6}" xr6:coauthVersionLast="47" xr6:coauthVersionMax="47" xr10:uidLastSave="{6CA87379-0A88-463A-BB76-3E81890103D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<sst xmlns="http://schemas.openxmlformats.org/spreadsheetml/2006/main" count="10850" uniqueCount="442">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</sst>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7" sqref="F65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 t="s">
        <v>29</v>
      </c>
      <c r="I650" s="61" t="s">
        <v>32</v>
      </c>
      <c r="J650" s="61" t="s">
        <v>145</v>
      </c>
      <c r="K650" s="65">
        <v>0.51736111111111116</v>
      </c>
      <c r="L650" s="65"/>
      <c r="M650" s="66">
        <f t="shared" ref="M650:M661" ca="1" si="141">IFERROR(IF(K650="","",IF(L650="",MOD(NOW()-K650,1),IF(L650&gt;=K650,L650-K650,L650+1-K650))),"")</f>
        <v>7.798726852342952E-2</v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>
        <v>0</v>
      </c>
      <c r="G655" s="69">
        <f t="shared" si="140"/>
        <v>0</v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>
        <v>0</v>
      </c>
      <c r="G656" s="64">
        <f t="shared" si="140"/>
        <v>0</v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7.798726852342952E-2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7.798726852342952E-2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P637" sqref="P63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0.47382060185191222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0.61270949074079994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0.69743171296302275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>
        <v>0</v>
      </c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>
        <f t="shared" ref="K650:K661" si="171">IF(G650="","",IF(E650="PC 17",G650*4.2,IF(E650="PC 19",G650*5,IF(E650="CB",G650*24,""))))</f>
        <v>0</v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0.3036817129686824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>
        <v>0</v>
      </c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>
        <f t="shared" si="171"/>
        <v>0</v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>
        <v>0</v>
      </c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>
        <f t="shared" si="171"/>
        <v>0</v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>
        <v>0</v>
      </c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>
        <f t="shared" si="171"/>
        <v>0</v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>
        <v>0</v>
      </c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>
        <f t="shared" si="171"/>
        <v>0</v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0</v>
      </c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>
        <f t="shared" si="171"/>
        <v>0</v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>
        <v>0</v>
      </c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>
        <f t="shared" si="171"/>
        <v>0</v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0.3036817129686824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0.3036817129686824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>
        <v>0</v>
      </c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>
        <f t="shared" ref="K650:K661" si="168">IF(G650="","",IF(E650="PC 17",G650*4.2,IF(E650="PC 19",G650*5,IF(E650="CB",G650*24,""))))</f>
        <v>0</v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0.3036817129686824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>
        <v>0</v>
      </c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>
        <f t="shared" si="168"/>
        <v>0</v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>
        <v>0</v>
      </c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>
        <f t="shared" si="168"/>
        <v>0</v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>
        <v>0</v>
      </c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>
        <f t="shared" si="168"/>
        <v>0</v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>
        <v>0</v>
      </c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>
        <f t="shared" si="168"/>
        <v>0</v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0</v>
      </c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>
        <f t="shared" si="168"/>
        <v>0</v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>
        <v>0</v>
      </c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>
        <f t="shared" si="168"/>
        <v>0</v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0.3036817129686824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0.3036817129686824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45" activePane="bottomLeft" state="frozen"/>
      <selection pane="bottomLeft" activeCell="G657" sqref="G65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>
        <v>0</v>
      </c>
      <c r="H650" s="101">
        <f>IFERROR(IF($G650="","",$G650*$S$662/$G$662/Cadastro!$E$33),"")</f>
        <v>0</v>
      </c>
      <c r="I650" s="102">
        <f>IFERROR(IF($D650="","",VLOOKUP($D650,Cadastro!$C$4:$G$7,5,FALSE())),"")</f>
        <v>0.6</v>
      </c>
      <c r="J650" s="103">
        <f t="shared" ref="J650:J661" si="170">IFERROR(IF($H650="","",$H650*$F650*$I650),"")</f>
        <v>0</v>
      </c>
      <c r="K650" s="64">
        <f t="shared" ref="K650:K661" si="171">IF(G650="","",IF(E650="PC 17",G650*4.2,IF(E650="PC 19",G650*5,IF(E650="CB",G650*24,""))))</f>
        <v>0</v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>
        <v>0</v>
      </c>
      <c r="H651" s="88">
        <f>IFERROR(IF($G651="","",$G651*$S$662/$G$662/Cadastro!$E$33),"")</f>
        <v>0</v>
      </c>
      <c r="I651" s="90">
        <f>IFERROR(IF($D651="","",VLOOKUP($D651,Cadastro!$C$4:$G$7,5,FALSE())),"")</f>
        <v>0.6</v>
      </c>
      <c r="J651" s="91">
        <f t="shared" si="170"/>
        <v>0</v>
      </c>
      <c r="K651" s="69">
        <f t="shared" si="171"/>
        <v>0</v>
      </c>
      <c r="L651" s="70" t="s">
        <v>29</v>
      </c>
      <c r="M651" s="70" t="s">
        <v>169</v>
      </c>
      <c r="N651" s="70" t="s">
        <v>83</v>
      </c>
      <c r="O651" s="65">
        <v>0.56041666666666667</v>
      </c>
      <c r="P651" s="65">
        <v>0.57013888888888886</v>
      </c>
      <c r="Q651" s="71">
        <f t="shared" ca="1" si="172"/>
        <v>9.7222222222221877E-3</v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>
        <v>0</v>
      </c>
      <c r="H652" s="88">
        <f>IFERROR(IF($G652="","",$G652*$S$662/$G$662/Cadastro!$E$33),"")</f>
        <v>0</v>
      </c>
      <c r="I652" s="90">
        <f>IFERROR(IF($D652="","",VLOOKUP($D652,Cadastro!$C$4:$G$7,5,FALSE())),"")</f>
        <v>0.6</v>
      </c>
      <c r="J652" s="91">
        <f t="shared" si="170"/>
        <v>0</v>
      </c>
      <c r="K652" s="69">
        <f t="shared" si="171"/>
        <v>0</v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>
        <v>0</v>
      </c>
      <c r="H653" s="88">
        <f>IFERROR(IF($G653="","",$G653*$S$662/$G$662/Cadastro!$E$33),"")</f>
        <v>0</v>
      </c>
      <c r="I653" s="90">
        <f>IFERROR(IF($D653="","",VLOOKUP($D653,Cadastro!$C$4:$G$7,5,FALSE())),"")</f>
        <v>0.6</v>
      </c>
      <c r="J653" s="91">
        <f t="shared" si="170"/>
        <v>0</v>
      </c>
      <c r="K653" s="69">
        <f t="shared" si="171"/>
        <v>0</v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>
        <v>0</v>
      </c>
      <c r="H654" s="88">
        <f>IFERROR(IF($G654="","",$G654*$S$662/$G$662/Cadastro!$E$33),"")</f>
        <v>0</v>
      </c>
      <c r="I654" s="90">
        <f>IFERROR(IF($D654="","",VLOOKUP($D654,Cadastro!$C$4:$G$7,5,FALSE())),"")</f>
        <v>0.6</v>
      </c>
      <c r="J654" s="91">
        <f t="shared" si="170"/>
        <v>0</v>
      </c>
      <c r="K654" s="64">
        <f t="shared" si="171"/>
        <v>0</v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24</v>
      </c>
      <c r="H655" s="88">
        <f>IFERROR(IF($G655="","",$G655*$S$662/$G$662/Cadastro!$E$33),"")</f>
        <v>0</v>
      </c>
      <c r="I655" s="90">
        <f>IFERROR(IF($D655="","",VLOOKUP($D655,Cadastro!$C$4:$G$7,5,FALSE())),"")</f>
        <v>0.6</v>
      </c>
      <c r="J655" s="91">
        <f t="shared" si="170"/>
        <v>0</v>
      </c>
      <c r="K655" s="69">
        <f t="shared" si="171"/>
        <v>100.80000000000001</v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263</v>
      </c>
      <c r="F656" s="88">
        <f>IFERROR(IF($D656="","",VLOOKUP($D656,Cadastro!$C$4:$E$7,3,FALSE())),"")</f>
        <v>0.35</v>
      </c>
      <c r="G656" s="89">
        <v>13</v>
      </c>
      <c r="H656" s="88">
        <f>IFERROR(IF($G656="","",$G656*$S$662/$G$662/Cadastro!$E$33),"")</f>
        <v>0</v>
      </c>
      <c r="I656" s="90">
        <f>IFERROR(IF($D656="","",VLOOKUP($D656,Cadastro!$C$4:$G$7,5,FALSE())),"")</f>
        <v>0.6</v>
      </c>
      <c r="J656" s="91">
        <f t="shared" si="170"/>
        <v>0</v>
      </c>
      <c r="K656" s="64">
        <f t="shared" si="171"/>
        <v>65</v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37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165.8</v>
      </c>
      <c r="L662" s="72"/>
      <c r="M662" s="72"/>
      <c r="N662" s="72"/>
      <c r="O662" s="134"/>
      <c r="P662" s="134"/>
      <c r="Q662" s="73">
        <f ca="1">IFERROR(SUM(Q650:Q661),"")</f>
        <v>0.2180555555555555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37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165.8</v>
      </c>
      <c r="L676" s="76"/>
      <c r="M676" s="76"/>
      <c r="N676" s="76"/>
      <c r="O676" s="135"/>
      <c r="P676" s="135"/>
      <c r="Q676" s="77">
        <f ca="1">IFERROR(Q662+Q675,"")</f>
        <v>0.2180555555555555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2026-08-25T18:19:22Z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