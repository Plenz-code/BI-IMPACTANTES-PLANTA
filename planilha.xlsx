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293" documentId="13_ncr:1_{A6DBCFB4-28D9-4249-9038-216934055CA6}" xr6:coauthVersionLast="47" xr6:coauthVersionMax="47" xr10:uidLastSave="{B12FD316-5731-44CA-902F-B9FF865C4332}"/>
  <bookViews>
    <workbookView xWindow="-110" yWindow="-110" windowWidth="25820" windowHeight="15500" tabRatio="500" firstSheet="6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73" i="5" l="1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<sst xmlns="http://schemas.openxmlformats.org/spreadsheetml/2006/main" count="9836" uniqueCount="422">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</sst>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2640170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77741110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59" activePane="bottomLeft" state="frozen"/>
      <selection pane="bottomLeft" activeCell="I586" sqref="I586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215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301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262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/>
      <c r="E582" s="62" t="s">
        <v>260</v>
      </c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/>
      <c r="E583" s="62" t="s">
        <v>260</v>
      </c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/>
      <c r="E584" s="62" t="s">
        <v>260</v>
      </c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/>
      <c r="E585" s="62" t="s">
        <v>260</v>
      </c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/>
      <c r="E586" s="62" t="s">
        <v>260</v>
      </c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/>
      <c r="E587" s="62" t="s">
        <v>260</v>
      </c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/>
      <c r="E588" s="62" t="s">
        <v>260</v>
      </c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/>
      <c r="E589" s="62" t="s">
        <v>260</v>
      </c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/>
      <c r="E590" s="62" t="s">
        <v>260</v>
      </c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/>
      <c r="E591" s="62" t="s">
        <v>260</v>
      </c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/>
      <c r="E592" s="62" t="s">
        <v>260</v>
      </c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/>
      <c r="E593" s="62" t="s">
        <v>260</v>
      </c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378</v>
      </c>
      <c r="G595" s="1">
        <f>G581+G594</f>
        <v>1890</v>
      </c>
      <c r="H595" s="76"/>
      <c r="I595" s="76"/>
      <c r="J595" s="76"/>
      <c r="K595" s="76"/>
      <c r="L595" s="76"/>
      <c r="M595" s="77">
        <f ca="1">IFERROR(M581+M594,"")</f>
        <v>7.7083333333333282E-2</v>
      </c>
      <c r="N595" s="1" t="s">
        <v>265</v>
      </c>
      <c r="O595" s="82">
        <f>IFERROR(O581+O594,"")</f>
        <v>2640170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54" activePane="bottomLeft" state="frozen"/>
      <selection pane="bottomLeft" activeCell="D582" sqref="D582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304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305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306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308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309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310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311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0.70517592591932043</v>
      </c>
      <c r="R53" s="80" t="s">
        <v>312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0.84406481480820816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0.92878703703043097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304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313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314</v>
      </c>
      <c r="Q96" s="66" t="str">
        <f t="shared" ref="Q96:Q107" ca="1" si="22">IFERROR(IF(O96="","",IF(P96="",MOD(NOW()-O96,1),IF(P96&gt;=O96,P96-O96,P96+1-O96))),"")</f>
        <v/>
      </c>
      <c r="R96" s="80" t="s">
        <v>315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316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317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318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319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320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321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323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324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325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318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313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327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328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329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330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331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332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333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325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320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313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334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335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336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337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338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339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340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341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342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343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320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344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345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346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262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/>
      <c r="H582" s="101" t="str">
        <f>IFERROR(IF($G582="","",$G582*$S$594/$G$594/Cadastro!$E$33),"")</f>
        <v/>
      </c>
      <c r="I582" s="102">
        <f>IFERROR(IF($D582="","",VLOOKUP($D582,Cadastro!$C$4:$G$7,5,FALSE())),"")</f>
        <v>0.6</v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/>
      <c r="E583" s="87" t="s">
        <v>275</v>
      </c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/>
      <c r="E584" s="87" t="s">
        <v>275</v>
      </c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/>
      <c r="E585" s="87" t="s">
        <v>275</v>
      </c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/>
      <c r="E586" s="87" t="s">
        <v>275</v>
      </c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/>
      <c r="E587" s="87" t="s">
        <v>275</v>
      </c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1.3194444444444509E-2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49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205.8</v>
      </c>
      <c r="L595" s="76"/>
      <c r="M595" s="76"/>
      <c r="N595" s="76"/>
      <c r="O595" s="76"/>
      <c r="P595" s="76"/>
      <c r="Q595" s="77">
        <f ca="1">IFERROR(Q581+Q594,"")</f>
        <v>0.41736111111111113</v>
      </c>
      <c r="R595" s="1" t="s">
        <v>265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61" activePane="bottomLeft" state="frozen"/>
      <selection pane="bottomLeft" activeCell="O583" sqref="O583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307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313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321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313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324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360</v>
      </c>
      <c r="Q222" s="66" t="str">
        <f t="shared" ca="1" si="49"/>
        <v/>
      </c>
      <c r="R222" s="63" t="s">
        <v>361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331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332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313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335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313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372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313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373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374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313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375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347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313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262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/>
      <c r="H582" s="101" t="str">
        <f>IFERROR(IF($G582="","",$G582*$S$594/$G$594/Cadastro!$E$33),"")</f>
        <v/>
      </c>
      <c r="I582" s="102">
        <f>IFERROR(IF($D582="","",VLOOKUP($D582,Cadastro!$C$4:$G$7,5,FALSE())),"")</f>
        <v>0.6</v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/>
      <c r="H583" s="88" t="str">
        <f>IFERROR(IF($G583="","",$G583*$S$594/$G$594/Cadastro!$E$33),"")</f>
        <v/>
      </c>
      <c r="I583" s="90">
        <f>IFERROR(IF($D583="","",VLOOKUP($D583,Cadastro!$C$4:$G$7,5,FALSE())),"")</f>
        <v>0.6</v>
      </c>
      <c r="J583" s="91" t="str">
        <f t="shared" si="147"/>
        <v/>
      </c>
      <c r="K583" s="69" t="str">
        <f t="shared" si="148"/>
        <v/>
      </c>
      <c r="L583" s="70"/>
      <c r="N583" s="70"/>
      <c r="O583" s="65">
        <v>0.82638888888888884</v>
      </c>
      <c r="P583" s="65"/>
      <c r="Q583" s="71">
        <f t="shared" ca="1" si="149"/>
        <v>3.1481480982620269E-4</v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/>
      <c r="H584" s="88" t="str">
        <f>IFERROR(IF($G584="","",$G584*$S$594/$G$594/Cadastro!$E$33),"")</f>
        <v/>
      </c>
      <c r="I584" s="90">
        <f>IFERROR(IF($D584="","",VLOOKUP($D584,Cadastro!$C$4:$G$7,5,FALSE())),"")</f>
        <v>0.6</v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/>
      <c r="H585" s="88" t="str">
        <f>IFERROR(IF($G585="","",$G585*$S$594/$G$594/Cadastro!$E$33),"")</f>
        <v/>
      </c>
      <c r="I585" s="90">
        <f>IFERROR(IF($D585="","",VLOOKUP($D585,Cadastro!$C$4:$G$7,5,FALSE())),"")</f>
        <v>0.6</v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/>
      <c r="F588" s="88">
        <f>IFERROR(IF($D588="","",VLOOKUP($D588,Cadastro!$C$4:$E$7,3,FALSE())),"")</f>
        <v>0.35</v>
      </c>
      <c r="G588" s="89"/>
      <c r="H588" s="88" t="str">
        <f>IFERROR(IF($G588="","",$G588*$S$594/$G$594/Cadastro!$E$33),"")</f>
        <v/>
      </c>
      <c r="I588" s="90">
        <f>IFERROR(IF($D588="","",VLOOKUP($D588,Cadastro!$C$4:$G$7,5,FALSE())),"")</f>
        <v>0.6</v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/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68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/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/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/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/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1.3509259254270711E-2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163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693.40000000000009</v>
      </c>
      <c r="L595" s="76"/>
      <c r="M595" s="76"/>
      <c r="N595" s="76"/>
      <c r="O595" s="76"/>
      <c r="P595" s="76"/>
      <c r="Q595" s="77">
        <f ca="1">IFERROR(Q581+Q594,"")</f>
        <v>0.16975925925427071</v>
      </c>
      <c r="R595" s="1" t="s">
        <v>265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M505:M582 M584:M900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61" activePane="bottomLeft" state="frozen"/>
      <selection pane="bottomLeft" activeCell="R583" sqref="R583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376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310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377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378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379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380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381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382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383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384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313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385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386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321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387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389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390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391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392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393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394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395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396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397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398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399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400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401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402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403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404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335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405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406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407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408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409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403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410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411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412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413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414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415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416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417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418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419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402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403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420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168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262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/>
      <c r="H582" s="101" t="str">
        <f>IFERROR(IF($G582="","",$G582*$S$594/$G$594/Cadastro!$E$33),"")</f>
        <v/>
      </c>
      <c r="I582" s="102">
        <f>IFERROR(IF($D582="","",VLOOKUP($D582,Cadastro!$C$4:$G$7,5,FALSE())),"")</f>
        <v>0.6</v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/>
      <c r="H583" s="88" t="str">
        <f>IFERROR(IF($G583="","",$G583*$S$594/$G$594/Cadastro!$E$33),"")</f>
        <v/>
      </c>
      <c r="I583" s="90">
        <f>IFERROR(IF($D583="","",VLOOKUP($D583,Cadastro!$C$4:$G$7,5,FALSE())),"")</f>
        <v>0.6</v>
      </c>
      <c r="J583" s="91" t="str">
        <f t="shared" si="150"/>
        <v/>
      </c>
      <c r="K583" s="69" t="str">
        <f t="shared" si="151"/>
        <v/>
      </c>
      <c r="L583" s="70" t="s">
        <v>29</v>
      </c>
      <c r="M583" s="70" t="s">
        <v>173</v>
      </c>
      <c r="N583" s="70" t="s">
        <v>71</v>
      </c>
      <c r="O583" s="65">
        <v>0.81388888888888888</v>
      </c>
      <c r="P583" s="65"/>
      <c r="Q583" s="71">
        <f t="shared" ca="1" si="152"/>
        <v>1.2814814814191777E-2</v>
      </c>
      <c r="R583" s="63" t="s">
        <v>421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/>
      <c r="H584" s="88" t="str">
        <f>IFERROR(IF($G584="","",$G584*$S$594/$G$594/Cadastro!$E$33),"")</f>
        <v/>
      </c>
      <c r="I584" s="90">
        <f>IFERROR(IF($D584="","",VLOOKUP($D584,Cadastro!$C$4:$G$7,5,FALSE())),"")</f>
        <v>0.6</v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/>
      <c r="H585" s="88" t="str">
        <f>IFERROR(IF($G585="","",$G585*$S$594/$G$594/Cadastro!$E$33),"")</f>
        <v/>
      </c>
      <c r="I585" s="90">
        <f>IFERROR(IF($D585="","",VLOOKUP($D585,Cadastro!$C$4:$G$7,5,FALSE())),"")</f>
        <v>0.6</v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/>
      <c r="E587" s="87" t="s">
        <v>275</v>
      </c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/>
      <c r="E588" s="87" t="s">
        <v>275</v>
      </c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/>
      <c r="E589" s="87" t="s">
        <v>275</v>
      </c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/>
      <c r="E590" s="87" t="s">
        <v>275</v>
      </c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/>
      <c r="E591" s="87" t="s">
        <v>275</v>
      </c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/>
      <c r="E592" s="87" t="s">
        <v>275</v>
      </c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/>
      <c r="E593" s="87" t="s">
        <v>275</v>
      </c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1.4203703703080661E-2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202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864.40000000000009</v>
      </c>
      <c r="L595" s="76"/>
      <c r="M595" s="76"/>
      <c r="N595" s="76"/>
      <c r="O595" s="135"/>
      <c r="P595" s="135"/>
      <c r="Q595" s="77">
        <f ca="1">IFERROR(Q581+Q594,"")</f>
        <v>0.14823148148085852</v>
      </c>
      <c r="R595" s="1" t="s">
        <v>265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2026-08-22T23:50:46Z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