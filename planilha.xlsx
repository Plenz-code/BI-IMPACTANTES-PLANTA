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496" documentId="8_{AF585B22-221D-4780-BB9C-493D365A6A02}" xr6:coauthVersionLast="47" xr6:coauthVersionMax="47" xr10:uidLastSave="{11689B48-CE7C-4560-A4B8-ED07EA55C6B7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<sst xmlns="http://schemas.openxmlformats.org/spreadsheetml/2006/main" count="4177" uniqueCount="279">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</sst>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225</v>
      </c>
      <c r="G243" s="36">
        <f>SUM(G231:G242)</f>
        <v>1125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463</v>
      </c>
      <c r="G244" s="40">
        <f>G230+G243</f>
        <v>2315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09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222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149</v>
      </c>
      <c r="G243" s="36">
        <f>SUM(G231:G242)</f>
        <v>629.80000000000007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264</v>
      </c>
      <c r="G244" s="40">
        <f>G230+G243</f>
        <v>1112.8000000000002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F241" sqref="F2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252</v>
      </c>
      <c r="N166" s="27" t="s">
        <v>253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254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4</v>
      </c>
      <c r="G234" s="28">
        <f t="shared" si="51"/>
        <v>16.8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109</v>
      </c>
      <c r="G243" s="36">
        <f>SUM(G231:G242)</f>
        <v>463.40000000000009</v>
      </c>
      <c r="H243" s="37"/>
      <c r="I243" s="37"/>
      <c r="J243" s="37"/>
      <c r="K243" s="37"/>
      <c r="L243" s="37"/>
      <c r="M243" s="38">
        <f ca="1">IFERROR(SUM(M231:M242),"")</f>
        <v>4.2361111111111113E-2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211</v>
      </c>
      <c r="G244" s="40">
        <f>G230+G243</f>
        <v>891.80000000000007</v>
      </c>
      <c r="H244" s="41"/>
      <c r="I244" s="41"/>
      <c r="J244" s="41"/>
      <c r="K244" s="41"/>
      <c r="L244" s="41"/>
      <c r="M244" s="42">
        <f ca="1">IFERROR(M230+M243,"")</f>
        <v>7.7777777777777876E-2</v>
      </c>
      <c r="N244" s="40" t="s">
        <v>216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0" activePane="bottomLeft" state="frozen"/>
      <selection pane="bottomLeft" activeCell="F241" sqref="F2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255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256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257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258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259</v>
      </c>
      <c r="L58" s="29">
        <v>0.54097222222222219</v>
      </c>
      <c r="M58" s="30" t="str">
        <f t="shared" ca="1" si="13"/>
        <v/>
      </c>
      <c r="N58" s="27" t="s">
        <v>260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261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262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263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264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265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266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267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268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0.95895266204024665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1.1582582175958023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1.5256193287069133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269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222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222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271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222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222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272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222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273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274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275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276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278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27</v>
      </c>
      <c r="G236" s="28">
        <f t="shared" si="51"/>
        <v>113.4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165</v>
      </c>
      <c r="G243" s="36">
        <f>SUM(G231:G242)</f>
        <v>735.40000000000009</v>
      </c>
      <c r="H243" s="37"/>
      <c r="I243" s="37"/>
      <c r="J243" s="37"/>
      <c r="K243" s="61"/>
      <c r="L243" s="61"/>
      <c r="M243" s="38">
        <f ca="1">IFERROR(SUM(M231:M242),"")</f>
        <v>0.13611111111111102</v>
      </c>
      <c r="N243" s="36" t="s">
        <v>213</v>
      </c>
      <c r="O243" s="39"/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283</v>
      </c>
      <c r="G244" s="40">
        <f>G230+G243</f>
        <v>1231</v>
      </c>
      <c r="H244" s="41"/>
      <c r="I244" s="41"/>
      <c r="J244" s="41"/>
      <c r="K244" s="63"/>
      <c r="L244" s="63"/>
      <c r="M244" s="42">
        <f ca="1">IFERROR(M230+M243,"")</f>
        <v>0.33263888888888893</v>
      </c>
      <c r="N244" s="40" t="s">
        <v>216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2026-07-10T09:00:09Z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