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949" documentId="8_{AF585B22-221D-4780-BB9C-493D365A6A02}" xr6:coauthVersionLast="47" xr6:coauthVersionMax="47" xr10:uidLastSave="{EDB2CB1D-91CD-4526-B5F3-4A2AD2D255BB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<sst xmlns="http://schemas.openxmlformats.org/spreadsheetml/2006/main" count="9481" uniqueCount="383">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</sst>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7" sqref="G2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2433062</v>
      </c>
      <c r="D26" s="8">
        <f>IFERROR('Linha 1'!O622,"")</f>
        <v>763240</v>
      </c>
      <c r="E26" s="8">
        <f>IFERROR('Linha 2'!O622,"")</f>
        <v>732120</v>
      </c>
      <c r="F26" s="8">
        <f>IFERROR('Linha 3'!O622,"")</f>
        <v>685860</v>
      </c>
      <c r="G26" s="9">
        <f t="shared" si="0"/>
        <v>2181220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69693213</v>
      </c>
      <c r="D35" s="13">
        <f>IFERROR(SUM(D4:D34),"")</f>
        <v>27868390</v>
      </c>
      <c r="E35" s="13">
        <f>IFERROR(SUM(E4:E34),"")</f>
        <v>15707540</v>
      </c>
      <c r="F35" s="13">
        <f>IFERROR(SUM(F4:F34),"")</f>
        <v>29982880</v>
      </c>
      <c r="G35" s="13">
        <f>IFERROR(SUM(G4:G34),"")</f>
        <v>73558810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587" activePane="bottomLeft" state="frozen"/>
      <selection pane="bottomLeft" activeCell="F614" sqref="F61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92</v>
      </c>
      <c r="G621" s="36">
        <f>SUM(G609:G620)</f>
        <v>460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483</v>
      </c>
      <c r="G622" s="40">
        <f>G608+G621</f>
        <v>2415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2433062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87" activePane="bottomLeft" state="frozen"/>
      <selection pane="bottomLeft" activeCell="F614" sqref="F6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0.8022561342586414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0.95989502314753028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1.0696172453697526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0.78072835648345063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0.95156168981678402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1.0967005787056729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39</v>
      </c>
      <c r="G621" s="36">
        <f>SUM(G609:G620)</f>
        <v>176.6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203</v>
      </c>
      <c r="G622" s="40">
        <f>G608+G621</f>
        <v>865.40000000000009</v>
      </c>
      <c r="H622" s="41"/>
      <c r="I622" s="41"/>
      <c r="J622" s="41"/>
      <c r="K622" s="41"/>
      <c r="L622" s="41"/>
      <c r="M622" s="42">
        <f ca="1">IFERROR(M608+M621,"")</f>
        <v>6.4583333333333326E-2</v>
      </c>
      <c r="N622" s="40" t="s">
        <v>236</v>
      </c>
      <c r="O622" s="83">
        <f>O608+O621</f>
        <v>763240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81" zoomScale="50" zoomScaleNormal="50" workbookViewId="0">
      <selection activeCell="F614" sqref="F6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27</v>
      </c>
      <c r="G621" s="36">
        <f>SUM(G609:G620)</f>
        <v>127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168</v>
      </c>
      <c r="G622" s="40">
        <f>G608+G621</f>
        <v>719.2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732120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81" activePane="bottomLeft" state="frozen"/>
      <selection pane="bottomLeft" activeCell="F614" sqref="F61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0.79253391204110812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0.99183946759666375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1.3592005787077748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/>
      <c r="M602" s="30">
        <f t="shared" ca="1" si="133"/>
        <v>0.3335061342586414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0.38836724536975259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20</v>
      </c>
      <c r="G621" s="36">
        <f>SUM(G609:G620)</f>
        <v>90.4</v>
      </c>
      <c r="H621" s="37"/>
      <c r="I621" s="37"/>
      <c r="J621" s="37"/>
      <c r="K621" s="61"/>
      <c r="L621" s="61"/>
      <c r="M621" s="38">
        <f ca="1">IFERROR(SUM(M609:M620),"")</f>
        <v>8.333333333333337E-2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180</v>
      </c>
      <c r="G622" s="40">
        <f>G608+G621</f>
        <v>762.4</v>
      </c>
      <c r="H622" s="41"/>
      <c r="I622" s="41"/>
      <c r="J622" s="41"/>
      <c r="K622" s="63"/>
      <c r="L622" s="63"/>
      <c r="M622" s="42">
        <f ca="1">IFERROR(M608+M621,"")</f>
        <v>0.47170057870308596</v>
      </c>
      <c r="N622" s="40" t="s">
        <v>236</v>
      </c>
      <c r="O622" s="48">
        <f>IFERROR(O608+O621,"")</f>
        <v>685860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2026-07-24T05:00:41Z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