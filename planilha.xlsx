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13" documentId="8_{AF585B22-221D-4780-BB9C-493D365A6A02}" xr6:coauthVersionLast="47" xr6:coauthVersionMax="47" xr10:uidLastSave="{1666FEA9-9BF5-47F1-80D6-52FC0E630DF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2" i="1" l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<sst xmlns="http://schemas.openxmlformats.org/spreadsheetml/2006/main" count="11336" uniqueCount="416">
  <si>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</si>
  <si>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</si>
  <si>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</si>
  <si>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</si>
  <si>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</si>
  <si>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</si>
  <si>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</si>
  <si>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</si>
  <si>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</si>
  <si>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</si>
  <si>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</si>
  <si>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</si>
  <si>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</si>
  <si>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</si>
  <si>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</si>
  <si>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</si>
  <si>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</si>
  <si>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</si>
  <si>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</si>
  <si>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</si>
  <si>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</si>
  <si>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</si>
  <si>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</si>
  <si>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</si>
  <si>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</si>
  <si>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</si>
  <si>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</si>
  <si>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</si>
  <si>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</si>
  <si>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</si>
  <si>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</si>
  <si>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</si>
  <si>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</si>
  <si>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</si>
  <si>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</si>
  <si>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</si>
  <si>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</si>
  <si>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</si>
  <si>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</si>
  <si>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</si>
  <si>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</si>
  <si>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</si>
  <si>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</si>
  <si>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</si>
  <si>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</si>
  <si>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</si>
  <si>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</si>
  <si>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</si>
  <si>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</si>
  <si>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</si>
  <si>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</si>
  <si>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</si>
  <si>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</si>
  <si>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</si>
  <si>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</si>
  <si>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</si>
  <si>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</si>
  <si>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</si>
  <si>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</si>
  <si>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</si>
  <si>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</si>
  <si>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</si>
  <si>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</si>
  <si>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</si>
  <si>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</si>
  <si>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</si>
  <si>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</si>
  <si>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</si>
  <si>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</si>
  <si>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</si>
  <si>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</si>
  <si>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</si>
  <si>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</si>
  <si>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</si>
  <si>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</si>
  <si>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</si>
  <si>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</si>
  <si>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</si>
  <si>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</si>
  <si>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</si>
  <si>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</si>
  <si>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</si>
  <si>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</si>
  <si>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</si>
  <si>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</si>
  <si>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</si>
  <si>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</si>
  <si>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</si>
  <si>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</si>
  <si>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</si>
  <si>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</si>
  <si>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</si>
  <si>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</si>
  <si>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</si>
  <si>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</si>
  <si>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</si>
  <si>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</si>
  <si>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</si>
  <si>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</si>
  <si>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</si>
  <si>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</si>
  <si>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</si>
  <si>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</si>
  <si>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</si>
  <si>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</si>
  <si>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</si>
  <si>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</si>
  <si>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</si>
  <si>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</si>
  <si>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</si>
  <si>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</si>
  <si>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</si>
  <si>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</si>
  <si>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</si>
  <si>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</si>
  <si>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</si>
  <si>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</si>
  <si>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</si>
  <si>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</si>
  <si>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</si>
  <si>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</si>
  <si>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</si>
  <si>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</si>
  <si>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</si>
  <si>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</si>
  <si>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</si>
  <si>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</si>
  <si>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</si>
  <si>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</si>
  <si>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</si>
  <si>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</si>
  <si>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</si>
  <si>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</si>
  <si>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</si>
  <si>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</si>
  <si>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</si>
  <si>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</si>
  <si>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</si>
  <si>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</si>
  <si>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</si>
  <si>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</si>
  <si>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</si>
  <si>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</si>
  <si>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</si>
  <si>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</si>
  <si>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</si>
  <si>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</si>
  <si>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</si>
  <si>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</si>
  <si>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</si>
  <si>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</si>
  <si>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</si>
  <si>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</si>
  <si>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</si>
  <si>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</si>
  <si>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</si>
  <si>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</si>
  <si>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</si>
  <si>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</si>
  <si>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</si>
  <si>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</si>
  <si>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</si>
  <si>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</si>
  <si>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</si>
  <si>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</si>
  <si>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</si>
  <si>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</si>
  <si>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</si>
  <si>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</si>
  <si>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</si>
  <si>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</si>
  <si>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</si>
  <si>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</si>
  <si>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</si>
  <si>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</si>
  <si>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</si>
  <si>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</si>
  <si>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</si>
  <si>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</si>
  <si>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</si>
  <si>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</si>
  <si>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</si>
  <si>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</si>
  <si>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</si>
  <si>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</si>
  <si>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</si>
  <si>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</si>
  <si>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</si>
  <si>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</si>
  <si>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</si>
  <si>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</si>
  <si>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</si>
  <si>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</si>
  <si>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</si>
  <si>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</si>
  <si>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</si>
  <si>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</si>
  <si>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</si>
  <si>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</si>
  <si>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</si>
  <si>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</si>
  <si>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</si>
  <si>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</si>
  <si>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</si>
  <si>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</si>
  <si>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</si>
  <si>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</si>
  <si>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</si>
  <si>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</si>
  <si>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</si>
  <si>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</si>
  <si>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</si>
  <si>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</si>
  <si>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</si>
  <si>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</si>
  <si>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</si>
  <si>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</si>
  <si>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</si>
  <si>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</si>
  <si>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</si>
  <si>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</si>
  <si>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</si>
  <si>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</si>
  <si>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</si>
  <si>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</si>
  <si>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</si>
  <si>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</si>
  <si>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</si>
  <si>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</si>
  <si>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</si>
  <si>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</si>
  <si>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</si>
  <si>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</si>
  <si>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</si>
  <si>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</si>
  <si>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</si>
  <si>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</si>
  <si>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</si>
  <si>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</si>
  <si>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</si>
  <si>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</si>
  <si>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</si>
  <si>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</si>
  <si>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</si>
  <si>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</si>
  <si>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</si>
  <si>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</si>
  <si>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</si>
  <si>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</si>
  <si>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</si>
  <si>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</si>
  <si>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</si>
  <si>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</si>
  <si>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</si>
  <si>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</si>
  <si>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</si>
  <si>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</si>
  <si>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</si>
  <si>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</si>
  <si>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</si>
  <si>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</si>
  <si>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</si>
  <si>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</si>
  <si>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</si>
  <si>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</si>
  <si>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</si>
  <si>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</si>
  <si>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</si>
  <si>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</si>
  <si>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</si>
  <si>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</si>
  <si>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</si>
  <si>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</si>
  <si>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</si>
  <si>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</si>
  <si>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</si>
  <si>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</si>
  <si>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</si>
  <si>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</si>
  <si>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</si>
  <si>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</si>
  <si>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</si>
  <si>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</si>
  <si>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</si>
  <si>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</si>
  <si>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</si>
  <si>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</si>
  <si>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</si>
  <si>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</si>
  <si>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</si>
  <si>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</si>
  <si>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</si>
  <si>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</si>
  <si>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</si>
  <si>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</si>
  <si>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</si>
  <si>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</si>
  <si>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</si>
  <si>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</si>
  <si>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</si>
  <si>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</si>
  <si>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</si>
  <si>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</si>
  <si>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</si>
  <si>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</si>
  <si>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</si>
  <si>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</si>
  <si>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</si>
  <si>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</si>
  <si>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</si>
  <si>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</si>
  <si>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</si>
  <si>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</si>
  <si>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</si>
  <si>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</si>
  <si>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</si>
  <si>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</si>
  <si>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</si>
  <si>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</si>
  <si>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</si>
  <si>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</si>
  <si>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</si>
  <si>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</si>
  <si>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</si>
  <si>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</si>
  <si>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</si>
  <si>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</si>
  <si>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</si>
  <si>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</si>
  <si>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</si>
  <si>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</si>
  <si>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</si>
  <si>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</si>
  <si>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</si>
  <si>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</si>
  <si>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</si>
  <si>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</si>
  <si>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</si>
  <si>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</si>
  <si>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</si>
  <si>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</si>
  <si>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</si>
  <si>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</si>
  <si>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</si>
  <si>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</si>
  <si>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</si>
  <si>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</si>
  <si>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</si>
  <si>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</si>
  <si>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</si>
  <si>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</si>
  <si>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</si>
  <si>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</si>
  <si>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</si>
  <si>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</si>
  <si>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</si>
  <si>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</si>
  <si>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</si>
  <si>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</si>
  <si>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</si>
  <si>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</si>
  <si>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</si>
  <si>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</si>
  <si>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</si>
  <si>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</si>
  <si>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</si>
  <si>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</si>
  <si>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</si>
  <si>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</si>
  <si>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</si>
  <si>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</si>
  <si>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</si>
  <si>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</si>
  <si>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</si>
  <si>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</si>
  <si>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</si>
  <si>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</si>
  <si>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</si>
  <si>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</si>
  <si>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</si>
  <si>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</si>
  <si>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</si>
  <si>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</si>
  <si>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</si>
  <si>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</si>
  <si>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</si>
  <si>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</si>
  <si>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</si>
  <si>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</si>
  <si>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</si>
  <si>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</si>
  <si>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</si>
  <si>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</si>
  <si>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</si>
  <si>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</si>
  <si>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</si>
  <si>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</si>
  <si>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</si>
  <si>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</si>
  <si>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</si>
  <si>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</si>
  <si>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</si>
  <si>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</si>
  <si>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</si>
  <si>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</si>
  <si>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</si>
  <si>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</si>
  <si>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</si>
  <si>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</si>
  <si>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</si>
  <si>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</si>
  <si>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</si>
  <si>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</si>
  <si>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</si>
  <si>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</si>
  <si>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21;20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</si>
</sst>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46" sqref="F7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>
        <v>30</v>
      </c>
      <c r="G744" s="28">
        <f t="shared" ref="G744:G755" si="165">IF(F744="","",IF(E744="PC 17",F744*4.2,IF(E744="PC 19",F744*5,"")))</f>
        <v>150</v>
      </c>
      <c r="H744" s="26"/>
      <c r="I744" s="26"/>
      <c r="J744" s="26"/>
      <c r="K744" s="29">
        <v>0.875</v>
      </c>
      <c r="L744" s="29"/>
      <c r="M744" s="30">
        <f t="shared" ref="M744:M755" ca="1" si="166">IFERROR(IF(K744="","",IF(L744="",MOD(NOW()-K744,1),IF(L744&gt;=K744,L744-K744,L744+1-K744))),"")</f>
        <v>3.143043981253868E-2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231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231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231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231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231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231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3.143043981253868E-2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3.143043981253868E-2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K745" sqref="K7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0.66684710647678003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0.82448599536566891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0.93420821758789108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0.64531932870158926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0.81615266203492265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0.96129155092381158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/>
      <c r="I744" s="26"/>
      <c r="J744" s="26"/>
      <c r="K744" s="29">
        <v>0.88888888888888884</v>
      </c>
      <c r="L744" s="29"/>
      <c r="M744" s="30">
        <f t="shared" ref="M744:M755" ca="1" si="166">IFERROR(IF(K744="","",IF(L744="",MOD(NOW()-K744,1),IF(L744&gt;=K744,L744-K744,L744+1-K744))),"")</f>
        <v>1.7541550922032911E-2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11</v>
      </c>
      <c r="G745" s="34">
        <f t="shared" si="165"/>
        <v>46.2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1.7541550922032911E-2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170</v>
      </c>
      <c r="G757" s="40">
        <f>G743+G756</f>
        <v>714</v>
      </c>
      <c r="H757" s="41"/>
      <c r="I757" s="41"/>
      <c r="J757" s="41"/>
      <c r="K757" s="41"/>
      <c r="L757" s="41"/>
      <c r="M757" s="42">
        <f ca="1">IFERROR(M743+M756,"")</f>
        <v>8.7680439810921773E-2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K745" sqref="K7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5</v>
      </c>
      <c r="G744" s="28">
        <f t="shared" ref="G744:G755" si="165">IF(F744="","",IF(E744="PC 17",F744*4.2,IF(E744="PC 19",F744*5,"")))</f>
        <v>21</v>
      </c>
      <c r="H744" s="26"/>
      <c r="I744" s="26"/>
      <c r="J744" s="26"/>
      <c r="K744" s="29">
        <v>0.88888888888888884</v>
      </c>
      <c r="L744" s="29"/>
      <c r="M744" s="30">
        <f t="shared" ref="M744:M755" ca="1" si="166">IFERROR(IF(K744="","",IF(L744="",MOD(NOW()-K744,1),IF(L744&gt;=K744,L744-K744,L744+1-K744))),"")</f>
        <v>1.7541550922032911E-2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2</v>
      </c>
      <c r="G745" s="34">
        <f t="shared" si="165"/>
        <v>8.4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7</v>
      </c>
      <c r="G756" s="36">
        <f>SUM(G744:G755)</f>
        <v>29.4</v>
      </c>
      <c r="H756" s="37"/>
      <c r="I756" s="37"/>
      <c r="J756" s="37"/>
      <c r="K756" s="37"/>
      <c r="L756" s="37"/>
      <c r="M756" s="38">
        <f ca="1">IFERROR(SUM(M744:M755),"")</f>
        <v>1.7541550922032911E-2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72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8.2124884255366182E-2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42" activePane="bottomLeft" state="frozen"/>
      <selection pane="bottomLeft" activeCell="J744" sqref="J7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0.65712488425924676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0.85643043981480238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1.2237915509259134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 t="s">
        <v>415</v>
      </c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6</v>
      </c>
      <c r="G745" s="34">
        <f t="shared" si="165"/>
        <v>25.200000000000003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17</v>
      </c>
      <c r="G746" s="28">
        <f t="shared" si="165"/>
        <v>71.400000000000006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47</v>
      </c>
      <c r="G756" s="36">
        <f>SUM(G744:G755)</f>
        <v>197.40000000000003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204</v>
      </c>
      <c r="G757" s="40">
        <f>G743+G756</f>
        <v>856.8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2026-07-29T01:45:22Z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