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23" documentId="8_{C51EB6CB-002B-4D6B-B68F-DDEBDB4460C0}" xr6:coauthVersionLast="47" xr6:coauthVersionMax="47" xr10:uidLastSave="{D62F5F7E-7507-4CA8-A06B-1B0BCF644E0A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<sst xmlns="http://schemas.openxmlformats.org/spreadsheetml/2006/main" count="2082" uniqueCount="261">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</sst>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3" sqref="F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231</v>
      </c>
      <c r="G68" s="36">
        <f>SUM(G56:G67)</f>
        <v>1155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231</v>
      </c>
      <c r="G82" s="40">
        <f>G68+G81</f>
        <v>1155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3" activePane="bottomLeft" state="frozen"/>
      <selection pane="bottomLeft" activeCell="F63" sqref="F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0.49776608795946231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0.63665497684835115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0.72137719907057352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88</v>
      </c>
      <c r="G68" s="36">
        <f>SUM(G56:G67)</f>
        <v>369.6</v>
      </c>
      <c r="H68" s="37"/>
      <c r="I68" s="37"/>
      <c r="J68" s="37"/>
      <c r="K68" s="37"/>
      <c r="L68" s="37"/>
      <c r="M68" s="38">
        <f ca="1">IFERROR(SUM(M56:M67),"")</f>
        <v>7.7083333333333337E-2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88</v>
      </c>
      <c r="G82" s="40">
        <f>G68+G81</f>
        <v>369.6</v>
      </c>
      <c r="H82" s="41"/>
      <c r="I82" s="41"/>
      <c r="J82" s="41"/>
      <c r="K82" s="41"/>
      <c r="L82" s="41"/>
      <c r="M82" s="42">
        <f ca="1">IFERROR(M68+M81,"")</f>
        <v>7.7083333333333337E-2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42" zoomScale="50" zoomScaleNormal="50" workbookViewId="0">
      <selection activeCell="N63" sqref="N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/>
      <c r="M62" s="30">
        <f t="shared" ca="1" si="13"/>
        <v>4.7105324047151953E-3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29</v>
      </c>
      <c r="G68" s="36">
        <f>SUM(G56:G67)</f>
        <v>121.80000000000001</v>
      </c>
      <c r="H68" s="37"/>
      <c r="I68" s="37"/>
      <c r="J68" s="37"/>
      <c r="K68" s="37"/>
      <c r="L68" s="37"/>
      <c r="M68" s="38">
        <f ca="1">IFERROR(SUM(M56:M67),"")</f>
        <v>5.9571643515826389E-2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29</v>
      </c>
      <c r="G82" s="40">
        <f>G68+G81</f>
        <v>121.80000000000001</v>
      </c>
      <c r="H82" s="41"/>
      <c r="I82" s="41"/>
      <c r="J82" s="41"/>
      <c r="K82" s="41"/>
      <c r="L82" s="41"/>
      <c r="M82" s="42">
        <f ca="1">IFERROR(M68+M81,"")</f>
        <v>5.9571643515826389E-2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J59" sqref="J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16</v>
      </c>
      <c r="I59" s="33" t="s">
        <v>52</v>
      </c>
      <c r="J59" s="33" t="s">
        <v>32</v>
      </c>
      <c r="K59" s="29">
        <v>0.60555555555555551</v>
      </c>
      <c r="L59" s="29"/>
      <c r="M59" s="35">
        <f t="shared" ca="1" si="13"/>
        <v>1.3738310182816349E-2</v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98</v>
      </c>
      <c r="G68" s="36">
        <f>SUM(G56:G67)</f>
        <v>411.59999999999997</v>
      </c>
      <c r="H68" s="37"/>
      <c r="I68" s="37"/>
      <c r="J68" s="37"/>
      <c r="K68" s="61"/>
      <c r="L68" s="61"/>
      <c r="M68" s="38">
        <f ca="1">IFERROR(SUM(M56:M67),"")</f>
        <v>4.7766087960594172E-2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98</v>
      </c>
      <c r="G82" s="40">
        <f>G68+G81</f>
        <v>411.59999999999997</v>
      </c>
      <c r="H82" s="41"/>
      <c r="I82" s="41"/>
      <c r="J82" s="41"/>
      <c r="K82" s="63"/>
      <c r="L82" s="63"/>
      <c r="M82" s="42">
        <f ca="1">IFERROR(M68+M81,"")</f>
        <v>4.7766087960594172E-2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2026-08-03T18:53:51Z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