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46" documentId="8_{AF585B22-221D-4780-BB9C-493D365A6A02}" xr6:coauthVersionLast="47" xr6:coauthVersionMax="47" xr10:uidLastSave="{79534247-4B03-4E9A-AC26-C58FCCBCE3BE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<sst xmlns="http://schemas.openxmlformats.org/spreadsheetml/2006/main" count="2049" uniqueCount="223">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</sst>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F80" sqref="F8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L70" sqref="L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197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/>
      <c r="M70" s="35">
        <f t="shared" ca="1" si="16"/>
        <v>1.1742245369532611E-2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177</v>
      </c>
      <c r="G81" s="36">
        <f>SUM(G69:G80)</f>
        <v>743.4</v>
      </c>
      <c r="H81" s="37"/>
      <c r="I81" s="37"/>
      <c r="J81" s="37"/>
      <c r="K81" s="37"/>
      <c r="L81" s="37"/>
      <c r="M81" s="38">
        <f ca="1">IFERROR(SUM(M69:M80),"")</f>
        <v>2.0770023147310357E-2</v>
      </c>
      <c r="N81" s="36" t="s">
        <v>197</v>
      </c>
      <c r="O81" s="54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177</v>
      </c>
      <c r="G82" s="40">
        <f>G68+G81</f>
        <v>743.4</v>
      </c>
      <c r="H82" s="41"/>
      <c r="I82" s="41"/>
      <c r="J82" s="41"/>
      <c r="K82" s="41"/>
      <c r="L82" s="41"/>
      <c r="M82" s="42">
        <f ca="1">IFERROR(M68+M81,"")</f>
        <v>0.45827002314731025</v>
      </c>
      <c r="N82" s="40" t="s">
        <v>200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3" activePane="bottomLeft" state="frozen"/>
      <selection pane="bottomLeft" activeCell="J70" sqref="J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/>
      <c r="M70" s="30">
        <f t="shared" ca="1" si="16"/>
        <v>1.7297569451329764E-2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3.674201389577425E-2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0.10896423611799638</v>
      </c>
      <c r="N82" s="40" t="s">
        <v>200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C65" activePane="bottomLeft" state="frozen"/>
      <selection pane="bottomLeft" activeCell="N76" sqref="N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217</v>
      </c>
      <c r="L58" s="29">
        <v>0.54097222222222219</v>
      </c>
      <c r="M58" s="30" t="str">
        <f t="shared" ca="1" si="13"/>
        <v/>
      </c>
      <c r="N58" s="27" t="s">
        <v>218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127</v>
      </c>
      <c r="G81" s="36">
        <f>SUM(G69:G80)</f>
        <v>533.4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322</v>
      </c>
      <c r="G82" s="40">
        <f>G68+G81</f>
        <v>1352.4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2026-07-04T10:17:29Z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