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887" documentId="8_{C51EB6CB-002B-4D6B-B68F-DDEBDB4460C0}" xr6:coauthVersionLast="47" xr6:coauthVersionMax="47" xr10:uidLastSave="{C631CA83-17CB-40AC-B9F0-3DDAC12F2EDC}"/>
  <bookViews>
    <workbookView xWindow="-108" yWindow="-108" windowWidth="23256" windowHeight="12456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76" i="6" l="1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<sst xmlns="http://schemas.openxmlformats.org/spreadsheetml/2006/main" count="4098" uniqueCount="299">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</sst>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1" sqref="G11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24036285</v>
      </c>
      <c r="D35" s="13">
        <f>IFERROR(SUM(D4:D34),"")</f>
        <v>7112730</v>
      </c>
      <c r="E35" s="13">
        <f>IFERROR(SUM(E4:E34),"")</f>
        <v>3636350</v>
      </c>
      <c r="F35" s="13">
        <f>IFERROR(SUM(F4:F34),"")</f>
        <v>9451500</v>
      </c>
      <c r="G35" s="13">
        <f>IFERROR(SUM(G4:G34),"")</f>
        <v>20200580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85" activePane="bottomLeft" state="frozen"/>
      <selection pane="bottomLeft" activeCell="F195" sqref="F19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7.5703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143</v>
      </c>
      <c r="G203" s="36">
        <f>SUM(G191:G202)</f>
        <v>715</v>
      </c>
      <c r="H203" s="37"/>
      <c r="I203" s="37"/>
      <c r="J203" s="37"/>
      <c r="K203" s="37"/>
      <c r="L203" s="37"/>
      <c r="M203" s="38">
        <f ca="1">IFERROR(SUM(M191:M202),"")</f>
        <v>5.1388888888888873E-2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143</v>
      </c>
      <c r="G217" s="40">
        <f>G203+G216</f>
        <v>715</v>
      </c>
      <c r="H217" s="41"/>
      <c r="I217" s="41"/>
      <c r="J217" s="41"/>
      <c r="K217" s="41"/>
      <c r="L217" s="41"/>
      <c r="M217" s="42">
        <f ca="1">IFERROR(M203+M216,"")</f>
        <v>5.1388888888888873E-2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1" t="s">
        <v>238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1" t="s">
        <v>238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173" activePane="bottomLeft" state="frozen"/>
      <selection pane="bottomLeft" activeCell="L195" sqref="L19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250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251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252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253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254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255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256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257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0.44883078703423962</v>
      </c>
      <c r="N53" s="46" t="s">
        <v>258</v>
      </c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0.58771967592312846</v>
      </c>
      <c r="N54" s="36" t="s">
        <v>235</v>
      </c>
      <c r="O54" s="84">
        <v>352430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0.67244189814535082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250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259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260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261</v>
      </c>
      <c r="M96" s="30" t="str">
        <f t="shared" ref="M96:M107" ca="1" si="22">IFERROR(IF(K96="","",IF(L96="",MOD(NOW()-K96,1),IF(L96&gt;=K96,L96-K96,L96+1-K96))),"")</f>
        <v/>
      </c>
      <c r="N96" s="46" t="s">
        <v>262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263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264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265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266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267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268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269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270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267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271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272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20</v>
      </c>
      <c r="G194" s="28">
        <f t="shared" si="42"/>
        <v>84</v>
      </c>
      <c r="H194" s="26"/>
      <c r="I194" s="26"/>
      <c r="J194" s="26"/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5</v>
      </c>
      <c r="G195" s="34">
        <f t="shared" si="42"/>
        <v>21</v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13</v>
      </c>
      <c r="G196" s="28">
        <f t="shared" si="42"/>
        <v>54.6</v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73</v>
      </c>
      <c r="G203" s="36">
        <f>SUM(G191:G202)</f>
        <v>306.60000000000002</v>
      </c>
      <c r="H203" s="37"/>
      <c r="I203" s="37"/>
      <c r="J203" s="37"/>
      <c r="K203" s="37"/>
      <c r="L203" s="37"/>
      <c r="M203" s="38">
        <f ca="1">IFERROR(SUM(M191:M202),"")</f>
        <v>8.6111111111111083E-2</v>
      </c>
      <c r="N203" s="36" t="s">
        <v>235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77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73</v>
      </c>
      <c r="G217" s="40">
        <f>G203+G216</f>
        <v>306.60000000000002</v>
      </c>
      <c r="H217" s="41"/>
      <c r="I217" s="41"/>
      <c r="J217" s="41"/>
      <c r="K217" s="41"/>
      <c r="L217" s="41"/>
      <c r="M217" s="42">
        <f ca="1">IFERROR(M203+M216,"")</f>
        <v>8.6111111111111083E-2</v>
      </c>
      <c r="N217" s="40" t="s">
        <v>239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1" t="s">
        <v>238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70" zoomScale="50" zoomScaleNormal="50" workbookViewId="0">
      <selection activeCell="F197" sqref="F19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273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253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274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4" t="s">
        <v>237</v>
      </c>
      <c r="B27" s="105"/>
      <c r="C27" s="105"/>
      <c r="D27" s="105"/>
      <c r="E27" s="106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259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273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273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275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276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277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278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279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280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281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268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259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282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283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271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271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0</v>
      </c>
      <c r="G196" s="28">
        <f t="shared" si="42"/>
        <v>0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4</v>
      </c>
      <c r="G203" s="36">
        <f>SUM(G191:G202)</f>
        <v>16.8</v>
      </c>
      <c r="H203" s="37"/>
      <c r="I203" s="37"/>
      <c r="J203" s="37"/>
      <c r="K203" s="37"/>
      <c r="L203" s="37"/>
      <c r="M203" s="38">
        <f ca="1">IFERROR(SUM(M191:M202),"")</f>
        <v>0.11944444444444441</v>
      </c>
      <c r="N203" s="36" t="s">
        <v>235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39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4</v>
      </c>
      <c r="G217" s="40">
        <f>G203+G216</f>
        <v>16.8</v>
      </c>
      <c r="H217" s="41"/>
      <c r="I217" s="41"/>
      <c r="J217" s="41"/>
      <c r="K217" s="41"/>
      <c r="L217" s="41"/>
      <c r="M217" s="42">
        <f ca="1">IFERROR(M203+M216,"")</f>
        <v>0.11944444444444441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1" t="s">
        <v>238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1" t="s">
        <v>238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1" t="s">
        <v>238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73" activePane="bottomLeft" state="frozen"/>
      <selection pane="bottomLeft" activeCell="J192" sqref="J19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284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256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273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285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286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4" t="s">
        <v>234</v>
      </c>
      <c r="B41" s="105"/>
      <c r="C41" s="105"/>
      <c r="D41" s="105"/>
      <c r="E41" s="106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287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288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289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290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273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273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291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292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259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273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293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294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268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295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297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298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/>
      <c r="M192" s="30">
        <f t="shared" ca="1" si="43"/>
        <v>1.896967592620058E-2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18</v>
      </c>
      <c r="G194" s="28">
        <f t="shared" si="42"/>
        <v>75.600000000000009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89</v>
      </c>
      <c r="G203" s="36">
        <f>SUM(G191:G202)</f>
        <v>373.80000000000007</v>
      </c>
      <c r="H203" s="37"/>
      <c r="I203" s="37"/>
      <c r="J203" s="37"/>
      <c r="K203" s="61"/>
      <c r="L203" s="61"/>
      <c r="M203" s="38">
        <f ca="1">IFERROR(SUM(M191:M202),"")</f>
        <v>3.8414120370645011E-2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/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89</v>
      </c>
      <c r="G217" s="40">
        <f>G203+G216</f>
        <v>373.80000000000007</v>
      </c>
      <c r="H217" s="41"/>
      <c r="I217" s="41"/>
      <c r="J217" s="41"/>
      <c r="K217" s="63"/>
      <c r="L217" s="63"/>
      <c r="M217" s="42">
        <f ca="1">IFERROR(M203+M216,"")</f>
        <v>3.8414120370645011E-2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4" t="s">
        <v>234</v>
      </c>
      <c r="B338" s="105"/>
      <c r="C338" s="105"/>
      <c r="D338" s="105"/>
      <c r="E338" s="106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1" t="s">
        <v>238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1" t="s">
        <v>238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1" t="s">
        <v>238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2026-08-08T17:41:44Z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