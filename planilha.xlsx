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08" documentId="13_ncr:1_{0A10D8D4-8450-4366-8075-B53B08E6B7EA}" xr6:coauthVersionLast="47" xr6:coauthVersionMax="47" xr10:uidLastSave="{DABB5343-491E-4C89-B13B-984106182480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71" i="6"/>
  <c r="J371" i="6" s="1"/>
  <c r="H372" i="6"/>
  <c r="J372" i="6" s="1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71" i="5"/>
  <c r="J371" i="5" s="1"/>
  <c r="H372" i="5"/>
  <c r="J372" i="5" s="1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71" i="4"/>
  <c r="J371" i="4" s="1"/>
  <c r="H372" i="4"/>
  <c r="J372" i="4" s="1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H370" i="6" s="1"/>
  <c r="J370" i="6" s="1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H370" i="5" s="1"/>
  <c r="J370" i="5" s="1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H370" i="4" s="1"/>
  <c r="J370" i="4" s="1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8" i="6" l="1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<sst xmlns="http://schemas.openxmlformats.org/spreadsheetml/2006/main" count="6541" uniqueCount="348">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</sst>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M25" sqref="M25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71" sqref="F371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160</v>
      </c>
      <c r="G378" s="36">
        <f>SUM(G366:G377)</f>
        <v>800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560</v>
      </c>
      <c r="G379" s="40">
        <f>G365+G378</f>
        <v>2766.4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71" sqref="G37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0.88231539351545507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1.0212042824043439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1.1059265046265663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88.2</v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71.400000000000006</v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68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285.60000000000002</v>
      </c>
      <c r="L378" s="37"/>
      <c r="M378" s="37"/>
      <c r="N378" s="37"/>
      <c r="O378" s="37"/>
      <c r="P378" s="37"/>
      <c r="Q378" s="38">
        <f ca="1">IFERROR(SUM(Q366:Q377),"")</f>
        <v>5.4861111111111249E-2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176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739.2</v>
      </c>
      <c r="L379" s="41"/>
      <c r="M379" s="41"/>
      <c r="N379" s="41"/>
      <c r="O379" s="41"/>
      <c r="P379" s="41"/>
      <c r="Q379" s="42">
        <f ca="1">IFERROR(Q365+Q378,"")</f>
        <v>0.13819444444444451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71" sqref="G37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4"/>
        <v>0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16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67.2</v>
      </c>
      <c r="L378" s="37"/>
      <c r="M378" s="37"/>
      <c r="N378" s="37"/>
      <c r="O378" s="37"/>
      <c r="P378" s="37"/>
      <c r="Q378" s="38">
        <f ca="1">IFERROR(SUM(Q366:Q377),"")</f>
        <v>0.10069444444444453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106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445.2000000000001</v>
      </c>
      <c r="L379" s="41"/>
      <c r="M379" s="41"/>
      <c r="N379" s="41"/>
      <c r="O379" s="41"/>
      <c r="P379" s="41"/>
      <c r="Q379" s="42">
        <f ca="1">IFERROR(Q365+Q378,"")</f>
        <v>0.29583333333333334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41" activePane="bottomLeft" state="frozen"/>
      <selection pane="bottomLeft" activeCell="P371" sqref="P37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100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419.99999999999994</v>
      </c>
      <c r="L378" s="37"/>
      <c r="M378" s="37"/>
      <c r="N378" s="37"/>
      <c r="O378" s="61"/>
      <c r="P378" s="61"/>
      <c r="Q378" s="38">
        <f ca="1">IFERROR(SUM(Q366:Q377),"")</f>
        <v>5.763888888888892E-2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296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1243.2</v>
      </c>
      <c r="L379" s="41"/>
      <c r="M379" s="41"/>
      <c r="N379" s="41"/>
      <c r="O379" s="63"/>
      <c r="P379" s="63"/>
      <c r="Q379" s="42">
        <f ca="1">IFERROR(Q365+Q378,"")</f>
        <v>0.1756944444444446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2026-08-15T04:05:37Z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