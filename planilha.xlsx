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113" documentId="8_{AF585B22-221D-4780-BB9C-493D365A6A02}" xr6:coauthVersionLast="47" xr6:coauthVersionMax="47" xr10:uidLastSave="{F46BCFDE-D7DA-428A-8E7C-9C781ADAF1F5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<sst xmlns="http://schemas.openxmlformats.org/spreadsheetml/2006/main" count="3117" uniqueCount="255">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</sst>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2" zoomScale="85" zoomScaleNormal="85" workbookViewId="0">
      <selection activeCell="K58" sqref="K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7" activePane="bottomLeft" state="frozen"/>
      <selection pane="bottomLeft" activeCell="F160" sqref="F16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/>
      <c r="M151" s="35">
        <f t="shared" ca="1" si="34"/>
        <v>2.8205671296746004E-2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203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203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279</v>
      </c>
      <c r="G162" s="36">
        <f>SUM(G150:G161)</f>
        <v>1395</v>
      </c>
      <c r="H162" s="37"/>
      <c r="I162" s="37"/>
      <c r="J162" s="37"/>
      <c r="K162" s="37"/>
      <c r="L162" s="37"/>
      <c r="M162" s="38">
        <f ca="1">IFERROR(SUM(M150:M161),"")</f>
        <v>3.1677893518968242E-2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358</v>
      </c>
      <c r="G163" s="40">
        <f>G149+G162</f>
        <v>1790</v>
      </c>
      <c r="H163" s="41"/>
      <c r="I163" s="41"/>
      <c r="J163" s="41"/>
      <c r="K163" s="41"/>
      <c r="L163" s="41"/>
      <c r="M163" s="42">
        <f ca="1">IFERROR(M149+M162,"")</f>
        <v>0.24834456018563469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I151" sqref="I1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229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/>
      <c r="K151" s="29">
        <v>0.20833333333333334</v>
      </c>
      <c r="L151" s="29"/>
      <c r="M151" s="35">
        <f t="shared" ca="1" si="34"/>
        <v>1.0844560179975815E-2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3.3066782402197958E-2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0.24417789351330904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F160" sqref="F1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238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80</v>
      </c>
      <c r="G162" s="36">
        <f>SUM(G150:G161)</f>
        <v>350.4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198</v>
      </c>
      <c r="G163" s="40">
        <f>G149+G162</f>
        <v>940.4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60" sqref="F16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243</v>
      </c>
      <c r="L58" s="29">
        <v>0.54097222222222219</v>
      </c>
      <c r="M58" s="30" t="str">
        <f t="shared" ca="1" si="13"/>
        <v/>
      </c>
      <c r="N58" s="27" t="s">
        <v>244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0.96987233796244254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1.1691778935179982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1.5365390046291092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150</v>
      </c>
      <c r="G162" s="36">
        <f>SUM(G150:G161)</f>
        <v>654.00000000000011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371</v>
      </c>
      <c r="G163" s="40">
        <f>G149+G162</f>
        <v>1759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2026-07-07T09:16:04Z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