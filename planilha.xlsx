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37" documentId="13_ncr:1_{A6DBCFB4-28D9-4249-9038-216934055CA6}" xr6:coauthVersionLast="47" xr6:coauthVersionMax="47" xr10:uidLastSave="{48044B85-05D1-4B82-9D44-D6868E01A24F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<sst xmlns="http://schemas.openxmlformats.org/spreadsheetml/2006/main" count="9679" uniqueCount="419">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</sst>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8" sqref="J55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40</v>
      </c>
      <c r="G581" s="2">
        <f>SUM(G569:G580)</f>
        <v>200</v>
      </c>
      <c r="H581" s="72"/>
      <c r="I581" s="72"/>
      <c r="J581" s="72"/>
      <c r="K581" s="72"/>
      <c r="L581" s="72"/>
      <c r="M581" s="73">
        <f ca="1">IFERROR(SUM(M569:M580),"")</f>
        <v>1.041666666666663E-2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40</v>
      </c>
      <c r="G595" s="1">
        <f>G581+G594</f>
        <v>200</v>
      </c>
      <c r="H595" s="76"/>
      <c r="I595" s="76"/>
      <c r="J595" s="76"/>
      <c r="K595" s="76"/>
      <c r="L595" s="76"/>
      <c r="M595" s="77">
        <f ca="1">IFERROR(M581+M594,"")</f>
        <v>1.041666666666663E-2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E580" sqref="E58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0.25488923610828351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0.39377812499717124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0.47850034721939405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N569" sqref="N569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/>
      <c r="Q569" s="71">
        <f t="shared" ref="Q569:Q580" ca="1" si="145">IFERROR(IF(O569="","",IF(P569="",MOD(NOW()-O569,1),IF(P569&gt;=O569,P569-O569,P569+1-O569))),"")</f>
        <v>4.8892361082835123E-3</v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18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75.600000000000009</v>
      </c>
      <c r="L581" s="72"/>
      <c r="M581" s="72"/>
      <c r="N581" s="72"/>
      <c r="O581" s="72"/>
      <c r="P581" s="72"/>
      <c r="Q581" s="73">
        <f ca="1">IFERROR(SUM(Q569:Q580),"")</f>
        <v>4.8892361082835123E-3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18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75.600000000000009</v>
      </c>
      <c r="L595" s="76"/>
      <c r="M595" s="76"/>
      <c r="N595" s="76"/>
      <c r="O595" s="76"/>
      <c r="P595" s="76"/>
      <c r="Q595" s="77">
        <f ca="1">IFERROR(Q581+Q594,"")</f>
        <v>4.8892361082835123E-3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R572" sqref="R57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402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17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71.400000000000006</v>
      </c>
      <c r="L581" s="72"/>
      <c r="M581" s="72"/>
      <c r="N581" s="72"/>
      <c r="O581" s="134"/>
      <c r="P581" s="134"/>
      <c r="Q581" s="73">
        <f ca="1">IFERROR(SUM(Q569:Q580),"")</f>
        <v>5.1388888888888928E-2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71.400000000000006</v>
      </c>
      <c r="L595" s="76"/>
      <c r="M595" s="76"/>
      <c r="N595" s="76"/>
      <c r="O595" s="135"/>
      <c r="P595" s="135"/>
      <c r="Q595" s="77">
        <f ca="1">IFERROR(Q581+Q594,"")</f>
        <v>5.1388888888888928E-2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2026-08-22T13:02:18Z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