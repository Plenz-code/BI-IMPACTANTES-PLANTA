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961" documentId="8_{AF585B22-221D-4780-BB9C-493D365A6A02}" xr6:coauthVersionLast="47" xr6:coauthVersionMax="47" xr10:uidLastSave="{83F77724-CBB4-49C6-B4C4-4B68B1A340C6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<sst xmlns="http://schemas.openxmlformats.org/spreadsheetml/2006/main" count="7845" uniqueCount="352">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</sst>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72" activePane="bottomLeft" state="frozen"/>
      <selection pane="bottomLeft" activeCell="F496" sqref="F49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35</v>
      </c>
      <c r="G495" s="34">
        <f t="shared" si="108"/>
        <v>147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126</v>
      </c>
      <c r="G500" s="36">
        <f>SUM(G488:G499)</f>
        <v>529.20000000000005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126</v>
      </c>
      <c r="G514" s="40">
        <f>G500+G513</f>
        <v>529.20000000000005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63" activePane="bottomLeft" state="frozen"/>
      <selection pane="bottomLeft" activeCell="F496" sqref="F4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0.38920972221967531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0.5468486111085642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0.65657083333078636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0.36768194444448454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0.53851527777781794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0.68365416666670686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88</v>
      </c>
      <c r="G500" s="36">
        <f>SUM(G488:G499)</f>
        <v>414.4</v>
      </c>
      <c r="H500" s="37"/>
      <c r="I500" s="37"/>
      <c r="J500" s="37"/>
      <c r="K500" s="37"/>
      <c r="L500" s="37"/>
      <c r="M500" s="38">
        <f ca="1">IFERROR(SUM(M488:M499),"")</f>
        <v>7.430555555555568E-2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88</v>
      </c>
      <c r="G514" s="40">
        <f>G500+G513</f>
        <v>414.4</v>
      </c>
      <c r="H514" s="41"/>
      <c r="I514" s="41"/>
      <c r="J514" s="41"/>
      <c r="K514" s="41"/>
      <c r="L514" s="41"/>
      <c r="M514" s="42">
        <f ca="1">IFERROR(M500+M513,"")</f>
        <v>7.430555555555568E-2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6" sqref="F4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35</v>
      </c>
      <c r="G500" s="36">
        <f>SUM(G488:G499)</f>
        <v>168.6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35</v>
      </c>
      <c r="G514" s="40">
        <f>G500+G513</f>
        <v>168.6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F496" sqref="F49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0.37948750000214204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0.57879305555769767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0.94615416666880869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325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/>
      <c r="M491" s="35">
        <f ca="1">IFERROR(IF(K491="","",IF(L491="",MOD(NOW()-K491,1),IF(L491&gt;=K491,L491-K491,L491+1-K491))),"")</f>
        <v>1.7681944445939735E-2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107</v>
      </c>
      <c r="G500" s="36">
        <f>SUM(G488:G499)</f>
        <v>512.6</v>
      </c>
      <c r="H500" s="37"/>
      <c r="I500" s="37"/>
      <c r="J500" s="37"/>
      <c r="K500" s="61"/>
      <c r="L500" s="61"/>
      <c r="M500" s="38">
        <f ca="1">IFERROR(SUM(M488:M499),"")</f>
        <v>3.9209722223717491E-2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107</v>
      </c>
      <c r="G514" s="40">
        <f>G500+G513</f>
        <v>512.6</v>
      </c>
      <c r="H514" s="41"/>
      <c r="I514" s="41"/>
      <c r="J514" s="41"/>
      <c r="K514" s="63"/>
      <c r="L514" s="63"/>
      <c r="M514" s="42">
        <f ca="1">IFERROR(M500+M513,"")</f>
        <v>3.9209722223717491E-2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2026-07-19T19:05:29Z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