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18" documentId="8_{C51EB6CB-002B-4D6B-B68F-DDEBDB4460C0}" xr6:coauthVersionLast="47" xr6:coauthVersionMax="47" xr10:uidLastSave="{540CE171-19FB-4F50-B48C-99B9CAF744E6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<sst xmlns="http://schemas.openxmlformats.org/spreadsheetml/2006/main" count="3862" uniqueCount="293">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</sst>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77" sqref="F17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402</v>
      </c>
      <c r="G190" s="40">
        <f>G176+G189</f>
        <v>2010</v>
      </c>
      <c r="H190" s="41"/>
      <c r="I190" s="41"/>
      <c r="J190" s="41"/>
      <c r="K190" s="41"/>
      <c r="L190" s="41"/>
      <c r="M190" s="42">
        <f ca="1">IFERROR(M176+M189,"")</f>
        <v>8.0555555555555547E-2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N178" sqref="N1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248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248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248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248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0.69192662036948605</v>
      </c>
      <c r="N53" s="46" t="s">
        <v>257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0.83081550925837488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0.91553773148059725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248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248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248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259</v>
      </c>
      <c r="E83" s="59" t="s">
        <v>248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260</v>
      </c>
      <c r="M96" s="30" t="str">
        <f t="shared" ref="M96:M107" ca="1" si="22">IFERROR(IF(K96="","",IF(L96="",MOD(NOW()-K96,1),IF(L96&gt;=K96,L96-K96,L96+1-K96))),"")</f>
        <v/>
      </c>
      <c r="N96" s="46" t="s">
        <v>261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248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248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248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248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248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248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248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248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248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248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248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248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248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248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248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248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248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248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/>
      <c r="G177" s="34" t="str">
        <f t="shared" ref="G177:G188" si="39">IF(F177="","",IF(E177="PC 17",F177*4.2,IF(E177="PC 19",F177*5,IF(E177="CB",F177*24,""))))</f>
        <v/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2.1787731486256234E-2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248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2.1787731486256234E-2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69</v>
      </c>
      <c r="G190" s="40">
        <f>G176+G189</f>
        <v>289.8</v>
      </c>
      <c r="H190" s="41"/>
      <c r="I190" s="41"/>
      <c r="J190" s="41"/>
      <c r="K190" s="41"/>
      <c r="L190" s="41"/>
      <c r="M190" s="42">
        <f ca="1">IFERROR(M176+M189,"")</f>
        <v>0.10442662037514516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57" zoomScale="50" zoomScaleNormal="50" workbookViewId="0">
      <selection activeCell="J177" sqref="J1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248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248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248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248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/>
      <c r="G177" s="34" t="str">
        <f t="shared" ref="G177:G188" si="39">IF(F177="","",IF(E177="PC 17",F177*4.2,IF(E177="PC 19",F177*5,IF(E177="CB",F177*24,""))))</f>
        <v/>
      </c>
      <c r="H177" s="33" t="s">
        <v>19</v>
      </c>
      <c r="I177" s="33" t="s">
        <v>47</v>
      </c>
      <c r="J177" s="33" t="s">
        <v>35</v>
      </c>
      <c r="K177" s="29">
        <v>0.8125</v>
      </c>
      <c r="L177" s="29"/>
      <c r="M177" s="35">
        <f t="shared" ref="M177:M188" ca="1" si="40">IFERROR(IF(K177="","",IF(L177="",MOD(NOW()-K177,1),IF(L177&gt;=K177,L177-K177,L177+1-K177))),"")</f>
        <v>9.5439815049758181E-4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9.5439815049758181E-4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65</v>
      </c>
      <c r="G190" s="40">
        <f>G176+G189</f>
        <v>273</v>
      </c>
      <c r="H190" s="41"/>
      <c r="I190" s="41"/>
      <c r="J190" s="41"/>
      <c r="K190" s="41"/>
      <c r="L190" s="41"/>
      <c r="M190" s="42">
        <f ca="1">IFERROR(M176+M189,"")</f>
        <v>8.5676620372719836E-2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77" sqref="F1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680.4</v>
      </c>
      <c r="H190" s="41"/>
      <c r="I190" s="41"/>
      <c r="J190" s="41"/>
      <c r="K190" s="63"/>
      <c r="L190" s="63"/>
      <c r="M190" s="42">
        <f ca="1">IFERROR(M176+M189,"")</f>
        <v>0.13263888888888897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2026-08-07T23:31:31Z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