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99" documentId="8_{AF585B22-221D-4780-BB9C-493D365A6A02}" xr6:coauthVersionLast="47" xr6:coauthVersionMax="47" xr10:uidLastSave="{3057B16F-FA8C-41D7-91E9-ED42A15F487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<sst xmlns="http://schemas.openxmlformats.org/spreadsheetml/2006/main" count="3964" uniqueCount="275">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</sst>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97" activePane="bottomLeft" state="frozen"/>
      <selection pane="bottomLeft" activeCell="F226" sqref="F2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25</v>
      </c>
      <c r="G225" s="34">
        <f t="shared" si="48"/>
        <v>125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138</v>
      </c>
      <c r="G230" s="36">
        <f>SUM(G218:G229)</f>
        <v>690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138</v>
      </c>
      <c r="G244" s="40">
        <f>G230+G243</f>
        <v>690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6" sqref="F2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105</v>
      </c>
      <c r="G230" s="36">
        <f>SUM(G218:G229)</f>
        <v>441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105</v>
      </c>
      <c r="G244" s="40">
        <f>G230+G243</f>
        <v>441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25" sqref="F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/>
      <c r="M218" s="30">
        <f t="shared" ref="M218:M229" ca="1" si="49">IFERROR(IF(K218="","",IF(L218="",MOD(NOW()-K218,1),IF(L218&gt;=K218,L218-K218,L218+1-K218))),"")</f>
        <v>1.97674768496654E-2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1.97674768496654E-2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1.97674768496654E-2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23" sqref="K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0.40935081018687924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0.60865636574243487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0.9760174768535459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>
        <v>0.65625</v>
      </c>
      <c r="L222" s="29"/>
      <c r="M222" s="30">
        <f t="shared" ca="1" si="49"/>
        <v>2.406365740171168E-3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0.16560081018461575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0.16560081018461575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2026-07-09T19:49:01Z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