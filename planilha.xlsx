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89" documentId="8_{AF585B22-221D-4780-BB9C-493D365A6A02}" xr6:coauthVersionLast="47" xr6:coauthVersionMax="47" xr10:uidLastSave="{142868DA-6FF0-427F-9C30-C687F45D609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<sst xmlns="http://schemas.openxmlformats.org/spreadsheetml/2006/main" count="4177" uniqueCount="279">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</sst>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0" activePane="bottomLeft" state="frozen"/>
      <selection pane="bottomLeft" activeCell="F238" sqref="F2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200</v>
      </c>
      <c r="G243" s="36">
        <f>SUM(G231:G242)</f>
        <v>1000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438</v>
      </c>
      <c r="G244" s="40">
        <f>G230+G243</f>
        <v>2190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09" activePane="bottomLeft" state="frozen"/>
      <selection pane="bottomLeft" activeCell="E232" sqref="E2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132</v>
      </c>
      <c r="G243" s="36">
        <f>SUM(G231:G242)</f>
        <v>558.40000000000009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247</v>
      </c>
      <c r="G244" s="40">
        <f>G230+G243</f>
        <v>1041.4000000000001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E232" sqref="E2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101</v>
      </c>
      <c r="G243" s="36">
        <f>SUM(G231:G242)</f>
        <v>429.80000000000007</v>
      </c>
      <c r="H243" s="37"/>
      <c r="I243" s="37"/>
      <c r="J243" s="37"/>
      <c r="K243" s="37"/>
      <c r="L243" s="37"/>
      <c r="M243" s="38">
        <f ca="1">IFERROR(SUM(M231:M242),"")</f>
        <v>4.2361111111111113E-2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203</v>
      </c>
      <c r="G244" s="40">
        <f>G230+G243</f>
        <v>858.2</v>
      </c>
      <c r="H244" s="41"/>
      <c r="I244" s="41"/>
      <c r="J244" s="41"/>
      <c r="K244" s="41"/>
      <c r="L244" s="41"/>
      <c r="M244" s="42">
        <f ca="1">IFERROR(M230+M243,"")</f>
        <v>7.7777777777777876E-2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E232" sqref="E23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0.94733715277834563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1.1466427083339013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1.5140038194450123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134.4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149</v>
      </c>
      <c r="G243" s="36">
        <f>SUM(G231:G242)</f>
        <v>642.6</v>
      </c>
      <c r="H243" s="37"/>
      <c r="I243" s="37"/>
      <c r="J243" s="37"/>
      <c r="K243" s="61"/>
      <c r="L243" s="61"/>
      <c r="M243" s="38">
        <f ca="1">IFERROR(SUM(M231:M242),"")</f>
        <v>0.13611111111111102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267</v>
      </c>
      <c r="G244" s="40">
        <f>G230+G243</f>
        <v>1138.2</v>
      </c>
      <c r="H244" s="41"/>
      <c r="I244" s="41"/>
      <c r="J244" s="41"/>
      <c r="K244" s="63"/>
      <c r="L244" s="63"/>
      <c r="M244" s="42">
        <f ca="1">IFERROR(M230+M243,"")</f>
        <v>0.33263888888888893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2026-07-10T08:43:40Z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