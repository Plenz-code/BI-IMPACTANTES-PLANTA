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101" documentId="8_{C51EB6CB-002B-4D6B-B68F-DDEBDB4460C0}" xr6:coauthVersionLast="47" xr6:coauthVersionMax="47" xr10:uidLastSave="{60081EBA-E245-4E31-BE0F-182CB2B0784E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<sst xmlns="http://schemas.openxmlformats.org/spreadsheetml/2006/main" count="5076" uniqueCount="323">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</sst>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5" t="s">
        <v>0</v>
      </c>
      <c r="B1" s="115"/>
      <c r="C1" s="115"/>
      <c r="D1" s="115"/>
      <c r="E1" s="115"/>
      <c r="F1" s="115"/>
      <c r="G1" s="115"/>
    </row>
    <row r="2" spans="1:7" ht="24.75" customHeight="1">
      <c r="A2" s="116"/>
      <c r="B2" s="11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2149680</v>
      </c>
      <c r="D13" s="11">
        <f>IFERROR('Linha 1'!O271,"")</f>
        <v>898190</v>
      </c>
      <c r="E13" s="11">
        <f>IFERROR('Linha 2'!O271,"")</f>
        <v>549440</v>
      </c>
      <c r="F13" s="11">
        <f>IFERROR('Linha 3'!O271,"")</f>
        <v>803560</v>
      </c>
      <c r="G13" s="12">
        <f t="shared" si="0"/>
        <v>2251190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7" t="s">
        <v>9</v>
      </c>
      <c r="B35" s="117"/>
      <c r="C35" s="13">
        <f>IFERROR(SUM(C4:C34),"")</f>
        <v>32587190</v>
      </c>
      <c r="D35" s="13">
        <f>IFERROR(SUM(D4:D34),"")</f>
        <v>10551290</v>
      </c>
      <c r="E35" s="13">
        <f>IFERROR(SUM(E4:E34),"")</f>
        <v>5109380</v>
      </c>
      <c r="F35" s="13">
        <f>IFERROR(SUM(F4:F34),"")</f>
        <v>13202780</v>
      </c>
      <c r="G35" s="13">
        <f>IFERROR(SUM(G4:G34),"")</f>
        <v>28863450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8" t="s">
        <v>10</v>
      </c>
      <c r="B1" s="118"/>
      <c r="C1" s="118"/>
      <c r="D1" s="118"/>
      <c r="E1" s="118"/>
      <c r="F1" s="118"/>
      <c r="G1" s="118"/>
      <c r="H1" s="119"/>
      <c r="I1" s="120" t="s">
        <v>11</v>
      </c>
      <c r="J1" s="120"/>
      <c r="K1" s="120"/>
      <c r="L1" s="120"/>
      <c r="M1" s="120"/>
    </row>
    <row r="2" spans="1:13" ht="4.5" customHeight="1">
      <c r="H2" s="11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9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9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9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9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9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9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9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9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9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9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9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9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9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9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9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9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9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9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9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9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9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9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9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9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9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9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9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9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9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9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9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9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9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9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9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9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9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9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9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9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9"/>
      <c r="I58" s="16"/>
      <c r="J58" s="16"/>
      <c r="K58" s="16" t="s">
        <v>208</v>
      </c>
      <c r="L58" s="16"/>
      <c r="M58" s="16"/>
    </row>
    <row r="59" spans="1:13" ht="15" customHeight="1">
      <c r="H59" s="119"/>
      <c r="I59" s="17"/>
      <c r="J59" s="17"/>
      <c r="K59" s="17" t="s">
        <v>209</v>
      </c>
      <c r="L59" s="17"/>
      <c r="M59" s="17"/>
    </row>
    <row r="60" spans="1:13" ht="15" customHeight="1">
      <c r="H60" s="119"/>
      <c r="I60" s="16"/>
      <c r="J60" s="16"/>
      <c r="K60" s="86" t="s">
        <v>105</v>
      </c>
      <c r="L60" s="16"/>
      <c r="M60" s="16"/>
    </row>
    <row r="61" spans="1:13" ht="15" customHeight="1">
      <c r="H61" s="119"/>
      <c r="I61" s="17"/>
      <c r="J61" s="17"/>
      <c r="K61" s="17" t="s">
        <v>210</v>
      </c>
      <c r="L61" s="17"/>
      <c r="M61" s="17"/>
    </row>
    <row r="62" spans="1:13" ht="15" customHeight="1">
      <c r="H62" s="119"/>
      <c r="I62" s="16"/>
      <c r="J62" s="16"/>
      <c r="K62" s="16" t="s">
        <v>211</v>
      </c>
      <c r="L62" s="16"/>
      <c r="M62" s="16"/>
    </row>
    <row r="63" spans="1:13" ht="15" customHeight="1">
      <c r="H63" s="119"/>
      <c r="I63" s="17"/>
      <c r="J63" s="17"/>
      <c r="K63" s="17" t="s">
        <v>212</v>
      </c>
      <c r="L63" s="17"/>
      <c r="M63" s="17"/>
    </row>
    <row r="64" spans="1:13" ht="15" customHeight="1">
      <c r="H64" s="119"/>
      <c r="I64" s="16"/>
      <c r="J64" s="16"/>
      <c r="K64" s="16" t="s">
        <v>213</v>
      </c>
      <c r="L64" s="16"/>
      <c r="M64" s="16"/>
    </row>
    <row r="65" spans="8:13" ht="15" customHeight="1">
      <c r="H65" s="119"/>
      <c r="I65" s="17"/>
      <c r="J65" s="17"/>
      <c r="K65" s="17" t="s">
        <v>214</v>
      </c>
      <c r="L65" s="17"/>
      <c r="M65" s="17"/>
    </row>
    <row r="66" spans="8:13" ht="15" customHeight="1">
      <c r="H66" s="119"/>
      <c r="I66" s="16"/>
      <c r="J66" s="16"/>
      <c r="K66" s="16" t="s">
        <v>215</v>
      </c>
      <c r="L66" s="16"/>
      <c r="M66" s="16"/>
    </row>
    <row r="67" spans="8:13" ht="15" customHeight="1">
      <c r="H67" s="119"/>
      <c r="I67" s="17"/>
      <c r="J67" s="17"/>
      <c r="K67" s="17" t="s">
        <v>216</v>
      </c>
      <c r="L67" s="17"/>
      <c r="M67" s="17"/>
    </row>
    <row r="68" spans="8:13" ht="15" customHeight="1">
      <c r="H68" s="119"/>
      <c r="I68" s="16"/>
      <c r="J68" s="16"/>
      <c r="K68" s="16" t="s">
        <v>217</v>
      </c>
      <c r="L68" s="16"/>
      <c r="M68" s="16"/>
    </row>
    <row r="69" spans="8:13" ht="15" customHeight="1">
      <c r="H69" s="119"/>
      <c r="I69" s="17"/>
      <c r="J69" s="17"/>
      <c r="K69" s="17" t="s">
        <v>218</v>
      </c>
      <c r="L69" s="17"/>
      <c r="M69" s="17"/>
    </row>
    <row r="70" spans="8:13" ht="15" customHeight="1">
      <c r="H70" s="119"/>
      <c r="I70" s="16"/>
      <c r="J70" s="16"/>
      <c r="K70" s="16" t="s">
        <v>219</v>
      </c>
      <c r="L70" s="16"/>
      <c r="M70" s="16"/>
    </row>
    <row r="71" spans="8:13" ht="15" customHeight="1">
      <c r="H71" s="119"/>
      <c r="I71" s="17"/>
      <c r="J71" s="17"/>
      <c r="K71" s="17" t="s">
        <v>220</v>
      </c>
      <c r="L71" s="17"/>
      <c r="M71" s="17"/>
    </row>
    <row r="72" spans="8:13" ht="15" customHeight="1">
      <c r="H72" s="119"/>
      <c r="I72" s="16"/>
      <c r="J72" s="16"/>
      <c r="K72" s="16" t="s">
        <v>221</v>
      </c>
      <c r="L72" s="16"/>
      <c r="M72" s="16"/>
    </row>
    <row r="73" spans="8:13" ht="15" customHeight="1">
      <c r="H73" s="119"/>
      <c r="I73" s="17"/>
      <c r="J73" s="17"/>
      <c r="K73" s="17" t="s">
        <v>222</v>
      </c>
      <c r="L73" s="17"/>
      <c r="M73" s="17"/>
    </row>
    <row r="74" spans="8:13" ht="15" customHeight="1">
      <c r="H74" s="119"/>
      <c r="I74" s="16"/>
      <c r="J74" s="16"/>
      <c r="K74" s="16" t="s">
        <v>223</v>
      </c>
      <c r="L74" s="16"/>
      <c r="M74" s="16"/>
    </row>
    <row r="75" spans="8:13" ht="15" customHeight="1">
      <c r="H75" s="11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1" activePane="bottomLeft" state="frozen"/>
      <selection pane="bottomLeft" activeCell="F258" sqref="F25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/>
      <c r="G258" s="34" t="str">
        <f t="shared" ref="G258:G269" si="57">IF(F258="","",IF(E258="PC 17",F258*4.2,IF(E258="PC 19",F258*5,IF(E258="CB",F258*35,""))))</f>
        <v/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/>
      <c r="M258" s="30">
        <f t="shared" ref="M258:M269" ca="1" si="58">IFERROR(IF(K258="","",IF(L258="",MOD(NOW()-K258,1),IF(L258&gt;=K258,L258-K258,L258+1-K258))),"")</f>
        <v>4.1215277815354057E-3</v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4.1215277815354057E-3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284</v>
      </c>
      <c r="G271" s="40">
        <f>G257+G270</f>
        <v>1420</v>
      </c>
      <c r="H271" s="41"/>
      <c r="I271" s="41"/>
      <c r="J271" s="41"/>
      <c r="K271" s="41"/>
      <c r="L271" s="41"/>
      <c r="M271" s="42">
        <f ca="1">IFERROR(M257+M270,"")</f>
        <v>5.9677083337090986E-2</v>
      </c>
      <c r="N271" s="40" t="s">
        <v>240</v>
      </c>
      <c r="O271" s="48">
        <f>IFERROR(O257+O270,"")</f>
        <v>2149680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2" t="s">
        <v>239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42" activePane="bottomLeft" state="frozen"/>
      <selection pane="bottomLeft" activeCell="E269" sqref="E26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0.6791216435158276</v>
      </c>
      <c r="N53" s="46" t="s">
        <v>264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0.81801053240471644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0.9027327546269388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266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267</v>
      </c>
      <c r="M96" s="30" t="str">
        <f t="shared" ref="M96:M107" ca="1" si="22">IFERROR(IF(K96="","",IF(L96="",MOD(NOW()-K96,1),IF(L96&gt;=K96,L96-K96,L96+1-K96))),"")</f>
        <v/>
      </c>
      <c r="N96" s="46" t="s">
        <v>268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276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277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278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271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265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279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280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281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77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183</v>
      </c>
      <c r="G271" s="40">
        <f>G257+G270</f>
        <v>825.4</v>
      </c>
      <c r="H271" s="41"/>
      <c r="I271" s="41"/>
      <c r="J271" s="41"/>
      <c r="K271" s="41"/>
      <c r="L271" s="41"/>
      <c r="M271" s="42">
        <f ca="1">IFERROR(M257+M270,"")</f>
        <v>2.7083333333333404E-2</v>
      </c>
      <c r="N271" s="40" t="s">
        <v>240</v>
      </c>
      <c r="O271" s="83">
        <f>IFERROR(O257+O270,"")</f>
        <v>898190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35" zoomScale="50" zoomScaleNormal="50" workbookViewId="0">
      <selection activeCell="F258" sqref="F25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265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277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293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295</v>
      </c>
      <c r="M222" s="30" t="str">
        <f t="shared" ca="1" si="49"/>
        <v/>
      </c>
      <c r="N222" s="27" t="s">
        <v>296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297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/>
      <c r="G259" s="28" t="str">
        <f>IF(F259="","",IF(E260="PC 17",F259*4.2,IF(E260="PC 19",F259*5,IF(E260="CB",F259*24,""))))</f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/>
      <c r="G260" s="34" t="str">
        <f>IF(F260="","",IF(#REF!="PC 17",F260*4.2,IF(#REF!="PC 19",F260*5,IF(#REF!="CB",F260*24,""))))</f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/>
      <c r="G262" s="34" t="str">
        <f>IF(F262="","",IF(E263="PC 17",F262*4.2,IF(E263="PC 19",F262*5,IF(E263="CB",F262*24,""))))</f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/>
      <c r="G263" s="28" t="str">
        <f>IF(F263="","",IF(#REF!="PC 17",F263*4.2,IF(#REF!="PC 19",F263*5,IF(#REF!="CB",F263*24,""))))</f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113</v>
      </c>
      <c r="G271" s="40">
        <f>G257+G270</f>
        <v>512.20000000000005</v>
      </c>
      <c r="H271" s="41"/>
      <c r="I271" s="41"/>
      <c r="J271" s="41"/>
      <c r="K271" s="41"/>
      <c r="L271" s="41"/>
      <c r="M271" s="42">
        <f ca="1">IFERROR(M257+M270,"")</f>
        <v>6.1111111111111172E-2</v>
      </c>
      <c r="N271" s="40" t="s">
        <v>240</v>
      </c>
      <c r="O271" s="48">
        <f>IFERROR(O257+O270,"")</f>
        <v>549440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34" activePane="bottomLeft" state="frozen"/>
      <selection pane="bottomLeft" activeCell="F258" sqref="F25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311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312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313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314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315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316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317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318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319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320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321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322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289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/>
      <c r="G258" s="34" t="str">
        <f t="shared" ref="G258:G269" si="57">IF(F258="","",IF(E258="PC 17",F258*4.2,IF(E258="PC 19",F258*5,IF(E258="CB",F258*24,""))))</f>
        <v/>
      </c>
      <c r="H258" s="26" t="s">
        <v>20</v>
      </c>
      <c r="I258" s="26" t="s">
        <v>52</v>
      </c>
      <c r="J258" s="26" t="s">
        <v>56</v>
      </c>
      <c r="K258" s="29">
        <v>0.79722222222222228</v>
      </c>
      <c r="L258" s="29"/>
      <c r="M258" s="35">
        <f t="shared" ref="M258:M269" ca="1" si="58">IFERROR(IF(K258="","",IF(L258="",MOD(NOW()-K258,1),IF(L258&gt;=K258,L258-K258,L258+1-K258))),"")</f>
        <v>3.42708333482733E-3</v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3.42708333482733E-3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182</v>
      </c>
      <c r="G271" s="40">
        <f>G257+G270</f>
        <v>822.80000000000007</v>
      </c>
      <c r="H271" s="41"/>
      <c r="I271" s="41"/>
      <c r="J271" s="41"/>
      <c r="K271" s="63"/>
      <c r="L271" s="63"/>
      <c r="M271" s="42">
        <f ca="1">IFERROR(M257+M270,"")</f>
        <v>9.509375000149406E-2</v>
      </c>
      <c r="N271" s="40" t="s">
        <v>240</v>
      </c>
      <c r="O271" s="48">
        <f>IFERROR(O257+O270,"")</f>
        <v>803560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2026-08-10T23:13:16Z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