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8" documentId="8_{C51EB6CB-002B-4D6B-B68F-DDEBDB4460C0}" xr6:coauthVersionLast="47" xr6:coauthVersionMax="47" xr10:uidLastSave="{EAC92EB7-6CEC-4854-B1C7-9CC5692BDEAE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38" i="6" l="1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E811" i="3" s="1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G622" i="6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<sst xmlns="http://schemas.openxmlformats.org/spreadsheetml/2006/main" count="1196" uniqueCount="236">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</sst>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 x14ac:dyDescent="0.25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07" t="s">
        <v>9</v>
      </c>
      <c r="B35" s="107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 x14ac:dyDescent="0.25">
      <c r="H2" s="10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09"/>
      <c r="I56" s="16"/>
      <c r="J56" s="16"/>
      <c r="K56" s="16" t="s">
        <v>202</v>
      </c>
      <c r="L56" s="16"/>
      <c r="M56" s="16"/>
    </row>
    <row r="57" spans="1:13" ht="15" customHeight="1" x14ac:dyDescent="0.25">
      <c r="H57" s="109"/>
      <c r="I57" s="17"/>
      <c r="J57" s="17"/>
      <c r="K57" s="17" t="s">
        <v>50</v>
      </c>
      <c r="L57" s="17"/>
      <c r="M57" s="17"/>
    </row>
    <row r="58" spans="1:13" ht="15" customHeight="1" x14ac:dyDescent="0.25">
      <c r="H58" s="109"/>
      <c r="I58" s="16"/>
      <c r="J58" s="16"/>
      <c r="K58" s="16" t="s">
        <v>203</v>
      </c>
      <c r="L58" s="16"/>
      <c r="M58" s="16"/>
    </row>
    <row r="59" spans="1:13" ht="15" customHeight="1" x14ac:dyDescent="0.25">
      <c r="H59" s="109"/>
      <c r="I59" s="17"/>
      <c r="J59" s="17"/>
      <c r="K59" s="17" t="s">
        <v>204</v>
      </c>
      <c r="L59" s="17"/>
      <c r="M59" s="17"/>
    </row>
    <row r="60" spans="1:13" ht="15" customHeight="1" x14ac:dyDescent="0.25">
      <c r="H60" s="109"/>
      <c r="I60" s="16"/>
      <c r="J60" s="16"/>
      <c r="K60" s="86" t="s">
        <v>105</v>
      </c>
      <c r="L60" s="16"/>
      <c r="M60" s="16"/>
    </row>
    <row r="61" spans="1:13" ht="15" customHeight="1" x14ac:dyDescent="0.25">
      <c r="H61" s="109"/>
      <c r="I61" s="17"/>
      <c r="J61" s="17"/>
      <c r="K61" s="17" t="s">
        <v>205</v>
      </c>
      <c r="L61" s="17"/>
      <c r="M61" s="17"/>
    </row>
    <row r="62" spans="1:13" ht="15" customHeight="1" x14ac:dyDescent="0.25">
      <c r="H62" s="109"/>
      <c r="I62" s="16"/>
      <c r="J62" s="16"/>
      <c r="K62" s="16" t="s">
        <v>206</v>
      </c>
      <c r="L62" s="16"/>
      <c r="M62" s="16"/>
    </row>
    <row r="63" spans="1:13" ht="15" customHeight="1" x14ac:dyDescent="0.25">
      <c r="H63" s="109"/>
      <c r="I63" s="17"/>
      <c r="J63" s="17"/>
      <c r="K63" s="17" t="s">
        <v>207</v>
      </c>
      <c r="L63" s="17"/>
      <c r="M63" s="17"/>
    </row>
    <row r="64" spans="1:13" ht="15" customHeight="1" x14ac:dyDescent="0.25">
      <c r="H64" s="109"/>
      <c r="I64" s="16"/>
      <c r="J64" s="16"/>
      <c r="K64" s="16" t="s">
        <v>208</v>
      </c>
      <c r="L64" s="16"/>
      <c r="M64" s="16"/>
    </row>
    <row r="65" spans="8:13" ht="15" customHeight="1" x14ac:dyDescent="0.25">
      <c r="H65" s="109"/>
      <c r="I65" s="17"/>
      <c r="J65" s="17"/>
      <c r="K65" s="17" t="s">
        <v>209</v>
      </c>
      <c r="L65" s="17"/>
      <c r="M65" s="17"/>
    </row>
    <row r="66" spans="8:13" ht="15" customHeight="1" x14ac:dyDescent="0.25">
      <c r="H66" s="109"/>
      <c r="I66" s="16"/>
      <c r="J66" s="16"/>
      <c r="K66" s="16" t="s">
        <v>210</v>
      </c>
      <c r="L66" s="16"/>
      <c r="M66" s="16"/>
    </row>
    <row r="67" spans="8:13" ht="15" customHeight="1" x14ac:dyDescent="0.25">
      <c r="H67" s="109"/>
      <c r="I67" s="17"/>
      <c r="J67" s="17"/>
      <c r="K67" s="17" t="s">
        <v>211</v>
      </c>
      <c r="L67" s="17"/>
      <c r="M67" s="17"/>
    </row>
    <row r="68" spans="8:13" ht="15" customHeight="1" x14ac:dyDescent="0.25">
      <c r="H68" s="109"/>
      <c r="I68" s="16"/>
      <c r="J68" s="16"/>
      <c r="K68" s="16" t="s">
        <v>212</v>
      </c>
      <c r="L68" s="16"/>
      <c r="M68" s="16"/>
    </row>
    <row r="69" spans="8:13" ht="15" customHeight="1" x14ac:dyDescent="0.25">
      <c r="H69" s="109"/>
      <c r="I69" s="17"/>
      <c r="J69" s="17"/>
      <c r="K69" s="17" t="s">
        <v>213</v>
      </c>
      <c r="L69" s="17"/>
      <c r="M69" s="17"/>
    </row>
    <row r="70" spans="8:13" ht="15" customHeight="1" x14ac:dyDescent="0.25">
      <c r="H70" s="109"/>
      <c r="I70" s="16"/>
      <c r="J70" s="16"/>
      <c r="K70" s="16" t="s">
        <v>214</v>
      </c>
      <c r="L70" s="16"/>
      <c r="M70" s="16"/>
    </row>
    <row r="71" spans="8:13" ht="15" customHeight="1" x14ac:dyDescent="0.25">
      <c r="H71" s="109"/>
      <c r="I71" s="17"/>
      <c r="J71" s="17"/>
      <c r="K71" s="17" t="s">
        <v>215</v>
      </c>
      <c r="L71" s="17"/>
      <c r="M71" s="17"/>
    </row>
    <row r="72" spans="8:13" ht="15" customHeight="1" x14ac:dyDescent="0.25">
      <c r="H72" s="109"/>
      <c r="I72" s="16"/>
      <c r="J72" s="16"/>
      <c r="K72" s="16" t="s">
        <v>216</v>
      </c>
      <c r="L72" s="16"/>
      <c r="M72" s="16"/>
    </row>
    <row r="73" spans="8:13" ht="15" customHeight="1" x14ac:dyDescent="0.25">
      <c r="H73" s="109"/>
      <c r="I73" s="17"/>
      <c r="J73" s="17"/>
      <c r="K73" s="17"/>
      <c r="L73" s="17"/>
      <c r="M73" s="17"/>
    </row>
    <row r="74" spans="8:13" ht="15" customHeight="1" x14ac:dyDescent="0.25">
      <c r="H74" s="109"/>
      <c r="I74" s="16"/>
      <c r="J74" s="16"/>
      <c r="K74" s="16"/>
      <c r="L74" s="16"/>
      <c r="M74" s="16"/>
    </row>
    <row r="75" spans="8:13" ht="15" customHeight="1" x14ac:dyDescent="0.25">
      <c r="H75" s="10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0" activePane="bottomLeft" state="frozen"/>
      <selection pane="bottomLeft" activeCell="G615" sqref="G615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2" t="s">
        <v>228</v>
      </c>
      <c r="B14" s="103"/>
      <c r="C14" s="103"/>
      <c r="D14" s="103"/>
      <c r="E14" s="104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2" t="s">
        <v>230</v>
      </c>
      <c r="B27" s="103"/>
      <c r="C27" s="103"/>
      <c r="D27" s="103"/>
      <c r="E27" s="104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99" t="s">
        <v>231</v>
      </c>
      <c r="B28" s="100"/>
      <c r="C28" s="100"/>
      <c r="D28" s="100"/>
      <c r="E28" s="101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>
        <v>3.3333333333333333E-2</v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229</v>
      </c>
      <c r="O540" s="39"/>
    </row>
    <row r="541" spans="1:15" ht="18" customHeight="1" x14ac:dyDescent="0.2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3.3333333333333333E-2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59" t="s">
        <v>227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2" t="s">
        <v>228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2" t="s">
        <v>230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99" t="s">
        <v>231</v>
      </c>
      <c r="B838" s="100"/>
      <c r="C838" s="100"/>
      <c r="D838" s="100"/>
      <c r="E838" s="10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D29:D900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85" zoomScaleNormal="85" workbookViewId="0">
      <pane ySplit="1" topLeftCell="A767" activePane="bottomLeft" state="frozen"/>
      <selection pane="bottomLeft" activeCell="G615" sqref="G61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28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2" t="s">
        <v>228</v>
      </c>
      <c r="B14" s="103"/>
      <c r="C14" s="103"/>
      <c r="D14" s="103"/>
      <c r="E14" s="104"/>
      <c r="F14" s="36">
        <f>SUM(F2:F13)</f>
        <v>19</v>
      </c>
      <c r="G14" s="36">
        <f>SUM(G2:G13)</f>
        <v>79.800000000000011</v>
      </c>
      <c r="H14" s="37"/>
      <c r="I14" s="37"/>
      <c r="J14" s="37"/>
      <c r="K14" s="37"/>
      <c r="L14" s="37"/>
      <c r="M14" s="38">
        <f ca="1">IFERROR(SUM(M2:M13),"")</f>
        <v>7.2916666666666685E-2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2" t="s">
        <v>230</v>
      </c>
      <c r="B27" s="103"/>
      <c r="C27" s="103"/>
      <c r="D27" s="103"/>
      <c r="E27" s="104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99" t="s">
        <v>231</v>
      </c>
      <c r="B28" s="100"/>
      <c r="C28" s="100"/>
      <c r="D28" s="100"/>
      <c r="E28" s="101"/>
      <c r="F28" s="40">
        <f>F14+F27</f>
        <v>19</v>
      </c>
      <c r="G28" s="40">
        <f>G14+G27</f>
        <v>79.800000000000011</v>
      </c>
      <c r="H28" s="41"/>
      <c r="I28" s="41"/>
      <c r="J28" s="41"/>
      <c r="K28" s="41"/>
      <c r="L28" s="41"/>
      <c r="M28" s="42">
        <f ca="1">IFERROR(M14+M27,"")</f>
        <v>7.2916666666666685E-2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228</v>
      </c>
      <c r="B230" s="88"/>
      <c r="C230" s="88"/>
      <c r="D230" s="59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3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3" t="s">
        <v>231</v>
      </c>
      <c r="B514" s="91"/>
      <c r="C514" s="91"/>
      <c r="D514" s="91"/>
      <c r="E514" s="91"/>
      <c r="F514" s="40">
        <f>F500+F513</f>
        <v>0</v>
      </c>
      <c r="G514" s="98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2" t="s">
        <v>228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2" t="s">
        <v>230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99" t="s">
        <v>231</v>
      </c>
      <c r="B838" s="100"/>
      <c r="C838" s="100"/>
      <c r="D838" s="100"/>
      <c r="E838" s="10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8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38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D84:D900 D29:D82 E432:E433 E513:E514 D2:D13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85" zoomScaleNormal="85" workbookViewId="0">
      <selection activeCell="G382" sqref="G382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2" t="s">
        <v>228</v>
      </c>
      <c r="B14" s="103"/>
      <c r="C14" s="103"/>
      <c r="D14" s="103"/>
      <c r="E14" s="104"/>
      <c r="F14" s="36">
        <f>SUM(F2:F13)</f>
        <v>27</v>
      </c>
      <c r="G14" s="36">
        <f>SUM(G2:G13)</f>
        <v>113.4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2" t="s">
        <v>230</v>
      </c>
      <c r="B27" s="103"/>
      <c r="C27" s="103"/>
      <c r="D27" s="103"/>
      <c r="E27" s="104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99" t="s">
        <v>231</v>
      </c>
      <c r="B28" s="100"/>
      <c r="C28" s="100"/>
      <c r="D28" s="100"/>
      <c r="E28" s="101"/>
      <c r="F28" s="40">
        <f>F14+F27</f>
        <v>27</v>
      </c>
      <c r="G28" s="40">
        <f>G14+G27</f>
        <v>113.4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235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2" t="s">
        <v>228</v>
      </c>
      <c r="B338" s="103"/>
      <c r="C338" s="103"/>
      <c r="D338" s="103"/>
      <c r="E338" s="10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2" t="s">
        <v>228</v>
      </c>
      <c r="B365" s="103"/>
      <c r="C365" s="103"/>
      <c r="D365" s="103"/>
      <c r="E365" s="10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6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5" t="str">
        <f t="shared" ca="1" si="94"/>
        <v/>
      </c>
      <c r="N421" s="97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2" t="s">
        <v>228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2" t="s">
        <v>230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99" t="s">
        <v>231</v>
      </c>
      <c r="B838" s="100"/>
      <c r="C838" s="100"/>
      <c r="D838" s="100"/>
      <c r="E838" s="10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" activePane="bottomLeft" state="frozen"/>
      <selection pane="bottomLeft" activeCell="G327" sqref="G327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2" t="s">
        <v>228</v>
      </c>
      <c r="B14" s="103"/>
      <c r="C14" s="103"/>
      <c r="D14" s="103"/>
      <c r="E14" s="104"/>
      <c r="F14" s="36">
        <f>SUM(F2:F13)</f>
        <v>54</v>
      </c>
      <c r="G14" s="36">
        <f>SUM(G2:G13)</f>
        <v>226.8</v>
      </c>
      <c r="H14" s="37"/>
      <c r="I14" s="37"/>
      <c r="J14" s="37"/>
      <c r="K14" s="61"/>
      <c r="L14" s="61"/>
      <c r="M14" s="38">
        <f ca="1">IFERROR(SUM(M2:M13),"")</f>
        <v>2.777777777777779E-2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2" t="s">
        <v>230</v>
      </c>
      <c r="B27" s="103"/>
      <c r="C27" s="103"/>
      <c r="D27" s="103"/>
      <c r="E27" s="104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99" t="s">
        <v>231</v>
      </c>
      <c r="B28" s="100"/>
      <c r="C28" s="100"/>
      <c r="D28" s="100"/>
      <c r="E28" s="101"/>
      <c r="F28" s="40">
        <f>F14+F27</f>
        <v>54</v>
      </c>
      <c r="G28" s="40">
        <f>G14+G27</f>
        <v>226.8</v>
      </c>
      <c r="H28" s="41"/>
      <c r="I28" s="41"/>
      <c r="J28" s="41"/>
      <c r="K28" s="63"/>
      <c r="L28" s="63"/>
      <c r="M28" s="42">
        <f ca="1">IFERROR(M14+M27,"")</f>
        <v>2.777777777777779E-2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2" t="s">
        <v>228</v>
      </c>
      <c r="B41" s="103"/>
      <c r="C41" s="103"/>
      <c r="D41" s="103"/>
      <c r="E41" s="104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2" t="s">
        <v>230</v>
      </c>
      <c r="B54" s="103"/>
      <c r="C54" s="103"/>
      <c r="D54" s="103"/>
      <c r="E54" s="104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99" t="s">
        <v>231</v>
      </c>
      <c r="B55" s="100"/>
      <c r="C55" s="100"/>
      <c r="D55" s="100"/>
      <c r="E55" s="101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2" t="s">
        <v>228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2" t="s">
        <v>230</v>
      </c>
      <c r="B81" s="103"/>
      <c r="C81" s="103"/>
      <c r="D81" s="103"/>
      <c r="E81" s="10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99" t="s">
        <v>231</v>
      </c>
      <c r="B82" s="100"/>
      <c r="C82" s="100"/>
      <c r="D82" s="100"/>
      <c r="E82" s="101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2" t="s">
        <v>228</v>
      </c>
      <c r="B95" s="103"/>
      <c r="C95" s="103"/>
      <c r="D95" s="103"/>
      <c r="E95" s="10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2" t="s">
        <v>230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99" t="s">
        <v>231</v>
      </c>
      <c r="B109" s="100"/>
      <c r="C109" s="100"/>
      <c r="D109" s="100"/>
      <c r="E109" s="101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2" t="s">
        <v>228</v>
      </c>
      <c r="B122" s="103"/>
      <c r="C122" s="103"/>
      <c r="D122" s="103"/>
      <c r="E122" s="10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2" t="s">
        <v>230</v>
      </c>
      <c r="B135" s="103"/>
      <c r="C135" s="103"/>
      <c r="D135" s="103"/>
      <c r="E135" s="10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99" t="s">
        <v>231</v>
      </c>
      <c r="B136" s="100"/>
      <c r="C136" s="100"/>
      <c r="D136" s="100"/>
      <c r="E136" s="10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2" t="s">
        <v>228</v>
      </c>
      <c r="B149" s="103"/>
      <c r="C149" s="103"/>
      <c r="D149" s="103"/>
      <c r="E149" s="10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2" t="s">
        <v>230</v>
      </c>
      <c r="B162" s="103"/>
      <c r="C162" s="103"/>
      <c r="D162" s="103"/>
      <c r="E162" s="10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99" t="s">
        <v>231</v>
      </c>
      <c r="B163" s="100"/>
      <c r="C163" s="100"/>
      <c r="D163" s="100"/>
      <c r="E163" s="10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2" t="s">
        <v>228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2" t="s">
        <v>230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99" t="s">
        <v>231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2" t="s">
        <v>228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2" t="s">
        <v>230</v>
      </c>
      <c r="B216" s="103"/>
      <c r="C216" s="103"/>
      <c r="D216" s="103"/>
      <c r="E216" s="10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99" t="s">
        <v>231</v>
      </c>
      <c r="B217" s="100"/>
      <c r="C217" s="100"/>
      <c r="D217" s="100"/>
      <c r="E217" s="10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2" t="s">
        <v>228</v>
      </c>
      <c r="B230" s="103"/>
      <c r="C230" s="103"/>
      <c r="D230" s="103"/>
      <c r="E230" s="10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2" t="s">
        <v>230</v>
      </c>
      <c r="B243" s="103"/>
      <c r="C243" s="103"/>
      <c r="D243" s="103"/>
      <c r="E243" s="10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99" t="s">
        <v>231</v>
      </c>
      <c r="B244" s="100"/>
      <c r="C244" s="100"/>
      <c r="D244" s="100"/>
      <c r="E244" s="10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2" t="s">
        <v>228</v>
      </c>
      <c r="B257" s="103"/>
      <c r="C257" s="103"/>
      <c r="D257" s="103"/>
      <c r="E257" s="10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2" t="s">
        <v>230</v>
      </c>
      <c r="B270" s="103"/>
      <c r="C270" s="103"/>
      <c r="D270" s="103"/>
      <c r="E270" s="10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99" t="s">
        <v>231</v>
      </c>
      <c r="B271" s="100"/>
      <c r="C271" s="100"/>
      <c r="D271" s="100"/>
      <c r="E271" s="10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2" t="s">
        <v>228</v>
      </c>
      <c r="B284" s="103"/>
      <c r="C284" s="103"/>
      <c r="D284" s="103"/>
      <c r="E284" s="10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2" t="s">
        <v>230</v>
      </c>
      <c r="B297" s="103"/>
      <c r="C297" s="103"/>
      <c r="D297" s="103"/>
      <c r="E297" s="10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99" t="s">
        <v>231</v>
      </c>
      <c r="B298" s="100"/>
      <c r="C298" s="100"/>
      <c r="D298" s="100"/>
      <c r="E298" s="10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2" t="s">
        <v>228</v>
      </c>
      <c r="B311" s="103"/>
      <c r="C311" s="103"/>
      <c r="D311" s="103"/>
      <c r="E311" s="10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2" t="s">
        <v>230</v>
      </c>
      <c r="B324" s="103"/>
      <c r="C324" s="103"/>
      <c r="D324" s="103"/>
      <c r="E324" s="10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99" t="s">
        <v>231</v>
      </c>
      <c r="B325" s="100"/>
      <c r="C325" s="100"/>
      <c r="D325" s="100"/>
      <c r="E325" s="10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2" t="s">
        <v>228</v>
      </c>
      <c r="B338" s="103"/>
      <c r="C338" s="103"/>
      <c r="D338" s="103"/>
      <c r="E338" s="104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2" t="s">
        <v>230</v>
      </c>
      <c r="B351" s="103"/>
      <c r="C351" s="103"/>
      <c r="D351" s="103"/>
      <c r="E351" s="10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99" t="s">
        <v>231</v>
      </c>
      <c r="B352" s="100"/>
      <c r="C352" s="100"/>
      <c r="D352" s="100"/>
      <c r="E352" s="10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2" t="s">
        <v>230</v>
      </c>
      <c r="B378" s="103"/>
      <c r="C378" s="103"/>
      <c r="D378" s="103"/>
      <c r="E378" s="10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99" t="s">
        <v>231</v>
      </c>
      <c r="B379" s="100"/>
      <c r="C379" s="100"/>
      <c r="D379" s="100"/>
      <c r="E379" s="10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2" t="s">
        <v>228</v>
      </c>
      <c r="B392" s="103"/>
      <c r="C392" s="103"/>
      <c r="D392" s="103"/>
      <c r="E392" s="10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2" t="s">
        <v>230</v>
      </c>
      <c r="B405" s="103"/>
      <c r="C405" s="103"/>
      <c r="D405" s="103"/>
      <c r="E405" s="10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99" t="s">
        <v>231</v>
      </c>
      <c r="B406" s="100"/>
      <c r="C406" s="100"/>
      <c r="D406" s="100"/>
      <c r="E406" s="10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2" t="s">
        <v>228</v>
      </c>
      <c r="B419" s="103"/>
      <c r="C419" s="103"/>
      <c r="D419" s="103"/>
      <c r="E419" s="10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2" t="s">
        <v>230</v>
      </c>
      <c r="B432" s="103"/>
      <c r="C432" s="103"/>
      <c r="D432" s="103"/>
      <c r="E432" s="10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99" t="s">
        <v>231</v>
      </c>
      <c r="B433" s="100"/>
      <c r="C433" s="100"/>
      <c r="D433" s="100"/>
      <c r="E433" s="10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2" t="s">
        <v>228</v>
      </c>
      <c r="B446" s="103"/>
      <c r="C446" s="103"/>
      <c r="D446" s="103"/>
      <c r="E446" s="10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>
        <v>59</v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2" t="s">
        <v>230</v>
      </c>
      <c r="B459" s="103"/>
      <c r="C459" s="103"/>
      <c r="D459" s="103"/>
      <c r="E459" s="104">
        <f>SUM(E447:E458)</f>
        <v>0</v>
      </c>
      <c r="F459" s="36">
        <f>SUM(F447:F458)</f>
        <v>0</v>
      </c>
      <c r="G459" s="36">
        <f>SUM(G447:G458)</f>
        <v>59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99" t="s">
        <v>231</v>
      </c>
      <c r="B460" s="100"/>
      <c r="C460" s="100"/>
      <c r="D460" s="100"/>
      <c r="E460" s="101">
        <f>E446+E459</f>
        <v>0</v>
      </c>
      <c r="F460" s="40">
        <f>F446+F459</f>
        <v>0</v>
      </c>
      <c r="G460" s="40">
        <f>G446+G459</f>
        <v>59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2" t="s">
        <v>228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2" t="s">
        <v>230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99" t="s">
        <v>231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2" t="s">
        <v>228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2" t="s">
        <v>230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99" t="s">
        <v>231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2" t="s">
        <v>228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2" t="s">
        <v>230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99" t="s">
        <v>231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2" t="s">
        <v>228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>
        <v>2.7777777777777776E-2</v>
      </c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2" t="s">
        <v>230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229</v>
      </c>
      <c r="O567" s="39"/>
    </row>
    <row r="568" spans="1:15" ht="18" customHeight="1" x14ac:dyDescent="0.25">
      <c r="A568" s="99" t="s">
        <v>231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2.7777777777777776E-2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2" t="s">
        <v>228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2" t="s">
        <v>230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99" t="s">
        <v>231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2" t="s">
        <v>228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2" t="s">
        <v>230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99" t="s">
        <v>231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2" t="s">
        <v>228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2" t="s">
        <v>230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99" t="s">
        <v>231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2" t="s">
        <v>228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2" t="s">
        <v>230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99" t="s">
        <v>231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2" t="s">
        <v>228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2" t="s">
        <v>230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99" t="s">
        <v>231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2" t="s">
        <v>228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2" t="s">
        <v>230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99" t="s">
        <v>231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2" t="s">
        <v>228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2" t="s">
        <v>230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99" t="s">
        <v>231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2" t="s">
        <v>228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2" t="s">
        <v>230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99" t="s">
        <v>231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2" t="s">
        <v>228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2" t="s">
        <v>230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99" t="s">
        <v>231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2" t="s">
        <v>228</v>
      </c>
      <c r="B824" s="103"/>
      <c r="C824" s="103"/>
      <c r="D824" s="103"/>
      <c r="E824" s="10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2" t="s">
        <v>230</v>
      </c>
      <c r="B837" s="103"/>
      <c r="C837" s="103"/>
      <c r="D837" s="103"/>
      <c r="E837" s="10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99" t="s">
        <v>231</v>
      </c>
      <c r="B838" s="100"/>
      <c r="C838" s="100"/>
      <c r="D838" s="100"/>
      <c r="E838" s="101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2026-08-01T17:41:37Z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