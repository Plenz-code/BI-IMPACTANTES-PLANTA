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118" documentId="8_{AF585B22-221D-4780-BB9C-493D365A6A02}" xr6:coauthVersionLast="47" xr6:coauthVersionMax="47" xr10:uidLastSave="{E56F307F-F1FA-433E-84A4-E321F92298B4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<sst xmlns="http://schemas.openxmlformats.org/spreadsheetml/2006/main" count="5514" uniqueCount="307">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</sst>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4" sqref="G4:G15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36763228</v>
      </c>
      <c r="D35" s="13">
        <f>IFERROR(SUM(D4:D34),"")</f>
        <v>12990250</v>
      </c>
      <c r="E35" s="13">
        <f>IFERROR(SUM(E4:E34),"")</f>
        <v>9191510</v>
      </c>
      <c r="F35" s="13">
        <f>IFERROR(SUM(F4:F34),"")</f>
        <v>16638500</v>
      </c>
      <c r="G35" s="13">
        <f>IFERROR(SUM(G4:G34),"")</f>
        <v>38820260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04" activePane="bottomLeft" state="frozen"/>
      <selection pane="bottomLeft" activeCell="F330" sqref="F33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>
        <v>1940000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215</v>
      </c>
      <c r="F326" s="27">
        <v>18</v>
      </c>
      <c r="G326" s="28">
        <f t="shared" ref="G326:G337" si="72">IF(F326="","",IF(E326="PC 17",F326*4.2,IF(E326="PC 19",F326*5,"")))</f>
        <v>90</v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215</v>
      </c>
      <c r="F327" s="27">
        <v>60</v>
      </c>
      <c r="G327" s="34">
        <f t="shared" si="72"/>
        <v>300</v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215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215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215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215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215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215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215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215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215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215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154</v>
      </c>
      <c r="G338" s="36">
        <f>SUM(G326:G337)</f>
        <v>770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154</v>
      </c>
      <c r="G352" s="40">
        <f>G338+G351</f>
        <v>770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08" activePane="bottomLeft" state="frozen"/>
      <selection pane="bottomLeft" activeCell="F329" sqref="F32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218</v>
      </c>
      <c r="O324" s="78">
        <v>524410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15</v>
      </c>
      <c r="G327" s="34">
        <f t="shared" si="72"/>
        <v>63</v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10</v>
      </c>
      <c r="G328" s="28">
        <f t="shared" si="72"/>
        <v>42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45</v>
      </c>
      <c r="G338" s="36">
        <f>SUM(G326:G337)</f>
        <v>189</v>
      </c>
      <c r="H338" s="37"/>
      <c r="I338" s="37"/>
      <c r="J338" s="37"/>
      <c r="K338" s="37"/>
      <c r="L338" s="37"/>
      <c r="M338" s="38">
        <f ca="1">IFERROR(SUM(M326:M337),"")</f>
        <v>1.8055555555555547E-2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45</v>
      </c>
      <c r="G352" s="40">
        <f>G338+G351</f>
        <v>189</v>
      </c>
      <c r="H352" s="41"/>
      <c r="I352" s="41"/>
      <c r="J352" s="41"/>
      <c r="K352" s="41"/>
      <c r="L352" s="41"/>
      <c r="M352" s="42">
        <f ca="1">IFERROR(M338+M351,"")</f>
        <v>1.8055555555555547E-2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05" zoomScale="50" zoomScaleNormal="50" workbookViewId="0">
      <selection activeCell="J329" sqref="J32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270</v>
      </c>
      <c r="N166" s="27" t="s">
        <v>271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279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218</v>
      </c>
      <c r="O324" s="39">
        <v>609460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/>
      <c r="G329" s="34" t="str">
        <f t="shared" si="72"/>
        <v/>
      </c>
      <c r="H329" s="33" t="s">
        <v>20</v>
      </c>
      <c r="I329" s="33" t="s">
        <v>47</v>
      </c>
      <c r="J329" s="33" t="s">
        <v>51</v>
      </c>
      <c r="K329" s="29">
        <v>0.45833333333333331</v>
      </c>
      <c r="L329" s="29"/>
      <c r="M329" s="35">
        <f t="shared" ca="1" si="73"/>
        <v>2.1847222233191133E-3</v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7</v>
      </c>
      <c r="G338" s="36">
        <f>SUM(G326:G337)</f>
        <v>29.400000000000002</v>
      </c>
      <c r="H338" s="37"/>
      <c r="I338" s="37"/>
      <c r="J338" s="37"/>
      <c r="K338" s="37"/>
      <c r="L338" s="37"/>
      <c r="M338" s="38">
        <f ca="1">IFERROR(SUM(M326:M337),"")</f>
        <v>5.9129166667763577E-2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7</v>
      </c>
      <c r="G352" s="40">
        <f>G338+G351</f>
        <v>29.400000000000002</v>
      </c>
      <c r="H352" s="41"/>
      <c r="I352" s="41"/>
      <c r="J352" s="41"/>
      <c r="K352" s="41"/>
      <c r="L352" s="41"/>
      <c r="M352" s="42">
        <f ca="1">IFERROR(M338+M351,"")</f>
        <v>5.9129166667763577E-2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2" activePane="bottomLeft" state="frozen"/>
      <selection pane="bottomLeft" activeCell="F329" sqref="F32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285</v>
      </c>
      <c r="L58" s="29">
        <v>0.54097222222222219</v>
      </c>
      <c r="M58" s="30" t="str">
        <f t="shared" ca="1" si="13"/>
        <v/>
      </c>
      <c r="N58" s="27" t="s">
        <v>286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0.21121250000578584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0.41051805556134147</v>
      </c>
      <c r="N135" s="36" t="s">
        <v>218</v>
      </c>
      <c r="O135" s="39">
        <v>729290</v>
      </c>
    </row>
    <row r="136" spans="1:18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0.77787916667245249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306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218</v>
      </c>
      <c r="O324" s="39">
        <v>1063720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221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20</v>
      </c>
      <c r="G327" s="34">
        <v>84</v>
      </c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233</v>
      </c>
      <c r="F328" s="27">
        <v>20</v>
      </c>
      <c r="G328" s="28">
        <f t="shared" ref="G328:G337" si="74">IF(F328="","",IF(E328="PC 17",F328*4.2,IF(E328="PC 19",F328*5,"")))</f>
        <v>84</v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233</v>
      </c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233</v>
      </c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233</v>
      </c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233</v>
      </c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233</v>
      </c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233</v>
      </c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233</v>
      </c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233</v>
      </c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217</v>
      </c>
      <c r="B338" s="95"/>
      <c r="C338" s="95"/>
      <c r="D338" s="95"/>
      <c r="E338" s="96">
        <f>SUM(E327:E337)</f>
        <v>0</v>
      </c>
      <c r="F338" s="36">
        <f>SUM(F326:F337)</f>
        <v>60</v>
      </c>
      <c r="G338" s="36">
        <f>SUM(G326:G337)</f>
        <v>252</v>
      </c>
      <c r="H338" s="37"/>
      <c r="I338" s="37"/>
      <c r="J338" s="37"/>
      <c r="K338" s="61"/>
      <c r="L338" s="61"/>
      <c r="M338" s="38">
        <f ca="1">IFERROR(SUM(M326:M337),"")</f>
        <v>2.7777777777777679E-3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60</v>
      </c>
      <c r="G352" s="40">
        <f>G338+G351</f>
        <v>252</v>
      </c>
      <c r="H352" s="41"/>
      <c r="I352" s="41"/>
      <c r="J352" s="41"/>
      <c r="K352" s="63"/>
      <c r="L352" s="63"/>
      <c r="M352" s="42">
        <f ca="1">IFERROR(M338+M351,"")</f>
        <v>2.7777777777777679E-3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2026-07-13T15:03:29Z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