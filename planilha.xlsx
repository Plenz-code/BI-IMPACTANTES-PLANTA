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27" documentId="8_{AF585B22-221D-4780-BB9C-493D365A6A02}" xr6:coauthVersionLast="47" xr6:coauthVersionMax="47" xr10:uidLastSave="{FAC482E7-3073-4C63-8E04-E10C14FC1E1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<sst xmlns="http://schemas.openxmlformats.org/spreadsheetml/2006/main" count="2015" uniqueCount="217">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</sst>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9" activePane="bottomLeft" state="frozen"/>
      <selection pane="bottomLeft" activeCell="E80" sqref="E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192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192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192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192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192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</v>
      </c>
      <c r="G82" s="40">
        <f>G68+G81</f>
        <v>172.2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34</v>
      </c>
      <c r="G81" s="36">
        <f>SUM(G69:G80)</f>
        <v>142.80000000000001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138</v>
      </c>
      <c r="G82" s="40">
        <f>G68+G81</f>
        <v>579.6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N73" sqref="N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51</v>
      </c>
      <c r="K73" s="29">
        <v>0.95416666666666672</v>
      </c>
      <c r="L73" s="29"/>
      <c r="M73" s="35">
        <f t="shared" ca="1" si="16"/>
        <v>4.7728009230922908E-3</v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58</v>
      </c>
      <c r="G81" s="36">
        <f>SUM(G69:G80)</f>
        <v>243.6</v>
      </c>
      <c r="H81" s="37"/>
      <c r="I81" s="37"/>
      <c r="J81" s="37"/>
      <c r="K81" s="61"/>
      <c r="L81" s="61"/>
      <c r="M81" s="38">
        <f ca="1">IFERROR(SUM(M69:M80),"")</f>
        <v>7.42172453675366E-2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253</v>
      </c>
      <c r="G82" s="40">
        <f>G68+G81</f>
        <v>1062.6000000000001</v>
      </c>
      <c r="H82" s="41"/>
      <c r="I82" s="41"/>
      <c r="J82" s="41"/>
      <c r="K82" s="63"/>
      <c r="L82" s="63"/>
      <c r="M82" s="42">
        <f ca="1">IFERROR(M68+M81,"")</f>
        <v>0.13393946758975883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