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5100" documentId="8_{AF585B22-221D-4780-BB9C-493D365A6A02}" xr6:coauthVersionLast="47" xr6:coauthVersionMax="47" xr10:uidLastSave="{EE15E248-A8B4-40DA-A016-799E4B98E5E2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<sst xmlns="http://schemas.openxmlformats.org/spreadsheetml/2006/main" count="12597" uniqueCount="445">
  <si>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</si>
  <si>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</si>
  <si>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</si>
  <si>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</si>
  <si>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</si>
  <si>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</si>
  <si>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</si>
  <si>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</si>
  <si>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</si>
  <si>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</si>
  <si>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</si>
  <si>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</si>
  <si>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</si>
  <si>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</si>
  <si>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</si>
  <si>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</si>
  <si>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</si>
  <si>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</si>
  <si>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</si>
  <si>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</si>
  <si>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</si>
  <si>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</si>
  <si>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</si>
  <si>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</si>
  <si>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</si>
  <si>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</si>
  <si>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</si>
  <si>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</si>
  <si>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</si>
  <si>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</si>
  <si>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</si>
  <si>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</si>
  <si>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</si>
  <si>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</si>
  <si>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</si>
  <si>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</si>
  <si>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</si>
  <si>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</si>
  <si>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</si>
  <si>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</si>
  <si>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</si>
  <si>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</si>
  <si>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</si>
  <si>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</si>
  <si>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</si>
  <si>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</si>
  <si>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</si>
  <si>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</si>
  <si>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</si>
  <si>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</si>
  <si>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</si>
  <si>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</si>
  <si>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</si>
  <si>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</si>
  <si>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</si>
  <si>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</si>
  <si>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</si>
  <si>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</si>
  <si>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</si>
  <si>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</si>
  <si>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</si>
  <si>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</si>
  <si>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</si>
  <si>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</si>
  <si>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</si>
  <si>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</si>
  <si>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</si>
  <si>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</si>
  <si>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</si>
  <si>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</si>
  <si>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</si>
  <si>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</si>
  <si>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</si>
  <si>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</si>
  <si>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</si>
  <si>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</si>
  <si>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</si>
  <si>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</si>
  <si>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</si>
  <si>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</si>
  <si>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</si>
  <si>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</si>
  <si>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</si>
  <si>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</si>
  <si>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</si>
  <si>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</si>
  <si>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</si>
  <si>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</si>
  <si>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</si>
  <si>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</si>
  <si>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</si>
  <si>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</si>
  <si>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</si>
  <si>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</si>
  <si>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</si>
  <si>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</si>
  <si>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</si>
  <si>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</si>
  <si>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</si>
  <si>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</si>
  <si>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</si>
  <si>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</si>
  <si>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</si>
  <si>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</si>
  <si>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</si>
  <si>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</si>
  <si>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</si>
  <si>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</si>
  <si>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</si>
  <si>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</si>
  <si>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</si>
  <si>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</si>
  <si>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</si>
  <si>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</si>
  <si>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</si>
  <si>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</si>
  <si>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</si>
  <si>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</si>
  <si>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</si>
  <si>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</si>
  <si>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</si>
  <si>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</si>
  <si>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</si>
  <si>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</si>
  <si>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</si>
  <si>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</si>
  <si>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</si>
  <si>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</si>
  <si>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</si>
  <si>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</si>
  <si>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</si>
  <si>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</si>
  <si>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</si>
  <si>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</si>
  <si>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</si>
  <si>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</si>
  <si>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</si>
  <si>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</si>
  <si>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</si>
  <si>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</si>
  <si>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</si>
  <si>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</si>
  <si>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</si>
  <si>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</si>
  <si>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</si>
  <si>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</si>
  <si>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</si>
  <si>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</si>
  <si>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</si>
  <si>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</si>
  <si>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</si>
  <si>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</si>
  <si>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</si>
  <si>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</si>
  <si>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</si>
  <si>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</si>
  <si>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</si>
  <si>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</si>
  <si>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</si>
  <si>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</si>
  <si>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</si>
  <si>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</si>
  <si>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</si>
  <si>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</si>
  <si>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</si>
  <si>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</si>
  <si>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</si>
  <si>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</si>
  <si>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</si>
  <si>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</si>
  <si>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</si>
  <si>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</si>
  <si>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</si>
  <si>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</si>
  <si>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</si>
  <si>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</si>
  <si>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</si>
  <si>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</si>
  <si>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</si>
  <si>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</si>
  <si>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</si>
  <si>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</si>
  <si>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</si>
  <si>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</si>
  <si>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</si>
  <si>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</si>
  <si>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</si>
  <si>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</si>
  <si>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</si>
  <si>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</si>
  <si>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</si>
  <si>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</si>
  <si>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</si>
  <si>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</si>
  <si>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</si>
  <si>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</si>
  <si>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</si>
  <si>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</si>
  <si>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</si>
  <si>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</si>
  <si>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</si>
  <si>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</si>
  <si>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</si>
  <si>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</si>
  <si>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</si>
  <si>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</si>
  <si>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</si>
  <si>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</si>
  <si>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</si>
  <si>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</si>
  <si>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</si>
  <si>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</si>
  <si>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</si>
  <si>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</si>
  <si>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</si>
  <si>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</si>
  <si>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</si>
  <si>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</si>
  <si>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</si>
  <si>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</si>
  <si>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</si>
  <si>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</si>
  <si>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parada programada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</si>
  <si>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</si>
  <si>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</si>
  <si>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</si>
  <si>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</si>
  <si>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</si>
  <si>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</si>
  <si>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</si>
  <si>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</si>
  <si>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</si>
  <si>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</si>
  <si>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</si>
  <si>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</si>
  <si>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</si>
  <si>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</si>
  <si>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</si>
  <si>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</si>
  <si>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</si>
  <si>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</si>
  <si>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</si>
  <si>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</si>
  <si>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</si>
  <si>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</si>
  <si>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</si>
  <si>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</si>
  <si>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</si>
  <si>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</si>
  <si>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</si>
  <si>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</si>
  <si>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</si>
  <si>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</si>
  <si>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</si>
  <si>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</si>
  <si>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</si>
  <si>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</si>
  <si>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</si>
  <si>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</si>
  <si>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</si>
  <si>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</si>
  <si>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</si>
  <si>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</si>
  <si>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</si>
  <si>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</si>
  <si>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</si>
  <si>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</si>
  <si>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</si>
  <si>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</si>
  <si>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</si>
  <si>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</si>
  <si>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</si>
  <si>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</si>
  <si>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</si>
  <si>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</si>
  <si>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</si>
  <si>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</si>
  <si>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</si>
  <si>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foi feito troca de rolamento um sevico no chute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</si>
  <si>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</si>
  <si>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</si>
  <si>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</si>
  <si>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</si>
  <si>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</si>
  <si>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</si>
  <si>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</si>
  <si>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</si>
  <si>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</si>
  <si>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</si>
  <si>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</si>
  <si>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</si>
  <si>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</si>
  <si>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</si>
  <si>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</si>
  <si>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</si>
  <si>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</si>
  <si>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</si>
  <si>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</si>
  <si>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</si>
  <si>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</si>
  <si>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</si>
  <si>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</si>
  <si>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</si>
  <si>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</si>
  <si>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</si>
  <si>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</si>
  <si>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</si>
  <si>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</si>
  <si>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</si>
  <si>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</si>
  <si>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</si>
  <si>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</si>
  <si>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</si>
  <si>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</si>
  <si>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</si>
  <si>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</si>
  <si>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</si>
  <si>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</si>
  <si>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</si>
  <si>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</si>
  <si>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</si>
  <si>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</si>
  <si>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</si>
  <si>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</si>
  <si>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</si>
  <si>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</si>
  <si>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</si>
  <si>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</si>
  <si>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</si>
  <si>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</si>
  <si>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</si>
  <si>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</si>
  <si>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</si>
  <si>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</si>
  <si>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</si>
  <si>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</si>
  <si>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</si>
  <si>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</si>
  <si>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</si>
  <si>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</si>
  <si>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</si>
  <si>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</si>
  <si>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</si>
  <si>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</si>
  <si>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</si>
  <si>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</si>
  <si>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</si>
  <si>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</si>
  <si>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</si>
  <si>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arrebentou as balata</t>
  </si>
  <si>
    <t>troca do suporte de eletrodo para remoção dos pinos dos martelos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</si>
  <si>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</si>
  <si>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</si>
  <si>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</si>
  <si>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</si>
  <si>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</si>
  <si>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</si>
  <si>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</si>
  <si>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</si>
  <si>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</si>
  <si>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</si>
  <si>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</si>
  <si>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</si>
  <si>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</si>
  <si>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</si>
  <si>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</si>
  <si>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</si>
  <si>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</si>
  <si>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</si>
  <si>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</si>
  <si>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</si>
  <si>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</si>
  <si>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</si>
  <si>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</si>
  <si>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</si>
  <si>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</si>
  <si>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</si>
  <si>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</si>
  <si>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</si>
  <si>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</si>
  <si>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</si>
  <si>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</si>
  <si>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</si>
  <si>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</si>
  <si>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</si>
  <si>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</si>
  <si>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</si>
  <si>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</si>
  <si>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</si>
  <si>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</si>
  <si>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</si>
  <si>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</si>
  <si>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</si>
  <si>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</si>
  <si>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</si>
  <si>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</si>
  <si>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</si>
  <si>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</si>
  <si>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</si>
  <si>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</si>
  <si>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</si>
  <si>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</si>
  <si>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</si>
  <si>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</si>
  <si>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</si>
  <si>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</si>
  <si>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</si>
  <si>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</si>
  <si>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</si>
  <si>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</si>
  <si>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</si>
  <si>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</si>
  <si>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</si>
  <si>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</si>
  <si>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</si>
  <si>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</si>
  <si>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</si>
  <si>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</si>
  <si>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</si>
  <si>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</si>
  <si>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</si>
  <si>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</si>
  <si>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</si>
  <si>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</si>
  <si>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</si>
  <si>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</si>
  <si>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</si>
  <si>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</si>
  <si>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</si>
  <si>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</si>
  <si>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</si>
  <si>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</si>
  <si>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</si>
  <si>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</si>
  <si>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</si>
  <si>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</si>
  <si>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</si>
  <si>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</si>
  <si>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</si>
  <si>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</si>
  <si>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</si>
  <si>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</si>
  <si>
    <t>pedra na bica</t>
  </si>
  <si>
    <t>e um servico de solda na tubulacao da bomba de polpa 04</t>
  </si>
  <si>
    <t>troca de marteo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</si>
</sst>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25" t="s">
        <v>0</v>
      </c>
      <c r="B1" s="125"/>
      <c r="C1" s="125"/>
      <c r="D1" s="125"/>
      <c r="E1" s="125"/>
      <c r="F1" s="125"/>
      <c r="G1" s="125"/>
    </row>
    <row r="2" spans="1:7" ht="24.75" customHeight="1">
      <c r="A2" s="126"/>
      <c r="B2" s="12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3994160</v>
      </c>
      <c r="D33" s="11">
        <f>IFERROR('Linha 1'!O811,"")</f>
        <v>1467270</v>
      </c>
      <c r="E33" s="11">
        <f>IFERROR('Linha 2'!O811,"")</f>
        <v>711440</v>
      </c>
      <c r="F33" s="11">
        <f>IFERROR('Linha 3'!O811,"")</f>
        <v>883430</v>
      </c>
      <c r="G33" s="12">
        <f t="shared" si="0"/>
        <v>3062140</v>
      </c>
    </row>
    <row r="34" spans="1:7" ht="21.75" customHeight="1">
      <c r="A34" s="10">
        <v>31</v>
      </c>
      <c r="B34" s="73">
        <v>46234</v>
      </c>
      <c r="C34" s="11">
        <f>IFERROR(Britador!O838,"")</f>
        <v>656110</v>
      </c>
      <c r="D34" s="11">
        <f>IFERROR('Linha 1'!O838,"")</f>
        <v>741170</v>
      </c>
      <c r="E34" s="11">
        <f>IFERROR('Linha 2'!O838,"")</f>
        <v>441270</v>
      </c>
      <c r="F34" s="11">
        <f>IFERROR('Linha 3'!O838,"")</f>
        <v>545810</v>
      </c>
      <c r="G34" s="12">
        <f t="shared" si="0"/>
        <v>1728250</v>
      </c>
    </row>
    <row r="35" spans="1:7" ht="14.25" customHeight="1">
      <c r="A35" s="127" t="s">
        <v>9</v>
      </c>
      <c r="B35" s="127"/>
      <c r="C35" s="13">
        <f>IFERROR(SUM(C4:C34),"")</f>
        <v>94680888</v>
      </c>
      <c r="D35" s="13">
        <f>IFERROR(SUM(D4:D34),"")</f>
        <v>38301260</v>
      </c>
      <c r="E35" s="13">
        <f>IFERROR(SUM(E4:E34),"")</f>
        <v>21295250</v>
      </c>
      <c r="F35" s="13">
        <f>IFERROR(SUM(F4:F34),"")</f>
        <v>38219240</v>
      </c>
      <c r="G35" s="13">
        <f>IFERROR(SUM(G4:G34),"")</f>
        <v>97815750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28" t="s">
        <v>10</v>
      </c>
      <c r="B1" s="128"/>
      <c r="C1" s="128"/>
      <c r="D1" s="128"/>
      <c r="E1" s="128"/>
      <c r="F1" s="128"/>
      <c r="G1" s="128"/>
      <c r="H1" s="129"/>
      <c r="I1" s="130" t="s">
        <v>11</v>
      </c>
      <c r="J1" s="130"/>
      <c r="K1" s="130"/>
      <c r="L1" s="130"/>
      <c r="M1" s="130"/>
    </row>
    <row r="2" spans="1:13" ht="4.5" customHeight="1">
      <c r="H2" s="12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29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29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29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29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29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29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29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29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29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29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29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29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29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29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29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29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29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29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29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29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29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29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29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29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29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29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29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29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29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29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29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29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29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29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29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29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29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29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29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29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29"/>
      <c r="I59" s="17"/>
      <c r="J59" s="17"/>
      <c r="K59" s="17" t="s">
        <v>208</v>
      </c>
      <c r="L59" s="17"/>
      <c r="M59" s="17"/>
    </row>
    <row r="60" spans="1:13" ht="15" customHeight="1">
      <c r="H60" s="129"/>
      <c r="I60" s="16"/>
      <c r="J60" s="16"/>
      <c r="K60" s="86" t="s">
        <v>105</v>
      </c>
      <c r="L60" s="16"/>
      <c r="M60" s="16"/>
    </row>
    <row r="61" spans="1:13" ht="15" customHeight="1">
      <c r="H61" s="129"/>
      <c r="I61" s="17"/>
      <c r="J61" s="17"/>
      <c r="K61" s="17" t="s">
        <v>209</v>
      </c>
      <c r="L61" s="17"/>
      <c r="M61" s="17"/>
    </row>
    <row r="62" spans="1:13" ht="15" customHeight="1">
      <c r="H62" s="129"/>
      <c r="I62" s="16"/>
      <c r="J62" s="16"/>
      <c r="K62" s="16" t="s">
        <v>210</v>
      </c>
      <c r="L62" s="16"/>
      <c r="M62" s="16"/>
    </row>
    <row r="63" spans="1:13" ht="15" customHeight="1">
      <c r="H63" s="129"/>
      <c r="I63" s="17"/>
      <c r="J63" s="17"/>
      <c r="K63" s="17" t="s">
        <v>211</v>
      </c>
      <c r="L63" s="17"/>
      <c r="M63" s="17"/>
    </row>
    <row r="64" spans="1:13" ht="15" customHeight="1">
      <c r="H64" s="129"/>
      <c r="I64" s="16"/>
      <c r="J64" s="16"/>
      <c r="K64" s="16" t="s">
        <v>212</v>
      </c>
      <c r="L64" s="16"/>
      <c r="M64" s="16"/>
    </row>
    <row r="65" spans="8:13" ht="15" customHeight="1">
      <c r="H65" s="129"/>
      <c r="I65" s="17"/>
      <c r="J65" s="17"/>
      <c r="K65" s="17" t="s">
        <v>213</v>
      </c>
      <c r="L65" s="17"/>
      <c r="M65" s="17"/>
    </row>
    <row r="66" spans="8:13" ht="15" customHeight="1">
      <c r="H66" s="129"/>
      <c r="I66" s="16"/>
      <c r="J66" s="16"/>
      <c r="K66" s="16" t="s">
        <v>214</v>
      </c>
      <c r="L66" s="16"/>
      <c r="M66" s="16"/>
    </row>
    <row r="67" spans="8:13" ht="15" customHeight="1">
      <c r="H67" s="129"/>
      <c r="I67" s="17"/>
      <c r="J67" s="17"/>
      <c r="K67" s="17" t="s">
        <v>215</v>
      </c>
      <c r="L67" s="17"/>
      <c r="M67" s="17"/>
    </row>
    <row r="68" spans="8:13" ht="15" customHeight="1">
      <c r="H68" s="129"/>
      <c r="I68" s="16"/>
      <c r="J68" s="16"/>
      <c r="K68" s="16" t="s">
        <v>216</v>
      </c>
      <c r="L68" s="16"/>
      <c r="M68" s="16"/>
    </row>
    <row r="69" spans="8:13" ht="15" customHeight="1">
      <c r="H69" s="129"/>
      <c r="I69" s="17"/>
      <c r="J69" s="17"/>
      <c r="K69" s="17" t="s">
        <v>217</v>
      </c>
      <c r="L69" s="17"/>
      <c r="M69" s="17"/>
    </row>
    <row r="70" spans="8:13" ht="15" customHeight="1">
      <c r="H70" s="129"/>
      <c r="I70" s="16"/>
      <c r="J70" s="16"/>
      <c r="K70" s="16" t="s">
        <v>218</v>
      </c>
      <c r="L70" s="16"/>
      <c r="M70" s="16"/>
    </row>
    <row r="71" spans="8:13" ht="15" customHeight="1">
      <c r="H71" s="129"/>
      <c r="I71" s="17"/>
      <c r="J71" s="17"/>
      <c r="K71" s="17" t="s">
        <v>219</v>
      </c>
      <c r="L71" s="17"/>
      <c r="M71" s="17"/>
    </row>
    <row r="72" spans="8:13" ht="15" customHeight="1">
      <c r="H72" s="129"/>
      <c r="I72" s="16"/>
      <c r="J72" s="16"/>
      <c r="K72" s="16" t="s">
        <v>220</v>
      </c>
      <c r="L72" s="16"/>
      <c r="M72" s="16"/>
    </row>
    <row r="73" spans="8:13" ht="15" customHeight="1">
      <c r="H73" s="129"/>
      <c r="I73" s="17"/>
      <c r="J73" s="17"/>
      <c r="K73" s="17" t="s">
        <v>221</v>
      </c>
      <c r="L73" s="17"/>
      <c r="M73" s="17"/>
    </row>
    <row r="74" spans="8:13" ht="15" customHeight="1">
      <c r="H74" s="129"/>
      <c r="I74" s="16"/>
      <c r="J74" s="16"/>
      <c r="K74" s="16" t="s">
        <v>222</v>
      </c>
      <c r="L74" s="16"/>
      <c r="M74" s="16"/>
    </row>
    <row r="75" spans="8:13" ht="15" customHeight="1">
      <c r="H75" s="12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10" activePane="bottomLeft" state="frozen"/>
      <selection pane="bottomLeft" activeCell="F836" sqref="F83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233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235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237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237</v>
      </c>
      <c r="O27" s="39">
        <v>1183060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240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241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237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237</v>
      </c>
      <c r="O54" s="39">
        <v>959290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240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237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242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237</v>
      </c>
      <c r="O81" s="39">
        <v>878050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240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237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237</v>
      </c>
      <c r="O108" s="39">
        <v>1700000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240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237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237</v>
      </c>
      <c r="O135" s="39">
        <v>862330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240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237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237</v>
      </c>
      <c r="O162" s="44">
        <v>1546080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240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237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237</v>
      </c>
      <c r="O189" s="39">
        <v>2355810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240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237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237</v>
      </c>
      <c r="O216" s="45">
        <v>2013260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240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237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237</v>
      </c>
      <c r="O243" s="39">
        <v>1545480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240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237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237</v>
      </c>
      <c r="O270" s="39">
        <v>1182690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240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237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247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248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248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248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248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248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248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248</v>
      </c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237</v>
      </c>
      <c r="O297" s="39">
        <v>1843460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240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249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250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237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251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251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251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251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237</v>
      </c>
      <c r="O324" s="39">
        <v>1940000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240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237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237</v>
      </c>
      <c r="O351" s="39">
        <v>701874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240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253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237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237</v>
      </c>
      <c r="O378" s="39">
        <v>1088710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240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254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255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237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256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237</v>
      </c>
      <c r="O405" s="39">
        <v>1202270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240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257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258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259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259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237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237</v>
      </c>
      <c r="O432" s="39">
        <v>1801910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240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260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234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234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237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261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261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261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261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261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261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261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261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261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261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261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261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237</v>
      </c>
      <c r="O459" s="39">
        <v>2675000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240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237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237</v>
      </c>
      <c r="O486" s="39">
        <v>2310070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234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234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234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234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234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237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234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234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234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234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234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234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234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234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234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234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234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237</v>
      </c>
      <c r="O513" s="39">
        <v>1298429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240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234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262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234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234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234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234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234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234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234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234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234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234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234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237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234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234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263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234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234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234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234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234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234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234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234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234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234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237</v>
      </c>
      <c r="O540" s="39">
        <v>1240140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240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234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234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234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234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234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234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234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234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234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234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234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234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237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234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234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234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234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234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234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234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234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234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234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234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234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237</v>
      </c>
      <c r="O567" s="39">
        <v>1482110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240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234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234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234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234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234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234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237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234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234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234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234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234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234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234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234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234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234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237</v>
      </c>
      <c r="O594" s="39">
        <v>1036800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240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234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234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234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234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234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234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234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234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234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234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234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234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237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265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234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234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234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234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234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234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234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234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234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237</v>
      </c>
      <c r="O621" s="39">
        <v>1295785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240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234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234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234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234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234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234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234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234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234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234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234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234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237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234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266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234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234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234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234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234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234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234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234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234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234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234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237</v>
      </c>
      <c r="O648" s="39">
        <v>1954490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240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234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234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234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234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234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234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234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234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234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234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234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234</v>
      </c>
      <c r="B662" s="120"/>
      <c r="C662" s="120"/>
      <c r="D662" s="120"/>
      <c r="E662" s="12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237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234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267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234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234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234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234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234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234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234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234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234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234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234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237</v>
      </c>
      <c r="O675" s="39">
        <v>471180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240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234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268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234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234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234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234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234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234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234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234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234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234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234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237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234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270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234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234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234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234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234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234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234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234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234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237</v>
      </c>
      <c r="O702" s="39">
        <v>1620480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240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234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234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234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234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234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234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234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234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234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234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234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234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237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234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234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234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234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234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234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234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261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261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261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237</v>
      </c>
      <c r="O729" s="39">
        <v>1145450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240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272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234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234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234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234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234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234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234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234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234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234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234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237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234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273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234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234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234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234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234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234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234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234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234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234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234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237</v>
      </c>
      <c r="O756" s="39">
        <v>1649510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240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234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274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234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275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234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234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234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234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234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234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234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234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234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237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234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276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234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234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234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234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234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234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234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234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234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234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237</v>
      </c>
      <c r="O783" s="39">
        <v>2113690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240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234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234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234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234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234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277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234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234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234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234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234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234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237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234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234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234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234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234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234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234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234</v>
      </c>
      <c r="F806" s="27">
        <v>20</v>
      </c>
      <c r="G806" s="28">
        <f t="shared" si="176"/>
        <v>100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234</v>
      </c>
      <c r="F807" s="27">
        <v>10</v>
      </c>
      <c r="G807" s="28">
        <f t="shared" si="176"/>
        <v>50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234</v>
      </c>
      <c r="F808" s="27">
        <v>15</v>
      </c>
      <c r="G808" s="28">
        <f t="shared" si="176"/>
        <v>75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234</v>
      </c>
      <c r="F809" s="27">
        <v>10</v>
      </c>
      <c r="G809" s="28">
        <f t="shared" si="176"/>
        <v>50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319</v>
      </c>
      <c r="G810" s="36">
        <f>SUM(G798:G809)</f>
        <v>1574.2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237</v>
      </c>
      <c r="O810" s="39">
        <v>1802980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610</v>
      </c>
      <c r="G811" s="40">
        <f>G797+G810</f>
        <v>1574.2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240</v>
      </c>
      <c r="O811" s="83">
        <f>IFERROR(O797+O810,"")</f>
        <v>3994160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234</v>
      </c>
      <c r="F812" s="100">
        <v>18</v>
      </c>
      <c r="G812" s="104">
        <v>50</v>
      </c>
      <c r="H812" s="80" t="s">
        <v>18</v>
      </c>
      <c r="I812" s="80" t="s">
        <v>23</v>
      </c>
      <c r="J812" s="80" t="s">
        <v>222</v>
      </c>
      <c r="K812" s="98">
        <v>0.5</v>
      </c>
      <c r="L812" s="98">
        <v>0.65972222222222221</v>
      </c>
      <c r="M812" s="78">
        <f ca="1">IFERROR(IF(K812="","",IF(L812="",MOD(NOW()-K812,1),IF(L812&gt;=K812,L812-K812,L812+1-K812))),"")</f>
        <v>0.15972222222222221</v>
      </c>
      <c r="N812" s="105" t="s">
        <v>278</v>
      </c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234</v>
      </c>
      <c r="F813" s="100">
        <v>8</v>
      </c>
      <c r="G813" s="101">
        <v>35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234</v>
      </c>
      <c r="F814" s="100">
        <v>8</v>
      </c>
      <c r="G814" s="104">
        <v>35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234</v>
      </c>
      <c r="F815" s="100">
        <v>10</v>
      </c>
      <c r="G815" s="101">
        <v>25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234</v>
      </c>
      <c r="F816" s="100">
        <v>10</v>
      </c>
      <c r="G816" s="104">
        <v>25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234</v>
      </c>
      <c r="F817" s="100">
        <v>0</v>
      </c>
      <c r="G817" s="101">
        <v>0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234</v>
      </c>
      <c r="F818" s="100">
        <v>0</v>
      </c>
      <c r="G818" s="104">
        <v>0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234</v>
      </c>
      <c r="F819" s="100">
        <v>0</v>
      </c>
      <c r="G819" s="101">
        <v>0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234</v>
      </c>
      <c r="F820" s="100">
        <v>0</v>
      </c>
      <c r="G820" s="104">
        <v>0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234</v>
      </c>
      <c r="F821" s="100">
        <v>44</v>
      </c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234</v>
      </c>
      <c r="F822" s="100">
        <v>20</v>
      </c>
      <c r="G822" s="104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234</v>
      </c>
      <c r="F823" s="100">
        <v>15</v>
      </c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133</v>
      </c>
      <c r="G824" s="37"/>
      <c r="H824" s="37"/>
      <c r="I824" s="37"/>
      <c r="J824" s="37"/>
      <c r="K824" s="37"/>
      <c r="L824" s="37"/>
      <c r="M824" s="110">
        <f ca="1">IFERROR(SUM(M812:M823),"")</f>
        <v>0.15972222222222221</v>
      </c>
      <c r="N824" s="109" t="s">
        <v>237</v>
      </c>
      <c r="O824" s="77">
        <v>656110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234</v>
      </c>
      <c r="F825" s="100">
        <v>13</v>
      </c>
      <c r="G825" s="101">
        <f>IF(F825="","",IF(E825="PC 17",F825*4.2,IF(E825="PC 19",F825*5,"")))</f>
        <v>65</v>
      </c>
      <c r="H825" s="81" t="s">
        <v>16</v>
      </c>
      <c r="I825" s="81" t="s">
        <v>23</v>
      </c>
      <c r="J825" s="81" t="s">
        <v>32</v>
      </c>
      <c r="K825" s="98">
        <v>0.79166666666666663</v>
      </c>
      <c r="L825" s="98">
        <v>0.7993055555555556</v>
      </c>
      <c r="M825" s="79">
        <f ca="1">IFERROR(IF(K825="","",IF(L825="",MOD(NOW()-K825,1),IF(L825&gt;=K825,L825-K825,L825+1-K825))),"")</f>
        <v>7.6388888888889728E-3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22</v>
      </c>
      <c r="E826" s="108" t="s">
        <v>234</v>
      </c>
      <c r="F826" s="100">
        <v>13</v>
      </c>
      <c r="G826" s="101">
        <f>IF(F826="","",IF(E826="PC 17",F826*4.2,IF(E826="PC 19",F826*5,"")))</f>
        <v>65</v>
      </c>
      <c r="H826" s="80" t="s">
        <v>18</v>
      </c>
      <c r="I826" s="80" t="s">
        <v>23</v>
      </c>
      <c r="J826" s="80" t="s">
        <v>164</v>
      </c>
      <c r="K826" s="98">
        <v>9.375E-2</v>
      </c>
      <c r="L826" s="98">
        <v>9.930555555555555E-2</v>
      </c>
      <c r="M826" s="78">
        <f ca="1">IFERROR(IF(K826="","",IF(L826="",MOD(NOW()-K826,1),IF(L826&gt;=K826,L826-K826,L826+1-K826))),"")</f>
        <v>5.5555555555555497E-3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234</v>
      </c>
      <c r="F827" s="100">
        <v>40</v>
      </c>
      <c r="G827" s="101">
        <f>IF(F827="","",IF(E827="PC 17",F827*4.2,IF(E827="PC 19",F827*5,"")))</f>
        <v>200</v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234</v>
      </c>
      <c r="F828" s="100">
        <v>37</v>
      </c>
      <c r="G828" s="101">
        <f>IF(F828="","",IF(E828="PC 17",F828*4.2,IF(E828="PC 19",F828*5,"")))</f>
        <v>185</v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234</v>
      </c>
      <c r="F829" s="100">
        <v>30</v>
      </c>
      <c r="G829" s="101">
        <f>IF(F829="","",IF(E829="PC 17",F829*4.2,IF(E829="PC 19",F829*5,"")))</f>
        <v>150</v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234</v>
      </c>
      <c r="F830" s="100">
        <v>20</v>
      </c>
      <c r="G830" s="101">
        <f>IF(F830="","",IF(E830="PC 17",F830*4.2,IF(E830="PC 19",F830*5,"")))</f>
        <v>100</v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234</v>
      </c>
      <c r="F831" s="100">
        <v>21</v>
      </c>
      <c r="G831" s="101">
        <f>IF(F831="","",IF(E831="PC 17",F831*4.2,IF(E831="PC 19",F831*5,"")))</f>
        <v>105</v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234</v>
      </c>
      <c r="F832" s="100">
        <v>20</v>
      </c>
      <c r="G832" s="101">
        <f>IF(F832="","",IF(E832="PC 17",F832*4.2,IF(E832="PC 19",F832*5,"")))</f>
        <v>100</v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 t="s">
        <v>234</v>
      </c>
      <c r="F833" s="100">
        <v>39</v>
      </c>
      <c r="G833" s="101">
        <f>IF(F833="","",IF(E833="PC 17",F833*4.2,IF(E833="PC 19",F833*5,"")))</f>
        <v>195</v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 t="s">
        <v>234</v>
      </c>
      <c r="F834" s="100">
        <v>36</v>
      </c>
      <c r="G834" s="101">
        <f>IF(F834="","",IF(E834="PC 17",F834*4.2,IF(E834="PC 19",F834*5,"")))</f>
        <v>180</v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 t="s">
        <v>234</v>
      </c>
      <c r="F835" s="100">
        <v>28</v>
      </c>
      <c r="G835" s="101">
        <f>IF(F835="","",IF(E835="PC 17",F835*4.2,IF(E835="PC 19",F835*5,"")))</f>
        <v>140</v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 t="s">
        <v>234</v>
      </c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297</v>
      </c>
      <c r="G837" s="109">
        <f>SUM(G825:G836)</f>
        <v>1485</v>
      </c>
      <c r="H837" s="37"/>
      <c r="I837" s="37"/>
      <c r="J837" s="37"/>
      <c r="K837" s="37"/>
      <c r="L837" s="37"/>
      <c r="M837" s="110">
        <f ca="1">IFERROR(SUM(M825:M836),"")</f>
        <v>1.3194444444444522E-2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430</v>
      </c>
      <c r="G838" s="111">
        <f>G824+G837</f>
        <v>1485</v>
      </c>
      <c r="H838" s="41"/>
      <c r="I838" s="41"/>
      <c r="J838" s="41"/>
      <c r="K838" s="41"/>
      <c r="L838" s="41"/>
      <c r="M838" s="112">
        <f ca="1">IFERROR(M824+M837,"")</f>
        <v>0.17291666666666672</v>
      </c>
      <c r="N838" s="111" t="s">
        <v>240</v>
      </c>
      <c r="O838" s="83">
        <f>IFERROR(O824+O837,"")</f>
        <v>656110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11:E811"/>
    <mergeCell ref="A824:E824"/>
    <mergeCell ref="A837:E837"/>
    <mergeCell ref="A838:E838"/>
    <mergeCell ref="A784:E784"/>
    <mergeCell ref="A797:E797"/>
    <mergeCell ref="A810:E81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811" activePane="bottomLeft" state="frozen"/>
      <selection pane="bottomLeft" activeCell="F836" sqref="F83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237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237</v>
      </c>
      <c r="O27" s="77">
        <v>393200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240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237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280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261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84">
        <v>276360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240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281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237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237</v>
      </c>
      <c r="O81" s="54">
        <v>787860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240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237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237</v>
      </c>
      <c r="O108" s="54">
        <v>1087080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240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237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252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237</v>
      </c>
      <c r="O135" s="54">
        <v>794480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240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291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237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237</v>
      </c>
      <c r="O162" s="54">
        <v>882280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240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237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237</v>
      </c>
      <c r="O189" s="77"/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240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237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237</v>
      </c>
      <c r="O216" s="77">
        <v>648410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240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236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237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237</v>
      </c>
      <c r="O243" s="77">
        <v>849060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240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300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237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237</v>
      </c>
      <c r="O270" s="77">
        <v>625070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240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301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237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237</v>
      </c>
      <c r="O297" s="77">
        <v>761660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240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237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237</v>
      </c>
      <c r="O324" s="77">
        <v>524410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240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237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237</v>
      </c>
      <c r="O351" s="77">
        <v>598420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240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237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1.4132523145235609E-2</v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0.17177141203412449</v>
      </c>
      <c r="N378" s="36" t="s">
        <v>237</v>
      </c>
      <c r="O378" s="77">
        <v>511980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0.28149363425634666</v>
      </c>
      <c r="N379" s="40" t="s">
        <v>240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310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237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311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252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237</v>
      </c>
      <c r="O405" s="77">
        <v>552440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240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237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0.99260474537004484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1.1634380787033782</v>
      </c>
      <c r="N432" s="36" t="s">
        <v>237</v>
      </c>
      <c r="O432" s="77">
        <v>484540</v>
      </c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1.3085769675922672</v>
      </c>
      <c r="N433" s="40" t="s">
        <v>240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237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237</v>
      </c>
      <c r="O459" s="77">
        <v>631190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240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237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237</v>
      </c>
      <c r="O486" s="77">
        <v>969510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240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320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237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237</v>
      </c>
      <c r="O513" s="77">
        <v>556040</v>
      </c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240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321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237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237</v>
      </c>
      <c r="O540" s="77">
        <v>548610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240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237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237</v>
      </c>
      <c r="O567" s="77">
        <v>722660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240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237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237</v>
      </c>
      <c r="O594" s="77">
        <v>644900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240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237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237</v>
      </c>
      <c r="O621" s="77">
        <v>348050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240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261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261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261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261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261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261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261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237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237</v>
      </c>
      <c r="O648" s="77">
        <v>757160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240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330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237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237</v>
      </c>
      <c r="O675" s="77">
        <v>681950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240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331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261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237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237</v>
      </c>
      <c r="O702" s="77">
        <v>813880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240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237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261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234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261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261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261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261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261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261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234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234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261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237</v>
      </c>
      <c r="O729" s="77">
        <v>766420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240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340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341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237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237</v>
      </c>
      <c r="O756" s="39">
        <v>605420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240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342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343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344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261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261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261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261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261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261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237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261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261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261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237</v>
      </c>
      <c r="O783" s="39">
        <v>882130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240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347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237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348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6</v>
      </c>
      <c r="G802" s="34">
        <f t="shared" si="176"/>
        <v>25.200000000000003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10</v>
      </c>
      <c r="G806" s="34">
        <f t="shared" si="176"/>
        <v>42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21</v>
      </c>
      <c r="G807" s="34">
        <f t="shared" si="176"/>
        <v>88.2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8</v>
      </c>
      <c r="G808" s="34">
        <f t="shared" si="176"/>
        <v>33.6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7</v>
      </c>
      <c r="G809" s="34">
        <f t="shared" si="176"/>
        <v>29.400000000000002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172</v>
      </c>
      <c r="G810" s="36">
        <f>SUM(G798:G809)</f>
        <v>722.40000000000009</v>
      </c>
      <c r="H810" s="37"/>
      <c r="I810" s="37"/>
      <c r="J810" s="37"/>
      <c r="K810" s="37"/>
      <c r="L810" s="37"/>
      <c r="M810" s="38">
        <f ca="1">IFERROR(SUM(M798:M809),"")</f>
        <v>8.4027777777777812E-2</v>
      </c>
      <c r="N810" s="36" t="s">
        <v>237</v>
      </c>
      <c r="O810" s="39">
        <v>819240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326</v>
      </c>
      <c r="G811" s="40">
        <f>G797+G810</f>
        <v>1374.8000000000002</v>
      </c>
      <c r="H811" s="41"/>
      <c r="I811" s="41"/>
      <c r="J811" s="41"/>
      <c r="K811" s="41"/>
      <c r="L811" s="41"/>
      <c r="M811" s="42">
        <f ca="1">IFERROR(M797+M810,"")</f>
        <v>0.20486111111111105</v>
      </c>
      <c r="N811" s="40" t="s">
        <v>240</v>
      </c>
      <c r="O811" s="82">
        <f>IFERROR(O797+O810,"")</f>
        <v>1467270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15</v>
      </c>
      <c r="G812" s="104">
        <f>IF(F812="","",IF(E812="PC 17",F812*4.2,IF(E812="PC 19",F812*5,"")))</f>
        <v>63</v>
      </c>
      <c r="H812" s="80" t="s">
        <v>19</v>
      </c>
      <c r="I812" s="80" t="s">
        <v>157</v>
      </c>
      <c r="J812" s="80" t="s">
        <v>27</v>
      </c>
      <c r="K812" s="98">
        <v>0.43333333333333335</v>
      </c>
      <c r="L812" s="98">
        <v>0.4513888888888889</v>
      </c>
      <c r="M812" s="78">
        <f ca="1">IFERROR(IF(K812="","",IF(L812="",MOD(NOW()-K812,1),IF(L812&gt;=K812,L812-K812,L812+1-K812))),"")</f>
        <v>1.8055555555555547E-2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26</v>
      </c>
      <c r="G813" s="104">
        <f>IF(F813="","",IF(E813="PC 17",F813*4.2,IF(E813="PC 19",F813*5,"")))</f>
        <v>109.2</v>
      </c>
      <c r="H813" s="81" t="s">
        <v>20</v>
      </c>
      <c r="I813" s="81" t="s">
        <v>31</v>
      </c>
      <c r="J813" s="81" t="s">
        <v>28</v>
      </c>
      <c r="K813" s="98">
        <v>0.51736111111111116</v>
      </c>
      <c r="L813" s="98">
        <v>0.55902777777777779</v>
      </c>
      <c r="M813" s="79">
        <f ca="1">IFERROR(IF(K813="","",IF(L813="",MOD(NOW()-K813,1),IF(L813&gt;=K813,L813-K813,L813+1-K813))),"")</f>
        <v>4.166666666666663E-2</v>
      </c>
      <c r="N813" s="105" t="s">
        <v>349</v>
      </c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18</v>
      </c>
      <c r="G814" s="104">
        <f>IF(F814="","",IF(E814="PC 17",F814*4.2,IF(E814="PC 19",F814*5,"")))</f>
        <v>75.600000000000009</v>
      </c>
      <c r="H814" s="80" t="s">
        <v>20</v>
      </c>
      <c r="I814" s="80" t="s">
        <v>39</v>
      </c>
      <c r="J814" s="80" t="s">
        <v>51</v>
      </c>
      <c r="K814" s="98">
        <v>0.64583333333333337</v>
      </c>
      <c r="L814" s="98">
        <v>0.65</v>
      </c>
      <c r="M814" s="78">
        <f ca="1">IFERROR(IF(K814="","",IF(L814="",MOD(NOW()-K814,1),IF(L814&gt;=K814,L814-K814,L814+1-K814))),"")</f>
        <v>4.1666666666666519E-3</v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39</v>
      </c>
      <c r="J815" s="81" t="s">
        <v>28</v>
      </c>
      <c r="K815" s="98">
        <v>0.69861111111111107</v>
      </c>
      <c r="L815" s="98">
        <v>0.70833333333333337</v>
      </c>
      <c r="M815" s="79">
        <f ca="1">IFERROR(IF(K815="","",IF(L815="",MOD(NOW()-K815,1),IF(L815&gt;=K815,L815-K815,L815+1-K815))),"")</f>
        <v>9.7222222222222987E-3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10</v>
      </c>
      <c r="G816" s="104">
        <f>IF(F816="","",IF(E816="PC 17",F816*4.2,IF(E816="PC 19",F816*5,"")))</f>
        <v>42</v>
      </c>
      <c r="H816" s="80" t="s">
        <v>18</v>
      </c>
      <c r="I816" s="80"/>
      <c r="J816" s="80" t="s">
        <v>128</v>
      </c>
      <c r="K816" s="98">
        <v>0.72986111111111107</v>
      </c>
      <c r="L816" s="98">
        <v>0.76111111111111107</v>
      </c>
      <c r="M816" s="78">
        <f ca="1">IFERROR(IF(K816="","",IF(L816="",MOD(NOW()-K816,1),IF(L816&gt;=K816,L816-K816,L816+1-K816))),"")</f>
        <v>3.125E-2</v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18</v>
      </c>
      <c r="G817" s="104">
        <f>IF(F817="","",IF(E817="PC 17",F817*4.2,IF(E817="PC 19",F817*5,"")))</f>
        <v>75.600000000000009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10</v>
      </c>
      <c r="G818" s="104">
        <f>IF(F818="","",IF(E818="PC 17",F818*4.2,IF(E818="PC 19",F818*5,"")))</f>
        <v>42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18</v>
      </c>
      <c r="G819" s="104">
        <f>IF(F819="","",IF(E819="PC 17",F819*4.2,IF(E819="PC 19",F819*5,"")))</f>
        <v>75.600000000000009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15</v>
      </c>
      <c r="G820" s="104">
        <f>IF(F820="","",IF(E820="PC 17",F820*4.2,IF(E820="PC 19",F820*5,"")))</f>
        <v>63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15</v>
      </c>
      <c r="G821" s="104">
        <f>IF(F821="","",IF(E821="PC 17",F821*4.2,IF(E821="PC 19",F821*5,"")))</f>
        <v>63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8</v>
      </c>
      <c r="G822" s="104">
        <f>IF(F822="","",IF(E822="PC 17",F822*4.2,IF(E822="PC 19",F822*5,"")))</f>
        <v>33.6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169</v>
      </c>
      <c r="G824" s="109">
        <f>SUM(G812:G823)</f>
        <v>709.80000000000007</v>
      </c>
      <c r="H824" s="37"/>
      <c r="I824" s="37"/>
      <c r="J824" s="37"/>
      <c r="K824" s="37"/>
      <c r="L824" s="37"/>
      <c r="M824" s="110">
        <f ca="1">IFERROR(SUM(M812:M823),"")</f>
        <v>0.10486111111111113</v>
      </c>
      <c r="N824" s="109" t="s">
        <v>237</v>
      </c>
      <c r="O824" s="77">
        <v>741170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19</v>
      </c>
      <c r="G825" s="104">
        <f>IF(F825="","",IF(E825="PC 17",F825*4.2,IF(E825="PC 19",F825*5,"")))</f>
        <v>79.8</v>
      </c>
      <c r="H825" s="81" t="s">
        <v>20</v>
      </c>
      <c r="I825" s="81" t="s">
        <v>136</v>
      </c>
      <c r="J825" s="81" t="s">
        <v>74</v>
      </c>
      <c r="K825" s="98">
        <v>0.88402777777777775</v>
      </c>
      <c r="L825" s="98">
        <v>0.88888888888888884</v>
      </c>
      <c r="M825" s="79">
        <f ca="1">IFERROR(IF(K825="","",IF(L825="",MOD(NOW()-K825,1),IF(L825&gt;=K825,L825-K825,L825+1-K825))),"")</f>
        <v>4.8611111111110938E-3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16</v>
      </c>
      <c r="G826" s="104">
        <f>IF(F826="","",IF(E826="PC 17",F826*4.2,IF(E826="PC 19",F826*5,"")))</f>
        <v>80</v>
      </c>
      <c r="H826" s="80" t="s">
        <v>20</v>
      </c>
      <c r="I826" s="80" t="s">
        <v>157</v>
      </c>
      <c r="J826" s="80" t="s">
        <v>181</v>
      </c>
      <c r="K826" s="98">
        <v>0.8979166666666667</v>
      </c>
      <c r="L826" s="98">
        <v>0.90069444444444446</v>
      </c>
      <c r="M826" s="78">
        <f ca="1">IFERROR(IF(K826="","",IF(L826="",MOD(NOW()-K826,1),IF(L826&gt;=K826,L826-K826,L826+1-K826))),"")</f>
        <v>2.7777777777777679E-3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27</v>
      </c>
      <c r="G827" s="104">
        <f>IF(F827="","",IF(E827="PC 17",F827*4.2,IF(E827="PC 19",F827*5,"")))</f>
        <v>113.4</v>
      </c>
      <c r="H827" s="81" t="s">
        <v>19</v>
      </c>
      <c r="I827" s="81" t="s">
        <v>157</v>
      </c>
      <c r="J827" s="81" t="s">
        <v>27</v>
      </c>
      <c r="K827" s="98">
        <v>0.90069444444444446</v>
      </c>
      <c r="L827" s="98">
        <v>0.91388888888888886</v>
      </c>
      <c r="M827" s="79">
        <f ca="1">IFERROR(IF(K827="","",IF(L827="",MOD(NOW()-K827,1),IF(L827&gt;=K827,L827-K827,L827+1-K827))),"")</f>
        <v>1.3194444444444398E-2</v>
      </c>
      <c r="N827" s="105" t="s">
        <v>350</v>
      </c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20</v>
      </c>
      <c r="G828" s="104">
        <f>IF(F828="","",IF(E828="PC 17",F828*4.2,IF(E828="PC 19",F828*5,"")))</f>
        <v>84</v>
      </c>
      <c r="H828" s="80" t="s">
        <v>20</v>
      </c>
      <c r="I828" s="80" t="s">
        <v>31</v>
      </c>
      <c r="J828" s="80" t="s">
        <v>36</v>
      </c>
      <c r="K828" s="98">
        <v>2.5694444444444443E-2</v>
      </c>
      <c r="L828" s="98">
        <v>3.2638888888888891E-2</v>
      </c>
      <c r="M828" s="78">
        <f ca="1">IFERROR(IF(K828="","",IF(L828="",MOD(NOW()-K828,1),IF(L828&gt;=K828,L828-K828,L828+1-K828))),"")</f>
        <v>6.9444444444444475E-3</v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261</v>
      </c>
      <c r="F829" s="100">
        <v>30</v>
      </c>
      <c r="G829" s="104">
        <f>IF(F829="","",IF(E829="PC 17",F829*4.2,IF(E829="PC 19",F829*5,"")))</f>
        <v>126</v>
      </c>
      <c r="H829" s="81" t="s">
        <v>18</v>
      </c>
      <c r="I829" s="81" t="s">
        <v>31</v>
      </c>
      <c r="J829" s="81" t="s">
        <v>119</v>
      </c>
      <c r="K829" s="98">
        <v>8.8888888888888892E-2</v>
      </c>
      <c r="L829" s="98">
        <v>0.10208333333333333</v>
      </c>
      <c r="M829" s="79">
        <f ca="1">IFERROR(IF(K829="","",IF(L829="",MOD(NOW()-K829,1),IF(L829&gt;=K829,L829-K829,L829+1-K829))),"")</f>
        <v>1.3194444444444439E-2</v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261</v>
      </c>
      <c r="F830" s="100">
        <v>10</v>
      </c>
      <c r="G830" s="104">
        <f>IF(F830="","",IF(E830="PC 17",F830*4.2,IF(E830="PC 19",F830*5,"")))</f>
        <v>42</v>
      </c>
      <c r="H830" s="80" t="s">
        <v>20</v>
      </c>
      <c r="I830" s="80" t="s">
        <v>136</v>
      </c>
      <c r="J830" s="80" t="s">
        <v>74</v>
      </c>
      <c r="K830" s="98">
        <v>0.13125000000000001</v>
      </c>
      <c r="L830" s="98">
        <v>0.1361111111111111</v>
      </c>
      <c r="M830" s="78">
        <f ca="1">IFERROR(IF(K830="","",IF(L830="",MOD(NOW()-K830,1),IF(L830&gt;=K830,L830-K830,L830+1-K830))),"")</f>
        <v>4.8611111111110938E-3</v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261</v>
      </c>
      <c r="F831" s="100">
        <v>21</v>
      </c>
      <c r="G831" s="104">
        <f>IF(F831="","",IF(E831="PC 17",F831*4.2,IF(E831="PC 19",F831*5,"")))</f>
        <v>88.2</v>
      </c>
      <c r="H831" s="81" t="s">
        <v>20</v>
      </c>
      <c r="I831" s="81"/>
      <c r="J831" s="81" t="s">
        <v>129</v>
      </c>
      <c r="K831" s="98">
        <v>0.1361111111111111</v>
      </c>
      <c r="L831" s="98">
        <v>0.1388888888888889</v>
      </c>
      <c r="M831" s="79">
        <f ca="1">IFERROR(IF(K831="","",IF(L831="",MOD(NOW()-K831,1),IF(L831&gt;=K831,L831-K831,L831+1-K831))),"")</f>
        <v>2.7777777777777957E-3</v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261</v>
      </c>
      <c r="F832" s="100">
        <v>17</v>
      </c>
      <c r="G832" s="104">
        <f>IF(F832="","",IF(E832="PC 17",F832*4.2,IF(E832="PC 19",F832*5,"")))</f>
        <v>71.400000000000006</v>
      </c>
      <c r="H832" s="80" t="s">
        <v>20</v>
      </c>
      <c r="I832" s="80"/>
      <c r="J832" s="80" t="s">
        <v>129</v>
      </c>
      <c r="K832" s="98">
        <v>0.15277777777777779</v>
      </c>
      <c r="L832" s="98">
        <v>0.15972222222222221</v>
      </c>
      <c r="M832" s="78">
        <f ca="1">IFERROR(IF(K832="","",IF(L832="",MOD(NOW()-K832,1),IF(L832&gt;=K832,L832-K832,L832+1-K832))),"")</f>
        <v>6.9444444444444198E-3</v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 t="s">
        <v>261</v>
      </c>
      <c r="F833" s="100">
        <v>7</v>
      </c>
      <c r="G833" s="104">
        <f>IF(F833="","",IF(E833="PC 17",F833*4.2,IF(E833="PC 19",F833*5,"")))</f>
        <v>29.400000000000002</v>
      </c>
      <c r="H833" s="81" t="s">
        <v>20</v>
      </c>
      <c r="I833" s="81" t="s">
        <v>31</v>
      </c>
      <c r="J833" s="81" t="s">
        <v>36</v>
      </c>
      <c r="K833" s="98">
        <v>0.15972222222222221</v>
      </c>
      <c r="L833" s="98">
        <v>0.16597222222222222</v>
      </c>
      <c r="M833" s="79">
        <f ca="1">IFERROR(IF(K833="","",IF(L833="",MOD(NOW()-K833,1),IF(L833&gt;=K833,L833-K833,L833+1-K833))),"")</f>
        <v>6.2500000000000056E-3</v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 t="s">
        <v>261</v>
      </c>
      <c r="F834" s="100">
        <v>10</v>
      </c>
      <c r="G834" s="104">
        <f>IF(F834="","",IF(E834="PC 17",F834*4.2,IF(E834="PC 19",F834*5,"")))</f>
        <v>42</v>
      </c>
      <c r="H834" s="80" t="s">
        <v>20</v>
      </c>
      <c r="I834" s="80" t="s">
        <v>136</v>
      </c>
      <c r="J834" s="80" t="s">
        <v>74</v>
      </c>
      <c r="K834" s="98">
        <v>0.21458333333333332</v>
      </c>
      <c r="L834" s="98">
        <v>0.22222222222222221</v>
      </c>
      <c r="M834" s="78">
        <f ca="1">IFERROR(IF(K834="","",IF(L834="",MOD(NOW()-K834,1),IF(L834&gt;=K834,L834-K834,L834+1-K834))),"")</f>
        <v>7.6388888888888895E-3</v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 t="s">
        <v>261</v>
      </c>
      <c r="F835" s="100">
        <v>13</v>
      </c>
      <c r="G835" s="104">
        <f>IF(F835="","",IF(E835="PC 17",F835*4.2,IF(E835="PC 19",F835*5,"")))</f>
        <v>54.6</v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 t="s">
        <v>261</v>
      </c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190</v>
      </c>
      <c r="G837" s="109">
        <f>SUM(G825:G836)</f>
        <v>810.80000000000007</v>
      </c>
      <c r="H837" s="37"/>
      <c r="I837" s="37"/>
      <c r="J837" s="37"/>
      <c r="K837" s="37"/>
      <c r="L837" s="37"/>
      <c r="M837" s="110">
        <f ca="1">IFERROR(SUM(M825:M836),"")</f>
        <v>6.944444444444435E-2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359</v>
      </c>
      <c r="G838" s="111">
        <f>G824+G837</f>
        <v>1520.6000000000001</v>
      </c>
      <c r="H838" s="41"/>
      <c r="I838" s="41"/>
      <c r="J838" s="41"/>
      <c r="K838" s="41"/>
      <c r="L838" s="41"/>
      <c r="M838" s="112">
        <f ca="1">IFERROR(M824+M837,"")</f>
        <v>0.17430555555555549</v>
      </c>
      <c r="N838" s="111" t="s">
        <v>240</v>
      </c>
      <c r="O838" s="82">
        <f>IFERROR(O824+O837,"")</f>
        <v>741170</v>
      </c>
    </row>
  </sheetData>
  <mergeCells count="88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554:E554"/>
    <mergeCell ref="A567:E567"/>
    <mergeCell ref="A568:E568"/>
    <mergeCell ref="A581:E581"/>
    <mergeCell ref="A594:E594"/>
    <mergeCell ref="A810:E810"/>
    <mergeCell ref="A811:E811"/>
    <mergeCell ref="A730:E730"/>
    <mergeCell ref="A743:E743"/>
    <mergeCell ref="A756:E756"/>
    <mergeCell ref="A757:E757"/>
    <mergeCell ref="A770:E770"/>
    <mergeCell ref="A675:E675"/>
    <mergeCell ref="A676:E676"/>
    <mergeCell ref="A595:E595"/>
    <mergeCell ref="A784:E784"/>
    <mergeCell ref="A797:E797"/>
    <mergeCell ref="A622:E622"/>
    <mergeCell ref="A635:E635"/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801" zoomScale="50" zoomScaleNormal="50" workbookViewId="0">
      <selection activeCell="F836" sqref="F83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351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237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237</v>
      </c>
      <c r="O27" s="39">
        <v>308500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240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352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237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39">
        <v>124290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240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353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237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237</v>
      </c>
      <c r="O81" s="39">
        <v>396340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240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237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237</v>
      </c>
      <c r="O108" s="39">
        <v>41230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240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237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237</v>
      </c>
      <c r="O135" s="39">
        <v>381250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240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292</v>
      </c>
      <c r="K141" s="29">
        <v>0.71597222222222223</v>
      </c>
      <c r="L141" s="29" t="s">
        <v>356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237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237</v>
      </c>
      <c r="O162" s="39">
        <v>337120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240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358</v>
      </c>
      <c r="N166" s="27" t="s">
        <v>359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237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237</v>
      </c>
      <c r="O189" s="39">
        <v>747210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240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360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237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237</v>
      </c>
      <c r="O216" s="39">
        <v>468430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240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237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237</v>
      </c>
      <c r="O243" s="39">
        <v>575930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240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237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361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362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237</v>
      </c>
      <c r="O270" s="39">
        <v>483510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240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237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363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237</v>
      </c>
      <c r="O297" s="39">
        <v>487980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240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237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237</v>
      </c>
      <c r="O324" s="39">
        <v>609460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240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237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237</v>
      </c>
      <c r="O351" s="39">
        <v>437940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240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237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237</v>
      </c>
      <c r="O378" s="39">
        <v>473310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240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237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237</v>
      </c>
      <c r="O405" s="39">
        <v>507450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240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261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237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237</v>
      </c>
      <c r="O432" s="39">
        <v>229150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240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237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237</v>
      </c>
      <c r="O459" s="39">
        <v>409980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240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234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234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234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234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237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237</v>
      </c>
      <c r="O486" s="39">
        <v>341550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240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370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234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237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237</v>
      </c>
      <c r="O513" s="39">
        <v>276610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240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237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371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372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373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237</v>
      </c>
      <c r="O540" s="39">
        <v>194990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240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237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237</v>
      </c>
      <c r="O567" s="39">
        <v>315860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240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237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237</v>
      </c>
      <c r="O594" s="39">
        <v>424930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240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237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237</v>
      </c>
      <c r="O621" s="39">
        <v>377360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240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237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237</v>
      </c>
      <c r="O648" s="39">
        <v>319500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240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378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331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237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379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237</v>
      </c>
      <c r="O675" s="39">
        <v>323580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240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237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237</v>
      </c>
      <c r="O702" s="39">
        <v>349730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240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237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237</v>
      </c>
      <c r="O729" s="39">
        <v>175420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240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261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261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261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261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261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329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261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261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261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261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261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261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237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380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381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237</v>
      </c>
      <c r="O756" s="39">
        <v>154160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240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382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329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261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261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261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261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383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237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237</v>
      </c>
      <c r="O783" s="39">
        <v>265740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240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347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384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329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237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</v>
      </c>
      <c r="G799" s="34">
        <f t="shared" si="176"/>
        <v>8.4</v>
      </c>
      <c r="H799" s="33" t="s">
        <v>17</v>
      </c>
      <c r="I799" s="33"/>
      <c r="J799" s="33" t="s">
        <v>41</v>
      </c>
      <c r="K799" s="29">
        <v>0.22916666666666666</v>
      </c>
      <c r="L799" s="29">
        <v>0.2388888888888889</v>
      </c>
      <c r="M799" s="35">
        <f t="shared" ca="1" si="177"/>
        <v>9.7222222222222432E-3</v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7</v>
      </c>
      <c r="G806" s="34">
        <f t="shared" si="176"/>
        <v>29.400000000000002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6</v>
      </c>
      <c r="G807" s="34">
        <f t="shared" si="176"/>
        <v>25.200000000000003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4</v>
      </c>
      <c r="G808" s="34">
        <f t="shared" si="176"/>
        <v>16.8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2</v>
      </c>
      <c r="G809" s="34">
        <f t="shared" si="176"/>
        <v>8.4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64</v>
      </c>
      <c r="G810" s="36">
        <f>SUM(G798:G809)</f>
        <v>268.8</v>
      </c>
      <c r="H810" s="37"/>
      <c r="I810" s="37"/>
      <c r="J810" s="37"/>
      <c r="K810" s="37"/>
      <c r="L810" s="37"/>
      <c r="M810" s="38">
        <f ca="1">IFERROR(SUM(M798:M809),"")</f>
        <v>3.0555555555555614E-2</v>
      </c>
      <c r="N810" s="36" t="s">
        <v>237</v>
      </c>
      <c r="O810" s="39">
        <v>291990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158</v>
      </c>
      <c r="G811" s="40">
        <f>G797+G810</f>
        <v>669.2</v>
      </c>
      <c r="H811" s="41"/>
      <c r="I811" s="41"/>
      <c r="J811" s="41"/>
      <c r="K811" s="41"/>
      <c r="L811" s="41"/>
      <c r="M811" s="42">
        <f ca="1">IFERROR(M797+M810,"")</f>
        <v>0.1333333333333333</v>
      </c>
      <c r="N811" s="40" t="s">
        <v>240</v>
      </c>
      <c r="O811" s="43">
        <f>IFERROR(O797+O810,"")</f>
        <v>711440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19</v>
      </c>
      <c r="I812" s="80" t="s">
        <v>47</v>
      </c>
      <c r="J812" s="80" t="s">
        <v>27</v>
      </c>
      <c r="K812" s="98">
        <v>0.5</v>
      </c>
      <c r="L812" s="98">
        <v>0.52638888888888891</v>
      </c>
      <c r="M812" s="78">
        <f ca="1">IFERROR(IF(K812="","",IF(L812="",MOD(NOW()-K812,1),IF(L812&gt;=K812,L812-K812,L812+1-K812))),"")</f>
        <v>2.6388888888888906E-2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12</v>
      </c>
      <c r="G813" s="104">
        <f>IF(F813="","",IF(E813="PC 17",F813*4.2,IF(E813="PC 19",F813*5,"")))</f>
        <v>50.400000000000006</v>
      </c>
      <c r="H813" s="81" t="s">
        <v>18</v>
      </c>
      <c r="I813" s="81"/>
      <c r="J813" s="81" t="s">
        <v>128</v>
      </c>
      <c r="K813" s="98">
        <v>0.72986111111111107</v>
      </c>
      <c r="L813" s="98">
        <v>0.76111111111111107</v>
      </c>
      <c r="M813" s="79">
        <f ca="1">IFERROR(IF(K813="","",IF(L813="",MOD(NOW()-K813,1),IF(L813&gt;=K813,L813-K813,L813+1-K813))),"")</f>
        <v>3.125E-2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10</v>
      </c>
      <c r="G814" s="104">
        <f>IF(F814="","",IF(E814="PC 17",F814*4.2,IF(E814="PC 19",F814*5,"")))</f>
        <v>42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10</v>
      </c>
      <c r="G815" s="104">
        <f>IF(F815="","",IF(E815="PC 17",F815*4.2,IF(E815="PC 19",F815*5,"")))</f>
        <v>42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8</v>
      </c>
      <c r="G816" s="104">
        <f>IF(F816="","",IF(E816="PC 17",F816*4.2,IF(E816="PC 19",F816*5,"")))</f>
        <v>33.6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12</v>
      </c>
      <c r="G817" s="104">
        <f>IF(F817="","",IF(E817="PC 17",F817*4.2,IF(E817="PC 19",F817*5,"")))</f>
        <v>50.400000000000006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11</v>
      </c>
      <c r="G818" s="104">
        <f>IF(F818="","",IF(E818="PC 17",F818*4.2,IF(E818="PC 19",F818*5,"")))</f>
        <v>46.2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5</v>
      </c>
      <c r="G819" s="104">
        <f>IF(F819="","",IF(E819="PC 17",F819*4.2,IF(E819="PC 19",F819*5,"")))</f>
        <v>21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6</v>
      </c>
      <c r="G820" s="104">
        <f>IF(F820="","",IF(E820="PC 17",F820*4.2,IF(E820="PC 19",F820*5,"")))</f>
        <v>25.200000000000003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6</v>
      </c>
      <c r="G821" s="104">
        <f>IF(F821="","",IF(E821="PC 17",F821*4.2,IF(E821="PC 19",F821*5,"")))</f>
        <v>25.200000000000003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5</v>
      </c>
      <c r="G822" s="104">
        <f>IF(F822="","",IF(E822="PC 17",F822*4.2,IF(E822="PC 19",F822*5,"")))</f>
        <v>21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95</v>
      </c>
      <c r="G824" s="109">
        <f>SUM(G812:G823)</f>
        <v>398.99999999999994</v>
      </c>
      <c r="H824" s="37"/>
      <c r="I824" s="37"/>
      <c r="J824" s="37"/>
      <c r="K824" s="37"/>
      <c r="L824" s="37"/>
      <c r="M824" s="110">
        <f ca="1">IFERROR(SUM(M812:M823),"")</f>
        <v>5.7638888888888906E-2</v>
      </c>
      <c r="N824" s="109" t="s">
        <v>237</v>
      </c>
      <c r="O824" s="77">
        <v>441270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7</v>
      </c>
      <c r="G825" s="104">
        <f>IF(F825="","",IF(E825="PC 17",F825*4.2,IF(E825="PC 19",F825*5,"")))</f>
        <v>29.400000000000002</v>
      </c>
      <c r="H825" s="81" t="s">
        <v>20</v>
      </c>
      <c r="I825" s="81" t="s">
        <v>47</v>
      </c>
      <c r="J825" s="81" t="s">
        <v>62</v>
      </c>
      <c r="K825" s="98">
        <v>8.819444444444445E-2</v>
      </c>
      <c r="L825" s="98">
        <v>9.0277777777777776E-2</v>
      </c>
      <c r="M825" s="79">
        <f ca="1">IFERROR(IF(K825="","",IF(L825="",MOD(NOW()-K825,1),IF(L825&gt;=K825,L825-K825,L825+1-K825))),"")</f>
        <v>2.0833333333333259E-3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11</v>
      </c>
      <c r="G826" s="104">
        <f>IF(F826="","",IF(E826="PC 17",F826*4.2,IF(E826="PC 19",F826*5,"")))</f>
        <v>55</v>
      </c>
      <c r="H826" s="80" t="s">
        <v>19</v>
      </c>
      <c r="I826" s="80" t="s">
        <v>47</v>
      </c>
      <c r="J826" s="80" t="s">
        <v>27</v>
      </c>
      <c r="K826" s="98">
        <v>0.17916666666666667</v>
      </c>
      <c r="L826" s="98">
        <v>0.19166666666666668</v>
      </c>
      <c r="M826" s="78">
        <f ca="1">IFERROR(IF(K826="","",IF(L826="",MOD(NOW()-K826,1),IF(L826&gt;=K826,L826-K826,L826+1-K826))),"")</f>
        <v>1.2500000000000011E-2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20</v>
      </c>
      <c r="G827" s="104">
        <f>IF(F827="","",IF(E827="PC 17",F827*4.2,IF(E827="PC 19",F827*5,"")))</f>
        <v>84</v>
      </c>
      <c r="H827" s="81" t="s">
        <v>20</v>
      </c>
      <c r="I827" s="81" t="s">
        <v>136</v>
      </c>
      <c r="J827" s="81" t="s">
        <v>74</v>
      </c>
      <c r="K827" s="98">
        <v>0.22569444444444445</v>
      </c>
      <c r="L827" s="98">
        <v>0.23472222222222222</v>
      </c>
      <c r="M827" s="79">
        <f ca="1">IFERROR(IF(K827="","",IF(L827="",MOD(NOW()-K827,1),IF(L827&gt;=K827,L827-K827,L827+1-K827))),"")</f>
        <v>9.0277777777777735E-3</v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15</v>
      </c>
      <c r="G828" s="104">
        <f>IF(F828="","",IF(E828="PC 17",F828*4.2,IF(E828="PC 19",F828*5,"")))</f>
        <v>63</v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261</v>
      </c>
      <c r="F829" s="100">
        <v>15</v>
      </c>
      <c r="G829" s="104">
        <f>IF(F829="","",IF(E829="PC 17",F829*4.2,IF(E829="PC 19",F829*5,"")))</f>
        <v>63</v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261</v>
      </c>
      <c r="F830" s="100">
        <v>8</v>
      </c>
      <c r="G830" s="104">
        <f>IF(F830="","",IF(E830="PC 17",F830*4.2,IF(E830="PC 19",F830*5,"")))</f>
        <v>33.6</v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261</v>
      </c>
      <c r="F831" s="100">
        <v>15</v>
      </c>
      <c r="G831" s="104">
        <f>IF(F831="","",IF(E831="PC 17",F831*4.2,IF(E831="PC 19",F831*5,"")))</f>
        <v>63</v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261</v>
      </c>
      <c r="F832" s="100">
        <v>15</v>
      </c>
      <c r="G832" s="104">
        <f>IF(F832="","",IF(E832="PC 17",F832*4.2,IF(E832="PC 19",F832*5,"")))</f>
        <v>63</v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30</v>
      </c>
      <c r="E833" s="108" t="s">
        <v>261</v>
      </c>
      <c r="F833" s="100">
        <v>14</v>
      </c>
      <c r="G833" s="104">
        <f>IF(F833="","",IF(E833="PC 17",F833*4.2,IF(E833="PC 19",F833*5,"")))</f>
        <v>58.800000000000004</v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30</v>
      </c>
      <c r="E834" s="108" t="s">
        <v>261</v>
      </c>
      <c r="F834" s="100">
        <v>2</v>
      </c>
      <c r="G834" s="104">
        <f>IF(F834="","",IF(E834="PC 17",F834*4.2,IF(E834="PC 19",F834*5,"")))</f>
        <v>8.4</v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30</v>
      </c>
      <c r="E835" s="108" t="s">
        <v>261</v>
      </c>
      <c r="F835" s="100">
        <v>14</v>
      </c>
      <c r="G835" s="104">
        <f>IF(F835="","",IF(E835="PC 17",F835*4.2,IF(E835="PC 19",F835*5,"")))</f>
        <v>58.800000000000004</v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30</v>
      </c>
      <c r="E836" s="108" t="s">
        <v>261</v>
      </c>
      <c r="F836" s="100"/>
      <c r="G836" s="104"/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136</v>
      </c>
      <c r="G837" s="109">
        <f>SUM(G825:G836)</f>
        <v>579.99999999999989</v>
      </c>
      <c r="H837" s="37"/>
      <c r="I837" s="37"/>
      <c r="J837" s="37"/>
      <c r="K837" s="37"/>
      <c r="L837" s="37"/>
      <c r="M837" s="110">
        <f ca="1">IFERROR(SUM(M825:M836),"")</f>
        <v>2.361111111111111E-2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231</v>
      </c>
      <c r="G838" s="111">
        <f>G824+G837</f>
        <v>978.99999999999977</v>
      </c>
      <c r="H838" s="41"/>
      <c r="I838" s="41"/>
      <c r="J838" s="41"/>
      <c r="K838" s="41"/>
      <c r="L838" s="41"/>
      <c r="M838" s="112">
        <f ca="1">IFERROR(M824+M837,"")</f>
        <v>8.1250000000000017E-2</v>
      </c>
      <c r="N838" s="111" t="s">
        <v>240</v>
      </c>
      <c r="O838" s="82">
        <f>IFERROR(O824+O837,"")</f>
        <v>441270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812" activePane="bottomLeft" state="frozen"/>
      <selection pane="bottomLeft" activeCell="F836" sqref="F83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237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237</v>
      </c>
      <c r="O27" s="39">
        <v>202230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240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237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237</v>
      </c>
      <c r="O54" s="39">
        <v>473910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240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389</v>
      </c>
      <c r="L58" s="29">
        <v>0.54097222222222219</v>
      </c>
      <c r="M58" s="30" t="str">
        <f t="shared" ca="1" si="13"/>
        <v/>
      </c>
      <c r="N58" s="27" t="s">
        <v>390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237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391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392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393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237</v>
      </c>
      <c r="O81" s="39">
        <v>565120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240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237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237</v>
      </c>
      <c r="O108" s="39">
        <v>558590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240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237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4.4103009277023375E-3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0.20371585648325796</v>
      </c>
      <c r="N135" s="36" t="s">
        <v>237</v>
      </c>
      <c r="O135" s="39">
        <v>729290</v>
      </c>
    </row>
    <row r="136" spans="1:18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0.57107696759436899</v>
      </c>
      <c r="N136" s="40" t="s">
        <v>240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237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400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237</v>
      </c>
      <c r="O162" s="39">
        <v>697320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240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261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401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237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237</v>
      </c>
      <c r="O189" s="39">
        <v>973580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240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402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403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237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237</v>
      </c>
      <c r="O216" s="45">
        <v>1060630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240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237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237</v>
      </c>
      <c r="O243" s="39">
        <v>982340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240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237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237</v>
      </c>
      <c r="O270" s="39">
        <v>1208450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240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237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237</v>
      </c>
      <c r="O297" s="39">
        <v>1049090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240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410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237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237</v>
      </c>
      <c r="O324" s="39">
        <v>1063720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240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19" t="s">
        <v>236</v>
      </c>
      <c r="B338" s="120"/>
      <c r="C338" s="120"/>
      <c r="D338" s="120"/>
      <c r="E338" s="12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237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411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412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237</v>
      </c>
      <c r="O351" s="39">
        <v>696140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240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236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237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413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237</v>
      </c>
      <c r="O378" s="39">
        <v>704750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240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401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237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237</v>
      </c>
      <c r="O405" s="39">
        <v>958130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240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237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237</v>
      </c>
      <c r="O432" s="39">
        <v>605220</v>
      </c>
    </row>
    <row r="433" spans="1:17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240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237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237</v>
      </c>
      <c r="O459" s="39">
        <v>615330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240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237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237</v>
      </c>
      <c r="O486" s="39">
        <v>1120830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240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234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234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234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261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261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261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261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261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237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420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237</v>
      </c>
      <c r="O513" s="39">
        <v>416720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240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421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422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237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237</v>
      </c>
      <c r="O540" s="39">
        <v>404370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240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423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237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261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261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261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261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261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261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237</v>
      </c>
      <c r="O567" s="39">
        <v>499820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240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237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261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261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261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261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261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261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261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261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237</v>
      </c>
      <c r="O594" s="39">
        <v>572580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240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428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237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261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261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237</v>
      </c>
      <c r="O621" s="39">
        <v>414860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240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429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237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430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237</v>
      </c>
      <c r="O648" s="39">
        <v>284850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240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431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237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432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237</v>
      </c>
      <c r="O675" s="39">
        <v>486620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240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261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237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433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434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237</v>
      </c>
      <c r="O702" s="39">
        <v>988790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240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237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435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237</v>
      </c>
      <c r="O729" s="39">
        <v>852470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240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436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437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237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237</v>
      </c>
      <c r="O756" s="39">
        <v>545970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240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344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237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434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438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237</v>
      </c>
      <c r="O783" s="39">
        <v>747380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240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439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440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441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237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>
        <v>0.16111111111111112</v>
      </c>
      <c r="M800" s="30">
        <f t="shared" ca="1" si="177"/>
        <v>1.1805555555555569E-2</v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20</v>
      </c>
      <c r="G801" s="34">
        <f t="shared" si="176"/>
        <v>84</v>
      </c>
      <c r="H801" s="33" t="s">
        <v>20</v>
      </c>
      <c r="I801" s="33" t="s">
        <v>57</v>
      </c>
      <c r="J801" s="33" t="s">
        <v>51</v>
      </c>
      <c r="K801" s="29">
        <v>0.17916666666666667</v>
      </c>
      <c r="L801" s="29">
        <v>0.18611111111111112</v>
      </c>
      <c r="M801" s="35">
        <f t="shared" ca="1" si="177"/>
        <v>6.9444444444444475E-3</v>
      </c>
      <c r="N801" s="27" t="s">
        <v>442</v>
      </c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10</v>
      </c>
      <c r="G802" s="34">
        <f t="shared" si="176"/>
        <v>42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15</v>
      </c>
      <c r="G806" s="34">
        <f t="shared" si="176"/>
        <v>63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19</v>
      </c>
      <c r="G807" s="34">
        <f t="shared" si="176"/>
        <v>79.8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13</v>
      </c>
      <c r="G808" s="34">
        <f t="shared" si="176"/>
        <v>54.6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8</v>
      </c>
      <c r="G809" s="34">
        <f t="shared" si="176"/>
        <v>33.6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160</v>
      </c>
      <c r="G810" s="36">
        <f>SUM(G798:G809)</f>
        <v>672.00000000000011</v>
      </c>
      <c r="H810" s="37"/>
      <c r="I810" s="37"/>
      <c r="J810" s="37"/>
      <c r="K810" s="61"/>
      <c r="L810" s="61"/>
      <c r="M810" s="38">
        <f ca="1">IFERROR(SUM(M798:M809),"")</f>
        <v>0.16736111111111121</v>
      </c>
      <c r="N810" s="36" t="s">
        <v>237</v>
      </c>
      <c r="O810" s="39">
        <v>784390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182</v>
      </c>
      <c r="G811" s="40">
        <f>G797+G810</f>
        <v>764.40000000000009</v>
      </c>
      <c r="H811" s="41"/>
      <c r="I811" s="41"/>
      <c r="J811" s="41"/>
      <c r="K811" s="63"/>
      <c r="L811" s="63"/>
      <c r="M811" s="42">
        <f ca="1">IFERROR(M797+M810,"")</f>
        <v>0.6166666666666667</v>
      </c>
      <c r="N811" s="40" t="s">
        <v>240</v>
      </c>
      <c r="O811" s="43">
        <f>IFERROR(O797+O810,"")</f>
        <v>883430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16</v>
      </c>
      <c r="I812" s="80" t="s">
        <v>57</v>
      </c>
      <c r="J812" s="80" t="s">
        <v>48</v>
      </c>
      <c r="K812" s="98">
        <v>0.3263888888888889</v>
      </c>
      <c r="L812" s="98">
        <v>0.39166666666666666</v>
      </c>
      <c r="M812" s="78">
        <f ca="1">IFERROR(IF(K812="","",IF(L812="",MOD(NOW()-K812,1),IF(L812&gt;=K812,L812-K812,L812+1-K812))),"")</f>
        <v>6.5277777777777768E-2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0</v>
      </c>
      <c r="G813" s="104">
        <f>IF(F813="","",IF(E813="PC 17",F813*4.2,IF(E813="PC 19",F813*5,"")))</f>
        <v>0</v>
      </c>
      <c r="H813" s="81" t="s">
        <v>20</v>
      </c>
      <c r="I813" s="81" t="s">
        <v>57</v>
      </c>
      <c r="J813" s="81" t="s">
        <v>28</v>
      </c>
      <c r="K813" s="98">
        <v>0.4236111111111111</v>
      </c>
      <c r="L813" s="98">
        <v>0.42916666666666664</v>
      </c>
      <c r="M813" s="79">
        <f ca="1">IFERROR(IF(K813="","",IF(L813="",MOD(NOW()-K813,1),IF(L813&gt;=K813,L813-K813,L813+1-K813))),"")</f>
        <v>5.5555555555555358E-3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6</v>
      </c>
      <c r="G814" s="104">
        <f>IF(F814="","",IF(E814="PC 17",F814*4.2,IF(E814="PC 19",F814*5,"")))</f>
        <v>25.200000000000003</v>
      </c>
      <c r="H814" s="80" t="s">
        <v>19</v>
      </c>
      <c r="I814" s="80" t="s">
        <v>160</v>
      </c>
      <c r="J814" s="80" t="s">
        <v>27</v>
      </c>
      <c r="K814" s="98">
        <v>0.55902777777777779</v>
      </c>
      <c r="L814" s="98">
        <v>0.58333333333333337</v>
      </c>
      <c r="M814" s="78">
        <f ca="1">IFERROR(IF(K814="","",IF(L814="",MOD(NOW()-K814,1),IF(L814&gt;=K814,L814-K814,L814+1-K814))),"")</f>
        <v>2.430555555555558E-2</v>
      </c>
      <c r="N814" s="105" t="s">
        <v>443</v>
      </c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57</v>
      </c>
      <c r="J815" s="81" t="s">
        <v>28</v>
      </c>
      <c r="K815" s="98">
        <v>0.74027777777777781</v>
      </c>
      <c r="L815" s="98">
        <v>0.76111111111111107</v>
      </c>
      <c r="M815" s="79">
        <f ca="1">IFERROR(IF(K815="","",IF(L815="",MOD(NOW()-K815,1),IF(L815&gt;=K815,L815-K815,L815+1-K815))),"")</f>
        <v>2.0833333333333259E-2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7</v>
      </c>
      <c r="G816" s="104">
        <f>IF(F816="","",IF(E816="PC 17",F816*4.2,IF(E816="PC 19",F816*5,"")))</f>
        <v>29.400000000000002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19</v>
      </c>
      <c r="G817" s="104">
        <f>IF(F817="","",IF(E817="PC 17",F817*4.2,IF(E817="PC 19",F817*5,"")))</f>
        <v>79.8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8</v>
      </c>
      <c r="G818" s="104">
        <f>IF(F818="","",IF(E818="PC 17",F818*4.2,IF(E818="PC 19",F818*5,"")))</f>
        <v>33.6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14</v>
      </c>
      <c r="G819" s="104">
        <f>IF(F819="","",IF(E819="PC 17",F819*4.2,IF(E819="PC 19",F819*5,"")))</f>
        <v>58.800000000000004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14</v>
      </c>
      <c r="G820" s="104">
        <f>IF(F820="","",IF(E820="PC 17",F820*4.2,IF(E820="PC 19",F820*5,"")))</f>
        <v>58.800000000000004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12</v>
      </c>
      <c r="G821" s="104">
        <f>IF(F821="","",IF(E821="PC 17",F821*4.2,IF(E821="PC 19",F821*5,"")))</f>
        <v>50.400000000000006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10</v>
      </c>
      <c r="G822" s="104">
        <f>IF(F822="","",IF(E822="PC 17",F822*4.2,IF(E822="PC 19",F822*5,"")))</f>
        <v>42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3</v>
      </c>
      <c r="G823" s="104">
        <f>IF(F823="","",IF(E823="PC 17",F823*4.2,IF(E823="PC 19",F823*5,"")))</f>
        <v>12.600000000000001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119</v>
      </c>
      <c r="G824" s="109">
        <f>SUM(G812:G823)</f>
        <v>499.80000000000007</v>
      </c>
      <c r="H824" s="37"/>
      <c r="I824" s="37"/>
      <c r="J824" s="37"/>
      <c r="K824" s="37"/>
      <c r="L824" s="37"/>
      <c r="M824" s="110">
        <f ca="1">IFERROR(SUM(M812:M823),"")</f>
        <v>0.11597222222222214</v>
      </c>
      <c r="N824" s="109" t="s">
        <v>237</v>
      </c>
      <c r="O824" s="77">
        <v>545810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10</v>
      </c>
      <c r="G825" s="104">
        <f>IF(F825="","",IF(E825="PC 17",F825*4.2,IF(E825="PC 19",F825*5,"")))</f>
        <v>42</v>
      </c>
      <c r="H825" s="81" t="s">
        <v>20</v>
      </c>
      <c r="I825" s="81" t="s">
        <v>57</v>
      </c>
      <c r="J825" s="81" t="s">
        <v>62</v>
      </c>
      <c r="K825" s="98">
        <v>0.84305555555555556</v>
      </c>
      <c r="L825" s="98">
        <v>0.84375</v>
      </c>
      <c r="M825" s="79">
        <f ca="1">IFERROR(IF(K825="","",IF(L825="",MOD(NOW()-K825,1),IF(L825&gt;=K825,L825-K825,L825+1-K825))),"")</f>
        <v>6.9444444444444198E-4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261</v>
      </c>
      <c r="F826" s="100">
        <v>10</v>
      </c>
      <c r="G826" s="104">
        <f>IF(F826="","",IF(E826="PC 17",F826*4.2,IF(E826="PC 19",F826*5,"")))</f>
        <v>42</v>
      </c>
      <c r="H826" s="80" t="s">
        <v>20</v>
      </c>
      <c r="I826" s="80" t="s">
        <v>57</v>
      </c>
      <c r="J826" s="80" t="s">
        <v>36</v>
      </c>
      <c r="K826" s="98">
        <v>0.87013888888888891</v>
      </c>
      <c r="L826" s="98">
        <v>0.87916666666666665</v>
      </c>
      <c r="M826" s="78">
        <f ca="1">IFERROR(IF(K826="","",IF(L826="",MOD(NOW()-K826,1),IF(L826&gt;=K826,L826-K826,L826+1-K826))),"")</f>
        <v>9.0277777777777457E-3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8</v>
      </c>
      <c r="G827" s="104">
        <f>IF(F827="","",IF(E827="PC 17",F827*4.2,IF(E827="PC 19",F827*5,"")))</f>
        <v>33.6</v>
      </c>
      <c r="H827" s="81" t="s">
        <v>20</v>
      </c>
      <c r="I827" s="81" t="s">
        <v>52</v>
      </c>
      <c r="J827" s="81" t="s">
        <v>165</v>
      </c>
      <c r="K827" s="98">
        <v>0.94097222222222221</v>
      </c>
      <c r="L827" s="98">
        <v>0.95138888888888884</v>
      </c>
      <c r="M827" s="79">
        <f ca="1">IFERROR(IF(K827="","",IF(L827="",MOD(NOW()-K827,1),IF(L827&gt;=K827,L827-K827,L827+1-K827))),"")</f>
        <v>1.041666666666663E-2</v>
      </c>
      <c r="N827" s="105" t="s">
        <v>444</v>
      </c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11</v>
      </c>
      <c r="G828" s="104">
        <f>IF(F828="","",IF(E828="PC 17",F828*4.2,IF(E828="PC 19",F828*5,"")))</f>
        <v>46.2</v>
      </c>
      <c r="H828" s="80" t="s">
        <v>19</v>
      </c>
      <c r="I828" s="80" t="s">
        <v>57</v>
      </c>
      <c r="J828" s="80" t="s">
        <v>27</v>
      </c>
      <c r="K828" s="98">
        <v>0.95138888888888884</v>
      </c>
      <c r="L828" s="98">
        <v>0.96111111111111114</v>
      </c>
      <c r="M828" s="78">
        <f ca="1">IFERROR(IF(K828="","",IF(L828="",MOD(NOW()-K828,1),IF(L828&gt;=K828,L828-K828,L828+1-K828))),"")</f>
        <v>9.7222222222222987E-3</v>
      </c>
      <c r="N828" s="105" t="s">
        <v>329</v>
      </c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30</v>
      </c>
      <c r="E829" s="108" t="s">
        <v>261</v>
      </c>
      <c r="F829" s="100">
        <v>15</v>
      </c>
      <c r="G829" s="104">
        <f>IF(F829="","",IF(E829="PC 17",F829*4.2,IF(E829="PC 19",F829*5,"")))</f>
        <v>63</v>
      </c>
      <c r="H829" s="81" t="s">
        <v>20</v>
      </c>
      <c r="I829" s="81" t="s">
        <v>57</v>
      </c>
      <c r="J829" s="81" t="s">
        <v>62</v>
      </c>
      <c r="K829" s="98">
        <v>0.97430555555555554</v>
      </c>
      <c r="L829" s="98">
        <v>0.97499999999999998</v>
      </c>
      <c r="M829" s="79">
        <f ca="1">IFERROR(IF(K829="","",IF(L829="",MOD(NOW()-K829,1),IF(L829&gt;=K829,L829-K829,L829+1-K829))),"")</f>
        <v>6.9444444444444198E-4</v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30</v>
      </c>
      <c r="E830" s="108" t="s">
        <v>261</v>
      </c>
      <c r="F830" s="100">
        <v>10</v>
      </c>
      <c r="G830" s="104">
        <f>IF(F830="","",IF(E830="PC 17",F830*4.2,IF(E830="PC 19",F830*5,"")))</f>
        <v>42</v>
      </c>
      <c r="H830" s="80" t="s">
        <v>20</v>
      </c>
      <c r="I830" s="80" t="s">
        <v>57</v>
      </c>
      <c r="J830" s="80" t="s">
        <v>56</v>
      </c>
      <c r="K830" s="98">
        <v>6.3888888888888884E-2</v>
      </c>
      <c r="L830" s="98">
        <v>8.1944444444444445E-2</v>
      </c>
      <c r="M830" s="78">
        <f ca="1">IFERROR(IF(K830="","",IF(L830="",MOD(NOW()-K830,1),IF(L830&gt;=K830,L830-K830,L830+1-K830))),"")</f>
        <v>1.8055555555555561E-2</v>
      </c>
      <c r="N830" s="105" t="s">
        <v>384</v>
      </c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30</v>
      </c>
      <c r="E831" s="108" t="s">
        <v>261</v>
      </c>
      <c r="F831" s="100">
        <v>15</v>
      </c>
      <c r="G831" s="104">
        <f>IF(F831="","",IF(E831="PC 17",F831*4.2,IF(E831="PC 19",F831*5,"")))</f>
        <v>63</v>
      </c>
      <c r="H831" s="81" t="s">
        <v>20</v>
      </c>
      <c r="I831" s="81" t="s">
        <v>57</v>
      </c>
      <c r="J831" s="81" t="s">
        <v>28</v>
      </c>
      <c r="K831" s="98">
        <v>0.23749999999999999</v>
      </c>
      <c r="L831" s="98"/>
      <c r="M831" s="79">
        <f ca="1">IFERROR(IF(K831="","",IF(L831="",MOD(NOW()-K831,1),IF(L831&gt;=K831,L831-K831,L831+1-K831))),"")</f>
        <v>1.6215856478083879E-2</v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30</v>
      </c>
      <c r="E832" s="108" t="s">
        <v>261</v>
      </c>
      <c r="F832" s="100">
        <v>10</v>
      </c>
      <c r="G832" s="104">
        <f>IF(F832="","",IF(E832="PC 17",F832*4.2,IF(E832="PC 19",F832*5,"")))</f>
        <v>42</v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30</v>
      </c>
      <c r="E833" s="108" t="s">
        <v>261</v>
      </c>
      <c r="F833" s="100">
        <v>24</v>
      </c>
      <c r="G833" s="104">
        <f>IF(F833="","",IF(E833="PC 17",F833*4.2,IF(E833="PC 19",F833*5,"")))</f>
        <v>100.80000000000001</v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30</v>
      </c>
      <c r="E834" s="108" t="s">
        <v>261</v>
      </c>
      <c r="F834" s="100">
        <v>12</v>
      </c>
      <c r="G834" s="104">
        <f>IF(F834="","",IF(E834="PC 17",F834*4.2,IF(E834="PC 19",F834*5,"")))</f>
        <v>50.400000000000006</v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30</v>
      </c>
      <c r="E835" s="108" t="s">
        <v>261</v>
      </c>
      <c r="F835" s="100">
        <v>14</v>
      </c>
      <c r="G835" s="104">
        <f>IF(F835="","",IF(E835="PC 17",F835*4.2,IF(E835="PC 19",F835*5,"")))</f>
        <v>58.800000000000004</v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30</v>
      </c>
      <c r="E836" s="108" t="s">
        <v>261</v>
      </c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139</v>
      </c>
      <c r="G837" s="109">
        <f>SUM(G825:G836)</f>
        <v>583.79999999999995</v>
      </c>
      <c r="H837" s="37"/>
      <c r="I837" s="37"/>
      <c r="J837" s="37"/>
      <c r="K837" s="37"/>
      <c r="L837" s="37"/>
      <c r="M837" s="110">
        <f ca="1">IFERROR(SUM(M825:M836),"")</f>
        <v>6.4826967589194998E-2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258</v>
      </c>
      <c r="G838" s="111">
        <f>G824+G837</f>
        <v>1083.5999999999999</v>
      </c>
      <c r="H838" s="41"/>
      <c r="I838" s="41"/>
      <c r="J838" s="41"/>
      <c r="K838" s="41"/>
      <c r="L838" s="41"/>
      <c r="M838" s="112">
        <f ca="1">IFERROR(M824+M837,"")</f>
        <v>0.18079918981141713</v>
      </c>
      <c r="N838" s="111" t="s">
        <v>240</v>
      </c>
      <c r="O838" s="82">
        <f>IFERROR(O824+O837,"")</f>
        <v>545810</v>
      </c>
    </row>
  </sheetData>
  <mergeCells count="92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108:E108"/>
    <mergeCell ref="A109:E109"/>
    <mergeCell ref="A122:E122"/>
    <mergeCell ref="A756:E756"/>
    <mergeCell ref="A757:E757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97:E797"/>
    <mergeCell ref="A810:E810"/>
    <mergeCell ref="A811:E81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2026-08-01T10:05:45Z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