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337" documentId="8_{AF585B22-221D-4780-BB9C-493D365A6A02}" xr6:coauthVersionLast="47" xr6:coauthVersionMax="47" xr10:uidLastSave="{2FAEABAE-822E-4ED3-BED8-1AD1B2E74C4C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<sst xmlns="http://schemas.openxmlformats.org/spreadsheetml/2006/main" count="8184" uniqueCount="357">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</sst>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20" sqref="F52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87</v>
      </c>
      <c r="G527" s="36">
        <f>SUM(G515:G526)</f>
        <v>435</v>
      </c>
      <c r="H527" s="37"/>
      <c r="I527" s="37"/>
      <c r="J527" s="37"/>
      <c r="K527" s="37"/>
      <c r="L527" s="37"/>
      <c r="M527" s="38">
        <f ca="1">IFERROR(SUM(M515:M526),"")</f>
        <v>8.5416666666666696E-2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87</v>
      </c>
      <c r="G541" s="40">
        <f>G527+G540</f>
        <v>435</v>
      </c>
      <c r="H541" s="41"/>
      <c r="I541" s="41"/>
      <c r="J541" s="41"/>
      <c r="K541" s="41"/>
      <c r="L541" s="41"/>
      <c r="M541" s="42">
        <f ca="1">IFERROR(M527+M540,"")</f>
        <v>8.5416666666666696E-2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02" activePane="bottomLeft" state="frozen"/>
      <selection pane="bottomLeft" activeCell="J521" sqref="J5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0.27874027777579613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0.43637916666468501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0.54610138888690718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0.25721250000060536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0.42804583333393875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0.57318472222282768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/>
      <c r="G520" s="28" t="str">
        <f t="shared" si="114"/>
        <v/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/>
      <c r="M521" s="35">
        <f t="shared" ca="1" si="115"/>
        <v>9.6226851746905595E-4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84</v>
      </c>
      <c r="G527" s="36">
        <f>SUM(G515:G526)</f>
        <v>352.8</v>
      </c>
      <c r="H527" s="37"/>
      <c r="I527" s="37"/>
      <c r="J527" s="37"/>
      <c r="K527" s="37"/>
      <c r="L527" s="37"/>
      <c r="M527" s="38">
        <f ca="1">IFERROR(SUM(M515:M526),"")</f>
        <v>4.4712268517469067E-2</v>
      </c>
      <c r="N527" s="36" t="s">
        <v>231</v>
      </c>
      <c r="O527" s="77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84</v>
      </c>
      <c r="G541" s="40">
        <f>G527+G540</f>
        <v>352.8</v>
      </c>
      <c r="H541" s="41"/>
      <c r="I541" s="41"/>
      <c r="J541" s="41"/>
      <c r="K541" s="41"/>
      <c r="L541" s="41"/>
      <c r="M541" s="42">
        <f ca="1">IFERROR(M527+M540,"")</f>
        <v>4.4712268517469067E-2</v>
      </c>
      <c r="N541" s="40" t="s">
        <v>234</v>
      </c>
      <c r="O541" s="83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 E513:E514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89" zoomScale="50" zoomScaleNormal="50" workbookViewId="0">
      <selection activeCell="F520" sqref="F5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307</v>
      </c>
      <c r="N166" s="27" t="s">
        <v>308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31</v>
      </c>
      <c r="G527" s="36">
        <f>SUM(G515:G526)</f>
        <v>130.20000000000002</v>
      </c>
      <c r="H527" s="37"/>
      <c r="I527" s="37"/>
      <c r="J527" s="37"/>
      <c r="K527" s="37"/>
      <c r="L527" s="37"/>
      <c r="M527" s="38">
        <f ca="1">IFERROR(SUM(M515:M526),"")</f>
        <v>8.3333333333333592E-3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31</v>
      </c>
      <c r="G541" s="40">
        <f>G527+G540</f>
        <v>130.20000000000002</v>
      </c>
      <c r="H541" s="41"/>
      <c r="I541" s="41"/>
      <c r="J541" s="41"/>
      <c r="K541" s="41"/>
      <c r="L541" s="41"/>
      <c r="M541" s="42">
        <f ca="1">IFERROR(M527+M540,"")</f>
        <v>8.3333333333333592E-3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93" activePane="bottomLeft" state="frozen"/>
      <selection pane="bottomLeft" activeCell="F518" sqref="F51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324</v>
      </c>
      <c r="L58" s="29">
        <v>0.54097222222222219</v>
      </c>
      <c r="M58" s="30" t="str">
        <f t="shared" ca="1" si="13"/>
        <v/>
      </c>
      <c r="N58" s="27" t="s">
        <v>325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0.26901805555826286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0.46832361111381848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0.83568472222492951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/>
      <c r="M515" s="35">
        <f t="shared" ref="M515:M526" ca="1" si="115">IFERROR(IF(K515="","",IF(L515="",MOD(NOW()-K515,1),IF(L515&gt;=K515,L515-K515,L515+1-K515))),"")</f>
        <v>0.22665694444731344</v>
      </c>
      <c r="N515" s="27"/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0.22665694444731344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0.22665694444731344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2026-07-20T16:28:14Z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