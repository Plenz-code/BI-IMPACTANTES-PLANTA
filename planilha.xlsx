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277" documentId="13_ncr:1_{A6DBCFB4-28D9-4249-9038-216934055CA6}" xr6:coauthVersionLast="47" xr6:coauthVersionMax="47" xr10:uidLastSave="{D25FF274-36A4-440E-BEED-ED1B03572F09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35" i="1" l="1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12" i="4" l="1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<sst xmlns="http://schemas.openxmlformats.org/spreadsheetml/2006/main" count="9211" uniqueCount="405">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</sst>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P18" sqref="P1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74069910</v>
      </c>
      <c r="D35" s="30">
        <f t="shared" si="2"/>
        <v>24442520</v>
      </c>
      <c r="E35" s="30">
        <f t="shared" si="2"/>
        <v>12931650</v>
      </c>
      <c r="F35" s="30">
        <f t="shared" si="2"/>
        <v>31416610</v>
      </c>
      <c r="G35" s="30">
        <f t="shared" si="2"/>
        <v>68790780</v>
      </c>
      <c r="H35" s="31">
        <f t="shared" si="2"/>
        <v>6165.6854726915117</v>
      </c>
      <c r="I35" s="31">
        <f t="shared" si="2"/>
        <v>4967.05</v>
      </c>
      <c r="J35" s="32">
        <f>I35/H35</f>
        <v>0.80559574795042699</v>
      </c>
      <c r="K35" s="33">
        <f>SUM(K4:K34)</f>
        <v>450.78</v>
      </c>
      <c r="L35" s="34">
        <f>IFERROR(SUM(L4:L34),"")</f>
        <v>6042.6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38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567</v>
      </c>
      <c r="F61" s="150">
        <f>IFERROR(SUM(F59:F60),"")</f>
        <v>1530.9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520" activePane="bottomLeft" state="frozen"/>
      <selection pane="bottomLeft" activeCell="J542" sqref="J542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261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259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295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259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259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259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259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259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259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259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259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259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259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259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261</v>
      </c>
      <c r="O540" s="74">
        <v>667100</v>
      </c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264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/>
      <c r="M542" s="66">
        <f t="shared" ref="M542:M553" ca="1" si="117">IFERROR(IF(K542="","",IF(L542="",MOD(NOW()-K542,1),IF(L542&gt;=K542,L542-K542,L542+1-K542))),"")</f>
        <v>3.6237500004062895E-2</v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3.6237500004062895E-2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3.6237500004062895E-2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20" activePane="bottomLeft" state="frozen"/>
      <selection pane="bottomLeft" activeCell="N546" sqref="N546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298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299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300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302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303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304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305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0.20637638888729271</v>
      </c>
      <c r="R53" s="80" t="s">
        <v>306</v>
      </c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0.34526527777618043</v>
      </c>
      <c r="R54" s="2" t="s">
        <v>261</v>
      </c>
      <c r="S54" s="113">
        <v>352430</v>
      </c>
      <c r="T54" s="114"/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0.42998749999840324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298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307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308</v>
      </c>
      <c r="Q96" s="66" t="str">
        <f t="shared" ref="Q96:Q107" ca="1" si="22">IFERROR(IF(O96="","",IF(P96="",MOD(NOW()-O96,1),IF(P96&gt;=O96,P96-O96,P96+1-O96))),"")</f>
        <v/>
      </c>
      <c r="R96" s="80" t="s">
        <v>309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310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311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312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313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314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315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317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318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319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312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307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321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322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323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324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325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326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327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319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314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307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328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329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330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331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332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333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334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335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336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337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338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314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339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340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261</v>
      </c>
      <c r="S540" s="74">
        <v>399600</v>
      </c>
      <c r="T540" s="99">
        <f>IFERROR(J540,"")</f>
        <v>64.532992771084338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264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274</v>
      </c>
      <c r="F542" s="101">
        <f>IFERROR(IF($D542="","",VLOOKUP($D542,Cadastro!$C$4:$E$7,3,FALSE())),"")</f>
        <v>0.24</v>
      </c>
      <c r="G542" s="89"/>
      <c r="H542" s="101" t="str">
        <f>IFERROR(IF($G542="","",$G542*$S$554/$G$554/Cadastro!$E$33),"")</f>
        <v/>
      </c>
      <c r="I542" s="102">
        <f>IFERROR(IF($D542="","",VLOOKUP($D542,Cadastro!$C$4:$G$7,5,FALSE())),"")</f>
        <v>0.6</v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274</v>
      </c>
      <c r="F543" s="88">
        <f>IFERROR(IF($D543="","",VLOOKUP($D543,Cadastro!$C$4:$E$7,3,FALSE())),"")</f>
        <v>0.24</v>
      </c>
      <c r="G543" s="89"/>
      <c r="H543" s="88" t="str">
        <f>IFERROR(IF($G543="","",$G543*$S$554/$G$554/Cadastro!$E$33),"")</f>
        <v/>
      </c>
      <c r="I543" s="90">
        <f>IFERROR(IF($D543="","",VLOOKUP($D543,Cadastro!$C$4:$G$7,5,FALSE())),"")</f>
        <v>0.6</v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274</v>
      </c>
      <c r="F544" s="88">
        <f>IFERROR(IF($D544="","",VLOOKUP($D544,Cadastro!$C$4:$E$7,3,FALSE())),"")</f>
        <v>0.24</v>
      </c>
      <c r="G544" s="89"/>
      <c r="H544" s="88" t="str">
        <f>IFERROR(IF($G544="","",$G544*$S$554/$G$554/Cadastro!$E$33),"")</f>
        <v/>
      </c>
      <c r="I544" s="90">
        <f>IFERROR(IF($D544="","",VLOOKUP($D544,Cadastro!$C$4:$G$7,5,FALSE())),"")</f>
        <v>0.6</v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274</v>
      </c>
      <c r="F545" s="88">
        <f>IFERROR(IF($D545="","",VLOOKUP($D545,Cadastro!$C$4:$E$7,3,FALSE())),"")</f>
        <v>0.24</v>
      </c>
      <c r="G545" s="89"/>
      <c r="H545" s="88" t="str">
        <f>IFERROR(IF($G545="","",$G545*$S$554/$G$554/Cadastro!$E$33),"")</f>
        <v/>
      </c>
      <c r="I545" s="90">
        <f>IFERROR(IF($D545="","",VLOOKUP($D545,Cadastro!$C$4:$G$7,5,FALSE())),"")</f>
        <v>0.6</v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274</v>
      </c>
      <c r="F546" s="88">
        <f>IFERROR(IF($D546="","",VLOOKUP($D546,Cadastro!$C$4:$E$7,3,FALSE())),"")</f>
        <v>0.24</v>
      </c>
      <c r="G546" s="89"/>
      <c r="H546" s="88" t="str">
        <f>IFERROR(IF($G546="","",$G546*$S$554/$G$554/Cadastro!$E$33),"")</f>
        <v/>
      </c>
      <c r="I546" s="90">
        <f>IFERROR(IF($D546="","",VLOOKUP($D546,Cadastro!$C$4:$G$7,5,FALSE())),"")</f>
        <v>0.6</v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274</v>
      </c>
      <c r="F547" s="88">
        <f>IFERROR(IF($D547="","",VLOOKUP($D547,Cadastro!$C$4:$E$7,3,FALSE())),"")</f>
        <v>0.24</v>
      </c>
      <c r="G547" s="89"/>
      <c r="H547" s="88" t="str">
        <f>IFERROR(IF($G547="","",$G547*$S$554/$G$554/Cadastro!$E$33),"")</f>
        <v/>
      </c>
      <c r="I547" s="90">
        <f>IFERROR(IF($D547="","",VLOOKUP($D547,Cadastro!$C$4:$G$7,5,FALSE())),"")</f>
        <v>0.6</v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274</v>
      </c>
      <c r="F548" s="88">
        <f>IFERROR(IF($D548="","",VLOOKUP($D548,Cadastro!$C$4:$E$7,3,FALSE())),"")</f>
        <v>0.24</v>
      </c>
      <c r="G548" s="89"/>
      <c r="H548" s="88" t="str">
        <f>IFERROR(IF($G548="","",$G548*$S$554/$G$554/Cadastro!$E$33),"")</f>
        <v/>
      </c>
      <c r="I548" s="90">
        <f>IFERROR(IF($D548="","",VLOOKUP($D548,Cadastro!$C$4:$G$7,5,FALSE())),"")</f>
        <v>0.6</v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274</v>
      </c>
      <c r="F549" s="88">
        <f>IFERROR(IF($D549="","",VLOOKUP($D549,Cadastro!$C$4:$E$7,3,FALSE())),"")</f>
        <v>0.24</v>
      </c>
      <c r="G549" s="89"/>
      <c r="H549" s="88" t="str">
        <f>IFERROR(IF($G549="","",$G549*$S$554/$G$554/Cadastro!$E$33),"")</f>
        <v/>
      </c>
      <c r="I549" s="90">
        <f>IFERROR(IF($D549="","",VLOOKUP($D549,Cadastro!$C$4:$G$7,5,FALSE())),"")</f>
        <v>0.6</v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274</v>
      </c>
      <c r="F550" s="88">
        <f>IFERROR(IF($D550="","",VLOOKUP($D550,Cadastro!$C$4:$E$7,3,FALSE())),"")</f>
        <v>0.24</v>
      </c>
      <c r="G550" s="89"/>
      <c r="H550" s="88" t="str">
        <f>IFERROR(IF($G550="","",$G550*$S$554/$G$554/Cadastro!$E$33),"")</f>
        <v/>
      </c>
      <c r="I550" s="90">
        <f>IFERROR(IF($D550="","",VLOOKUP($D550,Cadastro!$C$4:$G$7,5,FALSE())),"")</f>
        <v>0.6</v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274</v>
      </c>
      <c r="F551" s="88">
        <f>IFERROR(IF($D551="","",VLOOKUP($D551,Cadastro!$C$4:$E$7,3,FALSE())),"")</f>
        <v>0.24</v>
      </c>
      <c r="G551" s="89"/>
      <c r="H551" s="88" t="str">
        <f>IFERROR(IF($G551="","",$G551*$S$554/$G$554/Cadastro!$E$33),"")</f>
        <v/>
      </c>
      <c r="I551" s="90">
        <f>IFERROR(IF($D551="","",VLOOKUP($D551,Cadastro!$C$4:$G$7,5,FALSE())),"")</f>
        <v>0.6</v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274</v>
      </c>
      <c r="F552" s="88">
        <f>IFERROR(IF($D552="","",VLOOKUP($D552,Cadastro!$C$4:$E$7,3,FALSE())),"")</f>
        <v>0.24</v>
      </c>
      <c r="G552" s="89"/>
      <c r="H552" s="88" t="str">
        <f>IFERROR(IF($G552="","",$G552*$S$554/$G$554/Cadastro!$E$33),"")</f>
        <v/>
      </c>
      <c r="I552" s="90">
        <f>IFERROR(IF($D552="","",VLOOKUP($D552,Cadastro!$C$4:$G$7,5,FALSE())),"")</f>
        <v>0.6</v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274</v>
      </c>
      <c r="F553" s="92">
        <f>IFERROR(IF($D553="","",VLOOKUP($D553,Cadastro!$C$4:$E$7,3,FALSE())),"")</f>
        <v>0.24</v>
      </c>
      <c r="G553" s="89"/>
      <c r="H553" s="92" t="str">
        <f>IFERROR(IF($G553="","",$G553*$S$554/$G$554/Cadastro!$E$33),"")</f>
        <v/>
      </c>
      <c r="I553" s="93">
        <f>IFERROR(IF($D553="","",VLOOKUP($D553,Cadastro!$C$4:$G$7,5,FALSE())),"")</f>
        <v>0.6</v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1.3888888888888895E-2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1.3888888888888895E-2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21" activePane="bottomLeft" state="frozen"/>
      <selection pane="bottomLeft" activeCell="R533" sqref="R533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341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301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342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307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341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341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343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344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345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346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347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348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349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315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307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350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351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318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318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352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353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354</v>
      </c>
      <c r="Q222" s="66" t="str">
        <f t="shared" ca="1" si="49"/>
        <v/>
      </c>
      <c r="R222" s="63" t="s">
        <v>355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356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325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357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326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307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358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329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359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360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361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361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362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307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363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348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364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365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366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307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367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261</v>
      </c>
      <c r="S540" s="74">
        <v>270460</v>
      </c>
      <c r="T540" s="99">
        <f>IFERROR(J540,"")</f>
        <v>46.847219016393439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264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274</v>
      </c>
      <c r="F542" s="101">
        <f>IFERROR(IF($D542="","",VLOOKUP($D542,Cadastro!$C$4:$E$7,3,FALSE())),"")</f>
        <v>0.24</v>
      </c>
      <c r="G542" s="89"/>
      <c r="H542" s="101" t="str">
        <f>IFERROR(IF($G542="","",$G542*$S$554/$G$554/Cadastro!$E$33),"")</f>
        <v/>
      </c>
      <c r="I542" s="102">
        <f>IFERROR(IF($D542="","",VLOOKUP($D542,Cadastro!$C$4:$G$7,5,FALSE())),"")</f>
        <v>0.6</v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/>
      <c r="Q542" s="66">
        <f t="shared" ref="Q542:Q553" ca="1" si="137">IFERROR(IF(O542="","",IF(P542="",MOD(NOW()-O542,1),IF(P542&gt;=O542,P542-O542,P542+1-O542))),"")</f>
        <v>3.6237500004062895E-2</v>
      </c>
      <c r="R542" s="63" t="s">
        <v>368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274</v>
      </c>
      <c r="F543" s="88">
        <f>IFERROR(IF($D543="","",VLOOKUP($D543,Cadastro!$C$4:$E$7,3,FALSE())),"")</f>
        <v>0.24</v>
      </c>
      <c r="G543" s="89"/>
      <c r="H543" s="88" t="str">
        <f>IFERROR(IF($G543="","",$G543*$S$554/$G$554/Cadastro!$E$33),"")</f>
        <v/>
      </c>
      <c r="I543" s="90">
        <f>IFERROR(IF($D543="","",VLOOKUP($D543,Cadastro!$C$4:$G$7,5,FALSE())),"")</f>
        <v>0.6</v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274</v>
      </c>
      <c r="F544" s="88">
        <f>IFERROR(IF($D544="","",VLOOKUP($D544,Cadastro!$C$4:$E$7,3,FALSE())),"")</f>
        <v>0.24</v>
      </c>
      <c r="G544" s="89"/>
      <c r="H544" s="88" t="str">
        <f>IFERROR(IF($G544="","",$G544*$S$554/$G$554/Cadastro!$E$33),"")</f>
        <v/>
      </c>
      <c r="I544" s="90">
        <f>IFERROR(IF($D544="","",VLOOKUP($D544,Cadastro!$C$4:$G$7,5,FALSE())),"")</f>
        <v>0.6</v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274</v>
      </c>
      <c r="F545" s="88">
        <f>IFERROR(IF($D545="","",VLOOKUP($D545,Cadastro!$C$4:$E$7,3,FALSE())),"")</f>
        <v>0.24</v>
      </c>
      <c r="G545" s="89"/>
      <c r="H545" s="88" t="str">
        <f>IFERROR(IF($G545="","",$G545*$S$554/$G$554/Cadastro!$E$33),"")</f>
        <v/>
      </c>
      <c r="I545" s="90">
        <f>IFERROR(IF($D545="","",VLOOKUP($D545,Cadastro!$C$4:$G$7,5,FALSE())),"")</f>
        <v>0.6</v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274</v>
      </c>
      <c r="F546" s="88">
        <f>IFERROR(IF($D546="","",VLOOKUP($D546,Cadastro!$C$4:$E$7,3,FALSE())),"")</f>
        <v>0.24</v>
      </c>
      <c r="G546" s="89"/>
      <c r="H546" s="88" t="str">
        <f>IFERROR(IF($G546="","",$G546*$S$554/$G$554/Cadastro!$E$33),"")</f>
        <v/>
      </c>
      <c r="I546" s="90">
        <f>IFERROR(IF($D546="","",VLOOKUP($D546,Cadastro!$C$4:$G$7,5,FALSE())),"")</f>
        <v>0.6</v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274</v>
      </c>
      <c r="F547" s="88">
        <f>IFERROR(IF($D547="","",VLOOKUP($D547,Cadastro!$C$4:$E$7,3,FALSE())),"")</f>
        <v>0.24</v>
      </c>
      <c r="G547" s="89"/>
      <c r="H547" s="88" t="str">
        <f>IFERROR(IF($G547="","",$G547*$S$554/$G$554/Cadastro!$E$33),"")</f>
        <v/>
      </c>
      <c r="I547" s="90">
        <f>IFERROR(IF($D547="","",VLOOKUP($D547,Cadastro!$C$4:$G$7,5,FALSE())),"")</f>
        <v>0.6</v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274</v>
      </c>
      <c r="F548" s="88">
        <f>IFERROR(IF($D548="","",VLOOKUP($D548,Cadastro!$C$4:$E$7,3,FALSE())),"")</f>
        <v>0.24</v>
      </c>
      <c r="G548" s="89"/>
      <c r="H548" s="88" t="str">
        <f>IFERROR(IF($G548="","",$G548*$S$554/$G$554/Cadastro!$E$33),"")</f>
        <v/>
      </c>
      <c r="I548" s="90">
        <f>IFERROR(IF($D548="","",VLOOKUP($D548,Cadastro!$C$4:$G$7,5,FALSE())),"")</f>
        <v>0.6</v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274</v>
      </c>
      <c r="F549" s="88">
        <f>IFERROR(IF($D549="","",VLOOKUP($D549,Cadastro!$C$4:$E$7,3,FALSE())),"")</f>
        <v>0.24</v>
      </c>
      <c r="G549" s="89"/>
      <c r="H549" s="88" t="str">
        <f>IFERROR(IF($G549="","",$G549*$S$554/$G$554/Cadastro!$E$33),"")</f>
        <v/>
      </c>
      <c r="I549" s="90">
        <f>IFERROR(IF($D549="","",VLOOKUP($D549,Cadastro!$C$4:$G$7,5,FALSE())),"")</f>
        <v>0.6</v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274</v>
      </c>
      <c r="F550" s="88">
        <f>IFERROR(IF($D550="","",VLOOKUP($D550,Cadastro!$C$4:$E$7,3,FALSE())),"")</f>
        <v>0.24</v>
      </c>
      <c r="G550" s="89"/>
      <c r="H550" s="88" t="str">
        <f>IFERROR(IF($G550="","",$G550*$S$554/$G$554/Cadastro!$E$33),"")</f>
        <v/>
      </c>
      <c r="I550" s="90">
        <f>IFERROR(IF($D550="","",VLOOKUP($D550,Cadastro!$C$4:$G$7,5,FALSE())),"")</f>
        <v>0.6</v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274</v>
      </c>
      <c r="F551" s="88">
        <f>IFERROR(IF($D551="","",VLOOKUP($D551,Cadastro!$C$4:$E$7,3,FALSE())),"")</f>
        <v>0.24</v>
      </c>
      <c r="G551" s="89"/>
      <c r="H551" s="88" t="str">
        <f>IFERROR(IF($G551="","",$G551*$S$554/$G$554/Cadastro!$E$33),"")</f>
        <v/>
      </c>
      <c r="I551" s="90">
        <f>IFERROR(IF($D551="","",VLOOKUP($D551,Cadastro!$C$4:$G$7,5,FALSE())),"")</f>
        <v>0.6</v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274</v>
      </c>
      <c r="F552" s="88">
        <f>IFERROR(IF($D552="","",VLOOKUP($D552,Cadastro!$C$4:$E$7,3,FALSE())),"")</f>
        <v>0.24</v>
      </c>
      <c r="G552" s="89"/>
      <c r="H552" s="88" t="str">
        <f>IFERROR(IF($G552="","",$G552*$S$554/$G$554/Cadastro!$E$33),"")</f>
        <v/>
      </c>
      <c r="I552" s="90">
        <f>IFERROR(IF($D552="","",VLOOKUP($D552,Cadastro!$C$4:$G$7,5,FALSE())),"")</f>
        <v>0.6</v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274</v>
      </c>
      <c r="F553" s="92">
        <f>IFERROR(IF($D553="","",VLOOKUP($D553,Cadastro!$C$4:$E$7,3,FALSE())),"")</f>
        <v>0.24</v>
      </c>
      <c r="G553" s="89"/>
      <c r="H553" s="92" t="str">
        <f>IFERROR(IF($G553="","",$G553*$S$554/$G$554/Cadastro!$E$33),"")</f>
        <v/>
      </c>
      <c r="I553" s="93">
        <f>IFERROR(IF($D553="","",VLOOKUP($D553,Cadastro!$C$4:$G$7,5,FALSE())),"")</f>
        <v>0.6</v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3.6237500004062895E-2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3.6237500004062895E-2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23" activePane="bottomLeft" state="frozen"/>
      <selection pane="bottomLeft" activeCell="P543" sqref="P543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369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304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341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370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371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372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373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374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375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341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341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376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377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307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341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378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379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315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380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381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382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383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384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385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386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387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388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389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390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391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392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393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394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395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396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397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329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398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399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400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401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402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396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403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363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404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261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259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274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261</v>
      </c>
      <c r="S540" s="74">
        <v>746110</v>
      </c>
      <c r="T540" s="99">
        <f>IFERROR(J540,"")</f>
        <v>126.60637832335328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264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274</v>
      </c>
      <c r="F542" s="101">
        <f>IFERROR(IF($D542="","",VLOOKUP($D542,Cadastro!$C$4:$E$7,3,FALSE())),"")</f>
        <v>0.24</v>
      </c>
      <c r="G542" s="89"/>
      <c r="H542" s="101" t="str">
        <f>IFERROR(IF($G542="","",$G542*$S$554/$G$554/Cadastro!$E$33),"")</f>
        <v/>
      </c>
      <c r="I542" s="102">
        <f>IFERROR(IF($D542="","",VLOOKUP($D542,Cadastro!$C$4:$G$7,5,FALSE())),"")</f>
        <v>0.6</v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274</v>
      </c>
      <c r="F543" s="88">
        <f>IFERROR(IF($D543="","",VLOOKUP($D543,Cadastro!$C$4:$E$7,3,FALSE())),"")</f>
        <v>0.24</v>
      </c>
      <c r="G543" s="89"/>
      <c r="H543" s="88" t="str">
        <f>IFERROR(IF($G543="","",$G543*$S$554/$G$554/Cadastro!$E$33),"")</f>
        <v/>
      </c>
      <c r="I543" s="90">
        <f>IFERROR(IF($D543="","",VLOOKUP($D543,Cadastro!$C$4:$G$7,5,FALSE())),"")</f>
        <v>0.6</v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274</v>
      </c>
      <c r="F544" s="88">
        <f>IFERROR(IF($D544="","",VLOOKUP($D544,Cadastro!$C$4:$E$7,3,FALSE())),"")</f>
        <v>0.24</v>
      </c>
      <c r="G544" s="89"/>
      <c r="H544" s="88" t="str">
        <f>IFERROR(IF($G544="","",$G544*$S$554/$G$554/Cadastro!$E$33),"")</f>
        <v/>
      </c>
      <c r="I544" s="90">
        <f>IFERROR(IF($D544="","",VLOOKUP($D544,Cadastro!$C$4:$G$7,5,FALSE())),"")</f>
        <v>0.6</v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274</v>
      </c>
      <c r="F545" s="88">
        <f>IFERROR(IF($D545="","",VLOOKUP($D545,Cadastro!$C$4:$E$7,3,FALSE())),"")</f>
        <v>0.24</v>
      </c>
      <c r="G545" s="89"/>
      <c r="H545" s="88" t="str">
        <f>IFERROR(IF($G545="","",$G545*$S$554/$G$554/Cadastro!$E$33),"")</f>
        <v/>
      </c>
      <c r="I545" s="90">
        <f>IFERROR(IF($D545="","",VLOOKUP($D545,Cadastro!$C$4:$G$7,5,FALSE())),"")</f>
        <v>0.6</v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274</v>
      </c>
      <c r="F546" s="88">
        <f>IFERROR(IF($D546="","",VLOOKUP($D546,Cadastro!$C$4:$E$7,3,FALSE())),"")</f>
        <v>0.24</v>
      </c>
      <c r="G546" s="89"/>
      <c r="H546" s="88" t="str">
        <f>IFERROR(IF($G546="","",$G546*$S$554/$G$554/Cadastro!$E$33),"")</f>
        <v/>
      </c>
      <c r="I546" s="90">
        <f>IFERROR(IF($D546="","",VLOOKUP($D546,Cadastro!$C$4:$G$7,5,FALSE())),"")</f>
        <v>0.6</v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274</v>
      </c>
      <c r="F547" s="88">
        <f>IFERROR(IF($D547="","",VLOOKUP($D547,Cadastro!$C$4:$E$7,3,FALSE())),"")</f>
        <v>0.24</v>
      </c>
      <c r="G547" s="89"/>
      <c r="H547" s="88" t="str">
        <f>IFERROR(IF($G547="","",$G547*$S$554/$G$554/Cadastro!$E$33),"")</f>
        <v/>
      </c>
      <c r="I547" s="90">
        <f>IFERROR(IF($D547="","",VLOOKUP($D547,Cadastro!$C$4:$G$7,5,FALSE())),"")</f>
        <v>0.6</v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274</v>
      </c>
      <c r="F548" s="88">
        <f>IFERROR(IF($D548="","",VLOOKUP($D548,Cadastro!$C$4:$E$7,3,FALSE())),"")</f>
        <v>0.24</v>
      </c>
      <c r="G548" s="89"/>
      <c r="H548" s="88" t="str">
        <f>IFERROR(IF($G548="","",$G548*$S$554/$G$554/Cadastro!$E$33),"")</f>
        <v/>
      </c>
      <c r="I548" s="90">
        <f>IFERROR(IF($D548="","",VLOOKUP($D548,Cadastro!$C$4:$G$7,5,FALSE())),"")</f>
        <v>0.6</v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274</v>
      </c>
      <c r="F549" s="88">
        <f>IFERROR(IF($D549="","",VLOOKUP($D549,Cadastro!$C$4:$E$7,3,FALSE())),"")</f>
        <v>0.24</v>
      </c>
      <c r="G549" s="89"/>
      <c r="H549" s="88" t="str">
        <f>IFERROR(IF($G549="","",$G549*$S$554/$G$554/Cadastro!$E$33),"")</f>
        <v/>
      </c>
      <c r="I549" s="90">
        <f>IFERROR(IF($D549="","",VLOOKUP($D549,Cadastro!$C$4:$G$7,5,FALSE())),"")</f>
        <v>0.6</v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274</v>
      </c>
      <c r="F550" s="88">
        <f>IFERROR(IF($D550="","",VLOOKUP($D550,Cadastro!$C$4:$E$7,3,FALSE())),"")</f>
        <v>0.24</v>
      </c>
      <c r="G550" s="89"/>
      <c r="H550" s="88" t="str">
        <f>IFERROR(IF($G550="","",$G550*$S$554/$G$554/Cadastro!$E$33),"")</f>
        <v/>
      </c>
      <c r="I550" s="90">
        <f>IFERROR(IF($D550="","",VLOOKUP($D550,Cadastro!$C$4:$G$7,5,FALSE())),"")</f>
        <v>0.6</v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274</v>
      </c>
      <c r="F551" s="88">
        <f>IFERROR(IF($D551="","",VLOOKUP($D551,Cadastro!$C$4:$E$7,3,FALSE())),"")</f>
        <v>0.24</v>
      </c>
      <c r="G551" s="89"/>
      <c r="H551" s="88" t="str">
        <f>IFERROR(IF($G551="","",$G551*$S$554/$G$554/Cadastro!$E$33),"")</f>
        <v/>
      </c>
      <c r="I551" s="90">
        <f>IFERROR(IF($D551="","",VLOOKUP($D551,Cadastro!$C$4:$G$7,5,FALSE())),"")</f>
        <v>0.6</v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274</v>
      </c>
      <c r="F552" s="88">
        <f>IFERROR(IF($D552="","",VLOOKUP($D552,Cadastro!$C$4:$E$7,3,FALSE())),"")</f>
        <v>0.24</v>
      </c>
      <c r="G552" s="89"/>
      <c r="H552" s="88" t="str">
        <f>IFERROR(IF($G552="","",$G552*$S$554/$G$554/Cadastro!$E$33),"")</f>
        <v/>
      </c>
      <c r="I552" s="90">
        <f>IFERROR(IF($D552="","",VLOOKUP($D552,Cadastro!$C$4:$G$7,5,FALSE())),"")</f>
        <v>0.6</v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274</v>
      </c>
      <c r="F553" s="92">
        <f>IFERROR(IF($D553="","",VLOOKUP($D553,Cadastro!$C$4:$E$7,3,FALSE())),"")</f>
        <v>0.24</v>
      </c>
      <c r="G553" s="89"/>
      <c r="H553" s="92" t="str">
        <f>IFERROR(IF($G553="","",$G553*$S$554/$G$554/Cadastro!$E$33),"")</f>
        <v/>
      </c>
      <c r="I553" s="93">
        <f>IFERROR(IF($D553="","",VLOOKUP($D553,Cadastro!$C$4:$G$7,5,FALSE())),"")</f>
        <v>0.6</v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1.8749999999999989E-2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1.8749999999999989E-2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2026-08-21T11:54:13Z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