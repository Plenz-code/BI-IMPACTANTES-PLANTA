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93" documentId="8_{AF585B22-221D-4780-BB9C-493D365A6A02}" xr6:coauthVersionLast="47" xr6:coauthVersionMax="47" xr10:uidLastSave="{8CF89350-AED8-4D28-B6F8-A5D52DB4289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<sst xmlns="http://schemas.openxmlformats.org/spreadsheetml/2006/main" count="4075" uniqueCount="276">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</sst>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E239" sqref="E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0.13070405092730653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0.33625960648286202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0.33625960648286202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E231" sqref="E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0.54806516203825595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0.74737071759381157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1.1147318287049226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12</v>
      </c>
      <c r="G231" s="34">
        <f t="shared" ref="G231:G242" si="51">IF(F231="","",IF(E231="PC 17",F231*4.2,IF(E231="PC 19",F231*5,"")))</f>
        <v>50.400000000000006</v>
      </c>
      <c r="H231" s="33"/>
      <c r="I231" s="33"/>
      <c r="J231" s="33" t="s">
        <v>156</v>
      </c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12</v>
      </c>
      <c r="G243" s="36">
        <f>SUM(G231:G242)</f>
        <v>50.400000000000006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130</v>
      </c>
      <c r="G244" s="40">
        <f>G230+G243</f>
        <v>546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2026-07-09T23:08:46Z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