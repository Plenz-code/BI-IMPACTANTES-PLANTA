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32" documentId="13_ncr:1_{A6DBCFB4-28D9-4249-9038-216934055CA6}" xr6:coauthVersionLast="47" xr6:coauthVersionMax="47" xr10:uidLastSave="{D2BBC3FF-32C8-48FE-831F-B277E542E389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Planilha1" sheetId="8" state="hidden" r:id="rId8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<sst xmlns="http://schemas.openxmlformats.org/spreadsheetml/2006/main" count="11170" uniqueCount="448">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</sst>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D688" sqref="D68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23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23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D688" sqref="D68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0.24654988425754709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0.38543877314643482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0.47016099536865763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/>
      <c r="H678" s="87" t="str">
        <f>IFERROR(IF($G678="","",$G678*$S$689/$G$689/Cadastro!$E$33),"")</f>
        <v/>
      </c>
      <c r="I678" s="89">
        <f>IFERROR(IF($D678="","",VLOOKUP($D678,Cadastro!$C$4:$G$7,5,FALSE())),"")</f>
        <v>0.6</v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16.8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16.8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3" sqref="G68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/>
      <c r="H678" s="87" t="str">
        <f>IFERROR(IF($G678="","",$G678*$S$689/$G$689/Cadastro!$E$33),"")</f>
        <v/>
      </c>
      <c r="I678" s="89">
        <f>IFERROR(IF($D678="","",VLOOKUP($D678,Cadastro!$C$4:$G$7,5,FALSE())),"")</f>
        <v>0.6</v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2026-08-26T12:51:38Z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