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5" documentId="13_ncr:1_{A6DBCFB4-28D9-4249-9038-216934055CA6}" xr6:coauthVersionLast="47" xr6:coauthVersionMax="47" xr10:uidLastSave="{50891BC6-334F-4523-A2CF-8AB091F0F15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6" l="1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<sst xmlns="http://schemas.openxmlformats.org/spreadsheetml/2006/main" count="8592" uniqueCount="397">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</sst>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O504" sqref="O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1.149259258818347E-2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0.1503814814770712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0.23510370369929401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>
        <v>0.13055555555555556</v>
      </c>
      <c r="P504" s="65"/>
      <c r="Q504" s="66">
        <f t="shared" ca="1" si="128"/>
        <v>2.4648148100823164E-3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/>
      <c r="H508" s="88" t="str">
        <f>IFERROR(IF($G508="","",$G508*$S$513/$G$513/Cadastro!$E$33),"")</f>
        <v/>
      </c>
      <c r="I508" s="90">
        <f>IFERROR(IF($D508="","",VLOOKUP($D508,Cadastro!$C$4:$G$7,5,FALSE())),"")</f>
        <v>0.6</v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71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298.20000000000005</v>
      </c>
      <c r="L513" s="72"/>
      <c r="M513" s="72"/>
      <c r="N513" s="72"/>
      <c r="O513" s="72"/>
      <c r="P513" s="72"/>
      <c r="Q513" s="73">
        <f ca="1">IFERROR(SUM(Q501:Q512),"")</f>
        <v>6.4964814810082191E-2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213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903.40000000000009</v>
      </c>
      <c r="L514" s="76"/>
      <c r="M514" s="76"/>
      <c r="N514" s="76"/>
      <c r="O514" s="76"/>
      <c r="P514" s="76"/>
      <c r="Q514" s="77">
        <f ca="1">IFERROR(Q500+Q513,"")</f>
        <v>0.15663148147674882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N505" sqref="N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/>
      <c r="Q505" s="71">
        <f t="shared" ca="1" si="125"/>
        <v>2.4648148100823164E-3</v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</v>
      </c>
      <c r="L513" s="72"/>
      <c r="M513" s="72"/>
      <c r="N513" s="72"/>
      <c r="O513" s="72"/>
      <c r="P513" s="72"/>
      <c r="Q513" s="73">
        <f ca="1">IFERROR(SUM(Q501:Q512),"")</f>
        <v>7.2603703698971095E-2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119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503.79999999999995</v>
      </c>
      <c r="L514" s="76"/>
      <c r="M514" s="76"/>
      <c r="N514" s="76"/>
      <c r="O514" s="76"/>
      <c r="P514" s="76"/>
      <c r="Q514" s="77">
        <f ca="1">IFERROR(Q500+Q513,"")</f>
        <v>0.16843703703230453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G507" sqref="G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396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299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2026-08-20T07:12:05Z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