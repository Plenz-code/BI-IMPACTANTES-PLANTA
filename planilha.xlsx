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944" documentId="8_{AF585B22-221D-4780-BB9C-493D365A6A02}" xr6:coauthVersionLast="47" xr6:coauthVersionMax="47" xr10:uidLastSave="{B1233D6C-17C6-43E0-937C-A85AE9E380DC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<sst xmlns="http://schemas.openxmlformats.org/spreadsheetml/2006/main" count="12517" uniqueCount="444">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</sst>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0" activePane="bottomLeft" state="frozen"/>
      <selection pane="bottomLeft" activeCell="F828" sqref="F82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66</v>
      </c>
      <c r="G837" s="109">
        <f>SUM(G825:G836)</f>
        <v>330</v>
      </c>
      <c r="H837" s="37"/>
      <c r="I837" s="37"/>
      <c r="J837" s="37"/>
      <c r="K837" s="37"/>
      <c r="L837" s="37"/>
      <c r="M837" s="110">
        <f ca="1">IFERROR(SUM(M825:M836),"")</f>
        <v>7.6388888888889728E-3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199</v>
      </c>
      <c r="G838" s="111">
        <f>G824+G837</f>
        <v>330</v>
      </c>
      <c r="H838" s="41"/>
      <c r="I838" s="41"/>
      <c r="J838" s="41"/>
      <c r="K838" s="41"/>
      <c r="L838" s="41"/>
      <c r="M838" s="112">
        <f ca="1">IFERROR(M824+M837,"")</f>
        <v>0.16736111111111118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98" activePane="bottomLeft" state="frozen"/>
      <selection pane="bottomLeft" activeCell="F828" sqref="F8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0.70503749999625143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0.86267638888514031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0.97239861110736248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0.68350972222106066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0.85434305555439405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0.99948194444328298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350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62</v>
      </c>
      <c r="G837" s="109">
        <f>SUM(G825:G836)</f>
        <v>273.20000000000005</v>
      </c>
      <c r="H837" s="37"/>
      <c r="I837" s="37"/>
      <c r="J837" s="37"/>
      <c r="K837" s="37"/>
      <c r="L837" s="37"/>
      <c r="M837" s="110">
        <f ca="1">IFERROR(SUM(M825:M836),"")</f>
        <v>2.0833333333333259E-2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231</v>
      </c>
      <c r="G838" s="111">
        <f>G824+G837</f>
        <v>983.00000000000011</v>
      </c>
      <c r="H838" s="41"/>
      <c r="I838" s="41"/>
      <c r="J838" s="41"/>
      <c r="K838" s="41"/>
      <c r="L838" s="41"/>
      <c r="M838" s="112">
        <f ca="1">IFERROR(M824+M837,"")</f>
        <v>0.12569444444444439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808" zoomScale="50" zoomScaleNormal="50" workbookViewId="0">
      <selection activeCell="F828" sqref="F8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358</v>
      </c>
      <c r="N166" s="27" t="s">
        <v>359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384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38</v>
      </c>
      <c r="G837" s="109">
        <f>SUM(G825:G836)</f>
        <v>168.4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133</v>
      </c>
      <c r="G838" s="111">
        <f>G824+G837</f>
        <v>567.4</v>
      </c>
      <c r="H838" s="41"/>
      <c r="I838" s="41"/>
      <c r="J838" s="41"/>
      <c r="K838" s="41"/>
      <c r="L838" s="41"/>
      <c r="M838" s="112">
        <f ca="1">IFERROR(M824+M837,"")</f>
        <v>5.7638888888888906E-2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812" activePane="bottomLeft" state="frozen"/>
      <selection pane="bottomLeft" activeCell="I828" sqref="I82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389</v>
      </c>
      <c r="L58" s="29">
        <v>0.54097222222222219</v>
      </c>
      <c r="M58" s="30" t="str">
        <f t="shared" ca="1" si="13"/>
        <v/>
      </c>
      <c r="N58" s="27" t="s">
        <v>390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0.69531527777871815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0.89462083333427378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1.2619819444453848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439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440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441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442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443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/>
      <c r="M827" s="79">
        <f ca="1">IFERROR(IF(K827="","",IF(L827="",MOD(NOW()-K827,1),IF(L827&gt;=K827,L827-K827,L827+1-K827))),"")</f>
        <v>3.6486111130216159E-3</v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4" t="str">
        <f>IF(F828="","",IF(E828="PC 17",F828*4.2,IF(E828="PC 19",F828*5,"")))</f>
        <v/>
      </c>
      <c r="H828" s="80"/>
      <c r="I828" s="80" t="s">
        <v>57</v>
      </c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28</v>
      </c>
      <c r="G837" s="109">
        <f>SUM(G825:G836)</f>
        <v>117.6</v>
      </c>
      <c r="H837" s="37"/>
      <c r="I837" s="37"/>
      <c r="J837" s="37"/>
      <c r="K837" s="37"/>
      <c r="L837" s="37"/>
      <c r="M837" s="110">
        <f ca="1">IFERROR(SUM(M825:M836),"")</f>
        <v>1.3370833335243804E-2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147</v>
      </c>
      <c r="G838" s="111">
        <f>G824+G837</f>
        <v>617.40000000000009</v>
      </c>
      <c r="H838" s="41"/>
      <c r="I838" s="41"/>
      <c r="J838" s="41"/>
      <c r="K838" s="41"/>
      <c r="L838" s="41"/>
      <c r="M838" s="112">
        <f ca="1">IFERROR(M824+M837,"")</f>
        <v>0.12934305555746595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2026-08-01T02:40:34Z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