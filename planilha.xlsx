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882" documentId="8_{C51EB6CB-002B-4D6B-B68F-DDEBDB4460C0}" xr6:coauthVersionLast="47" xr6:coauthVersionMax="47" xr10:uidLastSave="{8861685F-DAC6-43F5-AA94-5653ED258A86}"/>
  <bookViews>
    <workbookView xWindow="-120" yWindow="-12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<sst xmlns="http://schemas.openxmlformats.org/spreadsheetml/2006/main" count="5676" uniqueCount="338">
  <si>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</si>
  <si>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</si>
  <si>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</si>
  <si>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</si>
  <si>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</si>
  <si>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</si>
  <si>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</si>
  <si>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</si>
  <si>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</si>
  <si>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</si>
  <si>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</si>
  <si>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</si>
  <si>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</si>
  <si>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</si>
  <si>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</si>
  <si>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</si>
  <si>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</si>
  <si>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</si>
  <si>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</si>
  <si>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</si>
  <si>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</si>
  <si>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</si>
  <si>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</si>
  <si>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</si>
  <si>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</si>
  <si>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</si>
  <si>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</si>
  <si>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</si>
  <si>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</si>
  <si>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</si>
  <si>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</si>
  <si>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</si>
  <si>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</si>
  <si>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</si>
  <si>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</si>
  <si>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</si>
  <si>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</si>
  <si>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</si>
  <si>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</si>
  <si>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</si>
  <si>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</si>
  <si>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</si>
  <si>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</si>
  <si>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</si>
  <si>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</si>
  <si>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</si>
  <si>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</si>
  <si>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</si>
  <si>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</si>
  <si>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</si>
  <si>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</si>
  <si>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</si>
  <si>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</si>
  <si>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</si>
  <si>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</si>
  <si>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</si>
  <si>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</si>
  <si>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</si>
  <si>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</si>
  <si>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</si>
  <si>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</si>
  <si>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</si>
  <si>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</si>
  <si>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</si>
  <si>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</si>
  <si>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</si>
  <si>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</si>
  <si>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</si>
  <si>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</si>
  <si>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</si>
  <si>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</si>
  <si>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</si>
  <si>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</si>
  <si>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</si>
  <si>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</si>
  <si>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</si>
  <si>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</si>
  <si>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</si>
  <si>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</si>
  <si>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</si>
  <si>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</si>
  <si>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</si>
  <si>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</si>
  <si>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</si>
  <si>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</si>
  <si>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</si>
  <si>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</si>
  <si>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</si>
  <si>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</si>
  <si>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</si>
  <si>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</si>
  <si>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</si>
  <si>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</si>
  <si>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</si>
  <si>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</si>
  <si>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</si>
  <si>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</si>
  <si>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</si>
  <si>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</si>
  <si>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</si>
  <si>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</si>
  <si>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</si>
  <si>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</si>
  <si>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</si>
  <si>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</si>
  <si>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</si>
  <si>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</si>
  <si>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</si>
  <si>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</si>
  <si>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</si>
  <si>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</si>
  <si>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</si>
  <si>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</si>
  <si>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</si>
  <si>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</si>
  <si>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</si>
  <si>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</si>
  <si>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</si>
  <si>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</si>
  <si>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</si>
  <si>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</si>
  <si>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</si>
  <si>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</si>
  <si>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</si>
  <si>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</si>
  <si>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</si>
  <si>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</si>
  <si>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</si>
  <si>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</si>
  <si>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</si>
  <si>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</si>
  <si>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</si>
  <si>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</si>
  <si>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</si>
  <si>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</si>
  <si>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</si>
  <si>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</si>
  <si>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</si>
  <si>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</si>
  <si>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</si>
  <si>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</si>
  <si>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</si>
  <si>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</si>
  <si>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</si>
  <si>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</si>
  <si>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</si>
  <si>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</si>
  <si>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</si>
  <si>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</si>
  <si>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</si>
  <si>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</si>
  <si>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</si>
  <si>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</si>
  <si>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</si>
  <si>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</si>
  <si>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</si>
  <si>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</si>
  <si>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</si>
  <si>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</si>
  <si>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</si>
  <si>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</si>
  <si>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</si>
  <si>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</si>
  <si>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</si>
  <si>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</si>
  <si>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</si>
  <si>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</si>
  <si>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</si>
  <si>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</si>
  <si>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</si>
  <si>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</si>
  <si>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</si>
  <si>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</si>
  <si>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</si>
  <si>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</si>
  <si>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</si>
  <si>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</si>
  <si>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</si>
  <si>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</si>
  <si>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</si>
  <si>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</si>
  <si>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</si>
  <si>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</si>
  <si>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</si>
  <si>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</si>
  <si>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</si>
  <si>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</si>
  <si>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</si>
  <si>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</si>
  <si>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</si>
  <si>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</si>
  <si>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</si>
  <si>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</si>
  <si>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</si>
  <si>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</si>
  <si>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</si>
  <si>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</si>
  <si>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</si>
  <si>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</si>
  <si>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</si>
  <si>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</si>
  <si>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</si>
  <si>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</si>
  <si>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</si>
  <si>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</si>
  <si>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</si>
  <si>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</si>
  <si>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</si>
  <si>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</si>
  <si>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</si>
  <si>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</si>
  <si>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</si>
  <si>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</si>
  <si>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</si>
  <si>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</si>
  <si>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</si>
  <si>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</si>
  <si>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</si>
  <si>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</si>
  <si>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</si>
  <si>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</si>
  <si>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</si>
  <si>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</si>
  <si>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</si>
  <si>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</si>
  <si>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</si>
  <si>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</si>
  <si>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</si>
  <si>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</si>
  <si>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</si>
  <si>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</si>
  <si>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</si>
  <si>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</si>
  <si>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</si>
  <si>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</si>
  <si>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</si>
  <si>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</si>
  <si>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</si>
  <si>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</si>
  <si>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</si>
  <si>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</si>
  <si>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</si>
  <si>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</si>
  <si>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</si>
  <si>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</si>
  <si>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</si>
  <si>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</si>
  <si>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</si>
  <si>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</si>
  <si>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</si>
  <si>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</si>
  <si>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</si>
  <si>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</si>
  <si>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</si>
  <si>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</si>
  <si>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</si>
  <si>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</si>
  <si>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</si>
  <si>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</si>
  <si>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</si>
  <si>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</si>
  <si>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</si>
  <si>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</si>
  <si>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</si>
  <si>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</si>
  <si>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</si>
  <si>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</si>
  <si>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</si>
  <si>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</si>
  <si>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</si>
  <si>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</si>
  <si>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</si>
  <si>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</si>
  <si>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</si>
  <si>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</si>
  <si>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</si>
  <si>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</si>
  <si>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</si>
  <si>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</si>
  <si>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</si>
  <si>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</si>
  <si>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</si>
  <si>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</si>
  <si>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</si>
  <si>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</si>
  <si>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</si>
  <si>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</si>
  <si>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</si>
  <si>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</si>
  <si>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15;11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</si>
  <si>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</si>
  <si>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</si>
  <si>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</si>
  <si>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</si>
  <si>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</si>
  <si>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</si>
  <si>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</si>
  <si>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</si>
  <si>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</si>
  <si>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</si>
  <si>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</si>
  <si>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</si>
  <si>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</si>
  <si>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</si>
  <si>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</si>
  <si>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</si>
  <si>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</si>
  <si>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</si>
  <si>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</si>
  <si>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</si>
  <si>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</si>
  <si>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</si>
  <si>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</si>
  <si>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</si>
  <si>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</si>
  <si>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</si>
  <si>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</si>
  <si>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</si>
  <si>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</si>
  <si>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</si>
  <si>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</si>
  <si>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</si>
  <si>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</si>
  <si>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</si>
  <si>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</si>
  <si>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</si>
  <si>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</si>
  <si>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</si>
  <si>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</si>
  <si>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</si>
  <si>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</si>
  <si>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</si>
  <si>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</si>
  <si>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</si>
  <si>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</si>
  <si>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</si>
  <si>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</si>
  <si>
    <t>troca de martelo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</si>
</sst>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37430140</v>
      </c>
      <c r="D35" s="13">
        <f>IFERROR(SUM(D4:D34),"")</f>
        <v>12845630</v>
      </c>
      <c r="E35" s="13">
        <f>IFERROR(SUM(E4:E34),"")</f>
        <v>6272590</v>
      </c>
      <c r="F35" s="13">
        <f>IFERROR(SUM(F4:F34),"")</f>
        <v>15553450</v>
      </c>
      <c r="G35" s="13">
        <f>IFERROR(SUM(G4:G34),"")</f>
        <v>34671670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93" activePane="bottomLeft" state="frozen"/>
      <selection pane="bottomLeft" activeCell="F307" sqref="F307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>
        <v>0.3298611111111111</v>
      </c>
      <c r="M299" s="35">
        <f t="shared" ref="M299:M310" ca="1" si="67">IFERROR(IF(K299="","",IF(L299="",MOD(NOW()-K299,1),IF(L299&gt;=K299,L299-K299,L299+1-K299))),"")</f>
        <v>1.1111111111111127E-2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 t="s">
        <v>20</v>
      </c>
      <c r="I300" s="26" t="s">
        <v>23</v>
      </c>
      <c r="J300" s="26" t="s">
        <v>134</v>
      </c>
      <c r="K300" s="29">
        <v>0.61319444444444449</v>
      </c>
      <c r="L300" s="29">
        <v>0.61736111111111114</v>
      </c>
      <c r="M300" s="30">
        <f t="shared" ca="1" si="67"/>
        <v>4.1666666666666519E-3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>
        <v>35</v>
      </c>
      <c r="G301" s="34">
        <f t="shared" si="66"/>
        <v>175</v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234</v>
      </c>
      <c r="F302" s="27">
        <v>40</v>
      </c>
      <c r="G302" s="28">
        <f t="shared" si="66"/>
        <v>200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234</v>
      </c>
      <c r="F303" s="27">
        <v>51</v>
      </c>
      <c r="G303" s="34">
        <f t="shared" si="66"/>
        <v>255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234</v>
      </c>
      <c r="F304" s="27">
        <v>47</v>
      </c>
      <c r="G304" s="28">
        <f t="shared" si="66"/>
        <v>235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234</v>
      </c>
      <c r="F305" s="27">
        <v>30</v>
      </c>
      <c r="G305" s="34">
        <f t="shared" si="66"/>
        <v>150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234</v>
      </c>
      <c r="F306" s="27">
        <v>46</v>
      </c>
      <c r="G306" s="28">
        <f t="shared" si="66"/>
        <v>230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234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317</v>
      </c>
      <c r="G311" s="90">
        <f>SUM(G299:G310)</f>
        <v>1585</v>
      </c>
      <c r="H311" s="37"/>
      <c r="I311" s="37"/>
      <c r="J311" s="37"/>
      <c r="K311" s="37"/>
      <c r="L311" s="37"/>
      <c r="M311" s="38">
        <f ca="1">IFERROR(SUM(M299:M310),"")</f>
        <v>1.5277777777777779E-2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317</v>
      </c>
      <c r="G325" s="40">
        <f>G311+G324</f>
        <v>1585</v>
      </c>
      <c r="H325" s="41"/>
      <c r="I325" s="41"/>
      <c r="J325" s="41"/>
      <c r="K325" s="41"/>
      <c r="L325" s="41"/>
      <c r="M325" s="42">
        <f ca="1">IFERROR(M311+M324,"")</f>
        <v>1.5277777777777779E-2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70" zoomScaleNormal="70" workbookViewId="0">
      <pane ySplit="1" topLeftCell="A281" activePane="bottomLeft" state="frozen"/>
      <selection pane="bottomLeft" activeCell="K303" sqref="K303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259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260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261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262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263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264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265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266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0.51247048610821366</v>
      </c>
      <c r="N53" s="46" t="s">
        <v>267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0.6513593749971025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0.73608159721932487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259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268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269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270</v>
      </c>
      <c r="M96" s="30" t="str">
        <f t="shared" ref="M96:M107" ca="1" si="22">IFERROR(IF(K96="","",IF(L96="",MOD(NOW()-K96,1),IF(L96&gt;=K96,L96-K96,L96+1-K96))),"")</f>
        <v/>
      </c>
      <c r="N96" s="46" t="s">
        <v>271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272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273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274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275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276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277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279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276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280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281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274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268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282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283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284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285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286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287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288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 t="s">
        <v>19</v>
      </c>
      <c r="I300" s="26" t="s">
        <v>39</v>
      </c>
      <c r="J300" s="26" t="s">
        <v>78</v>
      </c>
      <c r="K300" s="29">
        <v>0.50277777777777777</v>
      </c>
      <c r="L300" s="29">
        <v>0.51736111111111116</v>
      </c>
      <c r="M300" s="30">
        <f t="shared" ca="1" si="67"/>
        <v>1.4583333333333393E-2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20</v>
      </c>
      <c r="G301" s="34">
        <f t="shared" si="66"/>
        <v>84</v>
      </c>
      <c r="H301" s="33" t="s">
        <v>19</v>
      </c>
      <c r="I301" s="33" t="s">
        <v>31</v>
      </c>
      <c r="J301" s="33" t="s">
        <v>27</v>
      </c>
      <c r="K301" s="29">
        <v>0.51736111111111116</v>
      </c>
      <c r="L301" s="29">
        <v>0.52569444444444446</v>
      </c>
      <c r="M301" s="35">
        <f t="shared" ca="1" si="67"/>
        <v>8.3333333333333037E-3</v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17</v>
      </c>
      <c r="G302" s="28">
        <f t="shared" si="66"/>
        <v>71.400000000000006</v>
      </c>
      <c r="H302" s="26" t="s">
        <v>20</v>
      </c>
      <c r="I302" s="26" t="s">
        <v>31</v>
      </c>
      <c r="J302" s="26" t="s">
        <v>36</v>
      </c>
      <c r="K302" s="29">
        <v>0.53402777777777777</v>
      </c>
      <c r="L302" s="29">
        <v>0.54027777777777775</v>
      </c>
      <c r="M302" s="30">
        <f t="shared" ca="1" si="67"/>
        <v>6.2499999999999778E-3</v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15</v>
      </c>
      <c r="G303" s="34">
        <f t="shared" si="66"/>
        <v>63</v>
      </c>
      <c r="H303" s="33"/>
      <c r="I303" s="33"/>
      <c r="J303" s="33"/>
      <c r="K303" s="29" t="s">
        <v>289</v>
      </c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13</v>
      </c>
      <c r="G305" s="34">
        <f t="shared" si="66"/>
        <v>54.6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20</v>
      </c>
      <c r="G306" s="28">
        <f t="shared" si="66"/>
        <v>84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130</v>
      </c>
      <c r="G311" s="36">
        <f>SUM(G299:G310)</f>
        <v>546</v>
      </c>
      <c r="H311" s="37"/>
      <c r="I311" s="37"/>
      <c r="J311" s="37"/>
      <c r="K311" s="37"/>
      <c r="L311" s="37"/>
      <c r="M311" s="38">
        <f ca="1">IFERROR(SUM(M299:M310),"")</f>
        <v>2.9861111111111116E-2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130</v>
      </c>
      <c r="G325" s="40">
        <f>G311+G324</f>
        <v>546</v>
      </c>
      <c r="H325" s="41"/>
      <c r="I325" s="41"/>
      <c r="J325" s="41"/>
      <c r="K325" s="41"/>
      <c r="L325" s="41"/>
      <c r="M325" s="42">
        <f ca="1">IFERROR(M311+M324,"")</f>
        <v>2.9861111111111116E-2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72" zoomScale="68" zoomScaleNormal="68" workbookViewId="0">
      <selection activeCell="F307" sqref="F307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290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262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291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268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290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290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292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293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294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295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297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298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277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268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299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300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280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280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301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302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303</v>
      </c>
      <c r="M222" s="30" t="str">
        <f t="shared" ca="1" si="49"/>
        <v/>
      </c>
      <c r="N222" s="27" t="s">
        <v>304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305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268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0.43955381944397232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0.50135937499952787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0.5624704861106391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306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 t="s">
        <v>20</v>
      </c>
      <c r="I300" s="26"/>
      <c r="J300" s="26" t="s">
        <v>198</v>
      </c>
      <c r="K300" s="29">
        <v>0.45833333333333331</v>
      </c>
      <c r="L300" s="29">
        <v>0.46527777777777779</v>
      </c>
      <c r="M300" s="30">
        <f t="shared" ca="1" si="67"/>
        <v>6.9444444444444753E-3</v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14</v>
      </c>
      <c r="G301" s="34">
        <f t="shared" si="66"/>
        <v>58.800000000000004</v>
      </c>
      <c r="H301" s="33" t="s">
        <v>20</v>
      </c>
      <c r="I301" s="33" t="s">
        <v>47</v>
      </c>
      <c r="J301" s="33" t="s">
        <v>183</v>
      </c>
      <c r="K301" s="29">
        <v>0.60833333333333328</v>
      </c>
      <c r="L301" s="29">
        <v>0.61944444444444446</v>
      </c>
      <c r="M301" s="35">
        <f t="shared" ca="1" si="67"/>
        <v>1.1111111111111183E-2</v>
      </c>
      <c r="N301" s="27" t="s">
        <v>268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15</v>
      </c>
      <c r="G302" s="28">
        <f t="shared" si="66"/>
        <v>63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11</v>
      </c>
      <c r="G303" s="34">
        <f t="shared" si="66"/>
        <v>46.2</v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/>
      <c r="F306" s="27">
        <v>6</v>
      </c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85</v>
      </c>
      <c r="G311" s="36">
        <f>SUM(G299:G310)</f>
        <v>331.8</v>
      </c>
      <c r="H311" s="37"/>
      <c r="I311" s="37"/>
      <c r="J311" s="37"/>
      <c r="K311" s="37"/>
      <c r="L311" s="37"/>
      <c r="M311" s="38">
        <f ca="1">IFERROR(SUM(M299:M310),"")</f>
        <v>2.1527777777777868E-2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85</v>
      </c>
      <c r="G325" s="40">
        <f>G311+G324</f>
        <v>331.8</v>
      </c>
      <c r="H325" s="41"/>
      <c r="I325" s="41"/>
      <c r="J325" s="41"/>
      <c r="K325" s="41"/>
      <c r="L325" s="41"/>
      <c r="M325" s="42">
        <f ca="1">IFERROR(M311+M324,"")</f>
        <v>2.1527777777777868E-2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78" activePane="bottomLeft" state="frozen"/>
      <selection pane="bottomLeft" activeCell="F307" sqref="F307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51.42578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265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290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310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311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312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313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290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290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314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315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268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290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316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317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277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318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320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321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322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323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324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325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326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327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328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329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330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331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297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332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333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334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335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336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 t="s">
        <v>20</v>
      </c>
      <c r="I299" s="33" t="s">
        <v>52</v>
      </c>
      <c r="J299" s="33" t="s">
        <v>183</v>
      </c>
      <c r="K299" s="29">
        <v>0.43541666666666667</v>
      </c>
      <c r="L299" s="29">
        <v>0.44583333333333336</v>
      </c>
      <c r="M299" s="35">
        <f t="shared" ref="M299:M310" ca="1" si="67">IFERROR(IF(K299="","",IF(L299="",MOD(NOW()-K299,1),IF(L299&gt;=K299,L299-K299,L299+1-K299))),"")</f>
        <v>1.0416666666666685E-2</v>
      </c>
      <c r="N299" s="27" t="s">
        <v>337</v>
      </c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17</v>
      </c>
      <c r="G300" s="28">
        <f t="shared" si="66"/>
        <v>71.400000000000006</v>
      </c>
      <c r="H300" s="26" t="s">
        <v>19</v>
      </c>
      <c r="I300" s="26" t="s">
        <v>57</v>
      </c>
      <c r="J300" s="26" t="s">
        <v>27</v>
      </c>
      <c r="K300" s="29">
        <v>0.44583333333333336</v>
      </c>
      <c r="L300" s="29">
        <v>0.4513888888888889</v>
      </c>
      <c r="M300" s="30">
        <f t="shared" ca="1" si="67"/>
        <v>5.5555555555555358E-3</v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22</v>
      </c>
      <c r="G301" s="34">
        <f t="shared" si="66"/>
        <v>92.4</v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10</v>
      </c>
      <c r="G302" s="28">
        <f t="shared" si="66"/>
        <v>42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29</v>
      </c>
      <c r="G303" s="34">
        <f t="shared" si="66"/>
        <v>121.80000000000001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30</v>
      </c>
      <c r="G304" s="28">
        <f t="shared" si="66"/>
        <v>126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20</v>
      </c>
      <c r="G305" s="34">
        <f t="shared" si="66"/>
        <v>84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10</v>
      </c>
      <c r="G306" s="28">
        <f t="shared" si="66"/>
        <v>42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153</v>
      </c>
      <c r="G311" s="36">
        <f>SUM(G299:G310)</f>
        <v>642.6</v>
      </c>
      <c r="H311" s="37"/>
      <c r="I311" s="37"/>
      <c r="J311" s="37"/>
      <c r="K311" s="61"/>
      <c r="L311" s="61"/>
      <c r="M311" s="38">
        <f ca="1">IFERROR(SUM(M299:M310),"")</f>
        <v>1.5972222222222221E-2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153</v>
      </c>
      <c r="G325" s="40">
        <f>G311+G324</f>
        <v>642.6</v>
      </c>
      <c r="H325" s="41"/>
      <c r="I325" s="41"/>
      <c r="J325" s="41"/>
      <c r="K325" s="63"/>
      <c r="L325" s="63"/>
      <c r="M325" s="42">
        <f ca="1">IFERROR(M311+M324,"")</f>
        <v>1.5972222222222221E-2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2026-08-12T19:13:31Z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