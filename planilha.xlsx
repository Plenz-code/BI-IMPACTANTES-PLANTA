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20" documentId="13_ncr:1_{9DFDFEE8-78F7-4C04-B87C-99924EE6CC37}" xr6:coauthVersionLast="47" xr6:coauthVersionMax="47" xr10:uidLastSave="{F2F70BDD-A295-4BFC-A1EC-AAD03D8AA4E3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<sst xmlns="http://schemas.openxmlformats.org/spreadsheetml/2006/main" count="6764" uniqueCount="2312">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</sst>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20" sqref="F2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40</v>
      </c>
      <c r="G27" s="2">
        <f>SUM(G15:G26)</f>
        <v>200</v>
      </c>
      <c r="H27" s="87"/>
      <c r="I27" s="87"/>
      <c r="J27" s="87"/>
      <c r="K27" s="87"/>
      <c r="L27" s="87"/>
      <c r="M27" s="88">
        <f ca="1">IFERROR(SUM(M15:M26),"")</f>
        <v>0.17569444444444449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315</v>
      </c>
      <c r="G28" s="1">
        <f>G14+G27</f>
        <v>1575</v>
      </c>
      <c r="H28" s="91"/>
      <c r="I28" s="91"/>
      <c r="J28" s="91"/>
      <c r="K28" s="91"/>
      <c r="L28" s="91"/>
      <c r="M28" s="92">
        <f ca="1">IFERROR(M14+M27,"")</f>
        <v>0.24374999999999997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N23" sqref="N2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3.6111111111111108E-2</v>
      </c>
      <c r="P20" s="80"/>
      <c r="Q20" s="86">
        <f t="shared" ca="1" si="6"/>
        <v>1.8288773149834014E-2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41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172.2</v>
      </c>
      <c r="L27" s="87"/>
      <c r="M27" s="87"/>
      <c r="N27" s="87"/>
      <c r="O27" s="87"/>
      <c r="P27" s="87"/>
      <c r="Q27" s="88">
        <f ca="1">IFERROR(SUM(Q15:Q26),"")</f>
        <v>0.18356655092761168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90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378</v>
      </c>
      <c r="L28" s="91"/>
      <c r="M28" s="91"/>
      <c r="N28" s="91"/>
      <c r="O28" s="91"/>
      <c r="P28" s="91"/>
      <c r="Q28" s="92">
        <f ca="1">IFERROR(Q14+Q27,"")</f>
        <v>0.42176099537205602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1" sqref="G2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8.333333333333337E-2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0.44027777777777771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21" sqref="G2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0.38912210648413748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0.52176099537302623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87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374.2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207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878.2</v>
      </c>
      <c r="L28" s="91"/>
      <c r="M28" s="91"/>
      <c r="N28" s="91"/>
      <c r="O28" s="155"/>
      <c r="P28" s="155"/>
      <c r="Q28" s="92">
        <f ca="1">IFERROR(Q14+Q27,"")</f>
        <v>0.54953877315080402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2026-09-02T05:18:33Z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