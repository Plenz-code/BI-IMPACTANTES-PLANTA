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38" documentId="13_ncr:1_{A6DBCFB4-28D9-4249-9038-216934055CA6}" xr6:coauthVersionLast="47" xr6:coauthVersionMax="47" xr10:uidLastSave="{3C3E5468-6BB9-4F97-A1F5-748A95E19F5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<sst xmlns="http://schemas.openxmlformats.org/spreadsheetml/2006/main" count="8818" uniqueCount="399">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</sst>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3" fontId="23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18" sqref="F51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73</v>
      </c>
      <c r="G527" s="2">
        <f>SUM(G515:G526)</f>
        <v>365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73</v>
      </c>
      <c r="G541" s="1">
        <f>G527+G540</f>
        <v>365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18" sqref="G51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0.30454571759037208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0.44343460647925981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0.52815682870148262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43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180.60000000000002</v>
      </c>
      <c r="L527" s="72"/>
      <c r="M527" s="72"/>
      <c r="N527" s="72"/>
      <c r="O527" s="72"/>
      <c r="P527" s="72"/>
      <c r="Q527" s="73">
        <f ca="1">IFERROR(SUM(Q515:Q526),"")</f>
        <v>1.8055555555555547E-2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43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180.60000000000002</v>
      </c>
      <c r="L541" s="76"/>
      <c r="M541" s="76"/>
      <c r="N541" s="76"/>
      <c r="O541" s="76"/>
      <c r="P541" s="76"/>
      <c r="Q541" s="77">
        <f ca="1">IFERROR(Q527+Q540,"")</f>
        <v>1.8055555555555547E-2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96" activePane="bottomLeft" state="frozen"/>
      <selection pane="bottomLeft" activeCell="P517" sqref="P51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66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27"/>
        <v/>
      </c>
      <c r="K518" s="64" t="str">
        <f t="shared" si="130"/>
        <v/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27"/>
        <v/>
      </c>
      <c r="K519" s="69" t="str">
        <f t="shared" si="130"/>
        <v/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30"/>
        <v/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30"/>
        <v/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24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100.80000000000001</v>
      </c>
      <c r="L527" s="72"/>
      <c r="M527" s="72"/>
      <c r="N527" s="72"/>
      <c r="O527" s="72"/>
      <c r="P527" s="72"/>
      <c r="Q527" s="73">
        <f ca="1">IFERROR(SUM(Q515:Q526),"")</f>
        <v>1.7361111111111105E-2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24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100.80000000000001</v>
      </c>
      <c r="L541" s="76"/>
      <c r="M541" s="76"/>
      <c r="N541" s="76"/>
      <c r="O541" s="76"/>
      <c r="P541" s="76"/>
      <c r="Q541" s="77">
        <f ca="1">IFERROR(Q527+Q540,"")</f>
        <v>1.7361111111111105E-2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2" activePane="bottomLeft" state="frozen"/>
      <selection pane="bottomLeft" activeCell="G518" sqref="G51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66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54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226.8</v>
      </c>
      <c r="L527" s="72"/>
      <c r="M527" s="72"/>
      <c r="N527" s="72"/>
      <c r="O527" s="134"/>
      <c r="P527" s="134"/>
      <c r="Q527" s="73">
        <f ca="1">IFERROR(SUM(Q515:Q526),"")</f>
        <v>1.6666666666666663E-2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54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226.8</v>
      </c>
      <c r="L541" s="76"/>
      <c r="M541" s="76"/>
      <c r="N541" s="76"/>
      <c r="O541" s="135"/>
      <c r="P541" s="135"/>
      <c r="Q541" s="77">
        <f ca="1">IFERROR(Q527+Q540,"")</f>
        <v>1.6666666666666663E-2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2026-08-20T14:15:25Z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