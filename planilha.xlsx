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656" documentId="8_{AF585B22-221D-4780-BB9C-493D365A6A02}" xr6:coauthVersionLast="47" xr6:coauthVersionMax="47" xr10:uidLastSave="{2D3A21DD-9440-4F7E-9808-FA2E15D3EA8A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<sst xmlns="http://schemas.openxmlformats.org/spreadsheetml/2006/main" count="2027" uniqueCount="219">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</sst>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4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174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175</v>
      </c>
      <c r="L48" s="16"/>
      <c r="M48" s="16"/>
    </row>
    <row r="49" spans="1:13" ht="18" customHeight="1">
      <c r="H49" s="92"/>
      <c r="I49" s="17"/>
      <c r="J49" s="17"/>
      <c r="K49" s="17" t="s">
        <v>176</v>
      </c>
      <c r="L49" s="17"/>
      <c r="M49" s="17"/>
    </row>
    <row r="50" spans="1:13" ht="21" customHeight="1">
      <c r="A50" s="19" t="s">
        <v>177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178</v>
      </c>
      <c r="L50" s="16"/>
      <c r="M50" s="16"/>
    </row>
    <row r="51" spans="1:13" ht="24" customHeight="1">
      <c r="H51" s="92"/>
      <c r="I51" s="17"/>
      <c r="J51" s="17"/>
      <c r="K51" s="17" t="s">
        <v>179</v>
      </c>
      <c r="L51" s="17"/>
      <c r="M51" s="17"/>
    </row>
    <row r="52" spans="1:13" ht="24" customHeight="1">
      <c r="H52" s="92"/>
      <c r="I52" s="16"/>
      <c r="J52" s="16"/>
      <c r="K52" s="16" t="s">
        <v>180</v>
      </c>
      <c r="L52" s="16"/>
      <c r="M52" s="16"/>
    </row>
    <row r="53" spans="1:13" ht="36" customHeight="1">
      <c r="H53" s="92"/>
      <c r="I53" s="17"/>
      <c r="J53" s="17"/>
      <c r="K53" s="17" t="s">
        <v>181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60" activePane="bottomLeft" state="frozen"/>
      <selection pane="bottomLeft" activeCell="L70" sqref="L7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192</v>
      </c>
      <c r="E2" s="59" t="s">
        <v>193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196</v>
      </c>
      <c r="O27" s="39">
        <v>1183060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196</v>
      </c>
      <c r="O54" s="39">
        <v>959290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193</v>
      </c>
      <c r="F70" s="27">
        <v>12</v>
      </c>
      <c r="G70" s="28">
        <f t="shared" si="15"/>
        <v>60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193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193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193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193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78</v>
      </c>
      <c r="G81" s="36">
        <f>SUM(G69:G80)</f>
        <v>390</v>
      </c>
      <c r="H81" s="37"/>
      <c r="I81" s="37"/>
      <c r="J81" s="37"/>
      <c r="K81" s="37"/>
      <c r="L81" s="37"/>
      <c r="M81" s="38">
        <f ca="1">IFERROR(SUM(M69:M80),"")</f>
        <v>3.3333333333333215E-2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447</v>
      </c>
      <c r="G82" s="40">
        <f>G68+G81</f>
        <v>2235</v>
      </c>
      <c r="H82" s="41"/>
      <c r="I82" s="41"/>
      <c r="J82" s="41"/>
      <c r="K82" s="41"/>
      <c r="L82" s="41"/>
      <c r="M82" s="42">
        <f ca="1">IFERROR(M68+M81,"")</f>
        <v>3.3333333333333215E-2</v>
      </c>
      <c r="N82" s="40" t="s">
        <v>199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4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" activePane="bottomLeft" state="frozen"/>
      <selection pane="bottomLeft" activeCell="F75" sqref="F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196</v>
      </c>
      <c r="O27" s="78">
        <v>393200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199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196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201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80">
        <v>276360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199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196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72</v>
      </c>
      <c r="G81" s="36">
        <f>SUM(G69:G80)</f>
        <v>302.39999999999998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196</v>
      </c>
      <c r="O81" s="54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72</v>
      </c>
      <c r="G82" s="40">
        <f>G68+G81</f>
        <v>302.39999999999998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199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54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54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5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3" activePane="bottomLeft" state="frozen"/>
      <selection pane="bottomLeft" activeCell="L70" sqref="L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196</v>
      </c>
      <c r="O27" s="39">
        <v>308500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39">
        <v>124290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51</v>
      </c>
      <c r="G81" s="36">
        <f>SUM(G69:G80)</f>
        <v>214.20000000000002</v>
      </c>
      <c r="H81" s="37"/>
      <c r="I81" s="37"/>
      <c r="J81" s="37"/>
      <c r="K81" s="37"/>
      <c r="L81" s="37"/>
      <c r="M81" s="38">
        <f ca="1">IFERROR(SUM(M69:M80),"")</f>
        <v>1.9444444444444486E-2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155</v>
      </c>
      <c r="G82" s="40">
        <f>G68+G81</f>
        <v>651</v>
      </c>
      <c r="H82" s="41"/>
      <c r="I82" s="41"/>
      <c r="J82" s="41"/>
      <c r="K82" s="41"/>
      <c r="L82" s="41"/>
      <c r="M82" s="42">
        <f ca="1">IFERROR(M68+M81,"")</f>
        <v>9.1666666666666619E-2</v>
      </c>
      <c r="N82" s="40" t="s">
        <v>199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39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5" activePane="bottomLeft" state="frozen"/>
      <selection pane="bottomLeft" activeCell="F75" sqref="F7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196</v>
      </c>
      <c r="O27" s="39">
        <v>202230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196</v>
      </c>
      <c r="O54" s="39">
        <v>473910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215</v>
      </c>
      <c r="L58" s="29">
        <v>0.54097222222222219</v>
      </c>
      <c r="M58" s="30" t="str">
        <f t="shared" ca="1" si="13"/>
        <v/>
      </c>
      <c r="N58" s="27" t="s">
        <v>216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6</v>
      </c>
      <c r="G74" s="28">
        <f t="shared" si="15"/>
        <v>25.200000000000003</v>
      </c>
      <c r="H74" s="26" t="s">
        <v>20</v>
      </c>
      <c r="I74" s="26" t="s">
        <v>52</v>
      </c>
      <c r="J74" s="26" t="s">
        <v>51</v>
      </c>
      <c r="K74" s="29">
        <v>4.8611111111111112E-3</v>
      </c>
      <c r="L74" s="29"/>
      <c r="M74" s="30">
        <f t="shared" ca="1" si="16"/>
        <v>1.4855439811071847E-2</v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/>
      <c r="G75" s="34" t="str">
        <f>IF(F75="","",IF(E75="PC 17",F75*4.2,IF(E75="PC 19",F75*5,"")))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82</v>
      </c>
      <c r="G81" s="36">
        <f>SUM(G69:G80)</f>
        <v>344.4</v>
      </c>
      <c r="H81" s="37"/>
      <c r="I81" s="37"/>
      <c r="J81" s="37"/>
      <c r="K81" s="61"/>
      <c r="L81" s="61"/>
      <c r="M81" s="38">
        <f ca="1">IFERROR(SUM(M69:M80),"")</f>
        <v>0.10929988425551607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277</v>
      </c>
      <c r="G82" s="40">
        <f>G68+G81</f>
        <v>1163.4000000000001</v>
      </c>
      <c r="H82" s="41"/>
      <c r="I82" s="41"/>
      <c r="J82" s="41"/>
      <c r="K82" s="63"/>
      <c r="L82" s="63"/>
      <c r="M82" s="42">
        <f ca="1">IFERROR(M68+M81,"")</f>
        <v>0.1690221064777383</v>
      </c>
      <c r="N82" s="40" t="s">
        <v>199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199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199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196</v>
      </c>
      <c r="O432" s="39"/>
    </row>
    <row r="433" spans="1:17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2026-07-04T04:28:55Z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