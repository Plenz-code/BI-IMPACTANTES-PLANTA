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314" documentId="8_{AF585B22-221D-4780-BB9C-493D365A6A02}" xr6:coauthVersionLast="47" xr6:coauthVersionMax="47" xr10:uidLastSave="{580E3FEB-738E-448D-B54A-3C00B2CDCF8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<sst xmlns="http://schemas.openxmlformats.org/spreadsheetml/2006/main" count="8175" uniqueCount="357">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</sst>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7" sqref="G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G521" sqref="G5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30</v>
      </c>
      <c r="G527" s="36">
        <f>SUM(G515:G526)</f>
        <v>150</v>
      </c>
      <c r="H527" s="37"/>
      <c r="I527" s="37"/>
      <c r="J527" s="37"/>
      <c r="K527" s="37"/>
      <c r="L527" s="37"/>
      <c r="M527" s="38">
        <f ca="1">IFERROR(SUM(M515:M526),"")</f>
        <v>8.5416666666666696E-2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30</v>
      </c>
      <c r="G541" s="40">
        <f>G527+G540</f>
        <v>150</v>
      </c>
      <c r="H541" s="41"/>
      <c r="I541" s="41"/>
      <c r="J541" s="41"/>
      <c r="K541" s="41"/>
      <c r="L541" s="41"/>
      <c r="M541" s="42">
        <f ca="1">IFERROR(M527+M540,"")</f>
        <v>8.5416666666666696E-2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9" activePane="bottomLeft" state="frozen"/>
      <selection pane="bottomLeft" activeCell="L519" sqref="L5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0.1923059027758427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0.34994479166473158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0.45966701388695375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0.17077812500065193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0.34161145833398532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0.48675034722287419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55</v>
      </c>
      <c r="G527" s="36">
        <f>SUM(G515:G526)</f>
        <v>231.00000000000003</v>
      </c>
      <c r="H527" s="37"/>
      <c r="I527" s="37"/>
      <c r="J527" s="37"/>
      <c r="K527" s="37"/>
      <c r="L527" s="37"/>
      <c r="M527" s="38">
        <f ca="1">IFERROR(SUM(M515:M526),"")</f>
        <v>2.3611111111111138E-2</v>
      </c>
      <c r="N527" s="36" t="s">
        <v>231</v>
      </c>
      <c r="O527" s="77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55</v>
      </c>
      <c r="G541" s="40">
        <f>G527+G540</f>
        <v>231.00000000000003</v>
      </c>
      <c r="H541" s="41"/>
      <c r="I541" s="41"/>
      <c r="J541" s="41"/>
      <c r="K541" s="41"/>
      <c r="L541" s="41"/>
      <c r="M541" s="42">
        <f ca="1">IFERROR(M527+M540,"")</f>
        <v>2.3611111111111138E-2</v>
      </c>
      <c r="N541" s="40" t="s">
        <v>234</v>
      </c>
      <c r="O541" s="83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 E513:E514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1" zoomScale="50" zoomScaleNormal="50" workbookViewId="0">
      <selection activeCell="J515" sqref="J51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307</v>
      </c>
      <c r="N166" s="27" t="s">
        <v>308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22</v>
      </c>
      <c r="G527" s="36">
        <f>SUM(G515:G526)</f>
        <v>92.4</v>
      </c>
      <c r="H527" s="37"/>
      <c r="I527" s="37"/>
      <c r="J527" s="37"/>
      <c r="K527" s="37"/>
      <c r="L527" s="37"/>
      <c r="M527" s="38">
        <f ca="1">IFERROR(SUM(M515:M526),"")</f>
        <v>8.3333333333333592E-3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22</v>
      </c>
      <c r="G541" s="40">
        <f>G527+G540</f>
        <v>92.4</v>
      </c>
      <c r="H541" s="41"/>
      <c r="I541" s="41"/>
      <c r="J541" s="41"/>
      <c r="K541" s="41"/>
      <c r="L541" s="41"/>
      <c r="M541" s="42">
        <f ca="1">IFERROR(M527+M540,"")</f>
        <v>8.3333333333333592E-3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93" activePane="bottomLeft" state="frozen"/>
      <selection pane="bottomLeft" activeCell="J515" sqref="J5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324</v>
      </c>
      <c r="L58" s="29">
        <v>0.54097222222222219</v>
      </c>
      <c r="M58" s="30" t="str">
        <f t="shared" ca="1" si="13"/>
        <v/>
      </c>
      <c r="N58" s="27" t="s">
        <v>325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0.18258368055830942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0.38188923611386505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0.74925034722497608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/>
      <c r="M515" s="35">
        <f t="shared" ref="M515:M526" ca="1" si="115">IFERROR(IF(K515="","",IF(L515="",MOD(NOW()-K515,1),IF(L515&gt;=K515,L515-K515,L515+1-K515))),"")</f>
        <v>0.14022256944736</v>
      </c>
      <c r="N515" s="27"/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0.14022256944736</v>
      </c>
      <c r="N527" s="36" t="s">
        <v>231</v>
      </c>
      <c r="O527" s="39"/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0.14022256944736</v>
      </c>
      <c r="N541" s="40" t="s">
        <v>234</v>
      </c>
      <c r="O541" s="48">
        <f>IFERROR(O527+O540,"")</f>
        <v>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2026-07-20T14:23:58Z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