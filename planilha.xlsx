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nho/"/>
    </mc:Choice>
  </mc:AlternateContent>
  <xr:revisionPtr revIDLastSave="8149" documentId="8_{1D11E9C4-FEA4-4128-910F-91CB6BBF9255}" xr6:coauthVersionLast="47" xr6:coauthVersionMax="47" xr10:uidLastSave="{A94681F5-B775-48AB-95DF-02F34BF597A5}"/>
  <bookViews>
    <workbookView xWindow="-110" yWindow="-110" windowWidth="25820" windowHeight="15500" tabRatio="500" firstSheet="2" activeTab="3" xr2:uid="{00000000-000D-0000-FFFF-FFFF00000000}"/>
  </bookViews>
  <sheets>
    <sheet name="Resumo" sheetId="6" r:id="rId1"/>
    <sheet name="Cadastro" sheetId="1" r:id="rId2"/>
    <sheet name="Britador" sheetId="2" r:id="rId3"/>
    <sheet name="Linha 1" sheetId="3" r:id="rId4"/>
    <sheet name="Linha 2" sheetId="4" r:id="rId5"/>
    <sheet name="Linha 3" sheetId="5" r:id="rId6"/>
    <sheet name="Folha1" sheetId="7" r:id="rId7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75" i="5" l="1"/>
  <c r="F773" i="2"/>
  <c r="F772" i="3"/>
  <c r="F747" i="5"/>
  <c r="L744" i="3"/>
  <c r="L745" i="3"/>
  <c r="L746" i="3"/>
  <c r="L747" i="3"/>
  <c r="L748" i="3"/>
  <c r="L749" i="3"/>
  <c r="L750" i="3"/>
  <c r="L751" i="3"/>
  <c r="L752" i="3"/>
  <c r="L753" i="3"/>
  <c r="L754" i="3"/>
  <c r="F726" i="5"/>
  <c r="F727" i="5"/>
  <c r="F721" i="2"/>
  <c r="F723" i="3"/>
  <c r="F719" i="3"/>
  <c r="F720" i="3"/>
  <c r="F721" i="3"/>
  <c r="F722" i="3"/>
  <c r="F724" i="3"/>
  <c r="F725" i="3"/>
  <c r="F726" i="3"/>
  <c r="F727" i="3"/>
  <c r="F728" i="3"/>
  <c r="F717" i="3"/>
  <c r="L706" i="3"/>
  <c r="L707" i="3"/>
  <c r="L708" i="3"/>
  <c r="L709" i="3"/>
  <c r="L710" i="3"/>
  <c r="L711" i="3"/>
  <c r="L705" i="3"/>
  <c r="L712" i="3"/>
  <c r="L713" i="3"/>
  <c r="L714" i="3"/>
  <c r="L715" i="3"/>
  <c r="F798" i="4"/>
  <c r="F799" i="4"/>
  <c r="F800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98" i="3"/>
  <c r="F799" i="3"/>
  <c r="F800" i="3"/>
  <c r="F801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8" i="5"/>
  <c r="F799" i="5"/>
  <c r="F800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N702" i="5"/>
  <c r="N702" i="4"/>
  <c r="N702" i="3"/>
  <c r="N702" i="2"/>
  <c r="L678" i="3"/>
  <c r="L679" i="3"/>
  <c r="L680" i="3"/>
  <c r="L681" i="3"/>
  <c r="L682" i="3"/>
  <c r="L683" i="3"/>
  <c r="F652" i="3"/>
  <c r="F652" i="5"/>
  <c r="N648" i="3"/>
  <c r="N648" i="4"/>
  <c r="N648" i="5"/>
  <c r="N649" i="5"/>
  <c r="N649" i="3"/>
  <c r="N622" i="3"/>
  <c r="N622" i="5"/>
  <c r="F615" i="3"/>
  <c r="F576" i="4"/>
  <c r="F577" i="4"/>
  <c r="F578" i="4"/>
  <c r="F579" i="4"/>
  <c r="F575" i="5"/>
  <c r="F576" i="5"/>
  <c r="F577" i="5"/>
  <c r="F578" i="5"/>
  <c r="F579" i="5"/>
  <c r="F580" i="5"/>
  <c r="F572" i="4"/>
  <c r="F573" i="4"/>
  <c r="F574" i="4"/>
  <c r="F575" i="4"/>
  <c r="F580" i="4"/>
  <c r="F570" i="4"/>
  <c r="F571" i="4"/>
  <c r="E567" i="5"/>
  <c r="F570" i="5"/>
  <c r="F571" i="5"/>
  <c r="F572" i="5"/>
  <c r="F573" i="5"/>
  <c r="F574" i="5"/>
  <c r="E554" i="2"/>
  <c r="N541" i="5"/>
  <c r="N513" i="3"/>
  <c r="N500" i="5"/>
  <c r="N500" i="4"/>
  <c r="N500" i="3"/>
  <c r="F488" i="3"/>
  <c r="F489" i="3"/>
  <c r="E500" i="3"/>
  <c r="F488" i="4"/>
  <c r="L463" i="2"/>
  <c r="F435" i="5"/>
  <c r="L439" i="4"/>
  <c r="N378" i="5"/>
  <c r="N378" i="4"/>
  <c r="N378" i="3"/>
  <c r="N365" i="3"/>
  <c r="N365" i="4"/>
  <c r="N365" i="5"/>
  <c r="N351" i="5"/>
  <c r="N351" i="4"/>
  <c r="N351" i="3"/>
  <c r="N338" i="5"/>
  <c r="N338" i="4"/>
  <c r="N338" i="3"/>
  <c r="N324" i="5"/>
  <c r="N324" i="4"/>
  <c r="N324" i="3"/>
  <c r="N324" i="2"/>
  <c r="F303" i="4"/>
  <c r="F304" i="4"/>
  <c r="F306" i="4"/>
  <c r="F300" i="4"/>
  <c r="F302" i="4"/>
  <c r="F299" i="4"/>
  <c r="E311" i="4"/>
  <c r="L293" i="5"/>
  <c r="L287" i="5"/>
  <c r="L288" i="5"/>
  <c r="N297" i="2"/>
  <c r="N298" i="2" s="1"/>
  <c r="N297" i="3"/>
  <c r="N297" i="4"/>
  <c r="N297" i="5"/>
  <c r="N270" i="2"/>
  <c r="N270" i="4"/>
  <c r="N270" i="5"/>
  <c r="F720" i="2"/>
  <c r="N811" i="5"/>
  <c r="F33" i="6" s="1"/>
  <c r="E810" i="5"/>
  <c r="L809" i="5"/>
  <c r="F809" i="5"/>
  <c r="L808" i="5"/>
  <c r="F808" i="5"/>
  <c r="L807" i="5"/>
  <c r="F807" i="5"/>
  <c r="L806" i="5"/>
  <c r="F806" i="5"/>
  <c r="L805" i="5"/>
  <c r="F805" i="5"/>
  <c r="L804" i="5"/>
  <c r="F804" i="5"/>
  <c r="L803" i="5"/>
  <c r="F803" i="5"/>
  <c r="L802" i="5"/>
  <c r="F802" i="5"/>
  <c r="L801" i="5"/>
  <c r="F801" i="5"/>
  <c r="L800" i="5"/>
  <c r="L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L798" i="5"/>
  <c r="E797" i="5"/>
  <c r="E811" i="5" s="1"/>
  <c r="L796" i="5"/>
  <c r="L795" i="5"/>
  <c r="L794" i="5"/>
  <c r="L793" i="5"/>
  <c r="L792" i="5"/>
  <c r="L791" i="5"/>
  <c r="L790" i="5"/>
  <c r="L789" i="5"/>
  <c r="L788" i="5"/>
  <c r="L787" i="5"/>
  <c r="L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L785" i="5"/>
  <c r="N784" i="5"/>
  <c r="F32" i="6" s="1"/>
  <c r="E783" i="5"/>
  <c r="L782" i="5"/>
  <c r="F782" i="5"/>
  <c r="L781" i="5"/>
  <c r="F781" i="5"/>
  <c r="L780" i="5"/>
  <c r="F780" i="5"/>
  <c r="L779" i="5"/>
  <c r="F779" i="5"/>
  <c r="L778" i="5"/>
  <c r="F778" i="5"/>
  <c r="L777" i="5"/>
  <c r="F777" i="5"/>
  <c r="L776" i="5"/>
  <c r="F776" i="5"/>
  <c r="L775" i="5"/>
  <c r="L774" i="5"/>
  <c r="F774" i="5"/>
  <c r="L773" i="5"/>
  <c r="F773" i="5"/>
  <c r="L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L771" i="5"/>
  <c r="F771" i="5"/>
  <c r="F783" i="5" s="1"/>
  <c r="E770" i="5"/>
  <c r="L769" i="5"/>
  <c r="F769" i="5"/>
  <c r="L768" i="5"/>
  <c r="F768" i="5"/>
  <c r="L767" i="5"/>
  <c r="F767" i="5"/>
  <c r="L766" i="5"/>
  <c r="F766" i="5"/>
  <c r="L765" i="5"/>
  <c r="F765" i="5"/>
  <c r="L764" i="5"/>
  <c r="F764" i="5"/>
  <c r="L763" i="5"/>
  <c r="F763" i="5"/>
  <c r="L762" i="5"/>
  <c r="F762" i="5"/>
  <c r="L761" i="5"/>
  <c r="F761" i="5"/>
  <c r="L760" i="5"/>
  <c r="F760" i="5"/>
  <c r="L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L758" i="5"/>
  <c r="F758" i="5"/>
  <c r="N757" i="5"/>
  <c r="F31" i="6" s="1"/>
  <c r="E756" i="5"/>
  <c r="L755" i="5"/>
  <c r="F755" i="5"/>
  <c r="L754" i="5"/>
  <c r="F754" i="5"/>
  <c r="L753" i="5"/>
  <c r="F753" i="5"/>
  <c r="L752" i="5"/>
  <c r="F752" i="5"/>
  <c r="L751" i="5"/>
  <c r="F751" i="5"/>
  <c r="L750" i="5"/>
  <c r="F750" i="5"/>
  <c r="L749" i="5"/>
  <c r="F749" i="5"/>
  <c r="L748" i="5"/>
  <c r="F748" i="5"/>
  <c r="L747" i="5"/>
  <c r="L746" i="5"/>
  <c r="F746" i="5"/>
  <c r="L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L744" i="5"/>
  <c r="L756" i="5" s="1"/>
  <c r="F744" i="5"/>
  <c r="E743" i="5"/>
  <c r="E757" i="5" s="1"/>
  <c r="L742" i="5"/>
  <c r="F742" i="5"/>
  <c r="L741" i="5"/>
  <c r="F741" i="5"/>
  <c r="L740" i="5"/>
  <c r="F740" i="5"/>
  <c r="L739" i="5"/>
  <c r="F739" i="5"/>
  <c r="L738" i="5"/>
  <c r="F738" i="5"/>
  <c r="L737" i="5"/>
  <c r="F737" i="5"/>
  <c r="L736" i="5"/>
  <c r="F736" i="5"/>
  <c r="L735" i="5"/>
  <c r="F735" i="5"/>
  <c r="L734" i="5"/>
  <c r="F734" i="5"/>
  <c r="L733" i="5"/>
  <c r="F733" i="5"/>
  <c r="L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L731" i="5"/>
  <c r="F731" i="5"/>
  <c r="N730" i="5"/>
  <c r="F30" i="6" s="1"/>
  <c r="E729" i="5"/>
  <c r="L728" i="5"/>
  <c r="F728" i="5"/>
  <c r="L727" i="5"/>
  <c r="L726" i="5"/>
  <c r="L725" i="5"/>
  <c r="F725" i="5"/>
  <c r="L724" i="5"/>
  <c r="F724" i="5"/>
  <c r="L723" i="5"/>
  <c r="F723" i="5"/>
  <c r="L722" i="5"/>
  <c r="F722" i="5"/>
  <c r="L721" i="5"/>
  <c r="F721" i="5"/>
  <c r="L720" i="5"/>
  <c r="F720" i="5"/>
  <c r="L719" i="5"/>
  <c r="F719" i="5"/>
  <c r="L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L717" i="5"/>
  <c r="F717" i="5"/>
  <c r="E716" i="5"/>
  <c r="E730" i="5" s="1"/>
  <c r="L715" i="5"/>
  <c r="F715" i="5"/>
  <c r="L714" i="5"/>
  <c r="F714" i="5"/>
  <c r="L713" i="5"/>
  <c r="F713" i="5"/>
  <c r="L712" i="5"/>
  <c r="F712" i="5"/>
  <c r="L711" i="5"/>
  <c r="F711" i="5"/>
  <c r="L710" i="5"/>
  <c r="F710" i="5"/>
  <c r="L709" i="5"/>
  <c r="F709" i="5"/>
  <c r="L708" i="5"/>
  <c r="F708" i="5"/>
  <c r="L707" i="5"/>
  <c r="F707" i="5"/>
  <c r="L706" i="5"/>
  <c r="F706" i="5"/>
  <c r="L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L704" i="5"/>
  <c r="L716" i="5" s="1"/>
  <c r="F704" i="5"/>
  <c r="N703" i="5"/>
  <c r="F29" i="6" s="1"/>
  <c r="E702" i="5"/>
  <c r="L701" i="5"/>
  <c r="F701" i="5"/>
  <c r="L700" i="5"/>
  <c r="F700" i="5"/>
  <c r="L699" i="5"/>
  <c r="F699" i="5"/>
  <c r="L698" i="5"/>
  <c r="F698" i="5"/>
  <c r="L697" i="5"/>
  <c r="F697" i="5"/>
  <c r="L696" i="5"/>
  <c r="F696" i="5"/>
  <c r="L695" i="5"/>
  <c r="F695" i="5"/>
  <c r="L694" i="5"/>
  <c r="F694" i="5"/>
  <c r="L693" i="5"/>
  <c r="F693" i="5"/>
  <c r="L692" i="5"/>
  <c r="F692" i="5"/>
  <c r="L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L690" i="5"/>
  <c r="F690" i="5"/>
  <c r="E689" i="5"/>
  <c r="E703" i="5" s="1"/>
  <c r="L688" i="5"/>
  <c r="F688" i="5"/>
  <c r="L687" i="5"/>
  <c r="F687" i="5"/>
  <c r="L686" i="5"/>
  <c r="F686" i="5"/>
  <c r="L685" i="5"/>
  <c r="F685" i="5"/>
  <c r="L684" i="5"/>
  <c r="F684" i="5"/>
  <c r="L683" i="5"/>
  <c r="F683" i="5"/>
  <c r="L682" i="5"/>
  <c r="F682" i="5"/>
  <c r="L681" i="5"/>
  <c r="F681" i="5"/>
  <c r="L680" i="5"/>
  <c r="F680" i="5"/>
  <c r="L679" i="5"/>
  <c r="F679" i="5"/>
  <c r="L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L677" i="5"/>
  <c r="F677" i="5"/>
  <c r="N676" i="5"/>
  <c r="F28" i="6" s="1"/>
  <c r="E675" i="5"/>
  <c r="L674" i="5"/>
  <c r="F674" i="5"/>
  <c r="L673" i="5"/>
  <c r="F673" i="5"/>
  <c r="L672" i="5"/>
  <c r="F672" i="5"/>
  <c r="L671" i="5"/>
  <c r="F671" i="5"/>
  <c r="L670" i="5"/>
  <c r="F670" i="5"/>
  <c r="L669" i="5"/>
  <c r="F669" i="5"/>
  <c r="L668" i="5"/>
  <c r="F668" i="5"/>
  <c r="L667" i="5"/>
  <c r="F667" i="5"/>
  <c r="L666" i="5"/>
  <c r="F666" i="5"/>
  <c r="L665" i="5"/>
  <c r="F665" i="5"/>
  <c r="L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L663" i="5"/>
  <c r="F663" i="5"/>
  <c r="E662" i="5"/>
  <c r="E676" i="5" s="1"/>
  <c r="L661" i="5"/>
  <c r="F661" i="5"/>
  <c r="L660" i="5"/>
  <c r="F660" i="5"/>
  <c r="L659" i="5"/>
  <c r="F659" i="5"/>
  <c r="L658" i="5"/>
  <c r="F658" i="5"/>
  <c r="L657" i="5"/>
  <c r="F657" i="5"/>
  <c r="L656" i="5"/>
  <c r="F656" i="5"/>
  <c r="L655" i="5"/>
  <c r="F655" i="5"/>
  <c r="L654" i="5"/>
  <c r="F654" i="5"/>
  <c r="L653" i="5"/>
  <c r="F653" i="5"/>
  <c r="L652" i="5"/>
  <c r="L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L650" i="5"/>
  <c r="F650" i="5"/>
  <c r="F27" i="6"/>
  <c r="E648" i="5"/>
  <c r="L647" i="5"/>
  <c r="F647" i="5"/>
  <c r="L646" i="5"/>
  <c r="F646" i="5"/>
  <c r="L645" i="5"/>
  <c r="F645" i="5"/>
  <c r="L644" i="5"/>
  <c r="F644" i="5"/>
  <c r="L643" i="5"/>
  <c r="F643" i="5"/>
  <c r="L642" i="5"/>
  <c r="F642" i="5"/>
  <c r="L641" i="5"/>
  <c r="F641" i="5"/>
  <c r="L640" i="5"/>
  <c r="F640" i="5"/>
  <c r="L639" i="5"/>
  <c r="F639" i="5"/>
  <c r="L638" i="5"/>
  <c r="F638" i="5"/>
  <c r="L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L636" i="5"/>
  <c r="F636" i="5"/>
  <c r="F648" i="5" s="1"/>
  <c r="E635" i="5"/>
  <c r="E649" i="5" s="1"/>
  <c r="L634" i="5"/>
  <c r="F634" i="5"/>
  <c r="L633" i="5"/>
  <c r="F633" i="5"/>
  <c r="L632" i="5"/>
  <c r="F632" i="5"/>
  <c r="L631" i="5"/>
  <c r="F631" i="5"/>
  <c r="L630" i="5"/>
  <c r="F630" i="5"/>
  <c r="L629" i="5"/>
  <c r="F629" i="5"/>
  <c r="L628" i="5"/>
  <c r="F628" i="5"/>
  <c r="L627" i="5"/>
  <c r="F627" i="5"/>
  <c r="L626" i="5"/>
  <c r="F626" i="5"/>
  <c r="L625" i="5"/>
  <c r="F625" i="5"/>
  <c r="L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L623" i="5"/>
  <c r="F623" i="5"/>
  <c r="F26" i="6"/>
  <c r="E621" i="5"/>
  <c r="L620" i="5"/>
  <c r="F620" i="5"/>
  <c r="L619" i="5"/>
  <c r="F619" i="5"/>
  <c r="L618" i="5"/>
  <c r="F618" i="5"/>
  <c r="L617" i="5"/>
  <c r="F617" i="5"/>
  <c r="L616" i="5"/>
  <c r="F616" i="5"/>
  <c r="L615" i="5"/>
  <c r="L614" i="5"/>
  <c r="F614" i="5"/>
  <c r="L613" i="5"/>
  <c r="F613" i="5"/>
  <c r="L612" i="5"/>
  <c r="F612" i="5"/>
  <c r="L611" i="5"/>
  <c r="F611" i="5"/>
  <c r="L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L609" i="5"/>
  <c r="F609" i="5"/>
  <c r="E608" i="5"/>
  <c r="E622" i="5" s="1"/>
  <c r="L607" i="5"/>
  <c r="F607" i="5"/>
  <c r="L606" i="5"/>
  <c r="F606" i="5"/>
  <c r="L605" i="5"/>
  <c r="F605" i="5"/>
  <c r="L604" i="5"/>
  <c r="F604" i="5"/>
  <c r="L603" i="5"/>
  <c r="F603" i="5"/>
  <c r="L602" i="5"/>
  <c r="F602" i="5"/>
  <c r="L601" i="5"/>
  <c r="F601" i="5"/>
  <c r="L600" i="5"/>
  <c r="F600" i="5"/>
  <c r="L599" i="5"/>
  <c r="F599" i="5"/>
  <c r="L598" i="5"/>
  <c r="F598" i="5"/>
  <c r="L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L596" i="5"/>
  <c r="F596" i="5"/>
  <c r="N595" i="5"/>
  <c r="F25" i="6" s="1"/>
  <c r="E594" i="5"/>
  <c r="L593" i="5"/>
  <c r="F593" i="5"/>
  <c r="L592" i="5"/>
  <c r="F592" i="5"/>
  <c r="L591" i="5"/>
  <c r="F591" i="5"/>
  <c r="L590" i="5"/>
  <c r="F590" i="5"/>
  <c r="L589" i="5"/>
  <c r="F589" i="5"/>
  <c r="L588" i="5"/>
  <c r="F588" i="5"/>
  <c r="L587" i="5"/>
  <c r="F587" i="5"/>
  <c r="L586" i="5"/>
  <c r="F586" i="5"/>
  <c r="L585" i="5"/>
  <c r="F585" i="5"/>
  <c r="L584" i="5"/>
  <c r="F584" i="5"/>
  <c r="L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L582" i="5"/>
  <c r="F582" i="5"/>
  <c r="E581" i="5"/>
  <c r="E595" i="5" s="1"/>
  <c r="L580" i="5"/>
  <c r="L579" i="5"/>
  <c r="L578" i="5"/>
  <c r="L577" i="5"/>
  <c r="L576" i="5"/>
  <c r="L574" i="5"/>
  <c r="L573" i="5"/>
  <c r="L572" i="5"/>
  <c r="L571" i="5"/>
  <c r="L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L569" i="5"/>
  <c r="F569" i="5"/>
  <c r="N568" i="5"/>
  <c r="F24" i="6" s="1"/>
  <c r="L566" i="5"/>
  <c r="F566" i="5"/>
  <c r="L565" i="5"/>
  <c r="F565" i="5"/>
  <c r="L564" i="5"/>
  <c r="F564" i="5"/>
  <c r="L563" i="5"/>
  <c r="F563" i="5"/>
  <c r="L562" i="5"/>
  <c r="F562" i="5"/>
  <c r="L561" i="5"/>
  <c r="F561" i="5"/>
  <c r="L560" i="5"/>
  <c r="F560" i="5"/>
  <c r="L559" i="5"/>
  <c r="F559" i="5"/>
  <c r="L558" i="5"/>
  <c r="F558" i="5"/>
  <c r="L557" i="5"/>
  <c r="F557" i="5"/>
  <c r="L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L555" i="5"/>
  <c r="F555" i="5"/>
  <c r="E554" i="5"/>
  <c r="E568" i="5" s="1"/>
  <c r="L553" i="5"/>
  <c r="F553" i="5"/>
  <c r="L552" i="5"/>
  <c r="F552" i="5"/>
  <c r="L551" i="5"/>
  <c r="F551" i="5"/>
  <c r="L550" i="5"/>
  <c r="F550" i="5"/>
  <c r="L549" i="5"/>
  <c r="F549" i="5"/>
  <c r="L548" i="5"/>
  <c r="F548" i="5"/>
  <c r="L547" i="5"/>
  <c r="F547" i="5"/>
  <c r="L546" i="5"/>
  <c r="F546" i="5"/>
  <c r="L545" i="5"/>
  <c r="F545" i="5"/>
  <c r="L544" i="5"/>
  <c r="F544" i="5"/>
  <c r="L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L542" i="5"/>
  <c r="F542" i="5"/>
  <c r="F23" i="6"/>
  <c r="E540" i="5"/>
  <c r="L539" i="5"/>
  <c r="F539" i="5"/>
  <c r="L538" i="5"/>
  <c r="F538" i="5"/>
  <c r="L537" i="5"/>
  <c r="F537" i="5"/>
  <c r="L536" i="5"/>
  <c r="F536" i="5"/>
  <c r="L535" i="5"/>
  <c r="F535" i="5"/>
  <c r="L534" i="5"/>
  <c r="F534" i="5"/>
  <c r="L533" i="5"/>
  <c r="F533" i="5"/>
  <c r="L532" i="5"/>
  <c r="F532" i="5"/>
  <c r="L531" i="5"/>
  <c r="F531" i="5"/>
  <c r="L530" i="5"/>
  <c r="F530" i="5"/>
  <c r="L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L528" i="5"/>
  <c r="F528" i="5"/>
  <c r="E527" i="5"/>
  <c r="E541" i="5" s="1"/>
  <c r="L526" i="5"/>
  <c r="F526" i="5"/>
  <c r="L525" i="5"/>
  <c r="F525" i="5"/>
  <c r="L524" i="5"/>
  <c r="F524" i="5"/>
  <c r="L523" i="5"/>
  <c r="F523" i="5"/>
  <c r="L522" i="5"/>
  <c r="F522" i="5"/>
  <c r="L521" i="5"/>
  <c r="F521" i="5"/>
  <c r="L520" i="5"/>
  <c r="F520" i="5"/>
  <c r="L519" i="5"/>
  <c r="F519" i="5"/>
  <c r="L518" i="5"/>
  <c r="F518" i="5"/>
  <c r="L517" i="5"/>
  <c r="F517" i="5"/>
  <c r="L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L515" i="5"/>
  <c r="F515" i="5"/>
  <c r="N514" i="5"/>
  <c r="F22" i="6" s="1"/>
  <c r="E513" i="5"/>
  <c r="L512" i="5"/>
  <c r="F512" i="5"/>
  <c r="L511" i="5"/>
  <c r="F511" i="5"/>
  <c r="L510" i="5"/>
  <c r="F510" i="5"/>
  <c r="L509" i="5"/>
  <c r="F509" i="5"/>
  <c r="L508" i="5"/>
  <c r="F508" i="5"/>
  <c r="L507" i="5"/>
  <c r="F507" i="5"/>
  <c r="L506" i="5"/>
  <c r="F506" i="5"/>
  <c r="L505" i="5"/>
  <c r="F505" i="5"/>
  <c r="L504" i="5"/>
  <c r="F504" i="5"/>
  <c r="L503" i="5"/>
  <c r="F503" i="5"/>
  <c r="L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L501" i="5"/>
  <c r="F501" i="5"/>
  <c r="F513" i="5" s="1"/>
  <c r="E500" i="5"/>
  <c r="L499" i="5"/>
  <c r="F499" i="5"/>
  <c r="L498" i="5"/>
  <c r="F498" i="5"/>
  <c r="L497" i="5"/>
  <c r="F497" i="5"/>
  <c r="L496" i="5"/>
  <c r="F496" i="5"/>
  <c r="L495" i="5"/>
  <c r="F495" i="5"/>
  <c r="L494" i="5"/>
  <c r="F494" i="5"/>
  <c r="L493" i="5"/>
  <c r="F493" i="5"/>
  <c r="F492" i="5"/>
  <c r="L491" i="5"/>
  <c r="F491" i="5"/>
  <c r="L490" i="5"/>
  <c r="F490" i="5"/>
  <c r="L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L488" i="5"/>
  <c r="F488" i="5"/>
  <c r="N487" i="5"/>
  <c r="F21" i="6" s="1"/>
  <c r="E486" i="5"/>
  <c r="L485" i="5"/>
  <c r="F485" i="5"/>
  <c r="L484" i="5"/>
  <c r="F484" i="5"/>
  <c r="L483" i="5"/>
  <c r="F483" i="5"/>
  <c r="L482" i="5"/>
  <c r="F482" i="5"/>
  <c r="L481" i="5"/>
  <c r="F481" i="5"/>
  <c r="L480" i="5"/>
  <c r="F480" i="5"/>
  <c r="L479" i="5"/>
  <c r="F479" i="5"/>
  <c r="L478" i="5"/>
  <c r="F478" i="5"/>
  <c r="L477" i="5"/>
  <c r="F477" i="5"/>
  <c r="L476" i="5"/>
  <c r="F476" i="5"/>
  <c r="L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L474" i="5"/>
  <c r="F474" i="5"/>
  <c r="E473" i="5"/>
  <c r="L472" i="5"/>
  <c r="F472" i="5"/>
  <c r="L471" i="5"/>
  <c r="F471" i="5"/>
  <c r="L470" i="5"/>
  <c r="F470" i="5"/>
  <c r="L469" i="5"/>
  <c r="F469" i="5"/>
  <c r="L468" i="5"/>
  <c r="F468" i="5"/>
  <c r="L467" i="5"/>
  <c r="F467" i="5"/>
  <c r="L466" i="5"/>
  <c r="F466" i="5"/>
  <c r="L465" i="5"/>
  <c r="F465" i="5"/>
  <c r="L464" i="5"/>
  <c r="F464" i="5"/>
  <c r="L463" i="5"/>
  <c r="F463" i="5"/>
  <c r="L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L461" i="5"/>
  <c r="F461" i="5"/>
  <c r="N460" i="5"/>
  <c r="F20" i="6" s="1"/>
  <c r="E459" i="5"/>
  <c r="L458" i="5"/>
  <c r="F458" i="5"/>
  <c r="L457" i="5"/>
  <c r="F457" i="5"/>
  <c r="L456" i="5"/>
  <c r="F456" i="5"/>
  <c r="L455" i="5"/>
  <c r="F455" i="5"/>
  <c r="L454" i="5"/>
  <c r="F454" i="5"/>
  <c r="L453" i="5"/>
  <c r="F453" i="5"/>
  <c r="L452" i="5"/>
  <c r="F452" i="5"/>
  <c r="L451" i="5"/>
  <c r="F451" i="5"/>
  <c r="L450" i="5"/>
  <c r="F450" i="5"/>
  <c r="L449" i="5"/>
  <c r="F449" i="5"/>
  <c r="L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L447" i="5"/>
  <c r="F447" i="5"/>
  <c r="F459" i="5" s="1"/>
  <c r="E446" i="5"/>
  <c r="L445" i="5"/>
  <c r="F445" i="5"/>
  <c r="L444" i="5"/>
  <c r="F444" i="5"/>
  <c r="L443" i="5"/>
  <c r="F443" i="5"/>
  <c r="L442" i="5"/>
  <c r="F442" i="5"/>
  <c r="L441" i="5"/>
  <c r="F441" i="5"/>
  <c r="L440" i="5"/>
  <c r="F440" i="5"/>
  <c r="L439" i="5"/>
  <c r="F439" i="5"/>
  <c r="L438" i="5"/>
  <c r="F438" i="5"/>
  <c r="L437" i="5"/>
  <c r="F437" i="5"/>
  <c r="L436" i="5"/>
  <c r="F436" i="5"/>
  <c r="L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L434" i="5"/>
  <c r="L446" i="5" s="1"/>
  <c r="F434" i="5"/>
  <c r="N433" i="5"/>
  <c r="F19" i="6" s="1"/>
  <c r="E432" i="5"/>
  <c r="L431" i="5"/>
  <c r="F431" i="5"/>
  <c r="L430" i="5"/>
  <c r="F430" i="5"/>
  <c r="L429" i="5"/>
  <c r="F429" i="5"/>
  <c r="L428" i="5"/>
  <c r="F428" i="5"/>
  <c r="L427" i="5"/>
  <c r="F427" i="5"/>
  <c r="L426" i="5"/>
  <c r="F426" i="5"/>
  <c r="L425" i="5"/>
  <c r="F425" i="5"/>
  <c r="L424" i="5"/>
  <c r="F424" i="5"/>
  <c r="L423" i="5"/>
  <c r="F423" i="5"/>
  <c r="L422" i="5"/>
  <c r="F422" i="5"/>
  <c r="L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L420" i="5"/>
  <c r="F420" i="5"/>
  <c r="E419" i="5"/>
  <c r="E433" i="5" s="1"/>
  <c r="L418" i="5"/>
  <c r="F418" i="5"/>
  <c r="L417" i="5"/>
  <c r="F417" i="5"/>
  <c r="L416" i="5"/>
  <c r="F416" i="5"/>
  <c r="L415" i="5"/>
  <c r="F415" i="5"/>
  <c r="L414" i="5"/>
  <c r="F414" i="5"/>
  <c r="L413" i="5"/>
  <c r="F413" i="5"/>
  <c r="L412" i="5"/>
  <c r="F412" i="5"/>
  <c r="L411" i="5"/>
  <c r="F411" i="5"/>
  <c r="L410" i="5"/>
  <c r="F410" i="5"/>
  <c r="L409" i="5"/>
  <c r="F409" i="5"/>
  <c r="L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L407" i="5"/>
  <c r="F407" i="5"/>
  <c r="N406" i="5"/>
  <c r="F18" i="6" s="1"/>
  <c r="E405" i="5"/>
  <c r="L404" i="5"/>
  <c r="F404" i="5"/>
  <c r="L403" i="5"/>
  <c r="F403" i="5"/>
  <c r="L402" i="5"/>
  <c r="F402" i="5"/>
  <c r="L401" i="5"/>
  <c r="F401" i="5"/>
  <c r="L400" i="5"/>
  <c r="F400" i="5"/>
  <c r="L399" i="5"/>
  <c r="F399" i="5"/>
  <c r="L398" i="5"/>
  <c r="F398" i="5"/>
  <c r="L397" i="5"/>
  <c r="F397" i="5"/>
  <c r="L396" i="5"/>
  <c r="F396" i="5"/>
  <c r="L395" i="5"/>
  <c r="F395" i="5"/>
  <c r="L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L393" i="5"/>
  <c r="F393" i="5"/>
  <c r="F405" i="5" s="1"/>
  <c r="E392" i="5"/>
  <c r="E406" i="5" s="1"/>
  <c r="L391" i="5"/>
  <c r="F391" i="5"/>
  <c r="L390" i="5"/>
  <c r="F390" i="5"/>
  <c r="L389" i="5"/>
  <c r="F389" i="5"/>
  <c r="L388" i="5"/>
  <c r="F388" i="5"/>
  <c r="L387" i="5"/>
  <c r="F387" i="5"/>
  <c r="L386" i="5"/>
  <c r="F386" i="5"/>
  <c r="L385" i="5"/>
  <c r="F385" i="5"/>
  <c r="L384" i="5"/>
  <c r="F384" i="5"/>
  <c r="L383" i="5"/>
  <c r="F383" i="5"/>
  <c r="L382" i="5"/>
  <c r="F382" i="5"/>
  <c r="L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L380" i="5"/>
  <c r="F380" i="5"/>
  <c r="N379" i="5"/>
  <c r="F17" i="6" s="1"/>
  <c r="E378" i="5"/>
  <c r="L377" i="5"/>
  <c r="F377" i="5"/>
  <c r="L376" i="5"/>
  <c r="F376" i="5"/>
  <c r="L375" i="5"/>
  <c r="F375" i="5"/>
  <c r="L374" i="5"/>
  <c r="F374" i="5"/>
  <c r="L373" i="5"/>
  <c r="F373" i="5"/>
  <c r="L372" i="5"/>
  <c r="F372" i="5"/>
  <c r="L371" i="5"/>
  <c r="F371" i="5"/>
  <c r="L370" i="5"/>
  <c r="F370" i="5"/>
  <c r="L369" i="5"/>
  <c r="F369" i="5"/>
  <c r="L368" i="5"/>
  <c r="F368" i="5"/>
  <c r="L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L366" i="5"/>
  <c r="F366" i="5"/>
  <c r="E365" i="5"/>
  <c r="E379" i="5" s="1"/>
  <c r="L364" i="5"/>
  <c r="F364" i="5"/>
  <c r="L363" i="5"/>
  <c r="F363" i="5"/>
  <c r="L362" i="5"/>
  <c r="F362" i="5"/>
  <c r="L361" i="5"/>
  <c r="F361" i="5"/>
  <c r="L360" i="5"/>
  <c r="F360" i="5"/>
  <c r="L359" i="5"/>
  <c r="F359" i="5"/>
  <c r="L358" i="5"/>
  <c r="F358" i="5"/>
  <c r="L357" i="5"/>
  <c r="F357" i="5"/>
  <c r="L356" i="5"/>
  <c r="F356" i="5"/>
  <c r="L355" i="5"/>
  <c r="F355" i="5"/>
  <c r="L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L353" i="5"/>
  <c r="F353" i="5"/>
  <c r="E351" i="5"/>
  <c r="L350" i="5"/>
  <c r="F350" i="5"/>
  <c r="L349" i="5"/>
  <c r="F349" i="5"/>
  <c r="L348" i="5"/>
  <c r="F348" i="5"/>
  <c r="L347" i="5"/>
  <c r="F347" i="5"/>
  <c r="L346" i="5"/>
  <c r="F346" i="5"/>
  <c r="L345" i="5"/>
  <c r="F345" i="5"/>
  <c r="L344" i="5"/>
  <c r="F344" i="5"/>
  <c r="L343" i="5"/>
  <c r="F343" i="5"/>
  <c r="L342" i="5"/>
  <c r="F342" i="5"/>
  <c r="L341" i="5"/>
  <c r="F341" i="5"/>
  <c r="L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L339" i="5"/>
  <c r="F339" i="5"/>
  <c r="E338" i="5"/>
  <c r="E352" i="5" s="1"/>
  <c r="L337" i="5"/>
  <c r="F337" i="5"/>
  <c r="L336" i="5"/>
  <c r="F336" i="5"/>
  <c r="L335" i="5"/>
  <c r="F335" i="5"/>
  <c r="L334" i="5"/>
  <c r="F334" i="5"/>
  <c r="L333" i="5"/>
  <c r="F333" i="5"/>
  <c r="L332" i="5"/>
  <c r="F332" i="5"/>
  <c r="L331" i="5"/>
  <c r="F331" i="5"/>
  <c r="L330" i="5"/>
  <c r="F330" i="5"/>
  <c r="L329" i="5"/>
  <c r="F329" i="5"/>
  <c r="L328" i="5"/>
  <c r="F328" i="5"/>
  <c r="L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L326" i="5"/>
  <c r="F326" i="5"/>
  <c r="N325" i="5"/>
  <c r="F15" i="6" s="1"/>
  <c r="E324" i="5"/>
  <c r="L323" i="5"/>
  <c r="F323" i="5"/>
  <c r="L322" i="5"/>
  <c r="F322" i="5"/>
  <c r="L321" i="5"/>
  <c r="F321" i="5"/>
  <c r="L320" i="5"/>
  <c r="F320" i="5"/>
  <c r="L319" i="5"/>
  <c r="F319" i="5"/>
  <c r="L318" i="5"/>
  <c r="F318" i="5"/>
  <c r="L317" i="5"/>
  <c r="F317" i="5"/>
  <c r="L316" i="5"/>
  <c r="F316" i="5"/>
  <c r="L315" i="5"/>
  <c r="F315" i="5"/>
  <c r="L314" i="5"/>
  <c r="F314" i="5"/>
  <c r="L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L312" i="5"/>
  <c r="F312" i="5"/>
  <c r="E311" i="5"/>
  <c r="E325" i="5" s="1"/>
  <c r="L310" i="5"/>
  <c r="F310" i="5"/>
  <c r="L309" i="5"/>
  <c r="F309" i="5"/>
  <c r="L308" i="5"/>
  <c r="F308" i="5"/>
  <c r="L307" i="5"/>
  <c r="F307" i="5"/>
  <c r="L306" i="5"/>
  <c r="F306" i="5"/>
  <c r="L305" i="5"/>
  <c r="F305" i="5"/>
  <c r="L304" i="5"/>
  <c r="F304" i="5"/>
  <c r="L303" i="5"/>
  <c r="F303" i="5"/>
  <c r="L302" i="5"/>
  <c r="F302" i="5"/>
  <c r="L301" i="5"/>
  <c r="F301" i="5"/>
  <c r="L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L299" i="5"/>
  <c r="F299" i="5"/>
  <c r="N298" i="5"/>
  <c r="F14" i="6" s="1"/>
  <c r="E297" i="5"/>
  <c r="L296" i="5"/>
  <c r="F296" i="5"/>
  <c r="L295" i="5"/>
  <c r="F295" i="5"/>
  <c r="L294" i="5"/>
  <c r="F294" i="5"/>
  <c r="F293" i="5"/>
  <c r="L292" i="5"/>
  <c r="F292" i="5"/>
  <c r="L291" i="5"/>
  <c r="F291" i="5"/>
  <c r="L290" i="5"/>
  <c r="F290" i="5"/>
  <c r="L289" i="5"/>
  <c r="F289" i="5"/>
  <c r="F288" i="5"/>
  <c r="F287" i="5"/>
  <c r="L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L285" i="5"/>
  <c r="F285" i="5"/>
  <c r="E284" i="5"/>
  <c r="E298" i="5" s="1"/>
  <c r="L283" i="5"/>
  <c r="F283" i="5"/>
  <c r="L282" i="5"/>
  <c r="F282" i="5"/>
  <c r="L281" i="5"/>
  <c r="F281" i="5"/>
  <c r="L280" i="5"/>
  <c r="F280" i="5"/>
  <c r="L279" i="5"/>
  <c r="F279" i="5"/>
  <c r="F278" i="5"/>
  <c r="L277" i="5"/>
  <c r="F277" i="5"/>
  <c r="L276" i="5"/>
  <c r="F276" i="5"/>
  <c r="L275" i="5"/>
  <c r="F275" i="5"/>
  <c r="L274" i="5"/>
  <c r="F274" i="5"/>
  <c r="L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L272" i="5"/>
  <c r="L284" i="5" s="1"/>
  <c r="F272" i="5"/>
  <c r="F284" i="5" s="1"/>
  <c r="N271" i="5"/>
  <c r="F13" i="6" s="1"/>
  <c r="E270" i="5"/>
  <c r="L269" i="5"/>
  <c r="F269" i="5"/>
  <c r="L268" i="5"/>
  <c r="F268" i="5"/>
  <c r="L267" i="5"/>
  <c r="F267" i="5"/>
  <c r="L266" i="5"/>
  <c r="F266" i="5"/>
  <c r="L265" i="5"/>
  <c r="F265" i="5"/>
  <c r="L264" i="5"/>
  <c r="F264" i="5"/>
  <c r="L263" i="5"/>
  <c r="F263" i="5"/>
  <c r="L262" i="5"/>
  <c r="F262" i="5"/>
  <c r="L261" i="5"/>
  <c r="F261" i="5"/>
  <c r="L260" i="5"/>
  <c r="F260" i="5"/>
  <c r="L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L258" i="5"/>
  <c r="L270" i="5" s="1"/>
  <c r="F258" i="5"/>
  <c r="E257" i="5"/>
  <c r="L256" i="5"/>
  <c r="F256" i="5"/>
  <c r="L255" i="5"/>
  <c r="F255" i="5"/>
  <c r="L254" i="5"/>
  <c r="F254" i="5"/>
  <c r="L253" i="5"/>
  <c r="F253" i="5"/>
  <c r="L252" i="5"/>
  <c r="F252" i="5"/>
  <c r="L251" i="5"/>
  <c r="F251" i="5"/>
  <c r="L250" i="5"/>
  <c r="F250" i="5"/>
  <c r="L249" i="5"/>
  <c r="F249" i="5"/>
  <c r="L248" i="5"/>
  <c r="F248" i="5"/>
  <c r="L247" i="5"/>
  <c r="F247" i="5"/>
  <c r="L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L245" i="5"/>
  <c r="F245" i="5"/>
  <c r="N244" i="5"/>
  <c r="F12" i="6" s="1"/>
  <c r="E243" i="5"/>
  <c r="L242" i="5"/>
  <c r="F242" i="5"/>
  <c r="L241" i="5"/>
  <c r="F241" i="5"/>
  <c r="L240" i="5"/>
  <c r="F240" i="5"/>
  <c r="L239" i="5"/>
  <c r="F239" i="5"/>
  <c r="L238" i="5"/>
  <c r="F238" i="5"/>
  <c r="L237" i="5"/>
  <c r="F237" i="5"/>
  <c r="L236" i="5"/>
  <c r="F236" i="5"/>
  <c r="L235" i="5"/>
  <c r="F235" i="5"/>
  <c r="L234" i="5"/>
  <c r="F234" i="5"/>
  <c r="L233" i="5"/>
  <c r="F233" i="5"/>
  <c r="L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L231" i="5"/>
  <c r="L243" i="5" s="1"/>
  <c r="F231" i="5"/>
  <c r="E230" i="5"/>
  <c r="E244" i="5" s="1"/>
  <c r="L229" i="5"/>
  <c r="F229" i="5"/>
  <c r="L228" i="5"/>
  <c r="F228" i="5"/>
  <c r="L227" i="5"/>
  <c r="F227" i="5"/>
  <c r="L226" i="5"/>
  <c r="F226" i="5"/>
  <c r="L225" i="5"/>
  <c r="F225" i="5"/>
  <c r="L224" i="5"/>
  <c r="F224" i="5"/>
  <c r="L223" i="5"/>
  <c r="F223" i="5"/>
  <c r="L222" i="5"/>
  <c r="F222" i="5"/>
  <c r="L221" i="5"/>
  <c r="F221" i="5"/>
  <c r="L220" i="5"/>
  <c r="F220" i="5"/>
  <c r="L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L218" i="5"/>
  <c r="F218" i="5"/>
  <c r="N217" i="5"/>
  <c r="F11" i="6" s="1"/>
  <c r="E216" i="5"/>
  <c r="L215" i="5"/>
  <c r="F215" i="5"/>
  <c r="L214" i="5"/>
  <c r="F214" i="5"/>
  <c r="L213" i="5"/>
  <c r="F213" i="5"/>
  <c r="L212" i="5"/>
  <c r="F212" i="5"/>
  <c r="L211" i="5"/>
  <c r="F211" i="5"/>
  <c r="L210" i="5"/>
  <c r="F210" i="5"/>
  <c r="L209" i="5"/>
  <c r="F209" i="5"/>
  <c r="L208" i="5"/>
  <c r="F208" i="5"/>
  <c r="L207" i="5"/>
  <c r="F207" i="5"/>
  <c r="L206" i="5"/>
  <c r="F206" i="5"/>
  <c r="L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L204" i="5"/>
  <c r="F204" i="5"/>
  <c r="E203" i="5"/>
  <c r="E217" i="5" s="1"/>
  <c r="L202" i="5"/>
  <c r="F202" i="5"/>
  <c r="L201" i="5"/>
  <c r="F201" i="5"/>
  <c r="L200" i="5"/>
  <c r="F200" i="5"/>
  <c r="L199" i="5"/>
  <c r="F199" i="5"/>
  <c r="L198" i="5"/>
  <c r="F198" i="5"/>
  <c r="L197" i="5"/>
  <c r="F197" i="5"/>
  <c r="L196" i="5"/>
  <c r="F196" i="5"/>
  <c r="L195" i="5"/>
  <c r="F195" i="5"/>
  <c r="L194" i="5"/>
  <c r="F194" i="5"/>
  <c r="L193" i="5"/>
  <c r="F193" i="5"/>
  <c r="L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L191" i="5"/>
  <c r="L203" i="5" s="1"/>
  <c r="F191" i="5"/>
  <c r="F203" i="5" s="1"/>
  <c r="N190" i="5"/>
  <c r="F10" i="6" s="1"/>
  <c r="E189" i="5"/>
  <c r="L188" i="5"/>
  <c r="F188" i="5"/>
  <c r="L187" i="5"/>
  <c r="F187" i="5"/>
  <c r="L186" i="5"/>
  <c r="F186" i="5"/>
  <c r="L185" i="5"/>
  <c r="F185" i="5"/>
  <c r="L184" i="5"/>
  <c r="F184" i="5"/>
  <c r="L183" i="5"/>
  <c r="F183" i="5"/>
  <c r="L182" i="5"/>
  <c r="F182" i="5"/>
  <c r="L181" i="5"/>
  <c r="F181" i="5"/>
  <c r="L180" i="5"/>
  <c r="F180" i="5"/>
  <c r="L179" i="5"/>
  <c r="F179" i="5"/>
  <c r="L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L177" i="5"/>
  <c r="F177" i="5"/>
  <c r="E176" i="5"/>
  <c r="E190" i="5" s="1"/>
  <c r="L175" i="5"/>
  <c r="F175" i="5"/>
  <c r="L174" i="5"/>
  <c r="F174" i="5"/>
  <c r="L173" i="5"/>
  <c r="F173" i="5"/>
  <c r="L172" i="5"/>
  <c r="F172" i="5"/>
  <c r="L171" i="5"/>
  <c r="F171" i="5"/>
  <c r="L170" i="5"/>
  <c r="F170" i="5"/>
  <c r="L169" i="5"/>
  <c r="F169" i="5"/>
  <c r="L168" i="5"/>
  <c r="F168" i="5"/>
  <c r="L167" i="5"/>
  <c r="F167" i="5"/>
  <c r="L166" i="5"/>
  <c r="F166" i="5"/>
  <c r="L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L164" i="5"/>
  <c r="F164" i="5"/>
  <c r="N163" i="5"/>
  <c r="F9" i="6" s="1"/>
  <c r="E162" i="5"/>
  <c r="L161" i="5"/>
  <c r="F161" i="5"/>
  <c r="L160" i="5"/>
  <c r="F160" i="5"/>
  <c r="L159" i="5"/>
  <c r="F159" i="5"/>
  <c r="L158" i="5"/>
  <c r="F158" i="5"/>
  <c r="L157" i="5"/>
  <c r="F157" i="5"/>
  <c r="L156" i="5"/>
  <c r="F156" i="5"/>
  <c r="L155" i="5"/>
  <c r="F155" i="5"/>
  <c r="L154" i="5"/>
  <c r="F154" i="5"/>
  <c r="L153" i="5"/>
  <c r="F153" i="5"/>
  <c r="L152" i="5"/>
  <c r="F152" i="5"/>
  <c r="L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L150" i="5"/>
  <c r="F150" i="5"/>
  <c r="E149" i="5"/>
  <c r="L148" i="5"/>
  <c r="F148" i="5"/>
  <c r="L147" i="5"/>
  <c r="F147" i="5"/>
  <c r="L146" i="5"/>
  <c r="F146" i="5"/>
  <c r="L145" i="5"/>
  <c r="F145" i="5"/>
  <c r="L144" i="5"/>
  <c r="F144" i="5"/>
  <c r="L143" i="5"/>
  <c r="F143" i="5"/>
  <c r="L142" i="5"/>
  <c r="F142" i="5"/>
  <c r="L141" i="5"/>
  <c r="F141" i="5"/>
  <c r="L140" i="5"/>
  <c r="F140" i="5"/>
  <c r="L139" i="5"/>
  <c r="F139" i="5"/>
  <c r="L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L137" i="5"/>
  <c r="F137" i="5"/>
  <c r="N136" i="5"/>
  <c r="F8" i="6" s="1"/>
  <c r="E135" i="5"/>
  <c r="L134" i="5"/>
  <c r="F134" i="5"/>
  <c r="L133" i="5"/>
  <c r="F133" i="5"/>
  <c r="L132" i="5"/>
  <c r="F132" i="5"/>
  <c r="L131" i="5"/>
  <c r="F131" i="5"/>
  <c r="L130" i="5"/>
  <c r="F130" i="5"/>
  <c r="L129" i="5"/>
  <c r="F129" i="5"/>
  <c r="L128" i="5"/>
  <c r="F128" i="5"/>
  <c r="L127" i="5"/>
  <c r="F127" i="5"/>
  <c r="L126" i="5"/>
  <c r="F126" i="5"/>
  <c r="L125" i="5"/>
  <c r="F125" i="5"/>
  <c r="L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L123" i="5"/>
  <c r="L135" i="5" s="1"/>
  <c r="F123" i="5"/>
  <c r="E122" i="5"/>
  <c r="E136" i="5" s="1"/>
  <c r="L121" i="5"/>
  <c r="F121" i="5"/>
  <c r="L120" i="5"/>
  <c r="F120" i="5"/>
  <c r="L119" i="5"/>
  <c r="F119" i="5"/>
  <c r="L118" i="5"/>
  <c r="F118" i="5"/>
  <c r="L117" i="5"/>
  <c r="F117" i="5"/>
  <c r="L116" i="5"/>
  <c r="F116" i="5"/>
  <c r="L115" i="5"/>
  <c r="F115" i="5"/>
  <c r="L114" i="5"/>
  <c r="F114" i="5"/>
  <c r="L113" i="5"/>
  <c r="F113" i="5"/>
  <c r="L112" i="5"/>
  <c r="F112" i="5"/>
  <c r="L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L110" i="5"/>
  <c r="F110" i="5"/>
  <c r="N109" i="5"/>
  <c r="F7" i="6" s="1"/>
  <c r="E108" i="5"/>
  <c r="L107" i="5"/>
  <c r="F107" i="5"/>
  <c r="L106" i="5"/>
  <c r="F106" i="5"/>
  <c r="L105" i="5"/>
  <c r="F105" i="5"/>
  <c r="L104" i="5"/>
  <c r="F104" i="5"/>
  <c r="L103" i="5"/>
  <c r="F103" i="5"/>
  <c r="L102" i="5"/>
  <c r="F102" i="5"/>
  <c r="L101" i="5"/>
  <c r="F101" i="5"/>
  <c r="L100" i="5"/>
  <c r="F100" i="5"/>
  <c r="L99" i="5"/>
  <c r="F99" i="5"/>
  <c r="L98" i="5"/>
  <c r="F98" i="5"/>
  <c r="L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L96" i="5"/>
  <c r="F96" i="5"/>
  <c r="E95" i="5"/>
  <c r="E109" i="5" s="1"/>
  <c r="L94" i="5"/>
  <c r="F94" i="5"/>
  <c r="L93" i="5"/>
  <c r="F93" i="5"/>
  <c r="L92" i="5"/>
  <c r="F92" i="5"/>
  <c r="L91" i="5"/>
  <c r="F91" i="5"/>
  <c r="L90" i="5"/>
  <c r="F90" i="5"/>
  <c r="L89" i="5"/>
  <c r="F89" i="5"/>
  <c r="L88" i="5"/>
  <c r="F88" i="5"/>
  <c r="L87" i="5"/>
  <c r="F87" i="5"/>
  <c r="L86" i="5"/>
  <c r="F86" i="5"/>
  <c r="L85" i="5"/>
  <c r="F85" i="5"/>
  <c r="L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L83" i="5"/>
  <c r="F83" i="5"/>
  <c r="N82" i="5"/>
  <c r="F6" i="6" s="1"/>
  <c r="E81" i="5"/>
  <c r="L80" i="5"/>
  <c r="F80" i="5"/>
  <c r="L79" i="5"/>
  <c r="F79" i="5"/>
  <c r="L78" i="5"/>
  <c r="F78" i="5"/>
  <c r="L77" i="5"/>
  <c r="F77" i="5"/>
  <c r="L76" i="5"/>
  <c r="F76" i="5"/>
  <c r="L75" i="5"/>
  <c r="F75" i="5"/>
  <c r="L74" i="5"/>
  <c r="F74" i="5"/>
  <c r="L73" i="5"/>
  <c r="F73" i="5"/>
  <c r="L72" i="5"/>
  <c r="F72" i="5"/>
  <c r="L71" i="5"/>
  <c r="F71" i="5"/>
  <c r="L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L69" i="5"/>
  <c r="F69" i="5"/>
  <c r="E68" i="5"/>
  <c r="E82" i="5" s="1"/>
  <c r="L67" i="5"/>
  <c r="F67" i="5"/>
  <c r="L66" i="5"/>
  <c r="F66" i="5"/>
  <c r="L65" i="5"/>
  <c r="F65" i="5"/>
  <c r="L64" i="5"/>
  <c r="F64" i="5"/>
  <c r="L63" i="5"/>
  <c r="F63" i="5"/>
  <c r="L62" i="5"/>
  <c r="F62" i="5"/>
  <c r="L61" i="5"/>
  <c r="F61" i="5"/>
  <c r="L60" i="5"/>
  <c r="F60" i="5"/>
  <c r="L59" i="5"/>
  <c r="F59" i="5"/>
  <c r="L58" i="5"/>
  <c r="F58" i="5"/>
  <c r="L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L56" i="5"/>
  <c r="F56" i="5"/>
  <c r="N55" i="5"/>
  <c r="F5" i="6" s="1"/>
  <c r="E54" i="5"/>
  <c r="L53" i="5"/>
  <c r="F53" i="5"/>
  <c r="L52" i="5"/>
  <c r="F52" i="5"/>
  <c r="L51" i="5"/>
  <c r="F51" i="5"/>
  <c r="L50" i="5"/>
  <c r="F50" i="5"/>
  <c r="L49" i="5"/>
  <c r="F49" i="5"/>
  <c r="L48" i="5"/>
  <c r="F48" i="5"/>
  <c r="L47" i="5"/>
  <c r="F47" i="5"/>
  <c r="L46" i="5"/>
  <c r="F46" i="5"/>
  <c r="L45" i="5"/>
  <c r="F45" i="5"/>
  <c r="L44" i="5"/>
  <c r="F44" i="5"/>
  <c r="L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L42" i="5"/>
  <c r="F42" i="5"/>
  <c r="E41" i="5"/>
  <c r="E55" i="5" s="1"/>
  <c r="L40" i="5"/>
  <c r="F40" i="5"/>
  <c r="L39" i="5"/>
  <c r="F39" i="5"/>
  <c r="L38" i="5"/>
  <c r="F38" i="5"/>
  <c r="L37" i="5"/>
  <c r="F37" i="5"/>
  <c r="L36" i="5"/>
  <c r="F36" i="5"/>
  <c r="L35" i="5"/>
  <c r="F35" i="5"/>
  <c r="L34" i="5"/>
  <c r="F34" i="5"/>
  <c r="L33" i="5"/>
  <c r="F33" i="5"/>
  <c r="L32" i="5"/>
  <c r="F32" i="5"/>
  <c r="L31" i="5"/>
  <c r="F31" i="5"/>
  <c r="L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L29" i="5"/>
  <c r="F29" i="5"/>
  <c r="N28" i="5"/>
  <c r="F4" i="6" s="1"/>
  <c r="E27" i="5"/>
  <c r="L26" i="5"/>
  <c r="F26" i="5"/>
  <c r="L25" i="5"/>
  <c r="F25" i="5"/>
  <c r="L24" i="5"/>
  <c r="F24" i="5"/>
  <c r="L23" i="5"/>
  <c r="F23" i="5"/>
  <c r="L22" i="5"/>
  <c r="F22" i="5"/>
  <c r="L21" i="5"/>
  <c r="F21" i="5"/>
  <c r="L20" i="5"/>
  <c r="F20" i="5"/>
  <c r="L19" i="5"/>
  <c r="F19" i="5"/>
  <c r="L18" i="5"/>
  <c r="F18" i="5"/>
  <c r="L17" i="5"/>
  <c r="F17" i="5"/>
  <c r="L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L15" i="5"/>
  <c r="F15" i="5"/>
  <c r="E14" i="5"/>
  <c r="E28" i="5" s="1"/>
  <c r="L13" i="5"/>
  <c r="F13" i="5"/>
  <c r="L12" i="5"/>
  <c r="F12" i="5"/>
  <c r="L11" i="5"/>
  <c r="F11" i="5"/>
  <c r="L10" i="5"/>
  <c r="F10" i="5"/>
  <c r="L9" i="5"/>
  <c r="F9" i="5"/>
  <c r="L8" i="5"/>
  <c r="F8" i="5"/>
  <c r="L7" i="5"/>
  <c r="F7" i="5"/>
  <c r="L6" i="5"/>
  <c r="F6" i="5"/>
  <c r="L5" i="5"/>
  <c r="F5" i="5"/>
  <c r="L4" i="5"/>
  <c r="F4" i="5"/>
  <c r="L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L2" i="5"/>
  <c r="F2" i="5"/>
  <c r="N811" i="4"/>
  <c r="E33" i="6" s="1"/>
  <c r="E810" i="4"/>
  <c r="L809" i="4"/>
  <c r="F809" i="4"/>
  <c r="L808" i="4"/>
  <c r="F808" i="4"/>
  <c r="L807" i="4"/>
  <c r="F807" i="4"/>
  <c r="L806" i="4"/>
  <c r="F806" i="4"/>
  <c r="L805" i="4"/>
  <c r="F805" i="4"/>
  <c r="L804" i="4"/>
  <c r="F804" i="4"/>
  <c r="L803" i="4"/>
  <c r="F803" i="4"/>
  <c r="L802" i="4"/>
  <c r="F802" i="4"/>
  <c r="L801" i="4"/>
  <c r="F801" i="4"/>
  <c r="L800" i="4"/>
  <c r="L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L798" i="4"/>
  <c r="F810" i="4"/>
  <c r="E797" i="4"/>
  <c r="E811" i="4" s="1"/>
  <c r="L796" i="4"/>
  <c r="L795" i="4"/>
  <c r="L794" i="4"/>
  <c r="L793" i="4"/>
  <c r="L792" i="4"/>
  <c r="L791" i="4"/>
  <c r="L790" i="4"/>
  <c r="L789" i="4"/>
  <c r="L788" i="4"/>
  <c r="L787" i="4"/>
  <c r="L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L785" i="4"/>
  <c r="F797" i="4"/>
  <c r="N784" i="4"/>
  <c r="E32" i="6" s="1"/>
  <c r="E783" i="4"/>
  <c r="L782" i="4"/>
  <c r="F782" i="4"/>
  <c r="L781" i="4"/>
  <c r="F781" i="4"/>
  <c r="L780" i="4"/>
  <c r="F780" i="4"/>
  <c r="L779" i="4"/>
  <c r="F779" i="4"/>
  <c r="L778" i="4"/>
  <c r="F778" i="4"/>
  <c r="L777" i="4"/>
  <c r="F777" i="4"/>
  <c r="L776" i="4"/>
  <c r="F776" i="4"/>
  <c r="L775" i="4"/>
  <c r="F775" i="4"/>
  <c r="L774" i="4"/>
  <c r="F774" i="4"/>
  <c r="L773" i="4"/>
  <c r="F773" i="4"/>
  <c r="L772" i="4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L771" i="4"/>
  <c r="L783" i="4" s="1"/>
  <c r="F771" i="4"/>
  <c r="E770" i="4"/>
  <c r="E784" i="4" s="1"/>
  <c r="L769" i="4"/>
  <c r="F769" i="4"/>
  <c r="L768" i="4"/>
  <c r="F768" i="4"/>
  <c r="L767" i="4"/>
  <c r="F767" i="4"/>
  <c r="L766" i="4"/>
  <c r="F766" i="4"/>
  <c r="L765" i="4"/>
  <c r="F765" i="4"/>
  <c r="L764" i="4"/>
  <c r="F764" i="4"/>
  <c r="L763" i="4"/>
  <c r="F763" i="4"/>
  <c r="L762" i="4"/>
  <c r="F762" i="4"/>
  <c r="L761" i="4"/>
  <c r="F761" i="4"/>
  <c r="L760" i="4"/>
  <c r="F760" i="4"/>
  <c r="L759" i="4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L758" i="4"/>
  <c r="F758" i="4"/>
  <c r="N757" i="4"/>
  <c r="E31" i="6" s="1"/>
  <c r="E756" i="4"/>
  <c r="L755" i="4"/>
  <c r="F755" i="4"/>
  <c r="L754" i="4"/>
  <c r="F754" i="4"/>
  <c r="L753" i="4"/>
  <c r="F753" i="4"/>
  <c r="L752" i="4"/>
  <c r="F752" i="4"/>
  <c r="L751" i="4"/>
  <c r="F751" i="4"/>
  <c r="L750" i="4"/>
  <c r="F750" i="4"/>
  <c r="L749" i="4"/>
  <c r="F749" i="4"/>
  <c r="L748" i="4"/>
  <c r="F748" i="4"/>
  <c r="L747" i="4"/>
  <c r="F747" i="4"/>
  <c r="L746" i="4"/>
  <c r="F746" i="4"/>
  <c r="L745" i="4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L744" i="4"/>
  <c r="F744" i="4"/>
  <c r="E743" i="4"/>
  <c r="E757" i="4" s="1"/>
  <c r="L742" i="4"/>
  <c r="F742" i="4"/>
  <c r="L741" i="4"/>
  <c r="F741" i="4"/>
  <c r="L740" i="4"/>
  <c r="F740" i="4"/>
  <c r="L739" i="4"/>
  <c r="F739" i="4"/>
  <c r="L738" i="4"/>
  <c r="F738" i="4"/>
  <c r="L737" i="4"/>
  <c r="F737" i="4"/>
  <c r="L736" i="4"/>
  <c r="F736" i="4"/>
  <c r="L735" i="4"/>
  <c r="F735" i="4"/>
  <c r="L734" i="4"/>
  <c r="F734" i="4"/>
  <c r="L733" i="4"/>
  <c r="F733" i="4"/>
  <c r="L732" i="4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L731" i="4"/>
  <c r="F731" i="4"/>
  <c r="N730" i="4"/>
  <c r="E30" i="6" s="1"/>
  <c r="E729" i="4"/>
  <c r="L728" i="4"/>
  <c r="F728" i="4"/>
  <c r="L727" i="4"/>
  <c r="F727" i="4"/>
  <c r="L726" i="4"/>
  <c r="F726" i="4"/>
  <c r="L725" i="4"/>
  <c r="F725" i="4"/>
  <c r="L724" i="4"/>
  <c r="F724" i="4"/>
  <c r="L723" i="4"/>
  <c r="F723" i="4"/>
  <c r="L722" i="4"/>
  <c r="F722" i="4"/>
  <c r="L721" i="4"/>
  <c r="F721" i="4"/>
  <c r="L720" i="4"/>
  <c r="F720" i="4"/>
  <c r="L719" i="4"/>
  <c r="F719" i="4"/>
  <c r="L718" i="4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L717" i="4"/>
  <c r="L729" i="4" s="1"/>
  <c r="F717" i="4"/>
  <c r="E716" i="4"/>
  <c r="L715" i="4"/>
  <c r="F715" i="4"/>
  <c r="L714" i="4"/>
  <c r="F714" i="4"/>
  <c r="L713" i="4"/>
  <c r="F713" i="4"/>
  <c r="L712" i="4"/>
  <c r="F712" i="4"/>
  <c r="L711" i="4"/>
  <c r="F711" i="4"/>
  <c r="L710" i="4"/>
  <c r="F710" i="4"/>
  <c r="L709" i="4"/>
  <c r="F709" i="4"/>
  <c r="L708" i="4"/>
  <c r="F708" i="4"/>
  <c r="L707" i="4"/>
  <c r="F707" i="4"/>
  <c r="L706" i="4"/>
  <c r="F706" i="4"/>
  <c r="L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L704" i="4"/>
  <c r="F704" i="4"/>
  <c r="N703" i="4"/>
  <c r="E29" i="6" s="1"/>
  <c r="E702" i="4"/>
  <c r="L701" i="4"/>
  <c r="F701" i="4"/>
  <c r="L700" i="4"/>
  <c r="F700" i="4"/>
  <c r="L699" i="4"/>
  <c r="F699" i="4"/>
  <c r="L698" i="4"/>
  <c r="F698" i="4"/>
  <c r="L697" i="4"/>
  <c r="F697" i="4"/>
  <c r="L696" i="4"/>
  <c r="F696" i="4"/>
  <c r="L695" i="4"/>
  <c r="F695" i="4"/>
  <c r="L694" i="4"/>
  <c r="F694" i="4"/>
  <c r="L693" i="4"/>
  <c r="F693" i="4"/>
  <c r="L692" i="4"/>
  <c r="F692" i="4"/>
  <c r="L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L690" i="4"/>
  <c r="F690" i="4"/>
  <c r="F702" i="4" s="1"/>
  <c r="E689" i="4"/>
  <c r="L688" i="4"/>
  <c r="F688" i="4"/>
  <c r="L687" i="4"/>
  <c r="F687" i="4"/>
  <c r="L686" i="4"/>
  <c r="F686" i="4"/>
  <c r="L685" i="4"/>
  <c r="F685" i="4"/>
  <c r="L684" i="4"/>
  <c r="F684" i="4"/>
  <c r="L683" i="4"/>
  <c r="F683" i="4"/>
  <c r="L682" i="4"/>
  <c r="F682" i="4"/>
  <c r="L681" i="4"/>
  <c r="F681" i="4"/>
  <c r="L680" i="4"/>
  <c r="F680" i="4"/>
  <c r="L679" i="4"/>
  <c r="F679" i="4"/>
  <c r="L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L677" i="4"/>
  <c r="F677" i="4"/>
  <c r="N676" i="4"/>
  <c r="E28" i="6" s="1"/>
  <c r="E675" i="4"/>
  <c r="L674" i="4"/>
  <c r="F674" i="4"/>
  <c r="L673" i="4"/>
  <c r="F673" i="4"/>
  <c r="L672" i="4"/>
  <c r="F672" i="4"/>
  <c r="L671" i="4"/>
  <c r="F671" i="4"/>
  <c r="L670" i="4"/>
  <c r="F670" i="4"/>
  <c r="L669" i="4"/>
  <c r="F669" i="4"/>
  <c r="L668" i="4"/>
  <c r="F668" i="4"/>
  <c r="L667" i="4"/>
  <c r="F667" i="4"/>
  <c r="L666" i="4"/>
  <c r="F666" i="4"/>
  <c r="L665" i="4"/>
  <c r="F665" i="4"/>
  <c r="L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L663" i="4"/>
  <c r="F663" i="4"/>
  <c r="E662" i="4"/>
  <c r="E676" i="4" s="1"/>
  <c r="L661" i="4"/>
  <c r="F661" i="4"/>
  <c r="L660" i="4"/>
  <c r="F660" i="4"/>
  <c r="L659" i="4"/>
  <c r="F659" i="4"/>
  <c r="L658" i="4"/>
  <c r="F658" i="4"/>
  <c r="L657" i="4"/>
  <c r="F657" i="4"/>
  <c r="L656" i="4"/>
  <c r="F656" i="4"/>
  <c r="L655" i="4"/>
  <c r="F655" i="4"/>
  <c r="L654" i="4"/>
  <c r="F654" i="4"/>
  <c r="L653" i="4"/>
  <c r="F653" i="4"/>
  <c r="L652" i="4"/>
  <c r="F652" i="4"/>
  <c r="L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L650" i="4"/>
  <c r="F650" i="4"/>
  <c r="N649" i="4"/>
  <c r="E27" i="6" s="1"/>
  <c r="E648" i="4"/>
  <c r="L647" i="4"/>
  <c r="F647" i="4"/>
  <c r="L646" i="4"/>
  <c r="F646" i="4"/>
  <c r="L645" i="4"/>
  <c r="F645" i="4"/>
  <c r="L644" i="4"/>
  <c r="F644" i="4"/>
  <c r="L643" i="4"/>
  <c r="F643" i="4"/>
  <c r="L642" i="4"/>
  <c r="F642" i="4"/>
  <c r="L641" i="4"/>
  <c r="F641" i="4"/>
  <c r="L640" i="4"/>
  <c r="F640" i="4"/>
  <c r="L639" i="4"/>
  <c r="F639" i="4"/>
  <c r="L638" i="4"/>
  <c r="F638" i="4"/>
  <c r="L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L636" i="4"/>
  <c r="F636" i="4"/>
  <c r="E635" i="4"/>
  <c r="E649" i="4" s="1"/>
  <c r="L634" i="4"/>
  <c r="F634" i="4"/>
  <c r="L633" i="4"/>
  <c r="F633" i="4"/>
  <c r="L632" i="4"/>
  <c r="F632" i="4"/>
  <c r="L631" i="4"/>
  <c r="F631" i="4"/>
  <c r="L630" i="4"/>
  <c r="F630" i="4"/>
  <c r="L629" i="4"/>
  <c r="F629" i="4"/>
  <c r="L628" i="4"/>
  <c r="F628" i="4"/>
  <c r="L627" i="4"/>
  <c r="F627" i="4"/>
  <c r="L626" i="4"/>
  <c r="F626" i="4"/>
  <c r="L625" i="4"/>
  <c r="F625" i="4"/>
  <c r="L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L623" i="4"/>
  <c r="F623" i="4"/>
  <c r="N622" i="4"/>
  <c r="E26" i="6" s="1"/>
  <c r="E621" i="4"/>
  <c r="L620" i="4"/>
  <c r="F620" i="4"/>
  <c r="L619" i="4"/>
  <c r="F619" i="4"/>
  <c r="L618" i="4"/>
  <c r="F618" i="4"/>
  <c r="L617" i="4"/>
  <c r="F617" i="4"/>
  <c r="L616" i="4"/>
  <c r="F616" i="4"/>
  <c r="L615" i="4"/>
  <c r="F615" i="4"/>
  <c r="L614" i="4"/>
  <c r="F614" i="4"/>
  <c r="L613" i="4"/>
  <c r="F613" i="4"/>
  <c r="L612" i="4"/>
  <c r="F612" i="4"/>
  <c r="L611" i="4"/>
  <c r="F611" i="4"/>
  <c r="L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L609" i="4"/>
  <c r="F609" i="4"/>
  <c r="E608" i="4"/>
  <c r="E622" i="4" s="1"/>
  <c r="L607" i="4"/>
  <c r="F607" i="4"/>
  <c r="L606" i="4"/>
  <c r="F606" i="4"/>
  <c r="L605" i="4"/>
  <c r="F605" i="4"/>
  <c r="L604" i="4"/>
  <c r="F604" i="4"/>
  <c r="L603" i="4"/>
  <c r="F603" i="4"/>
  <c r="L602" i="4"/>
  <c r="F602" i="4"/>
  <c r="L601" i="4"/>
  <c r="F601" i="4"/>
  <c r="L600" i="4"/>
  <c r="F600" i="4"/>
  <c r="L599" i="4"/>
  <c r="F599" i="4"/>
  <c r="L598" i="4"/>
  <c r="F598" i="4"/>
  <c r="L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L596" i="4"/>
  <c r="F596" i="4"/>
  <c r="N595" i="4"/>
  <c r="E25" i="6" s="1"/>
  <c r="E594" i="4"/>
  <c r="L593" i="4"/>
  <c r="F593" i="4"/>
  <c r="L592" i="4"/>
  <c r="F592" i="4"/>
  <c r="L591" i="4"/>
  <c r="F591" i="4"/>
  <c r="L590" i="4"/>
  <c r="F590" i="4"/>
  <c r="L589" i="4"/>
  <c r="F589" i="4"/>
  <c r="L588" i="4"/>
  <c r="F588" i="4"/>
  <c r="L587" i="4"/>
  <c r="F587" i="4"/>
  <c r="L586" i="4"/>
  <c r="F586" i="4"/>
  <c r="L585" i="4"/>
  <c r="F585" i="4"/>
  <c r="L584" i="4"/>
  <c r="F584" i="4"/>
  <c r="L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L582" i="4"/>
  <c r="F582" i="4"/>
  <c r="E581" i="4"/>
  <c r="E595" i="4" s="1"/>
  <c r="L580" i="4"/>
  <c r="L579" i="4"/>
  <c r="L578" i="4"/>
  <c r="L577" i="4"/>
  <c r="L576" i="4"/>
  <c r="L575" i="4"/>
  <c r="L574" i="4"/>
  <c r="L573" i="4"/>
  <c r="L572" i="4"/>
  <c r="L571" i="4"/>
  <c r="L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L569" i="4"/>
  <c r="F569" i="4"/>
  <c r="N568" i="4"/>
  <c r="E24" i="6" s="1"/>
  <c r="E567" i="4"/>
  <c r="L566" i="4"/>
  <c r="F566" i="4"/>
  <c r="L565" i="4"/>
  <c r="F565" i="4"/>
  <c r="L564" i="4"/>
  <c r="F564" i="4"/>
  <c r="L563" i="4"/>
  <c r="F563" i="4"/>
  <c r="L562" i="4"/>
  <c r="F562" i="4"/>
  <c r="L561" i="4"/>
  <c r="F561" i="4"/>
  <c r="L560" i="4"/>
  <c r="F560" i="4"/>
  <c r="L559" i="4"/>
  <c r="F559" i="4"/>
  <c r="L558" i="4"/>
  <c r="F558" i="4"/>
  <c r="L557" i="4"/>
  <c r="F557" i="4"/>
  <c r="L556" i="4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L555" i="4"/>
  <c r="F555" i="4"/>
  <c r="E554" i="4"/>
  <c r="E568" i="4" s="1"/>
  <c r="L553" i="4"/>
  <c r="F553" i="4"/>
  <c r="L552" i="4"/>
  <c r="F552" i="4"/>
  <c r="L551" i="4"/>
  <c r="F551" i="4"/>
  <c r="L550" i="4"/>
  <c r="F550" i="4"/>
  <c r="L549" i="4"/>
  <c r="F549" i="4"/>
  <c r="L548" i="4"/>
  <c r="F548" i="4"/>
  <c r="L547" i="4"/>
  <c r="F547" i="4"/>
  <c r="L546" i="4"/>
  <c r="F546" i="4"/>
  <c r="L545" i="4"/>
  <c r="F545" i="4"/>
  <c r="L544" i="4"/>
  <c r="F544" i="4"/>
  <c r="L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L542" i="4"/>
  <c r="F542" i="4"/>
  <c r="N541" i="4"/>
  <c r="E23" i="6" s="1"/>
  <c r="E540" i="4"/>
  <c r="L539" i="4"/>
  <c r="F539" i="4"/>
  <c r="L538" i="4"/>
  <c r="F538" i="4"/>
  <c r="L537" i="4"/>
  <c r="F537" i="4"/>
  <c r="L536" i="4"/>
  <c r="F536" i="4"/>
  <c r="L535" i="4"/>
  <c r="F535" i="4"/>
  <c r="L534" i="4"/>
  <c r="F534" i="4"/>
  <c r="L533" i="4"/>
  <c r="F533" i="4"/>
  <c r="L532" i="4"/>
  <c r="F532" i="4"/>
  <c r="L531" i="4"/>
  <c r="F531" i="4"/>
  <c r="L530" i="4"/>
  <c r="F530" i="4"/>
  <c r="L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L528" i="4"/>
  <c r="L540" i="4" s="1"/>
  <c r="F528" i="4"/>
  <c r="F540" i="4" s="1"/>
  <c r="E527" i="4"/>
  <c r="E541" i="4" s="1"/>
  <c r="L526" i="4"/>
  <c r="F526" i="4"/>
  <c r="L525" i="4"/>
  <c r="F525" i="4"/>
  <c r="L524" i="4"/>
  <c r="F524" i="4"/>
  <c r="L523" i="4"/>
  <c r="F523" i="4"/>
  <c r="L522" i="4"/>
  <c r="F522" i="4"/>
  <c r="L521" i="4"/>
  <c r="F521" i="4"/>
  <c r="L520" i="4"/>
  <c r="F520" i="4"/>
  <c r="L519" i="4"/>
  <c r="F519" i="4"/>
  <c r="L518" i="4"/>
  <c r="F518" i="4"/>
  <c r="L517" i="4"/>
  <c r="F517" i="4"/>
  <c r="L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L515" i="4"/>
  <c r="L527" i="4" s="1"/>
  <c r="F515" i="4"/>
  <c r="N514" i="4"/>
  <c r="E22" i="6" s="1"/>
  <c r="E513" i="4"/>
  <c r="L512" i="4"/>
  <c r="F512" i="4"/>
  <c r="L511" i="4"/>
  <c r="F511" i="4"/>
  <c r="L510" i="4"/>
  <c r="F510" i="4"/>
  <c r="L509" i="4"/>
  <c r="F509" i="4"/>
  <c r="L508" i="4"/>
  <c r="F508" i="4"/>
  <c r="L507" i="4"/>
  <c r="F507" i="4"/>
  <c r="L506" i="4"/>
  <c r="F506" i="4"/>
  <c r="L505" i="4"/>
  <c r="F505" i="4"/>
  <c r="L504" i="4"/>
  <c r="F504" i="4"/>
  <c r="L503" i="4"/>
  <c r="F503" i="4"/>
  <c r="L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L501" i="4"/>
  <c r="F501" i="4"/>
  <c r="F513" i="4" s="1"/>
  <c r="E500" i="4"/>
  <c r="E514" i="4" s="1"/>
  <c r="L499" i="4"/>
  <c r="F499" i="4"/>
  <c r="L498" i="4"/>
  <c r="F498" i="4"/>
  <c r="L497" i="4"/>
  <c r="F497" i="4"/>
  <c r="L496" i="4"/>
  <c r="F496" i="4"/>
  <c r="L495" i="4"/>
  <c r="F495" i="4"/>
  <c r="L494" i="4"/>
  <c r="F494" i="4"/>
  <c r="L493" i="4"/>
  <c r="F493" i="4"/>
  <c r="L492" i="4"/>
  <c r="F492" i="4"/>
  <c r="L491" i="4"/>
  <c r="F491" i="4"/>
  <c r="L490" i="4"/>
  <c r="F490" i="4"/>
  <c r="L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L488" i="4"/>
  <c r="F500" i="4"/>
  <c r="F514" i="4" s="1"/>
  <c r="N487" i="4"/>
  <c r="E21" i="6" s="1"/>
  <c r="E486" i="4"/>
  <c r="L485" i="4"/>
  <c r="F485" i="4"/>
  <c r="L484" i="4"/>
  <c r="F484" i="4"/>
  <c r="L483" i="4"/>
  <c r="F483" i="4"/>
  <c r="L482" i="4"/>
  <c r="F482" i="4"/>
  <c r="L481" i="4"/>
  <c r="F481" i="4"/>
  <c r="L480" i="4"/>
  <c r="F480" i="4"/>
  <c r="L479" i="4"/>
  <c r="F479" i="4"/>
  <c r="L478" i="4"/>
  <c r="F478" i="4"/>
  <c r="L477" i="4"/>
  <c r="F477" i="4"/>
  <c r="L476" i="4"/>
  <c r="F476" i="4"/>
  <c r="L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L474" i="4"/>
  <c r="F474" i="4"/>
  <c r="E473" i="4"/>
  <c r="E487" i="4" s="1"/>
  <c r="L472" i="4"/>
  <c r="F472" i="4"/>
  <c r="L471" i="4"/>
  <c r="F471" i="4"/>
  <c r="L470" i="4"/>
  <c r="F470" i="4"/>
  <c r="L469" i="4"/>
  <c r="F469" i="4"/>
  <c r="L468" i="4"/>
  <c r="F468" i="4"/>
  <c r="L467" i="4"/>
  <c r="F467" i="4"/>
  <c r="L466" i="4"/>
  <c r="F466" i="4"/>
  <c r="L465" i="4"/>
  <c r="F465" i="4"/>
  <c r="L464" i="4"/>
  <c r="F464" i="4"/>
  <c r="L463" i="4"/>
  <c r="F463" i="4"/>
  <c r="L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L461" i="4"/>
  <c r="L473" i="4" s="1"/>
  <c r="F461" i="4"/>
  <c r="F473" i="4" s="1"/>
  <c r="N460" i="4"/>
  <c r="E20" i="6" s="1"/>
  <c r="E459" i="4"/>
  <c r="L458" i="4"/>
  <c r="F458" i="4"/>
  <c r="L457" i="4"/>
  <c r="F457" i="4"/>
  <c r="L456" i="4"/>
  <c r="F456" i="4"/>
  <c r="L455" i="4"/>
  <c r="F455" i="4"/>
  <c r="L454" i="4"/>
  <c r="F454" i="4"/>
  <c r="L453" i="4"/>
  <c r="F453" i="4"/>
  <c r="L452" i="4"/>
  <c r="F452" i="4"/>
  <c r="L451" i="4"/>
  <c r="F451" i="4"/>
  <c r="L450" i="4"/>
  <c r="F450" i="4"/>
  <c r="L449" i="4"/>
  <c r="F449" i="4"/>
  <c r="L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L447" i="4"/>
  <c r="F447" i="4"/>
  <c r="E446" i="4"/>
  <c r="E460" i="4" s="1"/>
  <c r="L445" i="4"/>
  <c r="F445" i="4"/>
  <c r="L444" i="4"/>
  <c r="F444" i="4"/>
  <c r="L443" i="4"/>
  <c r="F443" i="4"/>
  <c r="L442" i="4"/>
  <c r="F442" i="4"/>
  <c r="L441" i="4"/>
  <c r="F441" i="4"/>
  <c r="L440" i="4"/>
  <c r="F440" i="4"/>
  <c r="F439" i="4"/>
  <c r="L438" i="4"/>
  <c r="F438" i="4"/>
  <c r="L437" i="4"/>
  <c r="F437" i="4"/>
  <c r="L436" i="4"/>
  <c r="F436" i="4"/>
  <c r="L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L434" i="4"/>
  <c r="F434" i="4"/>
  <c r="N433" i="4"/>
  <c r="E19" i="6" s="1"/>
  <c r="E432" i="4"/>
  <c r="L431" i="4"/>
  <c r="F431" i="4"/>
  <c r="L430" i="4"/>
  <c r="F430" i="4"/>
  <c r="L429" i="4"/>
  <c r="F429" i="4"/>
  <c r="L428" i="4"/>
  <c r="F428" i="4"/>
  <c r="L427" i="4"/>
  <c r="F427" i="4"/>
  <c r="L426" i="4"/>
  <c r="F426" i="4"/>
  <c r="L425" i="4"/>
  <c r="F425" i="4"/>
  <c r="L424" i="4"/>
  <c r="F424" i="4"/>
  <c r="L423" i="4"/>
  <c r="F423" i="4"/>
  <c r="L422" i="4"/>
  <c r="F422" i="4"/>
  <c r="L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L420" i="4"/>
  <c r="F420" i="4"/>
  <c r="E419" i="4"/>
  <c r="E433" i="4" s="1"/>
  <c r="L418" i="4"/>
  <c r="F418" i="4"/>
  <c r="L417" i="4"/>
  <c r="F417" i="4"/>
  <c r="L416" i="4"/>
  <c r="F416" i="4"/>
  <c r="L415" i="4"/>
  <c r="F415" i="4"/>
  <c r="L414" i="4"/>
  <c r="F414" i="4"/>
  <c r="L413" i="4"/>
  <c r="F413" i="4"/>
  <c r="L412" i="4"/>
  <c r="F412" i="4"/>
  <c r="L411" i="4"/>
  <c r="F411" i="4"/>
  <c r="L410" i="4"/>
  <c r="F410" i="4"/>
  <c r="L409" i="4"/>
  <c r="F409" i="4"/>
  <c r="L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L407" i="4"/>
  <c r="F407" i="4"/>
  <c r="N406" i="4"/>
  <c r="E18" i="6" s="1"/>
  <c r="E405" i="4"/>
  <c r="L404" i="4"/>
  <c r="F404" i="4"/>
  <c r="L403" i="4"/>
  <c r="F403" i="4"/>
  <c r="L402" i="4"/>
  <c r="F402" i="4"/>
  <c r="L401" i="4"/>
  <c r="F401" i="4"/>
  <c r="L400" i="4"/>
  <c r="F400" i="4"/>
  <c r="L399" i="4"/>
  <c r="F399" i="4"/>
  <c r="L398" i="4"/>
  <c r="F398" i="4"/>
  <c r="L397" i="4"/>
  <c r="F397" i="4"/>
  <c r="L396" i="4"/>
  <c r="F396" i="4"/>
  <c r="L395" i="4"/>
  <c r="F395" i="4"/>
  <c r="L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L393" i="4"/>
  <c r="F393" i="4"/>
  <c r="E392" i="4"/>
  <c r="L391" i="4"/>
  <c r="F391" i="4"/>
  <c r="L390" i="4"/>
  <c r="F390" i="4"/>
  <c r="L389" i="4"/>
  <c r="F389" i="4"/>
  <c r="L388" i="4"/>
  <c r="F388" i="4"/>
  <c r="L387" i="4"/>
  <c r="F387" i="4"/>
  <c r="L386" i="4"/>
  <c r="F386" i="4"/>
  <c r="L385" i="4"/>
  <c r="F385" i="4"/>
  <c r="L384" i="4"/>
  <c r="F384" i="4"/>
  <c r="L383" i="4"/>
  <c r="F383" i="4"/>
  <c r="L382" i="4"/>
  <c r="F382" i="4"/>
  <c r="L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L380" i="4"/>
  <c r="F380" i="4"/>
  <c r="N379" i="4"/>
  <c r="E17" i="6" s="1"/>
  <c r="E378" i="4"/>
  <c r="L377" i="4"/>
  <c r="F377" i="4"/>
  <c r="L376" i="4"/>
  <c r="F376" i="4"/>
  <c r="L375" i="4"/>
  <c r="F375" i="4"/>
  <c r="L374" i="4"/>
  <c r="F374" i="4"/>
  <c r="L373" i="4"/>
  <c r="F373" i="4"/>
  <c r="L372" i="4"/>
  <c r="F372" i="4"/>
  <c r="L371" i="4"/>
  <c r="F371" i="4"/>
  <c r="L370" i="4"/>
  <c r="F370" i="4"/>
  <c r="L369" i="4"/>
  <c r="F369" i="4"/>
  <c r="L368" i="4"/>
  <c r="F368" i="4"/>
  <c r="L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L366" i="4"/>
  <c r="F366" i="4"/>
  <c r="E365" i="4"/>
  <c r="E379" i="4" s="1"/>
  <c r="L364" i="4"/>
  <c r="F364" i="4"/>
  <c r="L363" i="4"/>
  <c r="F363" i="4"/>
  <c r="L362" i="4"/>
  <c r="F362" i="4"/>
  <c r="L361" i="4"/>
  <c r="F361" i="4"/>
  <c r="L360" i="4"/>
  <c r="F360" i="4"/>
  <c r="L359" i="4"/>
  <c r="F359" i="4"/>
  <c r="L358" i="4"/>
  <c r="F358" i="4"/>
  <c r="L357" i="4"/>
  <c r="F357" i="4"/>
  <c r="L356" i="4"/>
  <c r="F356" i="4"/>
  <c r="L355" i="4"/>
  <c r="F355" i="4"/>
  <c r="L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L353" i="4"/>
  <c r="F353" i="4"/>
  <c r="N352" i="4"/>
  <c r="E16" i="6" s="1"/>
  <c r="E351" i="4"/>
  <c r="L350" i="4"/>
  <c r="F350" i="4"/>
  <c r="L349" i="4"/>
  <c r="F349" i="4"/>
  <c r="L348" i="4"/>
  <c r="F348" i="4"/>
  <c r="L347" i="4"/>
  <c r="F347" i="4"/>
  <c r="L346" i="4"/>
  <c r="F346" i="4"/>
  <c r="L345" i="4"/>
  <c r="F345" i="4"/>
  <c r="L344" i="4"/>
  <c r="F344" i="4"/>
  <c r="L343" i="4"/>
  <c r="F343" i="4"/>
  <c r="L342" i="4"/>
  <c r="F342" i="4"/>
  <c r="L341" i="4"/>
  <c r="F341" i="4"/>
  <c r="L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L339" i="4"/>
  <c r="F339" i="4"/>
  <c r="E338" i="4"/>
  <c r="E352" i="4" s="1"/>
  <c r="L337" i="4"/>
  <c r="F337" i="4"/>
  <c r="L336" i="4"/>
  <c r="F336" i="4"/>
  <c r="L335" i="4"/>
  <c r="F335" i="4"/>
  <c r="L334" i="4"/>
  <c r="F334" i="4"/>
  <c r="L333" i="4"/>
  <c r="F333" i="4"/>
  <c r="L332" i="4"/>
  <c r="F332" i="4"/>
  <c r="L331" i="4"/>
  <c r="F331" i="4"/>
  <c r="L330" i="4"/>
  <c r="F330" i="4"/>
  <c r="L329" i="4"/>
  <c r="F329" i="4"/>
  <c r="L328" i="4"/>
  <c r="F328" i="4"/>
  <c r="L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L326" i="4"/>
  <c r="F326" i="4"/>
  <c r="N325" i="4"/>
  <c r="E15" i="6" s="1"/>
  <c r="E324" i="4"/>
  <c r="L323" i="4"/>
  <c r="F323" i="4"/>
  <c r="L322" i="4"/>
  <c r="F322" i="4"/>
  <c r="L321" i="4"/>
  <c r="F321" i="4"/>
  <c r="L320" i="4"/>
  <c r="L319" i="4"/>
  <c r="F319" i="4"/>
  <c r="L318" i="4"/>
  <c r="F318" i="4"/>
  <c r="L317" i="4"/>
  <c r="F317" i="4"/>
  <c r="L316" i="4"/>
  <c r="F316" i="4"/>
  <c r="L315" i="4"/>
  <c r="F315" i="4"/>
  <c r="L314" i="4"/>
  <c r="F314" i="4"/>
  <c r="L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L312" i="4"/>
  <c r="F312" i="4"/>
  <c r="E325" i="4"/>
  <c r="L310" i="4"/>
  <c r="F310" i="4"/>
  <c r="L309" i="4"/>
  <c r="F309" i="4"/>
  <c r="L308" i="4"/>
  <c r="F308" i="4"/>
  <c r="L307" i="4"/>
  <c r="F307" i="4"/>
  <c r="L306" i="4"/>
  <c r="L305" i="4"/>
  <c r="F305" i="4"/>
  <c r="L304" i="4"/>
  <c r="L303" i="4"/>
  <c r="L302" i="4"/>
  <c r="L301" i="4"/>
  <c r="F301" i="4"/>
  <c r="L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L299" i="4"/>
  <c r="N298" i="4"/>
  <c r="E14" i="6" s="1"/>
  <c r="E297" i="4"/>
  <c r="L296" i="4"/>
  <c r="F296" i="4"/>
  <c r="L295" i="4"/>
  <c r="F295" i="4"/>
  <c r="L294" i="4"/>
  <c r="F294" i="4"/>
  <c r="L293" i="4"/>
  <c r="F293" i="4"/>
  <c r="L292" i="4"/>
  <c r="F292" i="4"/>
  <c r="L291" i="4"/>
  <c r="F291" i="4"/>
  <c r="L290" i="4"/>
  <c r="F290" i="4"/>
  <c r="L289" i="4"/>
  <c r="F289" i="4"/>
  <c r="L288" i="4"/>
  <c r="F288" i="4"/>
  <c r="L287" i="4"/>
  <c r="F287" i="4"/>
  <c r="L286" i="4"/>
  <c r="F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L285" i="4"/>
  <c r="F285" i="4"/>
  <c r="E284" i="4"/>
  <c r="E298" i="4" s="1"/>
  <c r="L283" i="4"/>
  <c r="F283" i="4"/>
  <c r="L282" i="4"/>
  <c r="F282" i="4"/>
  <c r="L281" i="4"/>
  <c r="F281" i="4"/>
  <c r="L280" i="4"/>
  <c r="F280" i="4"/>
  <c r="L279" i="4"/>
  <c r="F279" i="4"/>
  <c r="L278" i="4"/>
  <c r="F278" i="4"/>
  <c r="L277" i="4"/>
  <c r="F277" i="4"/>
  <c r="L276" i="4"/>
  <c r="F276" i="4"/>
  <c r="L275" i="4"/>
  <c r="F275" i="4"/>
  <c r="L274" i="4"/>
  <c r="F274" i="4"/>
  <c r="L273" i="4"/>
  <c r="F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L272" i="4"/>
  <c r="F272" i="4"/>
  <c r="N271" i="4"/>
  <c r="E13" i="6" s="1"/>
  <c r="E270" i="4"/>
  <c r="L269" i="4"/>
  <c r="F269" i="4"/>
  <c r="L268" i="4"/>
  <c r="F268" i="4"/>
  <c r="L267" i="4"/>
  <c r="F267" i="4"/>
  <c r="L266" i="4"/>
  <c r="F266" i="4"/>
  <c r="L265" i="4"/>
  <c r="F265" i="4"/>
  <c r="L264" i="4"/>
  <c r="F264" i="4"/>
  <c r="L263" i="4"/>
  <c r="F263" i="4"/>
  <c r="L262" i="4"/>
  <c r="F262" i="4"/>
  <c r="L261" i="4"/>
  <c r="F261" i="4"/>
  <c r="L260" i="4"/>
  <c r="F260" i="4"/>
  <c r="L259" i="4"/>
  <c r="F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L258" i="4"/>
  <c r="F258" i="4"/>
  <c r="E257" i="4"/>
  <c r="E271" i="4" s="1"/>
  <c r="L256" i="4"/>
  <c r="F256" i="4"/>
  <c r="L255" i="4"/>
  <c r="F255" i="4"/>
  <c r="L254" i="4"/>
  <c r="F254" i="4"/>
  <c r="L253" i="4"/>
  <c r="F253" i="4"/>
  <c r="L252" i="4"/>
  <c r="F252" i="4"/>
  <c r="L251" i="4"/>
  <c r="F251" i="4"/>
  <c r="L250" i="4"/>
  <c r="F250" i="4"/>
  <c r="L249" i="4"/>
  <c r="F249" i="4"/>
  <c r="L248" i="4"/>
  <c r="F248" i="4"/>
  <c r="L247" i="4"/>
  <c r="F247" i="4"/>
  <c r="L246" i="4"/>
  <c r="F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L245" i="4"/>
  <c r="F245" i="4"/>
  <c r="N244" i="4"/>
  <c r="E12" i="6" s="1"/>
  <c r="E243" i="4"/>
  <c r="L242" i="4"/>
  <c r="F242" i="4"/>
  <c r="L241" i="4"/>
  <c r="F241" i="4"/>
  <c r="L240" i="4"/>
  <c r="F240" i="4"/>
  <c r="L239" i="4"/>
  <c r="F239" i="4"/>
  <c r="L238" i="4"/>
  <c r="F238" i="4"/>
  <c r="L237" i="4"/>
  <c r="F237" i="4"/>
  <c r="L236" i="4"/>
  <c r="F236" i="4"/>
  <c r="L235" i="4"/>
  <c r="F235" i="4"/>
  <c r="L234" i="4"/>
  <c r="F234" i="4"/>
  <c r="L233" i="4"/>
  <c r="F233" i="4"/>
  <c r="L232" i="4"/>
  <c r="F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L231" i="4"/>
  <c r="F231" i="4"/>
  <c r="E230" i="4"/>
  <c r="E244" i="4" s="1"/>
  <c r="L229" i="4"/>
  <c r="F229" i="4"/>
  <c r="L228" i="4"/>
  <c r="F228" i="4"/>
  <c r="L227" i="4"/>
  <c r="F227" i="4"/>
  <c r="L226" i="4"/>
  <c r="F226" i="4"/>
  <c r="L225" i="4"/>
  <c r="F225" i="4"/>
  <c r="L224" i="4"/>
  <c r="F224" i="4"/>
  <c r="L223" i="4"/>
  <c r="F223" i="4"/>
  <c r="L222" i="4"/>
  <c r="F222" i="4"/>
  <c r="L221" i="4"/>
  <c r="F221" i="4"/>
  <c r="L220" i="4"/>
  <c r="F220" i="4"/>
  <c r="L219" i="4"/>
  <c r="F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L218" i="4"/>
  <c r="F218" i="4"/>
  <c r="N217" i="4"/>
  <c r="E11" i="6" s="1"/>
  <c r="E216" i="4"/>
  <c r="L215" i="4"/>
  <c r="F215" i="4"/>
  <c r="L214" i="4"/>
  <c r="F214" i="4"/>
  <c r="L213" i="4"/>
  <c r="F213" i="4"/>
  <c r="L212" i="4"/>
  <c r="F212" i="4"/>
  <c r="L211" i="4"/>
  <c r="F211" i="4"/>
  <c r="L210" i="4"/>
  <c r="F210" i="4"/>
  <c r="L209" i="4"/>
  <c r="F209" i="4"/>
  <c r="L208" i="4"/>
  <c r="F208" i="4"/>
  <c r="L207" i="4"/>
  <c r="F207" i="4"/>
  <c r="L206" i="4"/>
  <c r="F206" i="4"/>
  <c r="L205" i="4"/>
  <c r="F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L204" i="4"/>
  <c r="F204" i="4"/>
  <c r="E203" i="4"/>
  <c r="E217" i="4" s="1"/>
  <c r="L202" i="4"/>
  <c r="F202" i="4"/>
  <c r="L201" i="4"/>
  <c r="F201" i="4"/>
  <c r="L200" i="4"/>
  <c r="F200" i="4"/>
  <c r="L199" i="4"/>
  <c r="F199" i="4"/>
  <c r="L198" i="4"/>
  <c r="F198" i="4"/>
  <c r="L197" i="4"/>
  <c r="F197" i="4"/>
  <c r="L196" i="4"/>
  <c r="F196" i="4"/>
  <c r="L195" i="4"/>
  <c r="F195" i="4"/>
  <c r="L194" i="4"/>
  <c r="F194" i="4"/>
  <c r="L193" i="4"/>
  <c r="F193" i="4"/>
  <c r="L192" i="4"/>
  <c r="F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L191" i="4"/>
  <c r="F191" i="4"/>
  <c r="N190" i="4"/>
  <c r="E10" i="6" s="1"/>
  <c r="E189" i="4"/>
  <c r="L188" i="4"/>
  <c r="F188" i="4"/>
  <c r="L187" i="4"/>
  <c r="F187" i="4"/>
  <c r="L186" i="4"/>
  <c r="F186" i="4"/>
  <c r="L185" i="4"/>
  <c r="F185" i="4"/>
  <c r="L184" i="4"/>
  <c r="F184" i="4"/>
  <c r="L183" i="4"/>
  <c r="F183" i="4"/>
  <c r="L182" i="4"/>
  <c r="F182" i="4"/>
  <c r="L181" i="4"/>
  <c r="F181" i="4"/>
  <c r="L180" i="4"/>
  <c r="F180" i="4"/>
  <c r="L179" i="4"/>
  <c r="F179" i="4"/>
  <c r="L178" i="4"/>
  <c r="F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L177" i="4"/>
  <c r="F177" i="4"/>
  <c r="E176" i="4"/>
  <c r="L175" i="4"/>
  <c r="F175" i="4"/>
  <c r="L174" i="4"/>
  <c r="F174" i="4"/>
  <c r="L173" i="4"/>
  <c r="F173" i="4"/>
  <c r="L172" i="4"/>
  <c r="F172" i="4"/>
  <c r="L171" i="4"/>
  <c r="F171" i="4"/>
  <c r="L170" i="4"/>
  <c r="F170" i="4"/>
  <c r="L169" i="4"/>
  <c r="F169" i="4"/>
  <c r="L168" i="4"/>
  <c r="F168" i="4"/>
  <c r="L167" i="4"/>
  <c r="F167" i="4"/>
  <c r="L166" i="4"/>
  <c r="F166" i="4"/>
  <c r="L165" i="4"/>
  <c r="F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L164" i="4"/>
  <c r="F164" i="4"/>
  <c r="N163" i="4"/>
  <c r="E9" i="6" s="1"/>
  <c r="E162" i="4"/>
  <c r="L161" i="4"/>
  <c r="F161" i="4"/>
  <c r="L160" i="4"/>
  <c r="F160" i="4"/>
  <c r="L159" i="4"/>
  <c r="F159" i="4"/>
  <c r="L158" i="4"/>
  <c r="F158" i="4"/>
  <c r="L157" i="4"/>
  <c r="F157" i="4"/>
  <c r="L156" i="4"/>
  <c r="F156" i="4"/>
  <c r="L155" i="4"/>
  <c r="F155" i="4"/>
  <c r="L154" i="4"/>
  <c r="F154" i="4"/>
  <c r="L153" i="4"/>
  <c r="F153" i="4"/>
  <c r="L152" i="4"/>
  <c r="F152" i="4"/>
  <c r="L151" i="4"/>
  <c r="F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L150" i="4"/>
  <c r="L162" i="4" s="1"/>
  <c r="F150" i="4"/>
  <c r="F162" i="4" s="1"/>
  <c r="E149" i="4"/>
  <c r="L148" i="4"/>
  <c r="F148" i="4"/>
  <c r="L147" i="4"/>
  <c r="F147" i="4"/>
  <c r="L146" i="4"/>
  <c r="F146" i="4"/>
  <c r="L145" i="4"/>
  <c r="F145" i="4"/>
  <c r="L144" i="4"/>
  <c r="F144" i="4"/>
  <c r="L143" i="4"/>
  <c r="F143" i="4"/>
  <c r="L142" i="4"/>
  <c r="F142" i="4"/>
  <c r="L141" i="4"/>
  <c r="F141" i="4"/>
  <c r="L140" i="4"/>
  <c r="F140" i="4"/>
  <c r="L139" i="4"/>
  <c r="F139" i="4"/>
  <c r="L138" i="4"/>
  <c r="F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L137" i="4"/>
  <c r="F137" i="4"/>
  <c r="N136" i="4"/>
  <c r="E8" i="6" s="1"/>
  <c r="E135" i="4"/>
  <c r="L134" i="4"/>
  <c r="F134" i="4"/>
  <c r="L133" i="4"/>
  <c r="F133" i="4"/>
  <c r="L132" i="4"/>
  <c r="F132" i="4"/>
  <c r="L131" i="4"/>
  <c r="F131" i="4"/>
  <c r="L130" i="4"/>
  <c r="F130" i="4"/>
  <c r="L129" i="4"/>
  <c r="F129" i="4"/>
  <c r="L128" i="4"/>
  <c r="F128" i="4"/>
  <c r="L127" i="4"/>
  <c r="F127" i="4"/>
  <c r="L126" i="4"/>
  <c r="F126" i="4"/>
  <c r="L125" i="4"/>
  <c r="F125" i="4"/>
  <c r="L124" i="4"/>
  <c r="F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L123" i="4"/>
  <c r="F123" i="4"/>
  <c r="E122" i="4"/>
  <c r="E136" i="4" s="1"/>
  <c r="L121" i="4"/>
  <c r="F121" i="4"/>
  <c r="L120" i="4"/>
  <c r="F120" i="4"/>
  <c r="L119" i="4"/>
  <c r="F119" i="4"/>
  <c r="L118" i="4"/>
  <c r="F118" i="4"/>
  <c r="L117" i="4"/>
  <c r="F117" i="4"/>
  <c r="L116" i="4"/>
  <c r="F116" i="4"/>
  <c r="L115" i="4"/>
  <c r="F115" i="4"/>
  <c r="L114" i="4"/>
  <c r="F114" i="4"/>
  <c r="L113" i="4"/>
  <c r="F113" i="4"/>
  <c r="L112" i="4"/>
  <c r="F112" i="4"/>
  <c r="L111" i="4"/>
  <c r="F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L110" i="4"/>
  <c r="F110" i="4"/>
  <c r="N109" i="4"/>
  <c r="E7" i="6" s="1"/>
  <c r="E108" i="4"/>
  <c r="L107" i="4"/>
  <c r="F107" i="4"/>
  <c r="L106" i="4"/>
  <c r="F106" i="4"/>
  <c r="L105" i="4"/>
  <c r="F105" i="4"/>
  <c r="L104" i="4"/>
  <c r="F104" i="4"/>
  <c r="L103" i="4"/>
  <c r="F103" i="4"/>
  <c r="L102" i="4"/>
  <c r="F102" i="4"/>
  <c r="L101" i="4"/>
  <c r="F101" i="4"/>
  <c r="L100" i="4"/>
  <c r="F100" i="4"/>
  <c r="L99" i="4"/>
  <c r="F99" i="4"/>
  <c r="L98" i="4"/>
  <c r="F98" i="4"/>
  <c r="L97" i="4"/>
  <c r="F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L96" i="4"/>
  <c r="F96" i="4"/>
  <c r="E95" i="4"/>
  <c r="E109" i="4" s="1"/>
  <c r="L94" i="4"/>
  <c r="F94" i="4"/>
  <c r="L93" i="4"/>
  <c r="F93" i="4"/>
  <c r="L92" i="4"/>
  <c r="F92" i="4"/>
  <c r="L91" i="4"/>
  <c r="F91" i="4"/>
  <c r="L90" i="4"/>
  <c r="F90" i="4"/>
  <c r="L89" i="4"/>
  <c r="F89" i="4"/>
  <c r="L88" i="4"/>
  <c r="F88" i="4"/>
  <c r="L87" i="4"/>
  <c r="F87" i="4"/>
  <c r="L86" i="4"/>
  <c r="F86" i="4"/>
  <c r="L85" i="4"/>
  <c r="F85" i="4"/>
  <c r="L84" i="4"/>
  <c r="F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L83" i="4"/>
  <c r="F83" i="4"/>
  <c r="F95" i="4" s="1"/>
  <c r="N82" i="4"/>
  <c r="E6" i="6" s="1"/>
  <c r="E81" i="4"/>
  <c r="L80" i="4"/>
  <c r="F80" i="4"/>
  <c r="L79" i="4"/>
  <c r="F79" i="4"/>
  <c r="L78" i="4"/>
  <c r="F78" i="4"/>
  <c r="L77" i="4"/>
  <c r="F77" i="4"/>
  <c r="L76" i="4"/>
  <c r="F76" i="4"/>
  <c r="L75" i="4"/>
  <c r="F75" i="4"/>
  <c r="L74" i="4"/>
  <c r="F74" i="4"/>
  <c r="L73" i="4"/>
  <c r="F73" i="4"/>
  <c r="L72" i="4"/>
  <c r="F72" i="4"/>
  <c r="L71" i="4"/>
  <c r="F71" i="4"/>
  <c r="L70" i="4"/>
  <c r="F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L69" i="4"/>
  <c r="F69" i="4"/>
  <c r="E68" i="4"/>
  <c r="L67" i="4"/>
  <c r="F67" i="4"/>
  <c r="L66" i="4"/>
  <c r="F66" i="4"/>
  <c r="L65" i="4"/>
  <c r="F65" i="4"/>
  <c r="L64" i="4"/>
  <c r="F64" i="4"/>
  <c r="L63" i="4"/>
  <c r="F63" i="4"/>
  <c r="L62" i="4"/>
  <c r="F62" i="4"/>
  <c r="L61" i="4"/>
  <c r="F61" i="4"/>
  <c r="L60" i="4"/>
  <c r="F60" i="4"/>
  <c r="L59" i="4"/>
  <c r="F59" i="4"/>
  <c r="L58" i="4"/>
  <c r="F58" i="4"/>
  <c r="L57" i="4"/>
  <c r="F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L56" i="4"/>
  <c r="F56" i="4"/>
  <c r="N55" i="4"/>
  <c r="E5" i="6" s="1"/>
  <c r="E54" i="4"/>
  <c r="L53" i="4"/>
  <c r="F53" i="4"/>
  <c r="L52" i="4"/>
  <c r="F52" i="4"/>
  <c r="L51" i="4"/>
  <c r="F51" i="4"/>
  <c r="L50" i="4"/>
  <c r="F50" i="4"/>
  <c r="L49" i="4"/>
  <c r="F49" i="4"/>
  <c r="L48" i="4"/>
  <c r="F48" i="4"/>
  <c r="L47" i="4"/>
  <c r="F47" i="4"/>
  <c r="L46" i="4"/>
  <c r="F46" i="4"/>
  <c r="L45" i="4"/>
  <c r="F45" i="4"/>
  <c r="L44" i="4"/>
  <c r="F44" i="4"/>
  <c r="L43" i="4"/>
  <c r="F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L42" i="4"/>
  <c r="F42" i="4"/>
  <c r="E41" i="4"/>
  <c r="L40" i="4"/>
  <c r="F40" i="4"/>
  <c r="L39" i="4"/>
  <c r="F39" i="4"/>
  <c r="L38" i="4"/>
  <c r="F38" i="4"/>
  <c r="L37" i="4"/>
  <c r="F37" i="4"/>
  <c r="L36" i="4"/>
  <c r="F36" i="4"/>
  <c r="L35" i="4"/>
  <c r="F35" i="4"/>
  <c r="L34" i="4"/>
  <c r="F34" i="4"/>
  <c r="L33" i="4"/>
  <c r="F33" i="4"/>
  <c r="L32" i="4"/>
  <c r="F32" i="4"/>
  <c r="L31" i="4"/>
  <c r="F31" i="4"/>
  <c r="L30" i="4"/>
  <c r="F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L29" i="4"/>
  <c r="F29" i="4"/>
  <c r="N28" i="4"/>
  <c r="E4" i="6" s="1"/>
  <c r="E27" i="4"/>
  <c r="L26" i="4"/>
  <c r="F26" i="4"/>
  <c r="L25" i="4"/>
  <c r="F25" i="4"/>
  <c r="L24" i="4"/>
  <c r="F24" i="4"/>
  <c r="L23" i="4"/>
  <c r="F23" i="4"/>
  <c r="L22" i="4"/>
  <c r="F22" i="4"/>
  <c r="L21" i="4"/>
  <c r="F21" i="4"/>
  <c r="L20" i="4"/>
  <c r="F20" i="4"/>
  <c r="L19" i="4"/>
  <c r="F19" i="4"/>
  <c r="L18" i="4"/>
  <c r="F18" i="4"/>
  <c r="L17" i="4"/>
  <c r="F17" i="4"/>
  <c r="L16" i="4"/>
  <c r="F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L15" i="4"/>
  <c r="F15" i="4"/>
  <c r="E14" i="4"/>
  <c r="E28" i="4" s="1"/>
  <c r="L13" i="4"/>
  <c r="F13" i="4"/>
  <c r="L12" i="4"/>
  <c r="F12" i="4"/>
  <c r="L11" i="4"/>
  <c r="F11" i="4"/>
  <c r="L10" i="4"/>
  <c r="F10" i="4"/>
  <c r="L9" i="4"/>
  <c r="F9" i="4"/>
  <c r="L8" i="4"/>
  <c r="F8" i="4"/>
  <c r="L7" i="4"/>
  <c r="F7" i="4"/>
  <c r="L6" i="4"/>
  <c r="F6" i="4"/>
  <c r="L5" i="4"/>
  <c r="F5" i="4"/>
  <c r="L4" i="4"/>
  <c r="F4" i="4"/>
  <c r="L3" i="4"/>
  <c r="F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L2" i="4"/>
  <c r="F2" i="4"/>
  <c r="N811" i="2"/>
  <c r="C33" i="6" s="1"/>
  <c r="E810" i="2"/>
  <c r="L809" i="2"/>
  <c r="F809" i="2"/>
  <c r="L808" i="2"/>
  <c r="F808" i="2"/>
  <c r="L807" i="2"/>
  <c r="F807" i="2"/>
  <c r="L806" i="2"/>
  <c r="F806" i="2"/>
  <c r="L805" i="2"/>
  <c r="F805" i="2"/>
  <c r="L804" i="2"/>
  <c r="F804" i="2"/>
  <c r="L803" i="2"/>
  <c r="F803" i="2"/>
  <c r="L802" i="2"/>
  <c r="F802" i="2"/>
  <c r="L801" i="2"/>
  <c r="F801" i="2"/>
  <c r="L800" i="2"/>
  <c r="F800" i="2"/>
  <c r="L799" i="2"/>
  <c r="F799" i="2"/>
  <c r="B799" i="2"/>
  <c r="B800" i="2" s="1"/>
  <c r="B801" i="2" s="1"/>
  <c r="B802" i="2" s="1"/>
  <c r="B803" i="2" s="1"/>
  <c r="B804" i="2" s="1"/>
  <c r="B805" i="2" s="1"/>
  <c r="B806" i="2" s="1"/>
  <c r="B807" i="2" s="1"/>
  <c r="B808" i="2" s="1"/>
  <c r="B809" i="2" s="1"/>
  <c r="L798" i="2"/>
  <c r="L810" i="2" s="1"/>
  <c r="F798" i="2"/>
  <c r="F810" i="2" s="1"/>
  <c r="E797" i="2"/>
  <c r="E811" i="2" s="1"/>
  <c r="L796" i="2"/>
  <c r="F796" i="2"/>
  <c r="L795" i="2"/>
  <c r="F795" i="2"/>
  <c r="L794" i="2"/>
  <c r="F794" i="2"/>
  <c r="L793" i="2"/>
  <c r="F793" i="2"/>
  <c r="L792" i="2"/>
  <c r="F792" i="2"/>
  <c r="L791" i="2"/>
  <c r="F791" i="2"/>
  <c r="L790" i="2"/>
  <c r="F790" i="2"/>
  <c r="L789" i="2"/>
  <c r="F789" i="2"/>
  <c r="L788" i="2"/>
  <c r="F788" i="2"/>
  <c r="L787" i="2"/>
  <c r="F787" i="2"/>
  <c r="L786" i="2"/>
  <c r="F786" i="2"/>
  <c r="B786" i="2"/>
  <c r="B787" i="2" s="1"/>
  <c r="B788" i="2" s="1"/>
  <c r="B789" i="2" s="1"/>
  <c r="B790" i="2" s="1"/>
  <c r="B791" i="2" s="1"/>
  <c r="B792" i="2" s="1"/>
  <c r="B793" i="2" s="1"/>
  <c r="B794" i="2" s="1"/>
  <c r="B795" i="2" s="1"/>
  <c r="B796" i="2" s="1"/>
  <c r="L785" i="2"/>
  <c r="F785" i="2"/>
  <c r="N784" i="2"/>
  <c r="C32" i="6" s="1"/>
  <c r="E783" i="2"/>
  <c r="L782" i="2"/>
  <c r="F782" i="2"/>
  <c r="L781" i="2"/>
  <c r="F781" i="2"/>
  <c r="L780" i="2"/>
  <c r="F780" i="2"/>
  <c r="L779" i="2"/>
  <c r="F779" i="2"/>
  <c r="L778" i="2"/>
  <c r="F778" i="2"/>
  <c r="L777" i="2"/>
  <c r="F777" i="2"/>
  <c r="L776" i="2"/>
  <c r="F776" i="2"/>
  <c r="L775" i="2"/>
  <c r="F775" i="2"/>
  <c r="L774" i="2"/>
  <c r="F774" i="2"/>
  <c r="L773" i="2"/>
  <c r="L772" i="2"/>
  <c r="F772" i="2"/>
  <c r="B772" i="2"/>
  <c r="B773" i="2" s="1"/>
  <c r="B774" i="2" s="1"/>
  <c r="B775" i="2" s="1"/>
  <c r="B776" i="2" s="1"/>
  <c r="B777" i="2" s="1"/>
  <c r="B778" i="2" s="1"/>
  <c r="B779" i="2" s="1"/>
  <c r="B780" i="2" s="1"/>
  <c r="B781" i="2" s="1"/>
  <c r="B782" i="2" s="1"/>
  <c r="L771" i="2"/>
  <c r="F771" i="2"/>
  <c r="E770" i="2"/>
  <c r="E784" i="2" s="1"/>
  <c r="L769" i="2"/>
  <c r="F769" i="2"/>
  <c r="L768" i="2"/>
  <c r="F768" i="2"/>
  <c r="L767" i="2"/>
  <c r="F767" i="2"/>
  <c r="L766" i="2"/>
  <c r="F766" i="2"/>
  <c r="L765" i="2"/>
  <c r="F765" i="2"/>
  <c r="L764" i="2"/>
  <c r="F764" i="2"/>
  <c r="L763" i="2"/>
  <c r="F763" i="2"/>
  <c r="L762" i="2"/>
  <c r="F762" i="2"/>
  <c r="L761" i="2"/>
  <c r="F761" i="2"/>
  <c r="L760" i="2"/>
  <c r="F760" i="2"/>
  <c r="L759" i="2"/>
  <c r="F759" i="2"/>
  <c r="B759" i="2"/>
  <c r="B760" i="2" s="1"/>
  <c r="B761" i="2" s="1"/>
  <c r="B762" i="2" s="1"/>
  <c r="B763" i="2" s="1"/>
  <c r="B764" i="2" s="1"/>
  <c r="L758" i="2"/>
  <c r="F758" i="2"/>
  <c r="N757" i="2"/>
  <c r="C31" i="6" s="1"/>
  <c r="E756" i="2"/>
  <c r="L755" i="2"/>
  <c r="F755" i="2"/>
  <c r="L754" i="2"/>
  <c r="F754" i="2"/>
  <c r="L753" i="2"/>
  <c r="F753" i="2"/>
  <c r="L752" i="2"/>
  <c r="F752" i="2"/>
  <c r="L751" i="2"/>
  <c r="F751" i="2"/>
  <c r="L750" i="2"/>
  <c r="F750" i="2"/>
  <c r="L749" i="2"/>
  <c r="F749" i="2"/>
  <c r="L748" i="2"/>
  <c r="F748" i="2"/>
  <c r="L747" i="2"/>
  <c r="F747" i="2"/>
  <c r="L746" i="2"/>
  <c r="F746" i="2"/>
  <c r="L745" i="2"/>
  <c r="F745" i="2"/>
  <c r="B745" i="2"/>
  <c r="B746" i="2" s="1"/>
  <c r="B747" i="2" s="1"/>
  <c r="B748" i="2" s="1"/>
  <c r="B749" i="2" s="1"/>
  <c r="B750" i="2" s="1"/>
  <c r="B751" i="2" s="1"/>
  <c r="B752" i="2" s="1"/>
  <c r="B753" i="2" s="1"/>
  <c r="B754" i="2" s="1"/>
  <c r="B755" i="2" s="1"/>
  <c r="L744" i="2"/>
  <c r="F744" i="2"/>
  <c r="E743" i="2"/>
  <c r="E757" i="2" s="1"/>
  <c r="L742" i="2"/>
  <c r="F742" i="2"/>
  <c r="L741" i="2"/>
  <c r="F741" i="2"/>
  <c r="L740" i="2"/>
  <c r="F740" i="2"/>
  <c r="L739" i="2"/>
  <c r="F739" i="2"/>
  <c r="L738" i="2"/>
  <c r="F738" i="2"/>
  <c r="L737" i="2"/>
  <c r="F737" i="2"/>
  <c r="L736" i="2"/>
  <c r="F736" i="2"/>
  <c r="L735" i="2"/>
  <c r="F735" i="2"/>
  <c r="L734" i="2"/>
  <c r="F734" i="2"/>
  <c r="L733" i="2"/>
  <c r="F733" i="2"/>
  <c r="L732" i="2"/>
  <c r="F732" i="2"/>
  <c r="B732" i="2"/>
  <c r="B733" i="2" s="1"/>
  <c r="B734" i="2" s="1"/>
  <c r="B735" i="2" s="1"/>
  <c r="B736" i="2" s="1"/>
  <c r="B737" i="2" s="1"/>
  <c r="B738" i="2" s="1"/>
  <c r="B739" i="2" s="1"/>
  <c r="B740" i="2" s="1"/>
  <c r="B741" i="2" s="1"/>
  <c r="B742" i="2" s="1"/>
  <c r="L731" i="2"/>
  <c r="F731" i="2"/>
  <c r="N730" i="2"/>
  <c r="C30" i="6" s="1"/>
  <c r="E729" i="2"/>
  <c r="L728" i="2"/>
  <c r="F728" i="2"/>
  <c r="L727" i="2"/>
  <c r="F727" i="2"/>
  <c r="L726" i="2"/>
  <c r="F726" i="2"/>
  <c r="L725" i="2"/>
  <c r="F725" i="2"/>
  <c r="L724" i="2"/>
  <c r="F724" i="2"/>
  <c r="L723" i="2"/>
  <c r="F723" i="2"/>
  <c r="L722" i="2"/>
  <c r="F722" i="2"/>
  <c r="L721" i="2"/>
  <c r="L720" i="2"/>
  <c r="L719" i="2"/>
  <c r="F719" i="2"/>
  <c r="L718" i="2"/>
  <c r="F718" i="2"/>
  <c r="B718" i="2"/>
  <c r="B719" i="2" s="1"/>
  <c r="B720" i="2" s="1"/>
  <c r="B721" i="2" s="1"/>
  <c r="B722" i="2" s="1"/>
  <c r="B723" i="2" s="1"/>
  <c r="B724" i="2" s="1"/>
  <c r="B725" i="2" s="1"/>
  <c r="B726" i="2" s="1"/>
  <c r="B727" i="2" s="1"/>
  <c r="B728" i="2" s="1"/>
  <c r="L717" i="2"/>
  <c r="L729" i="2" s="1"/>
  <c r="F717" i="2"/>
  <c r="E716" i="2"/>
  <c r="L715" i="2"/>
  <c r="F715" i="2"/>
  <c r="L714" i="2"/>
  <c r="F714" i="2"/>
  <c r="L713" i="2"/>
  <c r="F713" i="2"/>
  <c r="L712" i="2"/>
  <c r="F712" i="2"/>
  <c r="L711" i="2"/>
  <c r="F711" i="2"/>
  <c r="L710" i="2"/>
  <c r="F710" i="2"/>
  <c r="L709" i="2"/>
  <c r="F709" i="2"/>
  <c r="L708" i="2"/>
  <c r="F708" i="2"/>
  <c r="L707" i="2"/>
  <c r="F707" i="2"/>
  <c r="L706" i="2"/>
  <c r="F706" i="2"/>
  <c r="L705" i="2"/>
  <c r="F705" i="2"/>
  <c r="B705" i="2"/>
  <c r="B706" i="2" s="1"/>
  <c r="B707" i="2" s="1"/>
  <c r="B708" i="2" s="1"/>
  <c r="B709" i="2" s="1"/>
  <c r="B710" i="2" s="1"/>
  <c r="B711" i="2" s="1"/>
  <c r="B712" i="2" s="1"/>
  <c r="B713" i="2" s="1"/>
  <c r="B714" i="2" s="1"/>
  <c r="B715" i="2" s="1"/>
  <c r="L704" i="2"/>
  <c r="F704" i="2"/>
  <c r="N703" i="2"/>
  <c r="C29" i="6" s="1"/>
  <c r="E702" i="2"/>
  <c r="L701" i="2"/>
  <c r="F701" i="2"/>
  <c r="L700" i="2"/>
  <c r="F700" i="2"/>
  <c r="L699" i="2"/>
  <c r="F699" i="2"/>
  <c r="L698" i="2"/>
  <c r="F698" i="2"/>
  <c r="L697" i="2"/>
  <c r="F697" i="2"/>
  <c r="L696" i="2"/>
  <c r="F696" i="2"/>
  <c r="L695" i="2"/>
  <c r="F695" i="2"/>
  <c r="L694" i="2"/>
  <c r="F694" i="2"/>
  <c r="L693" i="2"/>
  <c r="F693" i="2"/>
  <c r="L692" i="2"/>
  <c r="F692" i="2"/>
  <c r="L691" i="2"/>
  <c r="F691" i="2"/>
  <c r="B691" i="2"/>
  <c r="B692" i="2" s="1"/>
  <c r="B693" i="2" s="1"/>
  <c r="B694" i="2" s="1"/>
  <c r="B695" i="2" s="1"/>
  <c r="B696" i="2" s="1"/>
  <c r="B697" i="2" s="1"/>
  <c r="B698" i="2" s="1"/>
  <c r="B699" i="2" s="1"/>
  <c r="B700" i="2" s="1"/>
  <c r="B701" i="2" s="1"/>
  <c r="L690" i="2"/>
  <c r="F690" i="2"/>
  <c r="E689" i="2"/>
  <c r="L688" i="2"/>
  <c r="F688" i="2"/>
  <c r="L687" i="2"/>
  <c r="F687" i="2"/>
  <c r="L686" i="2"/>
  <c r="F686" i="2"/>
  <c r="L685" i="2"/>
  <c r="F685" i="2"/>
  <c r="L684" i="2"/>
  <c r="F684" i="2"/>
  <c r="L683" i="2"/>
  <c r="F683" i="2"/>
  <c r="L682" i="2"/>
  <c r="F682" i="2"/>
  <c r="L681" i="2"/>
  <c r="F681" i="2"/>
  <c r="L680" i="2"/>
  <c r="F680" i="2"/>
  <c r="L679" i="2"/>
  <c r="F679" i="2"/>
  <c r="L678" i="2"/>
  <c r="F678" i="2"/>
  <c r="B678" i="2"/>
  <c r="B679" i="2" s="1"/>
  <c r="B680" i="2" s="1"/>
  <c r="B681" i="2" s="1"/>
  <c r="B682" i="2" s="1"/>
  <c r="B683" i="2" s="1"/>
  <c r="B684" i="2" s="1"/>
  <c r="B685" i="2" s="1"/>
  <c r="B686" i="2" s="1"/>
  <c r="B687" i="2" s="1"/>
  <c r="B688" i="2" s="1"/>
  <c r="L677" i="2"/>
  <c r="F677" i="2"/>
  <c r="N676" i="2"/>
  <c r="C28" i="6" s="1"/>
  <c r="E675" i="2"/>
  <c r="L674" i="2"/>
  <c r="F674" i="2"/>
  <c r="L673" i="2"/>
  <c r="F673" i="2"/>
  <c r="L672" i="2"/>
  <c r="F672" i="2"/>
  <c r="L671" i="2"/>
  <c r="F671" i="2"/>
  <c r="L670" i="2"/>
  <c r="F670" i="2"/>
  <c r="L669" i="2"/>
  <c r="F669" i="2"/>
  <c r="L668" i="2"/>
  <c r="F668" i="2"/>
  <c r="L667" i="2"/>
  <c r="F667" i="2"/>
  <c r="L666" i="2"/>
  <c r="F666" i="2"/>
  <c r="L665" i="2"/>
  <c r="F665" i="2"/>
  <c r="L664" i="2"/>
  <c r="F664" i="2"/>
  <c r="B664" i="2"/>
  <c r="B665" i="2" s="1"/>
  <c r="B666" i="2" s="1"/>
  <c r="B667" i="2" s="1"/>
  <c r="B668" i="2" s="1"/>
  <c r="B669" i="2" s="1"/>
  <c r="B670" i="2" s="1"/>
  <c r="B671" i="2" s="1"/>
  <c r="B672" i="2" s="1"/>
  <c r="B673" i="2" s="1"/>
  <c r="B674" i="2" s="1"/>
  <c r="L663" i="2"/>
  <c r="F663" i="2"/>
  <c r="E662" i="2"/>
  <c r="E676" i="2" s="1"/>
  <c r="L661" i="2"/>
  <c r="F661" i="2"/>
  <c r="L660" i="2"/>
  <c r="F660" i="2"/>
  <c r="L659" i="2"/>
  <c r="F659" i="2"/>
  <c r="L658" i="2"/>
  <c r="F658" i="2"/>
  <c r="L657" i="2"/>
  <c r="F657" i="2"/>
  <c r="L656" i="2"/>
  <c r="F656" i="2"/>
  <c r="L655" i="2"/>
  <c r="F655" i="2"/>
  <c r="L654" i="2"/>
  <c r="F654" i="2"/>
  <c r="L653" i="2"/>
  <c r="F653" i="2"/>
  <c r="L652" i="2"/>
  <c r="F652" i="2"/>
  <c r="L651" i="2"/>
  <c r="F651" i="2"/>
  <c r="B651" i="2"/>
  <c r="B652" i="2" s="1"/>
  <c r="B653" i="2" s="1"/>
  <c r="B654" i="2" s="1"/>
  <c r="B655" i="2" s="1"/>
  <c r="B656" i="2" s="1"/>
  <c r="B657" i="2" s="1"/>
  <c r="B658" i="2" s="1"/>
  <c r="B659" i="2" s="1"/>
  <c r="B660" i="2" s="1"/>
  <c r="B661" i="2" s="1"/>
  <c r="L650" i="2"/>
  <c r="F650" i="2"/>
  <c r="N649" i="2"/>
  <c r="C27" i="6" s="1"/>
  <c r="E648" i="2"/>
  <c r="L647" i="2"/>
  <c r="F647" i="2"/>
  <c r="L646" i="2"/>
  <c r="F646" i="2"/>
  <c r="L645" i="2"/>
  <c r="F645" i="2"/>
  <c r="L644" i="2"/>
  <c r="F644" i="2"/>
  <c r="L643" i="2"/>
  <c r="F643" i="2"/>
  <c r="L642" i="2"/>
  <c r="F642" i="2"/>
  <c r="L641" i="2"/>
  <c r="F641" i="2"/>
  <c r="L640" i="2"/>
  <c r="F640" i="2"/>
  <c r="L639" i="2"/>
  <c r="F639" i="2"/>
  <c r="L638" i="2"/>
  <c r="F638" i="2"/>
  <c r="L637" i="2"/>
  <c r="F637" i="2"/>
  <c r="B637" i="2"/>
  <c r="B638" i="2" s="1"/>
  <c r="B639" i="2" s="1"/>
  <c r="B640" i="2" s="1"/>
  <c r="B641" i="2" s="1"/>
  <c r="B642" i="2" s="1"/>
  <c r="B643" i="2" s="1"/>
  <c r="B644" i="2" s="1"/>
  <c r="B645" i="2" s="1"/>
  <c r="B646" i="2" s="1"/>
  <c r="B647" i="2" s="1"/>
  <c r="L636" i="2"/>
  <c r="F636" i="2"/>
  <c r="E635" i="2"/>
  <c r="L634" i="2"/>
  <c r="F634" i="2"/>
  <c r="L633" i="2"/>
  <c r="F633" i="2"/>
  <c r="L632" i="2"/>
  <c r="F632" i="2"/>
  <c r="L631" i="2"/>
  <c r="F631" i="2"/>
  <c r="L630" i="2"/>
  <c r="F630" i="2"/>
  <c r="L629" i="2"/>
  <c r="F629" i="2"/>
  <c r="L628" i="2"/>
  <c r="F628" i="2"/>
  <c r="L627" i="2"/>
  <c r="F627" i="2"/>
  <c r="L626" i="2"/>
  <c r="F626" i="2"/>
  <c r="L625" i="2"/>
  <c r="F625" i="2"/>
  <c r="L624" i="2"/>
  <c r="F624" i="2"/>
  <c r="B624" i="2"/>
  <c r="B625" i="2" s="1"/>
  <c r="B626" i="2" s="1"/>
  <c r="B627" i="2" s="1"/>
  <c r="B628" i="2" s="1"/>
  <c r="B629" i="2" s="1"/>
  <c r="B630" i="2" s="1"/>
  <c r="B631" i="2" s="1"/>
  <c r="B632" i="2" s="1"/>
  <c r="B633" i="2" s="1"/>
  <c r="B634" i="2" s="1"/>
  <c r="L623" i="2"/>
  <c r="L635" i="2" s="1"/>
  <c r="F623" i="2"/>
  <c r="N622" i="2"/>
  <c r="C26" i="6" s="1"/>
  <c r="E621" i="2"/>
  <c r="L620" i="2"/>
  <c r="F620" i="2"/>
  <c r="L619" i="2"/>
  <c r="F619" i="2"/>
  <c r="L618" i="2"/>
  <c r="F618" i="2"/>
  <c r="L617" i="2"/>
  <c r="F617" i="2"/>
  <c r="L616" i="2"/>
  <c r="F616" i="2"/>
  <c r="L615" i="2"/>
  <c r="F615" i="2"/>
  <c r="L614" i="2"/>
  <c r="F614" i="2"/>
  <c r="L613" i="2"/>
  <c r="F613" i="2"/>
  <c r="L612" i="2"/>
  <c r="F612" i="2"/>
  <c r="L611" i="2"/>
  <c r="F611" i="2"/>
  <c r="L610" i="2"/>
  <c r="F610" i="2"/>
  <c r="B610" i="2"/>
  <c r="B611" i="2" s="1"/>
  <c r="B612" i="2" s="1"/>
  <c r="B613" i="2" s="1"/>
  <c r="B614" i="2" s="1"/>
  <c r="B615" i="2" s="1"/>
  <c r="B616" i="2" s="1"/>
  <c r="B617" i="2" s="1"/>
  <c r="B618" i="2" s="1"/>
  <c r="B619" i="2" s="1"/>
  <c r="B620" i="2" s="1"/>
  <c r="L609" i="2"/>
  <c r="F609" i="2"/>
  <c r="F621" i="2" s="1"/>
  <c r="E608" i="2"/>
  <c r="E622" i="2" s="1"/>
  <c r="L607" i="2"/>
  <c r="F607" i="2"/>
  <c r="L606" i="2"/>
  <c r="F606" i="2"/>
  <c r="L605" i="2"/>
  <c r="F605" i="2"/>
  <c r="L604" i="2"/>
  <c r="F604" i="2"/>
  <c r="L603" i="2"/>
  <c r="F603" i="2"/>
  <c r="L602" i="2"/>
  <c r="F602" i="2"/>
  <c r="L601" i="2"/>
  <c r="F601" i="2"/>
  <c r="L600" i="2"/>
  <c r="F600" i="2"/>
  <c r="L599" i="2"/>
  <c r="F599" i="2"/>
  <c r="L598" i="2"/>
  <c r="F598" i="2"/>
  <c r="L597" i="2"/>
  <c r="F597" i="2"/>
  <c r="B597" i="2"/>
  <c r="B598" i="2" s="1"/>
  <c r="B599" i="2" s="1"/>
  <c r="B600" i="2" s="1"/>
  <c r="B601" i="2" s="1"/>
  <c r="B602" i="2" s="1"/>
  <c r="B603" i="2" s="1"/>
  <c r="B604" i="2" s="1"/>
  <c r="B605" i="2" s="1"/>
  <c r="B606" i="2" s="1"/>
  <c r="B607" i="2" s="1"/>
  <c r="L596" i="2"/>
  <c r="F596" i="2"/>
  <c r="F608" i="2" s="1"/>
  <c r="N595" i="2"/>
  <c r="C25" i="6" s="1"/>
  <c r="E594" i="2"/>
  <c r="L593" i="2"/>
  <c r="F593" i="2"/>
  <c r="L592" i="2"/>
  <c r="F592" i="2"/>
  <c r="L591" i="2"/>
  <c r="F591" i="2"/>
  <c r="L590" i="2"/>
  <c r="F590" i="2"/>
  <c r="L589" i="2"/>
  <c r="F589" i="2"/>
  <c r="L588" i="2"/>
  <c r="F588" i="2"/>
  <c r="L587" i="2"/>
  <c r="F587" i="2"/>
  <c r="L586" i="2"/>
  <c r="F586" i="2"/>
  <c r="L585" i="2"/>
  <c r="F585" i="2"/>
  <c r="L584" i="2"/>
  <c r="F584" i="2"/>
  <c r="L583" i="2"/>
  <c r="F583" i="2"/>
  <c r="B583" i="2"/>
  <c r="B584" i="2" s="1"/>
  <c r="B585" i="2" s="1"/>
  <c r="B586" i="2" s="1"/>
  <c r="B587" i="2" s="1"/>
  <c r="B588" i="2" s="1"/>
  <c r="B589" i="2" s="1"/>
  <c r="B590" i="2" s="1"/>
  <c r="B591" i="2" s="1"/>
  <c r="B592" i="2" s="1"/>
  <c r="B593" i="2" s="1"/>
  <c r="L582" i="2"/>
  <c r="F582" i="2"/>
  <c r="E581" i="2"/>
  <c r="L580" i="2"/>
  <c r="F580" i="2"/>
  <c r="L579" i="2"/>
  <c r="F579" i="2"/>
  <c r="L578" i="2"/>
  <c r="F578" i="2"/>
  <c r="L577" i="2"/>
  <c r="F577" i="2"/>
  <c r="L576" i="2"/>
  <c r="F576" i="2"/>
  <c r="L575" i="2"/>
  <c r="F575" i="2"/>
  <c r="L574" i="2"/>
  <c r="F574" i="2"/>
  <c r="L573" i="2"/>
  <c r="F573" i="2"/>
  <c r="L572" i="2"/>
  <c r="F572" i="2"/>
  <c r="L571" i="2"/>
  <c r="F571" i="2"/>
  <c r="L570" i="2"/>
  <c r="F570" i="2"/>
  <c r="B570" i="2"/>
  <c r="B571" i="2" s="1"/>
  <c r="B572" i="2" s="1"/>
  <c r="B573" i="2" s="1"/>
  <c r="B574" i="2" s="1"/>
  <c r="B575" i="2" s="1"/>
  <c r="B576" i="2" s="1"/>
  <c r="B577" i="2" s="1"/>
  <c r="B578" i="2" s="1"/>
  <c r="B579" i="2" s="1"/>
  <c r="B580" i="2" s="1"/>
  <c r="L569" i="2"/>
  <c r="F569" i="2"/>
  <c r="N568" i="2"/>
  <c r="C24" i="6" s="1"/>
  <c r="E567" i="2"/>
  <c r="L566" i="2"/>
  <c r="F566" i="2"/>
  <c r="L565" i="2"/>
  <c r="F565" i="2"/>
  <c r="L564" i="2"/>
  <c r="F564" i="2"/>
  <c r="L563" i="2"/>
  <c r="F563" i="2"/>
  <c r="L562" i="2"/>
  <c r="F562" i="2"/>
  <c r="L561" i="2"/>
  <c r="F561" i="2"/>
  <c r="L560" i="2"/>
  <c r="F560" i="2"/>
  <c r="L559" i="2"/>
  <c r="F559" i="2"/>
  <c r="L558" i="2"/>
  <c r="F558" i="2"/>
  <c r="L557" i="2"/>
  <c r="F557" i="2"/>
  <c r="L556" i="2"/>
  <c r="F556" i="2"/>
  <c r="B556" i="2"/>
  <c r="B557" i="2" s="1"/>
  <c r="B558" i="2" s="1"/>
  <c r="B559" i="2" s="1"/>
  <c r="B560" i="2" s="1"/>
  <c r="B561" i="2" s="1"/>
  <c r="B562" i="2" s="1"/>
  <c r="B563" i="2" s="1"/>
  <c r="B564" i="2" s="1"/>
  <c r="B565" i="2" s="1"/>
  <c r="B566" i="2" s="1"/>
  <c r="L555" i="2"/>
  <c r="F555" i="2"/>
  <c r="L553" i="2"/>
  <c r="F553" i="2"/>
  <c r="L552" i="2"/>
  <c r="F552" i="2"/>
  <c r="L551" i="2"/>
  <c r="F551" i="2"/>
  <c r="L550" i="2"/>
  <c r="F550" i="2"/>
  <c r="L549" i="2"/>
  <c r="F549" i="2"/>
  <c r="L548" i="2"/>
  <c r="F548" i="2"/>
  <c r="L547" i="2"/>
  <c r="F547" i="2"/>
  <c r="L546" i="2"/>
  <c r="F546" i="2"/>
  <c r="L545" i="2"/>
  <c r="F545" i="2"/>
  <c r="L544" i="2"/>
  <c r="F544" i="2"/>
  <c r="L543" i="2"/>
  <c r="F543" i="2"/>
  <c r="B543" i="2"/>
  <c r="B544" i="2" s="1"/>
  <c r="B545" i="2" s="1"/>
  <c r="B546" i="2" s="1"/>
  <c r="B547" i="2" s="1"/>
  <c r="B548" i="2" s="1"/>
  <c r="B549" i="2" s="1"/>
  <c r="B550" i="2" s="1"/>
  <c r="B551" i="2" s="1"/>
  <c r="B552" i="2" s="1"/>
  <c r="B553" i="2" s="1"/>
  <c r="L542" i="2"/>
  <c r="F542" i="2"/>
  <c r="F554" i="2" s="1"/>
  <c r="N541" i="2"/>
  <c r="C23" i="6" s="1"/>
  <c r="E540" i="2"/>
  <c r="L539" i="2"/>
  <c r="F539" i="2"/>
  <c r="L538" i="2"/>
  <c r="F538" i="2"/>
  <c r="L537" i="2"/>
  <c r="F537" i="2"/>
  <c r="L536" i="2"/>
  <c r="F536" i="2"/>
  <c r="L535" i="2"/>
  <c r="F535" i="2"/>
  <c r="L534" i="2"/>
  <c r="F534" i="2"/>
  <c r="L533" i="2"/>
  <c r="F533" i="2"/>
  <c r="L532" i="2"/>
  <c r="F532" i="2"/>
  <c r="L531" i="2"/>
  <c r="F531" i="2"/>
  <c r="L530" i="2"/>
  <c r="F530" i="2"/>
  <c r="L529" i="2"/>
  <c r="F529" i="2"/>
  <c r="B529" i="2"/>
  <c r="B530" i="2" s="1"/>
  <c r="B531" i="2" s="1"/>
  <c r="B532" i="2" s="1"/>
  <c r="B533" i="2" s="1"/>
  <c r="B534" i="2" s="1"/>
  <c r="B535" i="2" s="1"/>
  <c r="B536" i="2" s="1"/>
  <c r="B537" i="2" s="1"/>
  <c r="B538" i="2" s="1"/>
  <c r="B539" i="2" s="1"/>
  <c r="L528" i="2"/>
  <c r="F528" i="2"/>
  <c r="E527" i="2"/>
  <c r="L526" i="2"/>
  <c r="F526" i="2"/>
  <c r="L525" i="2"/>
  <c r="F525" i="2"/>
  <c r="L524" i="2"/>
  <c r="F524" i="2"/>
  <c r="L523" i="2"/>
  <c r="F523" i="2"/>
  <c r="L522" i="2"/>
  <c r="F522" i="2"/>
  <c r="L521" i="2"/>
  <c r="F521" i="2"/>
  <c r="L520" i="2"/>
  <c r="F520" i="2"/>
  <c r="L519" i="2"/>
  <c r="F519" i="2"/>
  <c r="L518" i="2"/>
  <c r="F518" i="2"/>
  <c r="L517" i="2"/>
  <c r="F517" i="2"/>
  <c r="L516" i="2"/>
  <c r="F516" i="2"/>
  <c r="B516" i="2"/>
  <c r="B517" i="2" s="1"/>
  <c r="B518" i="2" s="1"/>
  <c r="B519" i="2" s="1"/>
  <c r="B520" i="2" s="1"/>
  <c r="B521" i="2" s="1"/>
  <c r="B522" i="2" s="1"/>
  <c r="B523" i="2" s="1"/>
  <c r="B524" i="2" s="1"/>
  <c r="B525" i="2" s="1"/>
  <c r="B526" i="2" s="1"/>
  <c r="L515" i="2"/>
  <c r="L527" i="2" s="1"/>
  <c r="F515" i="2"/>
  <c r="N514" i="2"/>
  <c r="C22" i="6" s="1"/>
  <c r="E513" i="2"/>
  <c r="L512" i="2"/>
  <c r="F512" i="2"/>
  <c r="L511" i="2"/>
  <c r="F511" i="2"/>
  <c r="L510" i="2"/>
  <c r="F510" i="2"/>
  <c r="L509" i="2"/>
  <c r="F509" i="2"/>
  <c r="L508" i="2"/>
  <c r="F508" i="2"/>
  <c r="L507" i="2"/>
  <c r="F507" i="2"/>
  <c r="L506" i="2"/>
  <c r="F506" i="2"/>
  <c r="L505" i="2"/>
  <c r="F505" i="2"/>
  <c r="L504" i="2"/>
  <c r="F504" i="2"/>
  <c r="L503" i="2"/>
  <c r="F503" i="2"/>
  <c r="L502" i="2"/>
  <c r="F502" i="2"/>
  <c r="B502" i="2"/>
  <c r="B503" i="2" s="1"/>
  <c r="B504" i="2" s="1"/>
  <c r="B505" i="2" s="1"/>
  <c r="B506" i="2" s="1"/>
  <c r="B507" i="2" s="1"/>
  <c r="B508" i="2" s="1"/>
  <c r="B509" i="2" s="1"/>
  <c r="B510" i="2" s="1"/>
  <c r="B511" i="2" s="1"/>
  <c r="B512" i="2" s="1"/>
  <c r="L501" i="2"/>
  <c r="F501" i="2"/>
  <c r="E500" i="2"/>
  <c r="L499" i="2"/>
  <c r="F499" i="2"/>
  <c r="L498" i="2"/>
  <c r="F498" i="2"/>
  <c r="L497" i="2"/>
  <c r="F497" i="2"/>
  <c r="L496" i="2"/>
  <c r="F496" i="2"/>
  <c r="L495" i="2"/>
  <c r="L494" i="2"/>
  <c r="F494" i="2"/>
  <c r="L493" i="2"/>
  <c r="F493" i="2"/>
  <c r="L492" i="2"/>
  <c r="F492" i="2"/>
  <c r="L491" i="2"/>
  <c r="F491" i="2"/>
  <c r="L490" i="2"/>
  <c r="F490" i="2"/>
  <c r="L489" i="2"/>
  <c r="F489" i="2"/>
  <c r="B489" i="2"/>
  <c r="B490" i="2" s="1"/>
  <c r="B491" i="2" s="1"/>
  <c r="B492" i="2" s="1"/>
  <c r="B493" i="2" s="1"/>
  <c r="B494" i="2" s="1"/>
  <c r="B495" i="2" s="1"/>
  <c r="B496" i="2" s="1"/>
  <c r="B497" i="2" s="1"/>
  <c r="B498" i="2" s="1"/>
  <c r="B499" i="2" s="1"/>
  <c r="L488" i="2"/>
  <c r="L500" i="2" s="1"/>
  <c r="F488" i="2"/>
  <c r="N487" i="2"/>
  <c r="C21" i="6" s="1"/>
  <c r="E486" i="2"/>
  <c r="L485" i="2"/>
  <c r="F485" i="2"/>
  <c r="L484" i="2"/>
  <c r="F484" i="2"/>
  <c r="L483" i="2"/>
  <c r="F483" i="2"/>
  <c r="L482" i="2"/>
  <c r="F482" i="2"/>
  <c r="L481" i="2"/>
  <c r="F481" i="2"/>
  <c r="L480" i="2"/>
  <c r="F480" i="2"/>
  <c r="L479" i="2"/>
  <c r="F479" i="2"/>
  <c r="L478" i="2"/>
  <c r="F478" i="2"/>
  <c r="L477" i="2"/>
  <c r="F477" i="2"/>
  <c r="L476" i="2"/>
  <c r="F476" i="2"/>
  <c r="L475" i="2"/>
  <c r="F475" i="2"/>
  <c r="B475" i="2"/>
  <c r="B476" i="2" s="1"/>
  <c r="B477" i="2" s="1"/>
  <c r="B478" i="2" s="1"/>
  <c r="B479" i="2" s="1"/>
  <c r="B480" i="2" s="1"/>
  <c r="B481" i="2" s="1"/>
  <c r="B482" i="2" s="1"/>
  <c r="B483" i="2" s="1"/>
  <c r="B484" i="2" s="1"/>
  <c r="B485" i="2" s="1"/>
  <c r="L474" i="2"/>
  <c r="F474" i="2"/>
  <c r="E473" i="2"/>
  <c r="L472" i="2"/>
  <c r="F472" i="2"/>
  <c r="L471" i="2"/>
  <c r="F471" i="2"/>
  <c r="L470" i="2"/>
  <c r="F470" i="2"/>
  <c r="L469" i="2"/>
  <c r="F469" i="2"/>
  <c r="L468" i="2"/>
  <c r="F468" i="2"/>
  <c r="L467" i="2"/>
  <c r="F467" i="2"/>
  <c r="L466" i="2"/>
  <c r="F466" i="2"/>
  <c r="L465" i="2"/>
  <c r="F465" i="2"/>
  <c r="L464" i="2"/>
  <c r="F464" i="2"/>
  <c r="F463" i="2"/>
  <c r="L462" i="2"/>
  <c r="F462" i="2"/>
  <c r="B462" i="2"/>
  <c r="B463" i="2" s="1"/>
  <c r="B464" i="2" s="1"/>
  <c r="B465" i="2" s="1"/>
  <c r="B466" i="2" s="1"/>
  <c r="B467" i="2" s="1"/>
  <c r="B468" i="2" s="1"/>
  <c r="B469" i="2" s="1"/>
  <c r="B470" i="2" s="1"/>
  <c r="B471" i="2" s="1"/>
  <c r="B472" i="2" s="1"/>
  <c r="L461" i="2"/>
  <c r="F461" i="2"/>
  <c r="N460" i="2"/>
  <c r="C20" i="6" s="1"/>
  <c r="E459" i="2"/>
  <c r="L458" i="2"/>
  <c r="F458" i="2"/>
  <c r="L457" i="2"/>
  <c r="F457" i="2"/>
  <c r="L456" i="2"/>
  <c r="F456" i="2"/>
  <c r="L455" i="2"/>
  <c r="F455" i="2"/>
  <c r="L454" i="2"/>
  <c r="F454" i="2"/>
  <c r="L453" i="2"/>
  <c r="F453" i="2"/>
  <c r="L452" i="2"/>
  <c r="F452" i="2"/>
  <c r="L451" i="2"/>
  <c r="F451" i="2"/>
  <c r="L450" i="2"/>
  <c r="F450" i="2"/>
  <c r="L449" i="2"/>
  <c r="F449" i="2"/>
  <c r="L448" i="2"/>
  <c r="F448" i="2"/>
  <c r="B448" i="2"/>
  <c r="B449" i="2" s="1"/>
  <c r="B450" i="2" s="1"/>
  <c r="B451" i="2" s="1"/>
  <c r="B452" i="2" s="1"/>
  <c r="B453" i="2" s="1"/>
  <c r="B454" i="2" s="1"/>
  <c r="B455" i="2" s="1"/>
  <c r="B456" i="2" s="1"/>
  <c r="B457" i="2" s="1"/>
  <c r="B458" i="2" s="1"/>
  <c r="L447" i="2"/>
  <c r="L459" i="2" s="1"/>
  <c r="F447" i="2"/>
  <c r="F459" i="2" s="1"/>
  <c r="E446" i="2"/>
  <c r="L445" i="2"/>
  <c r="F445" i="2"/>
  <c r="L444" i="2"/>
  <c r="F444" i="2"/>
  <c r="L443" i="2"/>
  <c r="F443" i="2"/>
  <c r="L442" i="2"/>
  <c r="F442" i="2"/>
  <c r="L441" i="2"/>
  <c r="F441" i="2"/>
  <c r="L440" i="2"/>
  <c r="F440" i="2"/>
  <c r="L439" i="2"/>
  <c r="F439" i="2"/>
  <c r="L438" i="2"/>
  <c r="F438" i="2"/>
  <c r="L437" i="2"/>
  <c r="F437" i="2"/>
  <c r="L436" i="2"/>
  <c r="F436" i="2"/>
  <c r="L435" i="2"/>
  <c r="F435" i="2"/>
  <c r="B435" i="2"/>
  <c r="B436" i="2" s="1"/>
  <c r="B437" i="2" s="1"/>
  <c r="B438" i="2" s="1"/>
  <c r="B439" i="2" s="1"/>
  <c r="B440" i="2" s="1"/>
  <c r="B441" i="2" s="1"/>
  <c r="B442" i="2" s="1"/>
  <c r="B443" i="2" s="1"/>
  <c r="B444" i="2" s="1"/>
  <c r="B445" i="2" s="1"/>
  <c r="L434" i="2"/>
  <c r="F434" i="2"/>
  <c r="N433" i="2"/>
  <c r="C19" i="6" s="1"/>
  <c r="E432" i="2"/>
  <c r="L431" i="2"/>
  <c r="F431" i="2"/>
  <c r="L430" i="2"/>
  <c r="F430" i="2"/>
  <c r="L429" i="2"/>
  <c r="F429" i="2"/>
  <c r="L428" i="2"/>
  <c r="F428" i="2"/>
  <c r="L427" i="2"/>
  <c r="F427" i="2"/>
  <c r="L426" i="2"/>
  <c r="F426" i="2"/>
  <c r="L425" i="2"/>
  <c r="F425" i="2"/>
  <c r="L424" i="2"/>
  <c r="F424" i="2"/>
  <c r="L423" i="2"/>
  <c r="F423" i="2"/>
  <c r="L422" i="2"/>
  <c r="F422" i="2"/>
  <c r="L421" i="2"/>
  <c r="F421" i="2"/>
  <c r="B421" i="2"/>
  <c r="B422" i="2" s="1"/>
  <c r="B423" i="2" s="1"/>
  <c r="B424" i="2" s="1"/>
  <c r="B425" i="2" s="1"/>
  <c r="B426" i="2" s="1"/>
  <c r="B427" i="2" s="1"/>
  <c r="B428" i="2" s="1"/>
  <c r="B429" i="2" s="1"/>
  <c r="B430" i="2" s="1"/>
  <c r="B431" i="2" s="1"/>
  <c r="L420" i="2"/>
  <c r="F420" i="2"/>
  <c r="F432" i="2" s="1"/>
  <c r="E419" i="2"/>
  <c r="E433" i="2" s="1"/>
  <c r="L418" i="2"/>
  <c r="F418" i="2"/>
  <c r="L417" i="2"/>
  <c r="F417" i="2"/>
  <c r="L416" i="2"/>
  <c r="F416" i="2"/>
  <c r="L415" i="2"/>
  <c r="F415" i="2"/>
  <c r="L414" i="2"/>
  <c r="F414" i="2"/>
  <c r="L413" i="2"/>
  <c r="F413" i="2"/>
  <c r="L412" i="2"/>
  <c r="F412" i="2"/>
  <c r="L411" i="2"/>
  <c r="F411" i="2"/>
  <c r="L410" i="2"/>
  <c r="F410" i="2"/>
  <c r="L409" i="2"/>
  <c r="F409" i="2"/>
  <c r="L408" i="2"/>
  <c r="F408" i="2"/>
  <c r="B408" i="2"/>
  <c r="B409" i="2" s="1"/>
  <c r="B410" i="2" s="1"/>
  <c r="B411" i="2" s="1"/>
  <c r="B412" i="2" s="1"/>
  <c r="B413" i="2" s="1"/>
  <c r="B414" i="2" s="1"/>
  <c r="B415" i="2" s="1"/>
  <c r="B416" i="2" s="1"/>
  <c r="B417" i="2" s="1"/>
  <c r="B418" i="2" s="1"/>
  <c r="L407" i="2"/>
  <c r="F407" i="2"/>
  <c r="N406" i="2"/>
  <c r="C18" i="6" s="1"/>
  <c r="E405" i="2"/>
  <c r="L404" i="2"/>
  <c r="F404" i="2"/>
  <c r="L403" i="2"/>
  <c r="F403" i="2"/>
  <c r="L402" i="2"/>
  <c r="F402" i="2"/>
  <c r="L401" i="2"/>
  <c r="F401" i="2"/>
  <c r="L400" i="2"/>
  <c r="F400" i="2"/>
  <c r="L399" i="2"/>
  <c r="F399" i="2"/>
  <c r="L398" i="2"/>
  <c r="F398" i="2"/>
  <c r="L397" i="2"/>
  <c r="F397" i="2"/>
  <c r="L396" i="2"/>
  <c r="F396" i="2"/>
  <c r="L395" i="2"/>
  <c r="F395" i="2"/>
  <c r="L394" i="2"/>
  <c r="F394" i="2"/>
  <c r="B394" i="2"/>
  <c r="B395" i="2" s="1"/>
  <c r="B396" i="2" s="1"/>
  <c r="B397" i="2" s="1"/>
  <c r="B398" i="2" s="1"/>
  <c r="B399" i="2" s="1"/>
  <c r="B400" i="2" s="1"/>
  <c r="B401" i="2" s="1"/>
  <c r="B402" i="2" s="1"/>
  <c r="B403" i="2" s="1"/>
  <c r="B404" i="2" s="1"/>
  <c r="L393" i="2"/>
  <c r="F393" i="2"/>
  <c r="E392" i="2"/>
  <c r="L391" i="2"/>
  <c r="F391" i="2"/>
  <c r="L390" i="2"/>
  <c r="F390" i="2"/>
  <c r="L389" i="2"/>
  <c r="F389" i="2"/>
  <c r="L388" i="2"/>
  <c r="F388" i="2"/>
  <c r="L387" i="2"/>
  <c r="F387" i="2"/>
  <c r="L386" i="2"/>
  <c r="F386" i="2"/>
  <c r="L385" i="2"/>
  <c r="F385" i="2"/>
  <c r="L384" i="2"/>
  <c r="F384" i="2"/>
  <c r="L383" i="2"/>
  <c r="F383" i="2"/>
  <c r="L382" i="2"/>
  <c r="F382" i="2"/>
  <c r="L381" i="2"/>
  <c r="F381" i="2"/>
  <c r="B381" i="2"/>
  <c r="B382" i="2" s="1"/>
  <c r="B383" i="2" s="1"/>
  <c r="B384" i="2" s="1"/>
  <c r="B385" i="2" s="1"/>
  <c r="B386" i="2" s="1"/>
  <c r="B387" i="2" s="1"/>
  <c r="B388" i="2" s="1"/>
  <c r="B389" i="2" s="1"/>
  <c r="B390" i="2" s="1"/>
  <c r="B391" i="2" s="1"/>
  <c r="L380" i="2"/>
  <c r="F380" i="2"/>
  <c r="N379" i="2"/>
  <c r="C17" i="6" s="1"/>
  <c r="E378" i="2"/>
  <c r="L377" i="2"/>
  <c r="F377" i="2"/>
  <c r="L376" i="2"/>
  <c r="F376" i="2"/>
  <c r="L375" i="2"/>
  <c r="F375" i="2"/>
  <c r="L374" i="2"/>
  <c r="F374" i="2"/>
  <c r="L373" i="2"/>
  <c r="F373" i="2"/>
  <c r="L372" i="2"/>
  <c r="F372" i="2"/>
  <c r="L371" i="2"/>
  <c r="F371" i="2"/>
  <c r="L370" i="2"/>
  <c r="F370" i="2"/>
  <c r="L369" i="2"/>
  <c r="F369" i="2"/>
  <c r="L368" i="2"/>
  <c r="F368" i="2"/>
  <c r="L367" i="2"/>
  <c r="F367" i="2"/>
  <c r="B367" i="2"/>
  <c r="B368" i="2" s="1"/>
  <c r="B369" i="2" s="1"/>
  <c r="B370" i="2" s="1"/>
  <c r="B371" i="2" s="1"/>
  <c r="B372" i="2" s="1"/>
  <c r="B373" i="2" s="1"/>
  <c r="B374" i="2" s="1"/>
  <c r="B375" i="2" s="1"/>
  <c r="B376" i="2" s="1"/>
  <c r="B377" i="2" s="1"/>
  <c r="L366" i="2"/>
  <c r="F366" i="2"/>
  <c r="F378" i="2" s="1"/>
  <c r="E365" i="2"/>
  <c r="L364" i="2"/>
  <c r="F364" i="2"/>
  <c r="L363" i="2"/>
  <c r="F363" i="2"/>
  <c r="L362" i="2"/>
  <c r="F362" i="2"/>
  <c r="L361" i="2"/>
  <c r="F361" i="2"/>
  <c r="L360" i="2"/>
  <c r="F360" i="2"/>
  <c r="L359" i="2"/>
  <c r="F359" i="2"/>
  <c r="L358" i="2"/>
  <c r="F358" i="2"/>
  <c r="L357" i="2"/>
  <c r="F357" i="2"/>
  <c r="L356" i="2"/>
  <c r="F356" i="2"/>
  <c r="L355" i="2"/>
  <c r="F355" i="2"/>
  <c r="L354" i="2"/>
  <c r="F354" i="2"/>
  <c r="B354" i="2"/>
  <c r="B355" i="2" s="1"/>
  <c r="B356" i="2" s="1"/>
  <c r="B357" i="2" s="1"/>
  <c r="B358" i="2" s="1"/>
  <c r="B359" i="2" s="1"/>
  <c r="B360" i="2" s="1"/>
  <c r="B361" i="2" s="1"/>
  <c r="B362" i="2" s="1"/>
  <c r="B363" i="2" s="1"/>
  <c r="B364" i="2" s="1"/>
  <c r="L353" i="2"/>
  <c r="F353" i="2"/>
  <c r="N352" i="2"/>
  <c r="C16" i="6" s="1"/>
  <c r="E351" i="2"/>
  <c r="L350" i="2"/>
  <c r="F350" i="2"/>
  <c r="L349" i="2"/>
  <c r="F349" i="2"/>
  <c r="L348" i="2"/>
  <c r="F348" i="2"/>
  <c r="L347" i="2"/>
  <c r="F347" i="2"/>
  <c r="L346" i="2"/>
  <c r="F346" i="2"/>
  <c r="L345" i="2"/>
  <c r="F345" i="2"/>
  <c r="L344" i="2"/>
  <c r="F344" i="2"/>
  <c r="L343" i="2"/>
  <c r="F343" i="2"/>
  <c r="L342" i="2"/>
  <c r="F342" i="2"/>
  <c r="L341" i="2"/>
  <c r="F341" i="2"/>
  <c r="L340" i="2"/>
  <c r="F340" i="2"/>
  <c r="B340" i="2"/>
  <c r="B341" i="2" s="1"/>
  <c r="B342" i="2" s="1"/>
  <c r="B343" i="2" s="1"/>
  <c r="B344" i="2" s="1"/>
  <c r="B345" i="2" s="1"/>
  <c r="B346" i="2" s="1"/>
  <c r="B347" i="2" s="1"/>
  <c r="B348" i="2" s="1"/>
  <c r="B349" i="2" s="1"/>
  <c r="B350" i="2" s="1"/>
  <c r="L339" i="2"/>
  <c r="F339" i="2"/>
  <c r="E338" i="2"/>
  <c r="E352" i="2" s="1"/>
  <c r="L337" i="2"/>
  <c r="F337" i="2"/>
  <c r="L336" i="2"/>
  <c r="F336" i="2"/>
  <c r="L335" i="2"/>
  <c r="F335" i="2"/>
  <c r="L334" i="2"/>
  <c r="F334" i="2"/>
  <c r="L333" i="2"/>
  <c r="F333" i="2"/>
  <c r="L332" i="2"/>
  <c r="F332" i="2"/>
  <c r="L331" i="2"/>
  <c r="F331" i="2"/>
  <c r="L330" i="2"/>
  <c r="F330" i="2"/>
  <c r="L329" i="2"/>
  <c r="F329" i="2"/>
  <c r="L328" i="2"/>
  <c r="F328" i="2"/>
  <c r="L327" i="2"/>
  <c r="F327" i="2"/>
  <c r="B327" i="2"/>
  <c r="B328" i="2" s="1"/>
  <c r="B329" i="2" s="1"/>
  <c r="B330" i="2" s="1"/>
  <c r="B331" i="2" s="1"/>
  <c r="B332" i="2" s="1"/>
  <c r="B333" i="2" s="1"/>
  <c r="B334" i="2" s="1"/>
  <c r="B335" i="2" s="1"/>
  <c r="B336" i="2" s="1"/>
  <c r="B337" i="2" s="1"/>
  <c r="L326" i="2"/>
  <c r="F326" i="2"/>
  <c r="N325" i="2"/>
  <c r="C15" i="6" s="1"/>
  <c r="E324" i="2"/>
  <c r="L323" i="2"/>
  <c r="F323" i="2"/>
  <c r="L322" i="2"/>
  <c r="F322" i="2"/>
  <c r="L321" i="2"/>
  <c r="F321" i="2"/>
  <c r="L320" i="2"/>
  <c r="F320" i="2"/>
  <c r="L319" i="2"/>
  <c r="F319" i="2"/>
  <c r="L318" i="2"/>
  <c r="F318" i="2"/>
  <c r="L317" i="2"/>
  <c r="F317" i="2"/>
  <c r="L316" i="2"/>
  <c r="F316" i="2"/>
  <c r="L315" i="2"/>
  <c r="F315" i="2"/>
  <c r="L314" i="2"/>
  <c r="F314" i="2"/>
  <c r="L313" i="2"/>
  <c r="F313" i="2"/>
  <c r="B313" i="2"/>
  <c r="B314" i="2" s="1"/>
  <c r="B315" i="2" s="1"/>
  <c r="B316" i="2" s="1"/>
  <c r="B317" i="2" s="1"/>
  <c r="B318" i="2" s="1"/>
  <c r="B319" i="2" s="1"/>
  <c r="B320" i="2" s="1"/>
  <c r="B321" i="2" s="1"/>
  <c r="B322" i="2" s="1"/>
  <c r="B323" i="2" s="1"/>
  <c r="L312" i="2"/>
  <c r="F312" i="2"/>
  <c r="E311" i="2"/>
  <c r="L310" i="2"/>
  <c r="F310" i="2"/>
  <c r="L309" i="2"/>
  <c r="F309" i="2"/>
  <c r="L308" i="2"/>
  <c r="F308" i="2"/>
  <c r="L307" i="2"/>
  <c r="F307" i="2"/>
  <c r="L306" i="2"/>
  <c r="F306" i="2"/>
  <c r="L305" i="2"/>
  <c r="F305" i="2"/>
  <c r="L304" i="2"/>
  <c r="F304" i="2"/>
  <c r="L303" i="2"/>
  <c r="F303" i="2"/>
  <c r="L302" i="2"/>
  <c r="F302" i="2"/>
  <c r="L301" i="2"/>
  <c r="F301" i="2"/>
  <c r="L300" i="2"/>
  <c r="F300" i="2"/>
  <c r="B300" i="2"/>
  <c r="B301" i="2" s="1"/>
  <c r="B302" i="2" s="1"/>
  <c r="B303" i="2" s="1"/>
  <c r="B304" i="2" s="1"/>
  <c r="B305" i="2" s="1"/>
  <c r="B306" i="2" s="1"/>
  <c r="B307" i="2" s="1"/>
  <c r="B308" i="2" s="1"/>
  <c r="B309" i="2" s="1"/>
  <c r="B310" i="2" s="1"/>
  <c r="L299" i="2"/>
  <c r="L311" i="2" s="1"/>
  <c r="F299" i="2"/>
  <c r="C14" i="6"/>
  <c r="E297" i="2"/>
  <c r="L296" i="2"/>
  <c r="F296" i="2"/>
  <c r="L295" i="2"/>
  <c r="F295" i="2"/>
  <c r="L294" i="2"/>
  <c r="F294" i="2"/>
  <c r="L293" i="2"/>
  <c r="F293" i="2"/>
  <c r="L292" i="2"/>
  <c r="F292" i="2"/>
  <c r="L291" i="2"/>
  <c r="F291" i="2"/>
  <c r="L290" i="2"/>
  <c r="F290" i="2"/>
  <c r="L289" i="2"/>
  <c r="F289" i="2"/>
  <c r="L288" i="2"/>
  <c r="F288" i="2"/>
  <c r="L287" i="2"/>
  <c r="F287" i="2"/>
  <c r="L286" i="2"/>
  <c r="F286" i="2"/>
  <c r="B286" i="2"/>
  <c r="B287" i="2" s="1"/>
  <c r="B288" i="2" s="1"/>
  <c r="B289" i="2" s="1"/>
  <c r="B290" i="2" s="1"/>
  <c r="B291" i="2" s="1"/>
  <c r="B292" i="2" s="1"/>
  <c r="B293" i="2" s="1"/>
  <c r="B294" i="2" s="1"/>
  <c r="B295" i="2" s="1"/>
  <c r="B296" i="2" s="1"/>
  <c r="L285" i="2"/>
  <c r="F285" i="2"/>
  <c r="E284" i="2"/>
  <c r="E298" i="2" s="1"/>
  <c r="L283" i="2"/>
  <c r="F283" i="2"/>
  <c r="L282" i="2"/>
  <c r="F282" i="2"/>
  <c r="L281" i="2"/>
  <c r="F281" i="2"/>
  <c r="L280" i="2"/>
  <c r="F280" i="2"/>
  <c r="L279" i="2"/>
  <c r="F279" i="2"/>
  <c r="L278" i="2"/>
  <c r="F278" i="2"/>
  <c r="L277" i="2"/>
  <c r="F277" i="2"/>
  <c r="L276" i="2"/>
  <c r="F276" i="2"/>
  <c r="L275" i="2"/>
  <c r="F275" i="2"/>
  <c r="L274" i="2"/>
  <c r="F274" i="2"/>
  <c r="L273" i="2"/>
  <c r="F273" i="2"/>
  <c r="B273" i="2"/>
  <c r="B274" i="2" s="1"/>
  <c r="B275" i="2" s="1"/>
  <c r="B276" i="2" s="1"/>
  <c r="B277" i="2" s="1"/>
  <c r="B278" i="2" s="1"/>
  <c r="B279" i="2" s="1"/>
  <c r="B280" i="2" s="1"/>
  <c r="B281" i="2" s="1"/>
  <c r="B282" i="2" s="1"/>
  <c r="B283" i="2" s="1"/>
  <c r="L272" i="2"/>
  <c r="L284" i="2" s="1"/>
  <c r="F272" i="2"/>
  <c r="N271" i="2"/>
  <c r="C13" i="6" s="1"/>
  <c r="E270" i="2"/>
  <c r="L269" i="2"/>
  <c r="F269" i="2"/>
  <c r="L268" i="2"/>
  <c r="F268" i="2"/>
  <c r="L267" i="2"/>
  <c r="F267" i="2"/>
  <c r="L266" i="2"/>
  <c r="F266" i="2"/>
  <c r="L265" i="2"/>
  <c r="F265" i="2"/>
  <c r="L264" i="2"/>
  <c r="F264" i="2"/>
  <c r="L263" i="2"/>
  <c r="F263" i="2"/>
  <c r="L262" i="2"/>
  <c r="F262" i="2"/>
  <c r="L261" i="2"/>
  <c r="F261" i="2"/>
  <c r="L260" i="2"/>
  <c r="F260" i="2"/>
  <c r="L259" i="2"/>
  <c r="F259" i="2"/>
  <c r="B259" i="2"/>
  <c r="B260" i="2" s="1"/>
  <c r="B261" i="2" s="1"/>
  <c r="B262" i="2" s="1"/>
  <c r="B263" i="2" s="1"/>
  <c r="B264" i="2" s="1"/>
  <c r="B265" i="2" s="1"/>
  <c r="B266" i="2" s="1"/>
  <c r="B267" i="2" s="1"/>
  <c r="B268" i="2" s="1"/>
  <c r="B269" i="2" s="1"/>
  <c r="L258" i="2"/>
  <c r="F258" i="2"/>
  <c r="E257" i="2"/>
  <c r="L256" i="2"/>
  <c r="F256" i="2"/>
  <c r="L255" i="2"/>
  <c r="F255" i="2"/>
  <c r="L254" i="2"/>
  <c r="F254" i="2"/>
  <c r="L253" i="2"/>
  <c r="F253" i="2"/>
  <c r="L252" i="2"/>
  <c r="F252" i="2"/>
  <c r="L251" i="2"/>
  <c r="F251" i="2"/>
  <c r="L250" i="2"/>
  <c r="F250" i="2"/>
  <c r="L249" i="2"/>
  <c r="F249" i="2"/>
  <c r="L248" i="2"/>
  <c r="F248" i="2"/>
  <c r="L247" i="2"/>
  <c r="F247" i="2"/>
  <c r="L246" i="2"/>
  <c r="F246" i="2"/>
  <c r="B246" i="2"/>
  <c r="B247" i="2" s="1"/>
  <c r="B248" i="2" s="1"/>
  <c r="B249" i="2" s="1"/>
  <c r="B250" i="2" s="1"/>
  <c r="B251" i="2" s="1"/>
  <c r="B252" i="2" s="1"/>
  <c r="B253" i="2" s="1"/>
  <c r="B254" i="2" s="1"/>
  <c r="B255" i="2" s="1"/>
  <c r="B256" i="2" s="1"/>
  <c r="L245" i="2"/>
  <c r="L257" i="2" s="1"/>
  <c r="F245" i="2"/>
  <c r="N244" i="2"/>
  <c r="C12" i="6" s="1"/>
  <c r="E243" i="2"/>
  <c r="L242" i="2"/>
  <c r="F242" i="2"/>
  <c r="L241" i="2"/>
  <c r="F241" i="2"/>
  <c r="L240" i="2"/>
  <c r="F240" i="2"/>
  <c r="L239" i="2"/>
  <c r="F239" i="2"/>
  <c r="L238" i="2"/>
  <c r="F238" i="2"/>
  <c r="L237" i="2"/>
  <c r="F237" i="2"/>
  <c r="L236" i="2"/>
  <c r="F236" i="2"/>
  <c r="L235" i="2"/>
  <c r="F235" i="2"/>
  <c r="L234" i="2"/>
  <c r="F234" i="2"/>
  <c r="L233" i="2"/>
  <c r="F233" i="2"/>
  <c r="L232" i="2"/>
  <c r="F232" i="2"/>
  <c r="B232" i="2"/>
  <c r="B233" i="2" s="1"/>
  <c r="B234" i="2" s="1"/>
  <c r="B235" i="2" s="1"/>
  <c r="B236" i="2" s="1"/>
  <c r="B237" i="2" s="1"/>
  <c r="B238" i="2" s="1"/>
  <c r="B239" i="2" s="1"/>
  <c r="B240" i="2" s="1"/>
  <c r="B241" i="2" s="1"/>
  <c r="B242" i="2" s="1"/>
  <c r="L231" i="2"/>
  <c r="L243" i="2" s="1"/>
  <c r="F231" i="2"/>
  <c r="F243" i="2" s="1"/>
  <c r="E230" i="2"/>
  <c r="E244" i="2" s="1"/>
  <c r="L229" i="2"/>
  <c r="F229" i="2"/>
  <c r="L228" i="2"/>
  <c r="F228" i="2"/>
  <c r="L227" i="2"/>
  <c r="F227" i="2"/>
  <c r="L226" i="2"/>
  <c r="F226" i="2"/>
  <c r="L225" i="2"/>
  <c r="F225" i="2"/>
  <c r="L224" i="2"/>
  <c r="F224" i="2"/>
  <c r="L223" i="2"/>
  <c r="F223" i="2"/>
  <c r="L222" i="2"/>
  <c r="F222" i="2"/>
  <c r="L221" i="2"/>
  <c r="F221" i="2"/>
  <c r="L220" i="2"/>
  <c r="F220" i="2"/>
  <c r="L219" i="2"/>
  <c r="F219" i="2"/>
  <c r="B219" i="2"/>
  <c r="B220" i="2" s="1"/>
  <c r="B221" i="2" s="1"/>
  <c r="B222" i="2" s="1"/>
  <c r="B223" i="2" s="1"/>
  <c r="B224" i="2" s="1"/>
  <c r="B225" i="2" s="1"/>
  <c r="B226" i="2" s="1"/>
  <c r="B227" i="2" s="1"/>
  <c r="B228" i="2" s="1"/>
  <c r="B229" i="2" s="1"/>
  <c r="L218" i="2"/>
  <c r="F218" i="2"/>
  <c r="N217" i="2"/>
  <c r="C11" i="6" s="1"/>
  <c r="E216" i="2"/>
  <c r="L215" i="2"/>
  <c r="F215" i="2"/>
  <c r="L214" i="2"/>
  <c r="F214" i="2"/>
  <c r="L213" i="2"/>
  <c r="F213" i="2"/>
  <c r="L212" i="2"/>
  <c r="F212" i="2"/>
  <c r="L211" i="2"/>
  <c r="F211" i="2"/>
  <c r="L210" i="2"/>
  <c r="F210" i="2"/>
  <c r="L209" i="2"/>
  <c r="F209" i="2"/>
  <c r="L208" i="2"/>
  <c r="F208" i="2"/>
  <c r="L207" i="2"/>
  <c r="F207" i="2"/>
  <c r="L206" i="2"/>
  <c r="F206" i="2"/>
  <c r="L205" i="2"/>
  <c r="F205" i="2"/>
  <c r="B205" i="2"/>
  <c r="B206" i="2" s="1"/>
  <c r="B207" i="2" s="1"/>
  <c r="B208" i="2" s="1"/>
  <c r="B209" i="2" s="1"/>
  <c r="B210" i="2" s="1"/>
  <c r="B211" i="2" s="1"/>
  <c r="B212" i="2" s="1"/>
  <c r="B213" i="2" s="1"/>
  <c r="B214" i="2" s="1"/>
  <c r="B215" i="2" s="1"/>
  <c r="L204" i="2"/>
  <c r="F204" i="2"/>
  <c r="F216" i="2" s="1"/>
  <c r="E203" i="2"/>
  <c r="L202" i="2"/>
  <c r="F202" i="2"/>
  <c r="L201" i="2"/>
  <c r="F201" i="2"/>
  <c r="L200" i="2"/>
  <c r="F200" i="2"/>
  <c r="L199" i="2"/>
  <c r="F199" i="2"/>
  <c r="L198" i="2"/>
  <c r="F198" i="2"/>
  <c r="L197" i="2"/>
  <c r="F197" i="2"/>
  <c r="L196" i="2"/>
  <c r="F196" i="2"/>
  <c r="L195" i="2"/>
  <c r="F195" i="2"/>
  <c r="L194" i="2"/>
  <c r="F194" i="2"/>
  <c r="L193" i="2"/>
  <c r="F193" i="2"/>
  <c r="L192" i="2"/>
  <c r="F192" i="2"/>
  <c r="B192" i="2"/>
  <c r="B193" i="2" s="1"/>
  <c r="B194" i="2" s="1"/>
  <c r="B195" i="2" s="1"/>
  <c r="B196" i="2" s="1"/>
  <c r="B197" i="2" s="1"/>
  <c r="B198" i="2" s="1"/>
  <c r="B199" i="2" s="1"/>
  <c r="B200" i="2" s="1"/>
  <c r="B201" i="2" s="1"/>
  <c r="B202" i="2" s="1"/>
  <c r="L191" i="2"/>
  <c r="L203" i="2" s="1"/>
  <c r="F191" i="2"/>
  <c r="N190" i="2"/>
  <c r="C10" i="6" s="1"/>
  <c r="E189" i="2"/>
  <c r="L188" i="2"/>
  <c r="F188" i="2"/>
  <c r="L187" i="2"/>
  <c r="F187" i="2"/>
  <c r="L186" i="2"/>
  <c r="F186" i="2"/>
  <c r="L185" i="2"/>
  <c r="F185" i="2"/>
  <c r="L184" i="2"/>
  <c r="F184" i="2"/>
  <c r="L183" i="2"/>
  <c r="F183" i="2"/>
  <c r="L182" i="2"/>
  <c r="F182" i="2"/>
  <c r="L181" i="2"/>
  <c r="F181" i="2"/>
  <c r="L180" i="2"/>
  <c r="F180" i="2"/>
  <c r="L179" i="2"/>
  <c r="F179" i="2"/>
  <c r="L178" i="2"/>
  <c r="F178" i="2"/>
  <c r="B178" i="2"/>
  <c r="B179" i="2" s="1"/>
  <c r="B180" i="2" s="1"/>
  <c r="B181" i="2" s="1"/>
  <c r="B182" i="2" s="1"/>
  <c r="B183" i="2" s="1"/>
  <c r="B184" i="2" s="1"/>
  <c r="B185" i="2" s="1"/>
  <c r="B186" i="2" s="1"/>
  <c r="B187" i="2" s="1"/>
  <c r="B188" i="2" s="1"/>
  <c r="L177" i="2"/>
  <c r="F177" i="2"/>
  <c r="E176" i="2"/>
  <c r="E190" i="2" s="1"/>
  <c r="L175" i="2"/>
  <c r="F175" i="2"/>
  <c r="L174" i="2"/>
  <c r="F174" i="2"/>
  <c r="L173" i="2"/>
  <c r="F173" i="2"/>
  <c r="L172" i="2"/>
  <c r="F172" i="2"/>
  <c r="L171" i="2"/>
  <c r="F171" i="2"/>
  <c r="L170" i="2"/>
  <c r="F170" i="2"/>
  <c r="L169" i="2"/>
  <c r="F169" i="2"/>
  <c r="L168" i="2"/>
  <c r="F168" i="2"/>
  <c r="L167" i="2"/>
  <c r="F167" i="2"/>
  <c r="L166" i="2"/>
  <c r="F166" i="2"/>
  <c r="L165" i="2"/>
  <c r="F165" i="2"/>
  <c r="B165" i="2"/>
  <c r="B166" i="2" s="1"/>
  <c r="B167" i="2" s="1"/>
  <c r="B168" i="2" s="1"/>
  <c r="B169" i="2" s="1"/>
  <c r="B170" i="2" s="1"/>
  <c r="B171" i="2" s="1"/>
  <c r="B172" i="2" s="1"/>
  <c r="B173" i="2" s="1"/>
  <c r="B174" i="2" s="1"/>
  <c r="B175" i="2" s="1"/>
  <c r="L164" i="2"/>
  <c r="F164" i="2"/>
  <c r="N163" i="2"/>
  <c r="C9" i="6" s="1"/>
  <c r="E162" i="2"/>
  <c r="L161" i="2"/>
  <c r="F161" i="2"/>
  <c r="L160" i="2"/>
  <c r="F160" i="2"/>
  <c r="L159" i="2"/>
  <c r="F159" i="2"/>
  <c r="L158" i="2"/>
  <c r="F158" i="2"/>
  <c r="L157" i="2"/>
  <c r="F157" i="2"/>
  <c r="L156" i="2"/>
  <c r="F156" i="2"/>
  <c r="L155" i="2"/>
  <c r="F155" i="2"/>
  <c r="L154" i="2"/>
  <c r="F154" i="2"/>
  <c r="L153" i="2"/>
  <c r="F153" i="2"/>
  <c r="L152" i="2"/>
  <c r="F152" i="2"/>
  <c r="L151" i="2"/>
  <c r="F151" i="2"/>
  <c r="B151" i="2"/>
  <c r="B152" i="2" s="1"/>
  <c r="B153" i="2" s="1"/>
  <c r="B154" i="2" s="1"/>
  <c r="B155" i="2" s="1"/>
  <c r="B156" i="2" s="1"/>
  <c r="B157" i="2" s="1"/>
  <c r="B158" i="2" s="1"/>
  <c r="B159" i="2" s="1"/>
  <c r="B160" i="2" s="1"/>
  <c r="B161" i="2" s="1"/>
  <c r="L150" i="2"/>
  <c r="F150" i="2"/>
  <c r="E149" i="2"/>
  <c r="L148" i="2"/>
  <c r="F148" i="2"/>
  <c r="L147" i="2"/>
  <c r="F147" i="2"/>
  <c r="L146" i="2"/>
  <c r="F146" i="2"/>
  <c r="L145" i="2"/>
  <c r="F145" i="2"/>
  <c r="L144" i="2"/>
  <c r="F144" i="2"/>
  <c r="L143" i="2"/>
  <c r="F143" i="2"/>
  <c r="L142" i="2"/>
  <c r="F142" i="2"/>
  <c r="L141" i="2"/>
  <c r="F141" i="2"/>
  <c r="L140" i="2"/>
  <c r="F140" i="2"/>
  <c r="L139" i="2"/>
  <c r="F139" i="2"/>
  <c r="L138" i="2"/>
  <c r="F138" i="2"/>
  <c r="B138" i="2"/>
  <c r="B139" i="2" s="1"/>
  <c r="B140" i="2" s="1"/>
  <c r="B141" i="2" s="1"/>
  <c r="B142" i="2" s="1"/>
  <c r="B143" i="2" s="1"/>
  <c r="B144" i="2" s="1"/>
  <c r="B145" i="2" s="1"/>
  <c r="B146" i="2" s="1"/>
  <c r="B147" i="2" s="1"/>
  <c r="B148" i="2" s="1"/>
  <c r="L137" i="2"/>
  <c r="F137" i="2"/>
  <c r="N136" i="2"/>
  <c r="C8" i="6" s="1"/>
  <c r="E135" i="2"/>
  <c r="L134" i="2"/>
  <c r="F134" i="2"/>
  <c r="L133" i="2"/>
  <c r="F133" i="2"/>
  <c r="L132" i="2"/>
  <c r="F132" i="2"/>
  <c r="L131" i="2"/>
  <c r="F131" i="2"/>
  <c r="L130" i="2"/>
  <c r="F130" i="2"/>
  <c r="L129" i="2"/>
  <c r="F129" i="2"/>
  <c r="L128" i="2"/>
  <c r="F128" i="2"/>
  <c r="L127" i="2"/>
  <c r="F127" i="2"/>
  <c r="L126" i="2"/>
  <c r="F126" i="2"/>
  <c r="L125" i="2"/>
  <c r="F125" i="2"/>
  <c r="L124" i="2"/>
  <c r="F124" i="2"/>
  <c r="B124" i="2"/>
  <c r="B125" i="2" s="1"/>
  <c r="B126" i="2" s="1"/>
  <c r="B127" i="2" s="1"/>
  <c r="B128" i="2" s="1"/>
  <c r="B129" i="2" s="1"/>
  <c r="B130" i="2" s="1"/>
  <c r="B131" i="2" s="1"/>
  <c r="B132" i="2" s="1"/>
  <c r="B133" i="2" s="1"/>
  <c r="B134" i="2" s="1"/>
  <c r="L123" i="2"/>
  <c r="F123" i="2"/>
  <c r="E122" i="2"/>
  <c r="E136" i="2" s="1"/>
  <c r="L121" i="2"/>
  <c r="F121" i="2"/>
  <c r="L120" i="2"/>
  <c r="F120" i="2"/>
  <c r="L119" i="2"/>
  <c r="F119" i="2"/>
  <c r="L118" i="2"/>
  <c r="F118" i="2"/>
  <c r="L117" i="2"/>
  <c r="F117" i="2"/>
  <c r="L116" i="2"/>
  <c r="F116" i="2"/>
  <c r="L115" i="2"/>
  <c r="F115" i="2"/>
  <c r="L114" i="2"/>
  <c r="F114" i="2"/>
  <c r="L113" i="2"/>
  <c r="F113" i="2"/>
  <c r="L112" i="2"/>
  <c r="F112" i="2"/>
  <c r="L111" i="2"/>
  <c r="F111" i="2"/>
  <c r="B111" i="2"/>
  <c r="B112" i="2" s="1"/>
  <c r="B113" i="2" s="1"/>
  <c r="B114" i="2" s="1"/>
  <c r="B115" i="2" s="1"/>
  <c r="B116" i="2" s="1"/>
  <c r="B117" i="2" s="1"/>
  <c r="B118" i="2" s="1"/>
  <c r="B119" i="2" s="1"/>
  <c r="B120" i="2" s="1"/>
  <c r="B121" i="2" s="1"/>
  <c r="L110" i="2"/>
  <c r="F110" i="2"/>
  <c r="N109" i="2"/>
  <c r="C7" i="6" s="1"/>
  <c r="E108" i="2"/>
  <c r="L107" i="2"/>
  <c r="F107" i="2"/>
  <c r="L106" i="2"/>
  <c r="F106" i="2"/>
  <c r="L105" i="2"/>
  <c r="F105" i="2"/>
  <c r="L104" i="2"/>
  <c r="F104" i="2"/>
  <c r="L103" i="2"/>
  <c r="F103" i="2"/>
  <c r="L102" i="2"/>
  <c r="F102" i="2"/>
  <c r="L101" i="2"/>
  <c r="F101" i="2"/>
  <c r="L100" i="2"/>
  <c r="F100" i="2"/>
  <c r="L99" i="2"/>
  <c r="F99" i="2"/>
  <c r="L98" i="2"/>
  <c r="F98" i="2"/>
  <c r="L97" i="2"/>
  <c r="F97" i="2"/>
  <c r="B97" i="2"/>
  <c r="B98" i="2" s="1"/>
  <c r="B99" i="2" s="1"/>
  <c r="B100" i="2" s="1"/>
  <c r="B101" i="2" s="1"/>
  <c r="B102" i="2" s="1"/>
  <c r="B103" i="2" s="1"/>
  <c r="B104" i="2" s="1"/>
  <c r="B105" i="2" s="1"/>
  <c r="B106" i="2" s="1"/>
  <c r="B107" i="2" s="1"/>
  <c r="L96" i="2"/>
  <c r="F96" i="2"/>
  <c r="E95" i="2"/>
  <c r="E109" i="2" s="1"/>
  <c r="L94" i="2"/>
  <c r="F94" i="2"/>
  <c r="L93" i="2"/>
  <c r="F93" i="2"/>
  <c r="L92" i="2"/>
  <c r="F92" i="2"/>
  <c r="L91" i="2"/>
  <c r="F91" i="2"/>
  <c r="L90" i="2"/>
  <c r="F90" i="2"/>
  <c r="L89" i="2"/>
  <c r="F89" i="2"/>
  <c r="L88" i="2"/>
  <c r="F88" i="2"/>
  <c r="L87" i="2"/>
  <c r="F87" i="2"/>
  <c r="L86" i="2"/>
  <c r="F86" i="2"/>
  <c r="L85" i="2"/>
  <c r="F85" i="2"/>
  <c r="L84" i="2"/>
  <c r="F84" i="2"/>
  <c r="B84" i="2"/>
  <c r="B85" i="2" s="1"/>
  <c r="B86" i="2" s="1"/>
  <c r="B87" i="2" s="1"/>
  <c r="B88" i="2" s="1"/>
  <c r="B89" i="2" s="1"/>
  <c r="B90" i="2" s="1"/>
  <c r="B91" i="2" s="1"/>
  <c r="B92" i="2" s="1"/>
  <c r="B93" i="2" s="1"/>
  <c r="B94" i="2" s="1"/>
  <c r="L83" i="2"/>
  <c r="F83" i="2"/>
  <c r="N82" i="2"/>
  <c r="C6" i="6" s="1"/>
  <c r="E81" i="2"/>
  <c r="L80" i="2"/>
  <c r="F80" i="2"/>
  <c r="L79" i="2"/>
  <c r="F79" i="2"/>
  <c r="L78" i="2"/>
  <c r="F78" i="2"/>
  <c r="L77" i="2"/>
  <c r="F77" i="2"/>
  <c r="L76" i="2"/>
  <c r="F76" i="2"/>
  <c r="L75" i="2"/>
  <c r="F75" i="2"/>
  <c r="L74" i="2"/>
  <c r="F74" i="2"/>
  <c r="L73" i="2"/>
  <c r="F73" i="2"/>
  <c r="L72" i="2"/>
  <c r="F72" i="2"/>
  <c r="L71" i="2"/>
  <c r="F71" i="2"/>
  <c r="L70" i="2"/>
  <c r="F70" i="2"/>
  <c r="B70" i="2"/>
  <c r="B71" i="2" s="1"/>
  <c r="B72" i="2" s="1"/>
  <c r="B73" i="2" s="1"/>
  <c r="B74" i="2" s="1"/>
  <c r="B75" i="2" s="1"/>
  <c r="B76" i="2" s="1"/>
  <c r="B77" i="2" s="1"/>
  <c r="B78" i="2" s="1"/>
  <c r="B79" i="2" s="1"/>
  <c r="B80" i="2" s="1"/>
  <c r="L69" i="2"/>
  <c r="F69" i="2"/>
  <c r="E68" i="2"/>
  <c r="E82" i="2" s="1"/>
  <c r="L67" i="2"/>
  <c r="F67" i="2"/>
  <c r="L66" i="2"/>
  <c r="F66" i="2"/>
  <c r="L65" i="2"/>
  <c r="F65" i="2"/>
  <c r="L64" i="2"/>
  <c r="F64" i="2"/>
  <c r="L63" i="2"/>
  <c r="F63" i="2"/>
  <c r="L62" i="2"/>
  <c r="F62" i="2"/>
  <c r="L61" i="2"/>
  <c r="F61" i="2"/>
  <c r="L60" i="2"/>
  <c r="F60" i="2"/>
  <c r="L59" i="2"/>
  <c r="F59" i="2"/>
  <c r="L58" i="2"/>
  <c r="F58" i="2"/>
  <c r="L57" i="2"/>
  <c r="F57" i="2"/>
  <c r="B57" i="2"/>
  <c r="B58" i="2" s="1"/>
  <c r="B59" i="2" s="1"/>
  <c r="B60" i="2" s="1"/>
  <c r="B61" i="2" s="1"/>
  <c r="B62" i="2" s="1"/>
  <c r="B63" i="2" s="1"/>
  <c r="B64" i="2" s="1"/>
  <c r="B65" i="2" s="1"/>
  <c r="B66" i="2" s="1"/>
  <c r="B67" i="2" s="1"/>
  <c r="L56" i="2"/>
  <c r="L68" i="2" s="1"/>
  <c r="F56" i="2"/>
  <c r="F68" i="2" s="1"/>
  <c r="N55" i="2"/>
  <c r="C5" i="6" s="1"/>
  <c r="E54" i="2"/>
  <c r="L53" i="2"/>
  <c r="F53" i="2"/>
  <c r="L52" i="2"/>
  <c r="F52" i="2"/>
  <c r="L51" i="2"/>
  <c r="F51" i="2"/>
  <c r="L50" i="2"/>
  <c r="F50" i="2"/>
  <c r="L49" i="2"/>
  <c r="F49" i="2"/>
  <c r="L48" i="2"/>
  <c r="F48" i="2"/>
  <c r="L47" i="2"/>
  <c r="F47" i="2"/>
  <c r="L46" i="2"/>
  <c r="F46" i="2"/>
  <c r="L45" i="2"/>
  <c r="F45" i="2"/>
  <c r="L44" i="2"/>
  <c r="F44" i="2"/>
  <c r="L43" i="2"/>
  <c r="F43" i="2"/>
  <c r="B43" i="2"/>
  <c r="B44" i="2" s="1"/>
  <c r="B45" i="2" s="1"/>
  <c r="B46" i="2" s="1"/>
  <c r="B47" i="2" s="1"/>
  <c r="B48" i="2" s="1"/>
  <c r="B49" i="2" s="1"/>
  <c r="B50" i="2" s="1"/>
  <c r="B51" i="2" s="1"/>
  <c r="B52" i="2" s="1"/>
  <c r="B53" i="2" s="1"/>
  <c r="L42" i="2"/>
  <c r="F42" i="2"/>
  <c r="E41" i="2"/>
  <c r="E55" i="2" s="1"/>
  <c r="L40" i="2"/>
  <c r="F40" i="2"/>
  <c r="L39" i="2"/>
  <c r="F39" i="2"/>
  <c r="L38" i="2"/>
  <c r="F38" i="2"/>
  <c r="L37" i="2"/>
  <c r="F37" i="2"/>
  <c r="L36" i="2"/>
  <c r="F36" i="2"/>
  <c r="L35" i="2"/>
  <c r="F35" i="2"/>
  <c r="L34" i="2"/>
  <c r="F34" i="2"/>
  <c r="L33" i="2"/>
  <c r="F33" i="2"/>
  <c r="L32" i="2"/>
  <c r="F32" i="2"/>
  <c r="L31" i="2"/>
  <c r="F31" i="2"/>
  <c r="L30" i="2"/>
  <c r="F30" i="2"/>
  <c r="B30" i="2"/>
  <c r="B31" i="2" s="1"/>
  <c r="L29" i="2"/>
  <c r="F29" i="2"/>
  <c r="N28" i="2"/>
  <c r="C4" i="6" s="1"/>
  <c r="E27" i="2"/>
  <c r="L26" i="2"/>
  <c r="F26" i="2"/>
  <c r="L25" i="2"/>
  <c r="F25" i="2"/>
  <c r="L24" i="2"/>
  <c r="F24" i="2"/>
  <c r="L23" i="2"/>
  <c r="F23" i="2"/>
  <c r="L22" i="2"/>
  <c r="F22" i="2"/>
  <c r="L21" i="2"/>
  <c r="F21" i="2"/>
  <c r="L20" i="2"/>
  <c r="F20" i="2"/>
  <c r="L19" i="2"/>
  <c r="F19" i="2"/>
  <c r="L18" i="2"/>
  <c r="F18" i="2"/>
  <c r="L17" i="2"/>
  <c r="F17" i="2"/>
  <c r="L16" i="2"/>
  <c r="F16" i="2"/>
  <c r="B16" i="2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L15" i="2"/>
  <c r="L27" i="2" s="1"/>
  <c r="F15" i="2"/>
  <c r="E14" i="2"/>
  <c r="L13" i="2"/>
  <c r="F13" i="2"/>
  <c r="L12" i="2"/>
  <c r="F12" i="2"/>
  <c r="L11" i="2"/>
  <c r="F11" i="2"/>
  <c r="L10" i="2"/>
  <c r="F10" i="2"/>
  <c r="L9" i="2"/>
  <c r="F9" i="2"/>
  <c r="L8" i="2"/>
  <c r="F8" i="2"/>
  <c r="L7" i="2"/>
  <c r="F7" i="2"/>
  <c r="L6" i="2"/>
  <c r="F6" i="2"/>
  <c r="L5" i="2"/>
  <c r="F5" i="2"/>
  <c r="L4" i="2"/>
  <c r="F4" i="2"/>
  <c r="L3" i="2"/>
  <c r="F3" i="2"/>
  <c r="B3" i="2"/>
  <c r="B4" i="2" s="1"/>
  <c r="B5" i="2" s="1"/>
  <c r="B6" i="2" s="1"/>
  <c r="B7" i="2" s="1"/>
  <c r="B8" i="2" s="1"/>
  <c r="B9" i="2" s="1"/>
  <c r="B10" i="2" s="1"/>
  <c r="B11" i="2" s="1"/>
  <c r="B12" i="2" s="1"/>
  <c r="B13" i="2" s="1"/>
  <c r="L2" i="2"/>
  <c r="F2" i="2"/>
  <c r="N811" i="3"/>
  <c r="D33" i="6" s="1"/>
  <c r="E810" i="3"/>
  <c r="L809" i="3"/>
  <c r="F809" i="3"/>
  <c r="L808" i="3"/>
  <c r="F808" i="3"/>
  <c r="L807" i="3"/>
  <c r="F807" i="3"/>
  <c r="L806" i="3"/>
  <c r="F806" i="3"/>
  <c r="L805" i="3"/>
  <c r="F805" i="3"/>
  <c r="L804" i="3"/>
  <c r="F804" i="3"/>
  <c r="L803" i="3"/>
  <c r="F803" i="3"/>
  <c r="L802" i="3"/>
  <c r="F802" i="3"/>
  <c r="L801" i="3"/>
  <c r="L800" i="3"/>
  <c r="L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L798" i="3"/>
  <c r="E797" i="3"/>
  <c r="E811" i="3" s="1"/>
  <c r="L796" i="3"/>
  <c r="L795" i="3"/>
  <c r="L794" i="3"/>
  <c r="L793" i="3"/>
  <c r="L792" i="3"/>
  <c r="L791" i="3"/>
  <c r="L790" i="3"/>
  <c r="L789" i="3"/>
  <c r="L788" i="3"/>
  <c r="L787" i="3"/>
  <c r="L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L785" i="3"/>
  <c r="N784" i="3"/>
  <c r="D32" i="6" s="1"/>
  <c r="E783" i="3"/>
  <c r="L782" i="3"/>
  <c r="F782" i="3"/>
  <c r="L781" i="3"/>
  <c r="F781" i="3"/>
  <c r="L780" i="3"/>
  <c r="F780" i="3"/>
  <c r="L779" i="3"/>
  <c r="F779" i="3"/>
  <c r="L778" i="3"/>
  <c r="F778" i="3"/>
  <c r="L777" i="3"/>
  <c r="F777" i="3"/>
  <c r="L776" i="3"/>
  <c r="F776" i="3"/>
  <c r="L775" i="3"/>
  <c r="F775" i="3"/>
  <c r="L774" i="3"/>
  <c r="F774" i="3"/>
  <c r="L773" i="3"/>
  <c r="F773" i="3"/>
  <c r="L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L771" i="3"/>
  <c r="F771" i="3"/>
  <c r="E770" i="3"/>
  <c r="E784" i="3" s="1"/>
  <c r="L769" i="3"/>
  <c r="F769" i="3"/>
  <c r="L768" i="3"/>
  <c r="F768" i="3"/>
  <c r="L767" i="3"/>
  <c r="F767" i="3"/>
  <c r="L766" i="3"/>
  <c r="F766" i="3"/>
  <c r="L765" i="3"/>
  <c r="F765" i="3"/>
  <c r="L764" i="3"/>
  <c r="F764" i="3"/>
  <c r="L763" i="3"/>
  <c r="F763" i="3"/>
  <c r="L762" i="3"/>
  <c r="F762" i="3"/>
  <c r="L761" i="3"/>
  <c r="F761" i="3"/>
  <c r="L760" i="3"/>
  <c r="F760" i="3"/>
  <c r="L759" i="3"/>
  <c r="F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L758" i="3"/>
  <c r="F758" i="3"/>
  <c r="N757" i="3"/>
  <c r="D31" i="6" s="1"/>
  <c r="E756" i="3"/>
  <c r="L755" i="3"/>
  <c r="F755" i="3"/>
  <c r="F754" i="3"/>
  <c r="F753" i="3"/>
  <c r="F752" i="3"/>
  <c r="F751" i="3"/>
  <c r="F750" i="3"/>
  <c r="F749" i="3"/>
  <c r="F748" i="3"/>
  <c r="F747" i="3"/>
  <c r="F746" i="3"/>
  <c r="F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F744" i="3"/>
  <c r="E743" i="3"/>
  <c r="L742" i="3"/>
  <c r="F742" i="3"/>
  <c r="L741" i="3"/>
  <c r="F741" i="3"/>
  <c r="L740" i="3"/>
  <c r="F740" i="3"/>
  <c r="L739" i="3"/>
  <c r="F739" i="3"/>
  <c r="L738" i="3"/>
  <c r="F738" i="3"/>
  <c r="L737" i="3"/>
  <c r="F737" i="3"/>
  <c r="L736" i="3"/>
  <c r="F736" i="3"/>
  <c r="L735" i="3"/>
  <c r="F735" i="3"/>
  <c r="L734" i="3"/>
  <c r="F734" i="3"/>
  <c r="L733" i="3"/>
  <c r="F733" i="3"/>
  <c r="L732" i="3"/>
  <c r="F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L731" i="3"/>
  <c r="F731" i="3"/>
  <c r="N730" i="3"/>
  <c r="D30" i="6" s="1"/>
  <c r="L728" i="3"/>
  <c r="L727" i="3"/>
  <c r="L726" i="3"/>
  <c r="L725" i="3"/>
  <c r="L724" i="3"/>
  <c r="L723" i="3"/>
  <c r="L722" i="3"/>
  <c r="L721" i="3"/>
  <c r="L720" i="3"/>
  <c r="L719" i="3"/>
  <c r="L718" i="3"/>
  <c r="F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L717" i="3"/>
  <c r="E729" i="3"/>
  <c r="F715" i="3"/>
  <c r="F714" i="3"/>
  <c r="F713" i="3"/>
  <c r="F712" i="3"/>
  <c r="F711" i="3"/>
  <c r="F710" i="3"/>
  <c r="F709" i="3"/>
  <c r="F708" i="3"/>
  <c r="F707" i="3"/>
  <c r="F706" i="3"/>
  <c r="F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L704" i="3"/>
  <c r="F704" i="3"/>
  <c r="N703" i="3"/>
  <c r="D29" i="6" s="1"/>
  <c r="E702" i="3"/>
  <c r="L701" i="3"/>
  <c r="F701" i="3"/>
  <c r="L700" i="3"/>
  <c r="F700" i="3"/>
  <c r="L699" i="3"/>
  <c r="F699" i="3"/>
  <c r="L698" i="3"/>
  <c r="F698" i="3"/>
  <c r="L697" i="3"/>
  <c r="F697" i="3"/>
  <c r="L696" i="3"/>
  <c r="F696" i="3"/>
  <c r="L695" i="3"/>
  <c r="F695" i="3"/>
  <c r="L694" i="3"/>
  <c r="F694" i="3"/>
  <c r="L693" i="3"/>
  <c r="F693" i="3"/>
  <c r="L692" i="3"/>
  <c r="F692" i="3"/>
  <c r="L691" i="3"/>
  <c r="F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L690" i="3"/>
  <c r="F690" i="3"/>
  <c r="E689" i="3"/>
  <c r="L688" i="3"/>
  <c r="F688" i="3"/>
  <c r="L687" i="3"/>
  <c r="F687" i="3"/>
  <c r="L686" i="3"/>
  <c r="F686" i="3"/>
  <c r="L685" i="3"/>
  <c r="F685" i="3"/>
  <c r="L684" i="3"/>
  <c r="F684" i="3"/>
  <c r="F683" i="3"/>
  <c r="F682" i="3"/>
  <c r="F681" i="3"/>
  <c r="F680" i="3"/>
  <c r="F679" i="3"/>
  <c r="F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L677" i="3"/>
  <c r="F677" i="3"/>
  <c r="N676" i="3"/>
  <c r="D28" i="6" s="1"/>
  <c r="E675" i="3"/>
  <c r="L674" i="3"/>
  <c r="F674" i="3"/>
  <c r="L673" i="3"/>
  <c r="F673" i="3"/>
  <c r="L672" i="3"/>
  <c r="F672" i="3"/>
  <c r="L671" i="3"/>
  <c r="F671" i="3"/>
  <c r="L670" i="3"/>
  <c r="F670" i="3"/>
  <c r="L669" i="3"/>
  <c r="F669" i="3"/>
  <c r="L668" i="3"/>
  <c r="F668" i="3"/>
  <c r="L667" i="3"/>
  <c r="F667" i="3"/>
  <c r="L666" i="3"/>
  <c r="F666" i="3"/>
  <c r="L665" i="3"/>
  <c r="F665" i="3"/>
  <c r="L664" i="3"/>
  <c r="F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L663" i="3"/>
  <c r="L675" i="3" s="1"/>
  <c r="F663" i="3"/>
  <c r="E662" i="3"/>
  <c r="E676" i="3" s="1"/>
  <c r="L661" i="3"/>
  <c r="F661" i="3"/>
  <c r="L660" i="3"/>
  <c r="F660" i="3"/>
  <c r="L659" i="3"/>
  <c r="F659" i="3"/>
  <c r="L658" i="3"/>
  <c r="F658" i="3"/>
  <c r="L657" i="3"/>
  <c r="F657" i="3"/>
  <c r="L656" i="3"/>
  <c r="F656" i="3"/>
  <c r="L655" i="3"/>
  <c r="F655" i="3"/>
  <c r="L654" i="3"/>
  <c r="F654" i="3"/>
  <c r="L653" i="3"/>
  <c r="F653" i="3"/>
  <c r="L652" i="3"/>
  <c r="L651" i="3"/>
  <c r="F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L650" i="3"/>
  <c r="F650" i="3"/>
  <c r="F662" i="3" s="1"/>
  <c r="D27" i="6"/>
  <c r="E648" i="3"/>
  <c r="L647" i="3"/>
  <c r="F647" i="3"/>
  <c r="L646" i="3"/>
  <c r="F646" i="3"/>
  <c r="L645" i="3"/>
  <c r="F645" i="3"/>
  <c r="L644" i="3"/>
  <c r="F644" i="3"/>
  <c r="L643" i="3"/>
  <c r="F643" i="3"/>
  <c r="L642" i="3"/>
  <c r="F642" i="3"/>
  <c r="L641" i="3"/>
  <c r="F641" i="3"/>
  <c r="L640" i="3"/>
  <c r="F640" i="3"/>
  <c r="L639" i="3"/>
  <c r="F639" i="3"/>
  <c r="L638" i="3"/>
  <c r="F638" i="3"/>
  <c r="L637" i="3"/>
  <c r="F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L636" i="3"/>
  <c r="F636" i="3"/>
  <c r="E635" i="3"/>
  <c r="E649" i="3" s="1"/>
  <c r="L634" i="3"/>
  <c r="F634" i="3"/>
  <c r="L633" i="3"/>
  <c r="F633" i="3"/>
  <c r="L632" i="3"/>
  <c r="F632" i="3"/>
  <c r="L631" i="3"/>
  <c r="F631" i="3"/>
  <c r="L630" i="3"/>
  <c r="F630" i="3"/>
  <c r="L629" i="3"/>
  <c r="F629" i="3"/>
  <c r="L628" i="3"/>
  <c r="F628" i="3"/>
  <c r="L627" i="3"/>
  <c r="F627" i="3"/>
  <c r="L626" i="3"/>
  <c r="F626" i="3"/>
  <c r="L625" i="3"/>
  <c r="F625" i="3"/>
  <c r="L624" i="3"/>
  <c r="F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L623" i="3"/>
  <c r="L635" i="3" s="1"/>
  <c r="F623" i="3"/>
  <c r="F635" i="3" s="1"/>
  <c r="D26" i="6"/>
  <c r="E621" i="3"/>
  <c r="L620" i="3"/>
  <c r="F620" i="3"/>
  <c r="L619" i="3"/>
  <c r="F619" i="3"/>
  <c r="L618" i="3"/>
  <c r="F618" i="3"/>
  <c r="L617" i="3"/>
  <c r="F617" i="3"/>
  <c r="L616" i="3"/>
  <c r="F616" i="3"/>
  <c r="L615" i="3"/>
  <c r="L614" i="3"/>
  <c r="F614" i="3"/>
  <c r="L613" i="3"/>
  <c r="F613" i="3"/>
  <c r="L612" i="3"/>
  <c r="F612" i="3"/>
  <c r="L611" i="3"/>
  <c r="F611" i="3"/>
  <c r="L610" i="3"/>
  <c r="F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L609" i="3"/>
  <c r="E608" i="3"/>
  <c r="L607" i="3"/>
  <c r="F607" i="3"/>
  <c r="L606" i="3"/>
  <c r="F606" i="3"/>
  <c r="L605" i="3"/>
  <c r="F605" i="3"/>
  <c r="L604" i="3"/>
  <c r="F604" i="3"/>
  <c r="L603" i="3"/>
  <c r="F603" i="3"/>
  <c r="L602" i="3"/>
  <c r="F602" i="3"/>
  <c r="L601" i="3"/>
  <c r="F601" i="3"/>
  <c r="L600" i="3"/>
  <c r="F600" i="3"/>
  <c r="L599" i="3"/>
  <c r="F599" i="3"/>
  <c r="L598" i="3"/>
  <c r="F598" i="3"/>
  <c r="L597" i="3"/>
  <c r="F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L596" i="3"/>
  <c r="F596" i="3"/>
  <c r="N595" i="3"/>
  <c r="D25" i="6" s="1"/>
  <c r="G25" i="6" s="1"/>
  <c r="E594" i="3"/>
  <c r="L593" i="3"/>
  <c r="F593" i="3"/>
  <c r="L592" i="3"/>
  <c r="F592" i="3"/>
  <c r="L591" i="3"/>
  <c r="F591" i="3"/>
  <c r="L590" i="3"/>
  <c r="F590" i="3"/>
  <c r="L589" i="3"/>
  <c r="F589" i="3"/>
  <c r="L588" i="3"/>
  <c r="F588" i="3"/>
  <c r="L587" i="3"/>
  <c r="F587" i="3"/>
  <c r="L586" i="3"/>
  <c r="F586" i="3"/>
  <c r="L585" i="3"/>
  <c r="F585" i="3"/>
  <c r="L584" i="3"/>
  <c r="F584" i="3"/>
  <c r="L583" i="3"/>
  <c r="F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L582" i="3"/>
  <c r="F582" i="3"/>
  <c r="E581" i="3"/>
  <c r="L580" i="3"/>
  <c r="F580" i="3"/>
  <c r="L579" i="3"/>
  <c r="F579" i="3"/>
  <c r="L578" i="3"/>
  <c r="F578" i="3"/>
  <c r="L577" i="3"/>
  <c r="F577" i="3"/>
  <c r="L576" i="3"/>
  <c r="F576" i="3"/>
  <c r="L575" i="3"/>
  <c r="F575" i="3"/>
  <c r="L574" i="3"/>
  <c r="F574" i="3"/>
  <c r="L573" i="3"/>
  <c r="F573" i="3"/>
  <c r="L572" i="3"/>
  <c r="F572" i="3"/>
  <c r="L571" i="3"/>
  <c r="F571" i="3"/>
  <c r="L570" i="3"/>
  <c r="F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L569" i="3"/>
  <c r="F569" i="3"/>
  <c r="N568" i="3"/>
  <c r="D24" i="6" s="1"/>
  <c r="E567" i="3"/>
  <c r="L566" i="3"/>
  <c r="F566" i="3"/>
  <c r="L565" i="3"/>
  <c r="F565" i="3"/>
  <c r="L564" i="3"/>
  <c r="F564" i="3"/>
  <c r="L563" i="3"/>
  <c r="F563" i="3"/>
  <c r="L562" i="3"/>
  <c r="F562" i="3"/>
  <c r="L561" i="3"/>
  <c r="F561" i="3"/>
  <c r="L560" i="3"/>
  <c r="F560" i="3"/>
  <c r="L559" i="3"/>
  <c r="F559" i="3"/>
  <c r="L558" i="3"/>
  <c r="F558" i="3"/>
  <c r="L557" i="3"/>
  <c r="F557" i="3"/>
  <c r="L556" i="3"/>
  <c r="F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L555" i="3"/>
  <c r="L567" i="3" s="1"/>
  <c r="F555" i="3"/>
  <c r="F567" i="3" s="1"/>
  <c r="E554" i="3"/>
  <c r="E568" i="3" s="1"/>
  <c r="L553" i="3"/>
  <c r="F553" i="3"/>
  <c r="L552" i="3"/>
  <c r="F552" i="3"/>
  <c r="L551" i="3"/>
  <c r="F551" i="3"/>
  <c r="L550" i="3"/>
  <c r="F550" i="3"/>
  <c r="L549" i="3"/>
  <c r="F549" i="3"/>
  <c r="L548" i="3"/>
  <c r="F548" i="3"/>
  <c r="L547" i="3"/>
  <c r="F547" i="3"/>
  <c r="L546" i="3"/>
  <c r="F546" i="3"/>
  <c r="L545" i="3"/>
  <c r="F545" i="3"/>
  <c r="L544" i="3"/>
  <c r="F544" i="3"/>
  <c r="L543" i="3"/>
  <c r="F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L542" i="3"/>
  <c r="F542" i="3"/>
  <c r="N541" i="3"/>
  <c r="D23" i="6" s="1"/>
  <c r="E540" i="3"/>
  <c r="L539" i="3"/>
  <c r="F539" i="3"/>
  <c r="L538" i="3"/>
  <c r="F538" i="3"/>
  <c r="L537" i="3"/>
  <c r="F537" i="3"/>
  <c r="L536" i="3"/>
  <c r="F536" i="3"/>
  <c r="L535" i="3"/>
  <c r="F535" i="3"/>
  <c r="L534" i="3"/>
  <c r="F534" i="3"/>
  <c r="L533" i="3"/>
  <c r="F533" i="3"/>
  <c r="L532" i="3"/>
  <c r="F532" i="3"/>
  <c r="L531" i="3"/>
  <c r="F531" i="3"/>
  <c r="L530" i="3"/>
  <c r="F530" i="3"/>
  <c r="L529" i="3"/>
  <c r="F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L528" i="3"/>
  <c r="F528" i="3"/>
  <c r="E527" i="3"/>
  <c r="L526" i="3"/>
  <c r="F526" i="3"/>
  <c r="L525" i="3"/>
  <c r="F525" i="3"/>
  <c r="L524" i="3"/>
  <c r="F524" i="3"/>
  <c r="L523" i="3"/>
  <c r="F523" i="3"/>
  <c r="L522" i="3"/>
  <c r="F522" i="3"/>
  <c r="L521" i="3"/>
  <c r="F521" i="3"/>
  <c r="L520" i="3"/>
  <c r="F520" i="3"/>
  <c r="L519" i="3"/>
  <c r="F519" i="3"/>
  <c r="L518" i="3"/>
  <c r="F518" i="3"/>
  <c r="L517" i="3"/>
  <c r="F517" i="3"/>
  <c r="L516" i="3"/>
  <c r="F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L515" i="3"/>
  <c r="F515" i="3"/>
  <c r="F527" i="3" s="1"/>
  <c r="N514" i="3"/>
  <c r="D22" i="6" s="1"/>
  <c r="E513" i="3"/>
  <c r="L512" i="3"/>
  <c r="F512" i="3"/>
  <c r="L511" i="3"/>
  <c r="F511" i="3"/>
  <c r="L510" i="3"/>
  <c r="F510" i="3"/>
  <c r="L509" i="3"/>
  <c r="F509" i="3"/>
  <c r="L508" i="3"/>
  <c r="F508" i="3"/>
  <c r="L507" i="3"/>
  <c r="F507" i="3"/>
  <c r="L506" i="3"/>
  <c r="F506" i="3"/>
  <c r="L505" i="3"/>
  <c r="F505" i="3"/>
  <c r="L504" i="3"/>
  <c r="F504" i="3"/>
  <c r="L503" i="3"/>
  <c r="F503" i="3"/>
  <c r="L502" i="3"/>
  <c r="F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L501" i="3"/>
  <c r="F501" i="3"/>
  <c r="E514" i="3"/>
  <c r="L499" i="3"/>
  <c r="F499" i="3"/>
  <c r="L498" i="3"/>
  <c r="F498" i="3"/>
  <c r="L497" i="3"/>
  <c r="F497" i="3"/>
  <c r="L496" i="3"/>
  <c r="F496" i="3"/>
  <c r="L495" i="3"/>
  <c r="F495" i="3"/>
  <c r="L494" i="3"/>
  <c r="F494" i="3"/>
  <c r="L493" i="3"/>
  <c r="F493" i="3"/>
  <c r="L492" i="3"/>
  <c r="F492" i="3"/>
  <c r="L491" i="3"/>
  <c r="L490" i="3"/>
  <c r="F490" i="3"/>
  <c r="L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L488" i="3"/>
  <c r="N487" i="3"/>
  <c r="D21" i="6" s="1"/>
  <c r="E486" i="3"/>
  <c r="L485" i="3"/>
  <c r="F485" i="3"/>
  <c r="L484" i="3"/>
  <c r="F484" i="3"/>
  <c r="L483" i="3"/>
  <c r="F483" i="3"/>
  <c r="L482" i="3"/>
  <c r="F482" i="3"/>
  <c r="L481" i="3"/>
  <c r="F481" i="3"/>
  <c r="L480" i="3"/>
  <c r="F480" i="3"/>
  <c r="L479" i="3"/>
  <c r="F479" i="3"/>
  <c r="L478" i="3"/>
  <c r="F478" i="3"/>
  <c r="L477" i="3"/>
  <c r="F477" i="3"/>
  <c r="L476" i="3"/>
  <c r="F476" i="3"/>
  <c r="L475" i="3"/>
  <c r="F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L474" i="3"/>
  <c r="F474" i="3"/>
  <c r="E473" i="3"/>
  <c r="E487" i="3" s="1"/>
  <c r="L472" i="3"/>
  <c r="F472" i="3"/>
  <c r="L471" i="3"/>
  <c r="F471" i="3"/>
  <c r="L470" i="3"/>
  <c r="F470" i="3"/>
  <c r="L469" i="3"/>
  <c r="F469" i="3"/>
  <c r="L468" i="3"/>
  <c r="F468" i="3"/>
  <c r="L467" i="3"/>
  <c r="F467" i="3"/>
  <c r="L466" i="3"/>
  <c r="F466" i="3"/>
  <c r="L465" i="3"/>
  <c r="F465" i="3"/>
  <c r="L464" i="3"/>
  <c r="F464" i="3"/>
  <c r="L463" i="3"/>
  <c r="F463" i="3"/>
  <c r="L462" i="3"/>
  <c r="F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L461" i="3"/>
  <c r="F461" i="3"/>
  <c r="N460" i="3"/>
  <c r="D20" i="6" s="1"/>
  <c r="E459" i="3"/>
  <c r="L458" i="3"/>
  <c r="F458" i="3"/>
  <c r="L457" i="3"/>
  <c r="F457" i="3"/>
  <c r="L456" i="3"/>
  <c r="F456" i="3"/>
  <c r="L455" i="3"/>
  <c r="F455" i="3"/>
  <c r="L454" i="3"/>
  <c r="F454" i="3"/>
  <c r="L453" i="3"/>
  <c r="F453" i="3"/>
  <c r="L452" i="3"/>
  <c r="F452" i="3"/>
  <c r="L451" i="3"/>
  <c r="F451" i="3"/>
  <c r="L450" i="3"/>
  <c r="F450" i="3"/>
  <c r="L449" i="3"/>
  <c r="F449" i="3"/>
  <c r="L448" i="3"/>
  <c r="F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L447" i="3"/>
  <c r="F447" i="3"/>
  <c r="E446" i="3"/>
  <c r="E460" i="3" s="1"/>
  <c r="L445" i="3"/>
  <c r="F445" i="3"/>
  <c r="L444" i="3"/>
  <c r="F444" i="3"/>
  <c r="L443" i="3"/>
  <c r="F443" i="3"/>
  <c r="L442" i="3"/>
  <c r="F442" i="3"/>
  <c r="L441" i="3"/>
  <c r="F441" i="3"/>
  <c r="L440" i="3"/>
  <c r="F440" i="3"/>
  <c r="L439" i="3"/>
  <c r="F439" i="3"/>
  <c r="L438" i="3"/>
  <c r="F438" i="3"/>
  <c r="L437" i="3"/>
  <c r="F437" i="3"/>
  <c r="L436" i="3"/>
  <c r="F436" i="3"/>
  <c r="L435" i="3"/>
  <c r="F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L434" i="3"/>
  <c r="F434" i="3"/>
  <c r="N433" i="3"/>
  <c r="D19" i="6" s="1"/>
  <c r="E432" i="3"/>
  <c r="L431" i="3"/>
  <c r="F431" i="3"/>
  <c r="L430" i="3"/>
  <c r="F430" i="3"/>
  <c r="L429" i="3"/>
  <c r="F429" i="3"/>
  <c r="L428" i="3"/>
  <c r="F428" i="3"/>
  <c r="L427" i="3"/>
  <c r="F427" i="3"/>
  <c r="L426" i="3"/>
  <c r="F426" i="3"/>
  <c r="L425" i="3"/>
  <c r="F425" i="3"/>
  <c r="L424" i="3"/>
  <c r="F424" i="3"/>
  <c r="L423" i="3"/>
  <c r="F423" i="3"/>
  <c r="L422" i="3"/>
  <c r="F422" i="3"/>
  <c r="L421" i="3"/>
  <c r="F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L420" i="3"/>
  <c r="F420" i="3"/>
  <c r="E419" i="3"/>
  <c r="E433" i="3" s="1"/>
  <c r="L418" i="3"/>
  <c r="F418" i="3"/>
  <c r="L417" i="3"/>
  <c r="F417" i="3"/>
  <c r="L416" i="3"/>
  <c r="F416" i="3"/>
  <c r="L415" i="3"/>
  <c r="F415" i="3"/>
  <c r="L414" i="3"/>
  <c r="F414" i="3"/>
  <c r="L413" i="3"/>
  <c r="F413" i="3"/>
  <c r="L412" i="3"/>
  <c r="F412" i="3"/>
  <c r="L411" i="3"/>
  <c r="F411" i="3"/>
  <c r="L410" i="3"/>
  <c r="F410" i="3"/>
  <c r="L409" i="3"/>
  <c r="F409" i="3"/>
  <c r="L408" i="3"/>
  <c r="F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L407" i="3"/>
  <c r="L419" i="3" s="1"/>
  <c r="F407" i="3"/>
  <c r="N406" i="3"/>
  <c r="D18" i="6" s="1"/>
  <c r="E405" i="3"/>
  <c r="L404" i="3"/>
  <c r="F404" i="3"/>
  <c r="L403" i="3"/>
  <c r="F403" i="3"/>
  <c r="L402" i="3"/>
  <c r="F402" i="3"/>
  <c r="L401" i="3"/>
  <c r="F401" i="3"/>
  <c r="L400" i="3"/>
  <c r="F400" i="3"/>
  <c r="L399" i="3"/>
  <c r="F399" i="3"/>
  <c r="L398" i="3"/>
  <c r="F398" i="3"/>
  <c r="L397" i="3"/>
  <c r="F397" i="3"/>
  <c r="L396" i="3"/>
  <c r="F396" i="3"/>
  <c r="L395" i="3"/>
  <c r="F395" i="3"/>
  <c r="L394" i="3"/>
  <c r="F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L393" i="3"/>
  <c r="F393" i="3"/>
  <c r="E392" i="3"/>
  <c r="E406" i="3" s="1"/>
  <c r="L391" i="3"/>
  <c r="F391" i="3"/>
  <c r="L390" i="3"/>
  <c r="F390" i="3"/>
  <c r="L389" i="3"/>
  <c r="F389" i="3"/>
  <c r="L388" i="3"/>
  <c r="F388" i="3"/>
  <c r="L387" i="3"/>
  <c r="F387" i="3"/>
  <c r="L386" i="3"/>
  <c r="F386" i="3"/>
  <c r="L385" i="3"/>
  <c r="F385" i="3"/>
  <c r="L384" i="3"/>
  <c r="F384" i="3"/>
  <c r="L383" i="3"/>
  <c r="F383" i="3"/>
  <c r="L382" i="3"/>
  <c r="F382" i="3"/>
  <c r="L381" i="3"/>
  <c r="F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L380" i="3"/>
  <c r="F380" i="3"/>
  <c r="N379" i="3"/>
  <c r="D17" i="6" s="1"/>
  <c r="E378" i="3"/>
  <c r="L377" i="3"/>
  <c r="F377" i="3"/>
  <c r="L376" i="3"/>
  <c r="F376" i="3"/>
  <c r="L375" i="3"/>
  <c r="F375" i="3"/>
  <c r="L374" i="3"/>
  <c r="F374" i="3"/>
  <c r="L373" i="3"/>
  <c r="F373" i="3"/>
  <c r="L372" i="3"/>
  <c r="F372" i="3"/>
  <c r="L371" i="3"/>
  <c r="F371" i="3"/>
  <c r="L370" i="3"/>
  <c r="F370" i="3"/>
  <c r="L369" i="3"/>
  <c r="F369" i="3"/>
  <c r="L368" i="3"/>
  <c r="F368" i="3"/>
  <c r="L367" i="3"/>
  <c r="F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L366" i="3"/>
  <c r="F366" i="3"/>
  <c r="E365" i="3"/>
  <c r="E379" i="3" s="1"/>
  <c r="L364" i="3"/>
  <c r="F364" i="3"/>
  <c r="L363" i="3"/>
  <c r="F363" i="3"/>
  <c r="L362" i="3"/>
  <c r="F362" i="3"/>
  <c r="L361" i="3"/>
  <c r="F361" i="3"/>
  <c r="L360" i="3"/>
  <c r="F360" i="3"/>
  <c r="L359" i="3"/>
  <c r="F359" i="3"/>
  <c r="L358" i="3"/>
  <c r="F358" i="3"/>
  <c r="L357" i="3"/>
  <c r="F357" i="3"/>
  <c r="L356" i="3"/>
  <c r="F356" i="3"/>
  <c r="L355" i="3"/>
  <c r="F355" i="3"/>
  <c r="L354" i="3"/>
  <c r="F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L353" i="3"/>
  <c r="L365" i="3" s="1"/>
  <c r="F353" i="3"/>
  <c r="F365" i="3" s="1"/>
  <c r="N352" i="3"/>
  <c r="D16" i="6" s="1"/>
  <c r="E351" i="3"/>
  <c r="L350" i="3"/>
  <c r="F350" i="3"/>
  <c r="L349" i="3"/>
  <c r="F349" i="3"/>
  <c r="L348" i="3"/>
  <c r="F348" i="3"/>
  <c r="L347" i="3"/>
  <c r="F347" i="3"/>
  <c r="L346" i="3"/>
  <c r="F346" i="3"/>
  <c r="L345" i="3"/>
  <c r="F345" i="3"/>
  <c r="L344" i="3"/>
  <c r="F344" i="3"/>
  <c r="L343" i="3"/>
  <c r="F343" i="3"/>
  <c r="L342" i="3"/>
  <c r="F342" i="3"/>
  <c r="L341" i="3"/>
  <c r="F341" i="3"/>
  <c r="L340" i="3"/>
  <c r="F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L339" i="3"/>
  <c r="F339" i="3"/>
  <c r="E338" i="3"/>
  <c r="L337" i="3"/>
  <c r="F337" i="3"/>
  <c r="L336" i="3"/>
  <c r="F336" i="3"/>
  <c r="L335" i="3"/>
  <c r="F335" i="3"/>
  <c r="L334" i="3"/>
  <c r="F334" i="3"/>
  <c r="L333" i="3"/>
  <c r="F333" i="3"/>
  <c r="L332" i="3"/>
  <c r="F332" i="3"/>
  <c r="L331" i="3"/>
  <c r="F331" i="3"/>
  <c r="L330" i="3"/>
  <c r="F330" i="3"/>
  <c r="L329" i="3"/>
  <c r="F329" i="3"/>
  <c r="L328" i="3"/>
  <c r="F328" i="3"/>
  <c r="L327" i="3"/>
  <c r="F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L326" i="3"/>
  <c r="L338" i="3" s="1"/>
  <c r="F326" i="3"/>
  <c r="N325" i="3"/>
  <c r="D15" i="6" s="1"/>
  <c r="G15" i="6" s="1"/>
  <c r="E324" i="3"/>
  <c r="L323" i="3"/>
  <c r="F323" i="3"/>
  <c r="L322" i="3"/>
  <c r="F322" i="3"/>
  <c r="L321" i="3"/>
  <c r="F321" i="3"/>
  <c r="L320" i="3"/>
  <c r="F320" i="3"/>
  <c r="L319" i="3"/>
  <c r="F319" i="3"/>
  <c r="L318" i="3"/>
  <c r="F318" i="3"/>
  <c r="L317" i="3"/>
  <c r="F317" i="3"/>
  <c r="L316" i="3"/>
  <c r="F316" i="3"/>
  <c r="L315" i="3"/>
  <c r="F315" i="3"/>
  <c r="L314" i="3"/>
  <c r="F314" i="3"/>
  <c r="L313" i="3"/>
  <c r="F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L312" i="3"/>
  <c r="F312" i="3"/>
  <c r="E311" i="3"/>
  <c r="L310" i="3"/>
  <c r="F310" i="3"/>
  <c r="L309" i="3"/>
  <c r="F309" i="3"/>
  <c r="L308" i="3"/>
  <c r="F308" i="3"/>
  <c r="L307" i="3"/>
  <c r="F307" i="3"/>
  <c r="L306" i="3"/>
  <c r="F306" i="3"/>
  <c r="L305" i="3"/>
  <c r="F305" i="3"/>
  <c r="L304" i="3"/>
  <c r="F304" i="3"/>
  <c r="L303" i="3"/>
  <c r="F303" i="3"/>
  <c r="L302" i="3"/>
  <c r="F302" i="3"/>
  <c r="L301" i="3"/>
  <c r="F301" i="3"/>
  <c r="L300" i="3"/>
  <c r="F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L299" i="3"/>
  <c r="F299" i="3"/>
  <c r="N298" i="3"/>
  <c r="D14" i="6" s="1"/>
  <c r="E297" i="3"/>
  <c r="L296" i="3"/>
  <c r="F296" i="3"/>
  <c r="L295" i="3"/>
  <c r="F295" i="3"/>
  <c r="L294" i="3"/>
  <c r="F294" i="3"/>
  <c r="L293" i="3"/>
  <c r="F293" i="3"/>
  <c r="L292" i="3"/>
  <c r="F292" i="3"/>
  <c r="L291" i="3"/>
  <c r="F291" i="3"/>
  <c r="L290" i="3"/>
  <c r="F290" i="3"/>
  <c r="L289" i="3"/>
  <c r="F289" i="3"/>
  <c r="L288" i="3"/>
  <c r="F288" i="3"/>
  <c r="L287" i="3"/>
  <c r="F287" i="3"/>
  <c r="L286" i="3"/>
  <c r="F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L285" i="3"/>
  <c r="F285" i="3"/>
  <c r="E284" i="3"/>
  <c r="E298" i="3" s="1"/>
  <c r="L283" i="3"/>
  <c r="F283" i="3"/>
  <c r="L282" i="3"/>
  <c r="F282" i="3"/>
  <c r="L281" i="3"/>
  <c r="F281" i="3"/>
  <c r="L280" i="3"/>
  <c r="F280" i="3"/>
  <c r="L279" i="3"/>
  <c r="F279" i="3"/>
  <c r="L278" i="3"/>
  <c r="F278" i="3"/>
  <c r="L277" i="3"/>
  <c r="F277" i="3"/>
  <c r="L276" i="3"/>
  <c r="F276" i="3"/>
  <c r="L275" i="3"/>
  <c r="F275" i="3"/>
  <c r="L274" i="3"/>
  <c r="F274" i="3"/>
  <c r="L273" i="3"/>
  <c r="F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L272" i="3"/>
  <c r="F272" i="3"/>
  <c r="N271" i="3"/>
  <c r="D13" i="6" s="1"/>
  <c r="E270" i="3"/>
  <c r="L269" i="3"/>
  <c r="F269" i="3"/>
  <c r="L268" i="3"/>
  <c r="F268" i="3"/>
  <c r="L267" i="3"/>
  <c r="F267" i="3"/>
  <c r="L266" i="3"/>
  <c r="F266" i="3"/>
  <c r="L265" i="3"/>
  <c r="F265" i="3"/>
  <c r="L264" i="3"/>
  <c r="F264" i="3"/>
  <c r="L263" i="3"/>
  <c r="F263" i="3"/>
  <c r="L262" i="3"/>
  <c r="F262" i="3"/>
  <c r="L261" i="3"/>
  <c r="F261" i="3"/>
  <c r="L260" i="3"/>
  <c r="F260" i="3"/>
  <c r="L259" i="3"/>
  <c r="F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L258" i="3"/>
  <c r="F258" i="3"/>
  <c r="E257" i="3"/>
  <c r="E271" i="3" s="1"/>
  <c r="L256" i="3"/>
  <c r="F256" i="3"/>
  <c r="L255" i="3"/>
  <c r="F255" i="3"/>
  <c r="L254" i="3"/>
  <c r="F254" i="3"/>
  <c r="L253" i="3"/>
  <c r="F253" i="3"/>
  <c r="L252" i="3"/>
  <c r="F252" i="3"/>
  <c r="L251" i="3"/>
  <c r="F251" i="3"/>
  <c r="L250" i="3"/>
  <c r="F250" i="3"/>
  <c r="L249" i="3"/>
  <c r="F249" i="3"/>
  <c r="L248" i="3"/>
  <c r="F248" i="3"/>
  <c r="L247" i="3"/>
  <c r="F247" i="3"/>
  <c r="L246" i="3"/>
  <c r="F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L245" i="3"/>
  <c r="F245" i="3"/>
  <c r="N244" i="3"/>
  <c r="D12" i="6" s="1"/>
  <c r="E243" i="3"/>
  <c r="L242" i="3"/>
  <c r="F242" i="3"/>
  <c r="L241" i="3"/>
  <c r="F241" i="3"/>
  <c r="L240" i="3"/>
  <c r="F240" i="3"/>
  <c r="L239" i="3"/>
  <c r="F239" i="3"/>
  <c r="L238" i="3"/>
  <c r="F238" i="3"/>
  <c r="L237" i="3"/>
  <c r="F237" i="3"/>
  <c r="L236" i="3"/>
  <c r="F236" i="3"/>
  <c r="L235" i="3"/>
  <c r="F235" i="3"/>
  <c r="L234" i="3"/>
  <c r="F234" i="3"/>
  <c r="L233" i="3"/>
  <c r="F233" i="3"/>
  <c r="L232" i="3"/>
  <c r="F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L231" i="3"/>
  <c r="F231" i="3"/>
  <c r="F243" i="3" s="1"/>
  <c r="E230" i="3"/>
  <c r="L229" i="3"/>
  <c r="F229" i="3"/>
  <c r="L228" i="3"/>
  <c r="F228" i="3"/>
  <c r="L227" i="3"/>
  <c r="F227" i="3"/>
  <c r="L226" i="3"/>
  <c r="F226" i="3"/>
  <c r="L225" i="3"/>
  <c r="F225" i="3"/>
  <c r="L224" i="3"/>
  <c r="F224" i="3"/>
  <c r="L223" i="3"/>
  <c r="F223" i="3"/>
  <c r="L222" i="3"/>
  <c r="F222" i="3"/>
  <c r="L221" i="3"/>
  <c r="F221" i="3"/>
  <c r="L220" i="3"/>
  <c r="F220" i="3"/>
  <c r="L219" i="3"/>
  <c r="F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L218" i="3"/>
  <c r="F218" i="3"/>
  <c r="N217" i="3"/>
  <c r="D11" i="6" s="1"/>
  <c r="E216" i="3"/>
  <c r="L215" i="3"/>
  <c r="F215" i="3"/>
  <c r="L214" i="3"/>
  <c r="F214" i="3"/>
  <c r="L213" i="3"/>
  <c r="F213" i="3"/>
  <c r="L212" i="3"/>
  <c r="F212" i="3"/>
  <c r="L211" i="3"/>
  <c r="F211" i="3"/>
  <c r="L210" i="3"/>
  <c r="F210" i="3"/>
  <c r="L209" i="3"/>
  <c r="F209" i="3"/>
  <c r="L208" i="3"/>
  <c r="F208" i="3"/>
  <c r="L207" i="3"/>
  <c r="F207" i="3"/>
  <c r="L206" i="3"/>
  <c r="F206" i="3"/>
  <c r="L205" i="3"/>
  <c r="F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L204" i="3"/>
  <c r="F204" i="3"/>
  <c r="E203" i="3"/>
  <c r="L202" i="3"/>
  <c r="F202" i="3"/>
  <c r="L201" i="3"/>
  <c r="F201" i="3"/>
  <c r="L200" i="3"/>
  <c r="F200" i="3"/>
  <c r="L199" i="3"/>
  <c r="F199" i="3"/>
  <c r="L198" i="3"/>
  <c r="F198" i="3"/>
  <c r="L197" i="3"/>
  <c r="F197" i="3"/>
  <c r="L196" i="3"/>
  <c r="F196" i="3"/>
  <c r="L195" i="3"/>
  <c r="F195" i="3"/>
  <c r="L194" i="3"/>
  <c r="F194" i="3"/>
  <c r="L193" i="3"/>
  <c r="F193" i="3"/>
  <c r="L192" i="3"/>
  <c r="F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L191" i="3"/>
  <c r="F191" i="3"/>
  <c r="N190" i="3"/>
  <c r="D10" i="6" s="1"/>
  <c r="G10" i="6" s="1"/>
  <c r="E189" i="3"/>
  <c r="L188" i="3"/>
  <c r="F188" i="3"/>
  <c r="L187" i="3"/>
  <c r="F187" i="3"/>
  <c r="L186" i="3"/>
  <c r="F186" i="3"/>
  <c r="L185" i="3"/>
  <c r="F185" i="3"/>
  <c r="L184" i="3"/>
  <c r="F184" i="3"/>
  <c r="L183" i="3"/>
  <c r="F183" i="3"/>
  <c r="L182" i="3"/>
  <c r="F182" i="3"/>
  <c r="L181" i="3"/>
  <c r="F181" i="3"/>
  <c r="L180" i="3"/>
  <c r="F180" i="3"/>
  <c r="L179" i="3"/>
  <c r="F179" i="3"/>
  <c r="L178" i="3"/>
  <c r="F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L177" i="3"/>
  <c r="F177" i="3"/>
  <c r="E176" i="3"/>
  <c r="L175" i="3"/>
  <c r="F175" i="3"/>
  <c r="L174" i="3"/>
  <c r="F174" i="3"/>
  <c r="L173" i="3"/>
  <c r="F173" i="3"/>
  <c r="L172" i="3"/>
  <c r="F172" i="3"/>
  <c r="L171" i="3"/>
  <c r="F171" i="3"/>
  <c r="L170" i="3"/>
  <c r="F170" i="3"/>
  <c r="L169" i="3"/>
  <c r="F169" i="3"/>
  <c r="L168" i="3"/>
  <c r="F168" i="3"/>
  <c r="L167" i="3"/>
  <c r="F167" i="3"/>
  <c r="L166" i="3"/>
  <c r="F166" i="3"/>
  <c r="L165" i="3"/>
  <c r="F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L164" i="3"/>
  <c r="F164" i="3"/>
  <c r="N163" i="3"/>
  <c r="D9" i="6" s="1"/>
  <c r="E162" i="3"/>
  <c r="L161" i="3"/>
  <c r="F161" i="3"/>
  <c r="L160" i="3"/>
  <c r="F160" i="3"/>
  <c r="L159" i="3"/>
  <c r="F159" i="3"/>
  <c r="L158" i="3"/>
  <c r="F158" i="3"/>
  <c r="L157" i="3"/>
  <c r="F157" i="3"/>
  <c r="L156" i="3"/>
  <c r="F156" i="3"/>
  <c r="L155" i="3"/>
  <c r="F155" i="3"/>
  <c r="L154" i="3"/>
  <c r="F154" i="3"/>
  <c r="L153" i="3"/>
  <c r="F153" i="3"/>
  <c r="L152" i="3"/>
  <c r="F152" i="3"/>
  <c r="L151" i="3"/>
  <c r="F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L150" i="3"/>
  <c r="L162" i="3" s="1"/>
  <c r="F150" i="3"/>
  <c r="E149" i="3"/>
  <c r="E163" i="3" s="1"/>
  <c r="L148" i="3"/>
  <c r="F148" i="3"/>
  <c r="L147" i="3"/>
  <c r="F147" i="3"/>
  <c r="L146" i="3"/>
  <c r="F146" i="3"/>
  <c r="L145" i="3"/>
  <c r="F145" i="3"/>
  <c r="L144" i="3"/>
  <c r="F144" i="3"/>
  <c r="L143" i="3"/>
  <c r="F143" i="3"/>
  <c r="L142" i="3"/>
  <c r="F142" i="3"/>
  <c r="L141" i="3"/>
  <c r="F141" i="3"/>
  <c r="L140" i="3"/>
  <c r="F140" i="3"/>
  <c r="L139" i="3"/>
  <c r="F139" i="3"/>
  <c r="L138" i="3"/>
  <c r="F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L137" i="3"/>
  <c r="F137" i="3"/>
  <c r="N136" i="3"/>
  <c r="D8" i="6" s="1"/>
  <c r="E135" i="3"/>
  <c r="L134" i="3"/>
  <c r="F134" i="3"/>
  <c r="L133" i="3"/>
  <c r="F133" i="3"/>
  <c r="L132" i="3"/>
  <c r="F132" i="3"/>
  <c r="L131" i="3"/>
  <c r="F131" i="3"/>
  <c r="L130" i="3"/>
  <c r="F130" i="3"/>
  <c r="L129" i="3"/>
  <c r="F129" i="3"/>
  <c r="L128" i="3"/>
  <c r="F128" i="3"/>
  <c r="L127" i="3"/>
  <c r="F127" i="3"/>
  <c r="L126" i="3"/>
  <c r="F126" i="3"/>
  <c r="L125" i="3"/>
  <c r="F125" i="3"/>
  <c r="L124" i="3"/>
  <c r="F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L123" i="3"/>
  <c r="F123" i="3"/>
  <c r="E122" i="3"/>
  <c r="E136" i="3" s="1"/>
  <c r="L121" i="3"/>
  <c r="F121" i="3"/>
  <c r="L120" i="3"/>
  <c r="F120" i="3"/>
  <c r="L119" i="3"/>
  <c r="F119" i="3"/>
  <c r="L118" i="3"/>
  <c r="F118" i="3"/>
  <c r="L117" i="3"/>
  <c r="F117" i="3"/>
  <c r="L116" i="3"/>
  <c r="F116" i="3"/>
  <c r="L115" i="3"/>
  <c r="F115" i="3"/>
  <c r="L114" i="3"/>
  <c r="F114" i="3"/>
  <c r="L113" i="3"/>
  <c r="F113" i="3"/>
  <c r="L112" i="3"/>
  <c r="F112" i="3"/>
  <c r="L111" i="3"/>
  <c r="F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L110" i="3"/>
  <c r="F110" i="3"/>
  <c r="N109" i="3"/>
  <c r="D7" i="6" s="1"/>
  <c r="E108" i="3"/>
  <c r="L107" i="3"/>
  <c r="F107" i="3"/>
  <c r="L106" i="3"/>
  <c r="F106" i="3"/>
  <c r="L105" i="3"/>
  <c r="F105" i="3"/>
  <c r="L104" i="3"/>
  <c r="F104" i="3"/>
  <c r="L103" i="3"/>
  <c r="F103" i="3"/>
  <c r="L102" i="3"/>
  <c r="F102" i="3"/>
  <c r="L101" i="3"/>
  <c r="F101" i="3"/>
  <c r="L100" i="3"/>
  <c r="F100" i="3"/>
  <c r="L99" i="3"/>
  <c r="F99" i="3"/>
  <c r="L98" i="3"/>
  <c r="F98" i="3"/>
  <c r="L97" i="3"/>
  <c r="F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L96" i="3"/>
  <c r="F96" i="3"/>
  <c r="E95" i="3"/>
  <c r="E109" i="3" s="1"/>
  <c r="L94" i="3"/>
  <c r="F94" i="3"/>
  <c r="L93" i="3"/>
  <c r="F93" i="3"/>
  <c r="L92" i="3"/>
  <c r="F92" i="3"/>
  <c r="L91" i="3"/>
  <c r="F91" i="3"/>
  <c r="L90" i="3"/>
  <c r="F90" i="3"/>
  <c r="L89" i="3"/>
  <c r="F89" i="3"/>
  <c r="L88" i="3"/>
  <c r="F88" i="3"/>
  <c r="L87" i="3"/>
  <c r="F87" i="3"/>
  <c r="L86" i="3"/>
  <c r="F86" i="3"/>
  <c r="L85" i="3"/>
  <c r="F85" i="3"/>
  <c r="L84" i="3"/>
  <c r="F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L83" i="3"/>
  <c r="F83" i="3"/>
  <c r="N82" i="3"/>
  <c r="D6" i="6" s="1"/>
  <c r="G6" i="6" s="1"/>
  <c r="E81" i="3"/>
  <c r="L80" i="3"/>
  <c r="F80" i="3"/>
  <c r="L79" i="3"/>
  <c r="F79" i="3"/>
  <c r="L78" i="3"/>
  <c r="F78" i="3"/>
  <c r="L77" i="3"/>
  <c r="F77" i="3"/>
  <c r="L76" i="3"/>
  <c r="F76" i="3"/>
  <c r="L75" i="3"/>
  <c r="F75" i="3"/>
  <c r="L74" i="3"/>
  <c r="F74" i="3"/>
  <c r="L73" i="3"/>
  <c r="F73" i="3"/>
  <c r="L72" i="3"/>
  <c r="F72" i="3"/>
  <c r="L71" i="3"/>
  <c r="F71" i="3"/>
  <c r="L70" i="3"/>
  <c r="F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L69" i="3"/>
  <c r="F69" i="3"/>
  <c r="E68" i="3"/>
  <c r="E82" i="3" s="1"/>
  <c r="L67" i="3"/>
  <c r="F67" i="3"/>
  <c r="L66" i="3"/>
  <c r="F66" i="3"/>
  <c r="L65" i="3"/>
  <c r="F65" i="3"/>
  <c r="L64" i="3"/>
  <c r="F64" i="3"/>
  <c r="L63" i="3"/>
  <c r="F63" i="3"/>
  <c r="L62" i="3"/>
  <c r="F62" i="3"/>
  <c r="L61" i="3"/>
  <c r="F61" i="3"/>
  <c r="L60" i="3"/>
  <c r="F60" i="3"/>
  <c r="L59" i="3"/>
  <c r="F59" i="3"/>
  <c r="L58" i="3"/>
  <c r="F58" i="3"/>
  <c r="L57" i="3"/>
  <c r="F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L56" i="3"/>
  <c r="L68" i="3" s="1"/>
  <c r="F56" i="3"/>
  <c r="N55" i="3"/>
  <c r="D5" i="6" s="1"/>
  <c r="E54" i="3"/>
  <c r="L53" i="3"/>
  <c r="F53" i="3"/>
  <c r="L52" i="3"/>
  <c r="F52" i="3"/>
  <c r="L51" i="3"/>
  <c r="F51" i="3"/>
  <c r="L50" i="3"/>
  <c r="F50" i="3"/>
  <c r="L49" i="3"/>
  <c r="F49" i="3"/>
  <c r="L48" i="3"/>
  <c r="F48" i="3"/>
  <c r="L47" i="3"/>
  <c r="F47" i="3"/>
  <c r="L46" i="3"/>
  <c r="F46" i="3"/>
  <c r="L45" i="3"/>
  <c r="F45" i="3"/>
  <c r="L44" i="3"/>
  <c r="F44" i="3"/>
  <c r="L43" i="3"/>
  <c r="F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L42" i="3"/>
  <c r="F42" i="3"/>
  <c r="E41" i="3"/>
  <c r="E55" i="3" s="1"/>
  <c r="L40" i="3"/>
  <c r="F40" i="3"/>
  <c r="L39" i="3"/>
  <c r="F39" i="3"/>
  <c r="L38" i="3"/>
  <c r="F38" i="3"/>
  <c r="L37" i="3"/>
  <c r="F37" i="3"/>
  <c r="L36" i="3"/>
  <c r="F36" i="3"/>
  <c r="L35" i="3"/>
  <c r="F35" i="3"/>
  <c r="L34" i="3"/>
  <c r="F34" i="3"/>
  <c r="L33" i="3"/>
  <c r="F33" i="3"/>
  <c r="L32" i="3"/>
  <c r="F32" i="3"/>
  <c r="L31" i="3"/>
  <c r="F31" i="3"/>
  <c r="L30" i="3"/>
  <c r="F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L29" i="3"/>
  <c r="L41" i="3" s="1"/>
  <c r="F29" i="3"/>
  <c r="F41" i="3" s="1"/>
  <c r="N28" i="3"/>
  <c r="D4" i="6" s="1"/>
  <c r="G4" i="6" s="1"/>
  <c r="E27" i="3"/>
  <c r="L26" i="3"/>
  <c r="F26" i="3"/>
  <c r="L25" i="3"/>
  <c r="F25" i="3"/>
  <c r="L24" i="3"/>
  <c r="F24" i="3"/>
  <c r="L23" i="3"/>
  <c r="F23" i="3"/>
  <c r="L22" i="3"/>
  <c r="F22" i="3"/>
  <c r="L21" i="3"/>
  <c r="F21" i="3"/>
  <c r="L20" i="3"/>
  <c r="F20" i="3"/>
  <c r="L19" i="3"/>
  <c r="F19" i="3"/>
  <c r="L18" i="3"/>
  <c r="F18" i="3"/>
  <c r="L17" i="3"/>
  <c r="F17" i="3"/>
  <c r="L16" i="3"/>
  <c r="F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L15" i="3"/>
  <c r="G15" i="3"/>
  <c r="F15" i="3"/>
  <c r="E14" i="3"/>
  <c r="L13" i="3"/>
  <c r="H13" i="3"/>
  <c r="F13" i="3"/>
  <c r="L12" i="3"/>
  <c r="F12" i="3"/>
  <c r="L11" i="3"/>
  <c r="F11" i="3"/>
  <c r="L10" i="3"/>
  <c r="F10" i="3"/>
  <c r="L9" i="3"/>
  <c r="F9" i="3"/>
  <c r="L8" i="3"/>
  <c r="F8" i="3"/>
  <c r="L7" i="3"/>
  <c r="F7" i="3"/>
  <c r="L6" i="3"/>
  <c r="F6" i="3"/>
  <c r="L5" i="3"/>
  <c r="F5" i="3"/>
  <c r="L4" i="3"/>
  <c r="F4" i="3"/>
  <c r="L3" i="3"/>
  <c r="F3" i="3"/>
  <c r="B3" i="3"/>
  <c r="B4" i="3" s="1"/>
  <c r="B5" i="3" s="1"/>
  <c r="L2" i="3"/>
  <c r="F2" i="3"/>
  <c r="L14" i="2" l="1"/>
  <c r="F27" i="2"/>
  <c r="G31" i="2"/>
  <c r="B32" i="2"/>
  <c r="B33" i="2" s="1"/>
  <c r="B34" i="2" s="1"/>
  <c r="B35" i="2" s="1"/>
  <c r="B36" i="2" s="1"/>
  <c r="B37" i="2" s="1"/>
  <c r="B38" i="2" s="1"/>
  <c r="B39" i="2" s="1"/>
  <c r="B40" i="2" s="1"/>
  <c r="I31" i="2"/>
  <c r="H31" i="2"/>
  <c r="F41" i="2"/>
  <c r="F81" i="2"/>
  <c r="F82" i="2" s="1"/>
  <c r="F135" i="2"/>
  <c r="F176" i="2"/>
  <c r="L176" i="2"/>
  <c r="L189" i="2"/>
  <c r="L594" i="2"/>
  <c r="L621" i="2"/>
  <c r="F648" i="2"/>
  <c r="L648" i="2"/>
  <c r="L649" i="2" s="1"/>
  <c r="E649" i="2"/>
  <c r="L662" i="2"/>
  <c r="E703" i="2"/>
  <c r="F729" i="2"/>
  <c r="F743" i="2"/>
  <c r="B765" i="2"/>
  <c r="B766" i="2" s="1"/>
  <c r="B767" i="2" s="1"/>
  <c r="B768" i="2" s="1"/>
  <c r="B769" i="2" s="1"/>
  <c r="F770" i="2"/>
  <c r="F783" i="2"/>
  <c r="F594" i="2"/>
  <c r="E595" i="2"/>
  <c r="L567" i="2"/>
  <c r="F540" i="2"/>
  <c r="F513" i="2"/>
  <c r="N352" i="5"/>
  <c r="F16" i="6" s="1"/>
  <c r="E514" i="2"/>
  <c r="E28" i="3"/>
  <c r="F108" i="3"/>
  <c r="L108" i="3"/>
  <c r="F122" i="3"/>
  <c r="F149" i="3"/>
  <c r="F189" i="3"/>
  <c r="L189" i="3"/>
  <c r="F216" i="3"/>
  <c r="E217" i="3"/>
  <c r="L230" i="3"/>
  <c r="L243" i="3"/>
  <c r="L324" i="3"/>
  <c r="F513" i="3"/>
  <c r="L513" i="3"/>
  <c r="L527" i="3"/>
  <c r="F540" i="3"/>
  <c r="F554" i="3"/>
  <c r="F568" i="3" s="1"/>
  <c r="L594" i="3"/>
  <c r="F594" i="3"/>
  <c r="E595" i="3"/>
  <c r="E622" i="3"/>
  <c r="E703" i="3"/>
  <c r="L729" i="3"/>
  <c r="E730" i="3"/>
  <c r="E757" i="3"/>
  <c r="F770" i="3"/>
  <c r="L770" i="3"/>
  <c r="F810" i="3"/>
  <c r="L810" i="3"/>
  <c r="F486" i="2"/>
  <c r="F473" i="2"/>
  <c r="F487" i="2" s="1"/>
  <c r="E487" i="2"/>
  <c r="F446" i="3"/>
  <c r="L446" i="3"/>
  <c r="L432" i="2"/>
  <c r="L405" i="2"/>
  <c r="L405" i="3"/>
  <c r="L392" i="3"/>
  <c r="L406" i="3" s="1"/>
  <c r="E406" i="2"/>
  <c r="L378" i="2"/>
  <c r="E379" i="2"/>
  <c r="G16" i="6"/>
  <c r="F338" i="2"/>
  <c r="F324" i="3"/>
  <c r="F311" i="2"/>
  <c r="E325" i="2"/>
  <c r="E325" i="3"/>
  <c r="L41" i="4"/>
  <c r="E55" i="4"/>
  <c r="F68" i="4"/>
  <c r="E82" i="4"/>
  <c r="L95" i="4"/>
  <c r="F135" i="4"/>
  <c r="L135" i="4"/>
  <c r="L149" i="4"/>
  <c r="L163" i="4" s="1"/>
  <c r="F189" i="4"/>
  <c r="F203" i="4"/>
  <c r="L216" i="4"/>
  <c r="E406" i="4"/>
  <c r="L432" i="4"/>
  <c r="F432" i="4"/>
  <c r="F446" i="4"/>
  <c r="F527" i="4"/>
  <c r="F541" i="4" s="1"/>
  <c r="L567" i="4"/>
  <c r="L581" i="4"/>
  <c r="L635" i="4"/>
  <c r="F635" i="4"/>
  <c r="F648" i="4"/>
  <c r="L648" i="4"/>
  <c r="L689" i="4"/>
  <c r="L702" i="4"/>
  <c r="L716" i="4"/>
  <c r="F729" i="4"/>
  <c r="E730" i="4"/>
  <c r="L743" i="4"/>
  <c r="F783" i="4"/>
  <c r="L810" i="4"/>
  <c r="G8" i="6"/>
  <c r="G13" i="6"/>
  <c r="G19" i="6"/>
  <c r="G12" i="6"/>
  <c r="G32" i="6"/>
  <c r="F27" i="5"/>
  <c r="L27" i="5"/>
  <c r="L81" i="5"/>
  <c r="L149" i="5"/>
  <c r="F176" i="5"/>
  <c r="L176" i="5"/>
  <c r="L216" i="5"/>
  <c r="L217" i="5" s="1"/>
  <c r="F257" i="5"/>
  <c r="F324" i="5"/>
  <c r="L365" i="5"/>
  <c r="L432" i="5"/>
  <c r="F432" i="5"/>
  <c r="F473" i="5"/>
  <c r="L513" i="5"/>
  <c r="E514" i="5"/>
  <c r="F567" i="5"/>
  <c r="F594" i="5"/>
  <c r="L648" i="5"/>
  <c r="F689" i="5"/>
  <c r="F702" i="5"/>
  <c r="F743" i="5"/>
  <c r="E784" i="5"/>
  <c r="F797" i="5"/>
  <c r="G18" i="6"/>
  <c r="G23" i="6"/>
  <c r="G29" i="6"/>
  <c r="L270" i="3"/>
  <c r="L270" i="4"/>
  <c r="F270" i="4"/>
  <c r="F270" i="5"/>
  <c r="E271" i="5"/>
  <c r="G26" i="6"/>
  <c r="G9" i="6"/>
  <c r="G5" i="6"/>
  <c r="G22" i="6"/>
  <c r="G33" i="6"/>
  <c r="G24" i="6"/>
  <c r="G11" i="6"/>
  <c r="G30" i="6"/>
  <c r="L473" i="2"/>
  <c r="F257" i="4"/>
  <c r="F271" i="4" s="1"/>
  <c r="F486" i="5"/>
  <c r="F487" i="5" s="1"/>
  <c r="F27" i="3"/>
  <c r="L351" i="3"/>
  <c r="L352" i="3" s="1"/>
  <c r="F270" i="2"/>
  <c r="F500" i="2"/>
  <c r="F514" i="2" s="1"/>
  <c r="L446" i="4"/>
  <c r="F621" i="4"/>
  <c r="L486" i="5"/>
  <c r="L41" i="2"/>
  <c r="L621" i="4"/>
  <c r="F729" i="3"/>
  <c r="G5" i="3"/>
  <c r="B6" i="3"/>
  <c r="B7" i="3" s="1"/>
  <c r="I5" i="3"/>
  <c r="F419" i="3"/>
  <c r="G17" i="3"/>
  <c r="F54" i="3"/>
  <c r="F55" i="3" s="1"/>
  <c r="L581" i="3"/>
  <c r="L595" i="3" s="1"/>
  <c r="L28" i="2"/>
  <c r="L297" i="3"/>
  <c r="F648" i="3"/>
  <c r="F527" i="2"/>
  <c r="F541" i="2" s="1"/>
  <c r="L392" i="4"/>
  <c r="L284" i="3"/>
  <c r="L648" i="3"/>
  <c r="L649" i="3" s="1"/>
  <c r="L756" i="4"/>
  <c r="L54" i="5"/>
  <c r="L244" i="3"/>
  <c r="F203" i="2"/>
  <c r="F217" i="2" s="1"/>
  <c r="L757" i="4"/>
  <c r="F486" i="3"/>
  <c r="L756" i="3"/>
  <c r="F311" i="3"/>
  <c r="F325" i="3" s="1"/>
  <c r="F621" i="3"/>
  <c r="L122" i="3"/>
  <c r="L743" i="2"/>
  <c r="F81" i="5"/>
  <c r="F257" i="2"/>
  <c r="F271" i="2" s="1"/>
  <c r="F284" i="3"/>
  <c r="L68" i="4"/>
  <c r="F297" i="3"/>
  <c r="L135" i="2"/>
  <c r="F702" i="2"/>
  <c r="F649" i="4"/>
  <c r="L486" i="3"/>
  <c r="F419" i="2"/>
  <c r="F433" i="2" s="1"/>
  <c r="F541" i="3"/>
  <c r="L162" i="2"/>
  <c r="L230" i="4"/>
  <c r="L257" i="3"/>
  <c r="L271" i="3" s="1"/>
  <c r="L621" i="3"/>
  <c r="L702" i="3"/>
  <c r="L729" i="5"/>
  <c r="L730" i="5" s="1"/>
  <c r="L324" i="5"/>
  <c r="F378" i="5"/>
  <c r="F108" i="4"/>
  <c r="F109" i="4" s="1"/>
  <c r="L108" i="4"/>
  <c r="L109" i="4" s="1"/>
  <c r="F649" i="3"/>
  <c r="F230" i="2"/>
  <c r="F244" i="2" s="1"/>
  <c r="F392" i="4"/>
  <c r="F149" i="5"/>
  <c r="L122" i="4"/>
  <c r="L136" i="4" s="1"/>
  <c r="L419" i="2"/>
  <c r="L433" i="2" s="1"/>
  <c r="L730" i="4"/>
  <c r="L311" i="3"/>
  <c r="L325" i="3" s="1"/>
  <c r="L14" i="3"/>
  <c r="L27" i="3"/>
  <c r="F14" i="2"/>
  <c r="F28" i="2" s="1"/>
  <c r="L541" i="4"/>
  <c r="L689" i="5"/>
  <c r="L459" i="3"/>
  <c r="L460" i="3" s="1"/>
  <c r="F500" i="3"/>
  <c r="F514" i="3" s="1"/>
  <c r="F122" i="2"/>
  <c r="F136" i="2" s="1"/>
  <c r="L581" i="2"/>
  <c r="L595" i="2" s="1"/>
  <c r="L675" i="4"/>
  <c r="F122" i="5"/>
  <c r="L567" i="5"/>
  <c r="L540" i="3"/>
  <c r="L541" i="3" s="1"/>
  <c r="F338" i="5"/>
  <c r="L54" i="3"/>
  <c r="L55" i="3" s="1"/>
  <c r="F176" i="3"/>
  <c r="F190" i="3" s="1"/>
  <c r="F203" i="3"/>
  <c r="F217" i="3" s="1"/>
  <c r="L513" i="4"/>
  <c r="L527" i="5"/>
  <c r="F675" i="2"/>
  <c r="F797" i="3"/>
  <c r="F811" i="3" s="1"/>
  <c r="F365" i="4"/>
  <c r="F486" i="4"/>
  <c r="L594" i="4"/>
  <c r="L595" i="4" s="1"/>
  <c r="F378" i="3"/>
  <c r="F379" i="3" s="1"/>
  <c r="L54" i="2"/>
  <c r="L783" i="2"/>
  <c r="G28" i="6"/>
  <c r="F54" i="2"/>
  <c r="F55" i="2" s="1"/>
  <c r="F365" i="2"/>
  <c r="F379" i="2" s="1"/>
  <c r="L702" i="2"/>
  <c r="F689" i="3"/>
  <c r="F338" i="4"/>
  <c r="L783" i="5"/>
  <c r="E190" i="3"/>
  <c r="L689" i="3"/>
  <c r="L230" i="2"/>
  <c r="L244" i="2" s="1"/>
  <c r="F622" i="2"/>
  <c r="L203" i="4"/>
  <c r="L217" i="4" s="1"/>
  <c r="L324" i="4"/>
  <c r="F487" i="4"/>
  <c r="L338" i="5"/>
  <c r="L176" i="3"/>
  <c r="L190" i="3" s="1"/>
  <c r="F432" i="3"/>
  <c r="L324" i="2"/>
  <c r="L325" i="2" s="1"/>
  <c r="F594" i="4"/>
  <c r="F271" i="5"/>
  <c r="F41" i="4"/>
  <c r="L297" i="5"/>
  <c r="L298" i="5" s="1"/>
  <c r="L500" i="5"/>
  <c r="L514" i="5" s="1"/>
  <c r="F324" i="2"/>
  <c r="F325" i="2" s="1"/>
  <c r="L486" i="4"/>
  <c r="G21" i="6"/>
  <c r="F392" i="2"/>
  <c r="F446" i="2"/>
  <c r="F460" i="2" s="1"/>
  <c r="F581" i="2"/>
  <c r="F595" i="2" s="1"/>
  <c r="F189" i="5"/>
  <c r="F190" i="5" s="1"/>
  <c r="L581" i="5"/>
  <c r="L95" i="3"/>
  <c r="L109" i="3" s="1"/>
  <c r="L486" i="2"/>
  <c r="F811" i="4"/>
  <c r="F540" i="5"/>
  <c r="L95" i="2"/>
  <c r="L365" i="2"/>
  <c r="L379" i="2" s="1"/>
  <c r="F311" i="5"/>
  <c r="F325" i="5" s="1"/>
  <c r="F270" i="3"/>
  <c r="L392" i="2"/>
  <c r="L406" i="2" s="1"/>
  <c r="F567" i="4"/>
  <c r="F216" i="5"/>
  <c r="F217" i="5" s="1"/>
  <c r="L311" i="5"/>
  <c r="L325" i="5" s="1"/>
  <c r="L608" i="3"/>
  <c r="F716" i="3"/>
  <c r="F730" i="3" s="1"/>
  <c r="F95" i="2"/>
  <c r="L338" i="2"/>
  <c r="F716" i="2"/>
  <c r="F730" i="2" s="1"/>
  <c r="L257" i="4"/>
  <c r="L271" i="4" s="1"/>
  <c r="F743" i="4"/>
  <c r="F554" i="5"/>
  <c r="F568" i="5" s="1"/>
  <c r="L743" i="5"/>
  <c r="L757" i="5" s="1"/>
  <c r="F162" i="3"/>
  <c r="F163" i="3" s="1"/>
  <c r="F581" i="3"/>
  <c r="F595" i="3" s="1"/>
  <c r="L716" i="3"/>
  <c r="L730" i="3" s="1"/>
  <c r="L473" i="3"/>
  <c r="F27" i="4"/>
  <c r="L284" i="4"/>
  <c r="L378" i="3"/>
  <c r="L379" i="3" s="1"/>
  <c r="L149" i="3"/>
  <c r="L163" i="3" s="1"/>
  <c r="L81" i="2"/>
  <c r="L82" i="2" s="1"/>
  <c r="F81" i="4"/>
  <c r="F82" i="4" s="1"/>
  <c r="L365" i="4"/>
  <c r="L203" i="3"/>
  <c r="F297" i="2"/>
  <c r="L487" i="4"/>
  <c r="F297" i="5"/>
  <c r="F298" i="5" s="1"/>
  <c r="F500" i="5"/>
  <c r="F514" i="5" s="1"/>
  <c r="L675" i="2"/>
  <c r="L676" i="2" s="1"/>
  <c r="L797" i="3"/>
  <c r="L811" i="3" s="1"/>
  <c r="L122" i="2"/>
  <c r="L136" i="2" s="1"/>
  <c r="E217" i="2"/>
  <c r="E244" i="3"/>
  <c r="F608" i="3"/>
  <c r="L662" i="3"/>
  <c r="L676" i="3" s="1"/>
  <c r="F243" i="5"/>
  <c r="F635" i="5"/>
  <c r="F649" i="5" s="1"/>
  <c r="L459" i="4"/>
  <c r="L635" i="5"/>
  <c r="L649" i="5" s="1"/>
  <c r="L216" i="3"/>
  <c r="F392" i="3"/>
  <c r="L554" i="2"/>
  <c r="L568" i="2" s="1"/>
  <c r="L716" i="2"/>
  <c r="L730" i="2" s="1"/>
  <c r="L756" i="2"/>
  <c r="F284" i="4"/>
  <c r="L554" i="5"/>
  <c r="L568" i="5" s="1"/>
  <c r="F135" i="3"/>
  <c r="F136" i="3" s="1"/>
  <c r="G14" i="6"/>
  <c r="H32" i="2"/>
  <c r="L135" i="3"/>
  <c r="L500" i="3"/>
  <c r="L514" i="3" s="1"/>
  <c r="I32" i="2"/>
  <c r="F162" i="2"/>
  <c r="L500" i="4"/>
  <c r="F446" i="5"/>
  <c r="F460" i="5" s="1"/>
  <c r="L702" i="5"/>
  <c r="F716" i="5"/>
  <c r="L608" i="2"/>
  <c r="L622" i="2" s="1"/>
  <c r="L338" i="4"/>
  <c r="F351" i="2"/>
  <c r="F352" i="2" s="1"/>
  <c r="E541" i="2"/>
  <c r="F797" i="2"/>
  <c r="F811" i="2" s="1"/>
  <c r="F149" i="2"/>
  <c r="F54" i="4"/>
  <c r="F230" i="3"/>
  <c r="F244" i="3" s="1"/>
  <c r="F338" i="3"/>
  <c r="L54" i="4"/>
  <c r="L55" i="4" s="1"/>
  <c r="F257" i="3"/>
  <c r="F271" i="3" s="1"/>
  <c r="F189" i="2"/>
  <c r="F190" i="2" s="1"/>
  <c r="L797" i="2"/>
  <c r="L811" i="2" s="1"/>
  <c r="L662" i="5"/>
  <c r="L783" i="3"/>
  <c r="L784" i="3" s="1"/>
  <c r="F662" i="2"/>
  <c r="F676" i="2" s="1"/>
  <c r="F216" i="4"/>
  <c r="F217" i="4" s="1"/>
  <c r="L14" i="5"/>
  <c r="L28" i="5" s="1"/>
  <c r="L41" i="5"/>
  <c r="F770" i="5"/>
  <c r="F784" i="5" s="1"/>
  <c r="F108" i="2"/>
  <c r="E271" i="2"/>
  <c r="L513" i="2"/>
  <c r="L514" i="2" s="1"/>
  <c r="L689" i="2"/>
  <c r="E190" i="4"/>
  <c r="L243" i="4"/>
  <c r="F419" i="5"/>
  <c r="F433" i="5" s="1"/>
  <c r="L81" i="3"/>
  <c r="L82" i="3" s="1"/>
  <c r="L743" i="3"/>
  <c r="F567" i="2"/>
  <c r="F568" i="2" s="1"/>
  <c r="F14" i="5"/>
  <c r="F28" i="5" s="1"/>
  <c r="L473" i="5"/>
  <c r="L189" i="4"/>
  <c r="L351" i="4"/>
  <c r="F392" i="5"/>
  <c r="F406" i="5" s="1"/>
  <c r="E460" i="5"/>
  <c r="G20" i="6"/>
  <c r="G31" i="6"/>
  <c r="E460" i="2"/>
  <c r="F419" i="4"/>
  <c r="F433" i="4" s="1"/>
  <c r="L797" i="4"/>
  <c r="L811" i="4" s="1"/>
  <c r="F675" i="5"/>
  <c r="L81" i="4"/>
  <c r="L122" i="5"/>
  <c r="L136" i="5" s="1"/>
  <c r="L378" i="5"/>
  <c r="L379" i="5" s="1"/>
  <c r="F459" i="4"/>
  <c r="F460" i="4" s="1"/>
  <c r="F783" i="3"/>
  <c r="F784" i="3" s="1"/>
  <c r="L216" i="2"/>
  <c r="L217" i="2" s="1"/>
  <c r="L351" i="2"/>
  <c r="F41" i="5"/>
  <c r="F702" i="3"/>
  <c r="C34" i="6"/>
  <c r="L149" i="2"/>
  <c r="L163" i="2" s="1"/>
  <c r="F689" i="2"/>
  <c r="F703" i="2" s="1"/>
  <c r="F243" i="4"/>
  <c r="F68" i="3"/>
  <c r="F81" i="3"/>
  <c r="F743" i="3"/>
  <c r="F68" i="5"/>
  <c r="L189" i="5"/>
  <c r="L190" i="5" s="1"/>
  <c r="F608" i="5"/>
  <c r="L770" i="5"/>
  <c r="L108" i="2"/>
  <c r="L68" i="5"/>
  <c r="L82" i="5" s="1"/>
  <c r="E487" i="5"/>
  <c r="L608" i="5"/>
  <c r="L675" i="5"/>
  <c r="F351" i="3"/>
  <c r="G17" i="6"/>
  <c r="L432" i="3"/>
  <c r="L433" i="3" s="1"/>
  <c r="F473" i="3"/>
  <c r="F487" i="3" s="1"/>
  <c r="L554" i="3"/>
  <c r="L568" i="3" s="1"/>
  <c r="E28" i="2"/>
  <c r="L270" i="2"/>
  <c r="L271" i="2" s="1"/>
  <c r="L297" i="2"/>
  <c r="L298" i="2" s="1"/>
  <c r="L540" i="2"/>
  <c r="L541" i="2" s="1"/>
  <c r="L419" i="4"/>
  <c r="L433" i="4" s="1"/>
  <c r="F756" i="4"/>
  <c r="F581" i="5"/>
  <c r="F595" i="5" s="1"/>
  <c r="E34" i="6"/>
  <c r="E352" i="3"/>
  <c r="F459" i="3"/>
  <c r="F460" i="3" s="1"/>
  <c r="F108" i="5"/>
  <c r="E163" i="2"/>
  <c r="F14" i="4"/>
  <c r="F28" i="4" s="1"/>
  <c r="F122" i="4"/>
  <c r="F136" i="4" s="1"/>
  <c r="F149" i="4"/>
  <c r="F163" i="4" s="1"/>
  <c r="F176" i="4"/>
  <c r="F190" i="4" s="1"/>
  <c r="F351" i="4"/>
  <c r="F554" i="4"/>
  <c r="F568" i="4" s="1"/>
  <c r="L662" i="4"/>
  <c r="L676" i="4" s="1"/>
  <c r="L594" i="5"/>
  <c r="F34" i="6"/>
  <c r="F324" i="4"/>
  <c r="F608" i="4"/>
  <c r="F622" i="4" s="1"/>
  <c r="L419" i="5"/>
  <c r="L433" i="5" s="1"/>
  <c r="F14" i="3"/>
  <c r="F405" i="3"/>
  <c r="F662" i="4"/>
  <c r="F716" i="4"/>
  <c r="F730" i="4" s="1"/>
  <c r="L162" i="5"/>
  <c r="L163" i="5" s="1"/>
  <c r="F621" i="5"/>
  <c r="F756" i="3"/>
  <c r="G32" i="2"/>
  <c r="F284" i="2"/>
  <c r="F298" i="2" s="1"/>
  <c r="L770" i="2"/>
  <c r="L784" i="2" s="1"/>
  <c r="L176" i="4"/>
  <c r="L297" i="4"/>
  <c r="F689" i="4"/>
  <c r="F703" i="4" s="1"/>
  <c r="F54" i="5"/>
  <c r="F527" i="5"/>
  <c r="L540" i="5"/>
  <c r="F311" i="4"/>
  <c r="F351" i="5"/>
  <c r="L797" i="5"/>
  <c r="F675" i="3"/>
  <c r="F676" i="3" s="1"/>
  <c r="F405" i="2"/>
  <c r="L311" i="4"/>
  <c r="L378" i="4"/>
  <c r="F581" i="4"/>
  <c r="F595" i="4" s="1"/>
  <c r="F675" i="4"/>
  <c r="L351" i="5"/>
  <c r="L405" i="5"/>
  <c r="G7" i="6"/>
  <c r="E730" i="2"/>
  <c r="L27" i="4"/>
  <c r="F297" i="4"/>
  <c r="F405" i="4"/>
  <c r="L608" i="4"/>
  <c r="L770" i="4"/>
  <c r="L784" i="4" s="1"/>
  <c r="L108" i="5"/>
  <c r="L257" i="5"/>
  <c r="L271" i="5" s="1"/>
  <c r="L459" i="5"/>
  <c r="L460" i="5" s="1"/>
  <c r="L810" i="5"/>
  <c r="F95" i="3"/>
  <c r="F109" i="3" s="1"/>
  <c r="G27" i="6"/>
  <c r="E568" i="2"/>
  <c r="L405" i="4"/>
  <c r="E163" i="5"/>
  <c r="E541" i="3"/>
  <c r="F770" i="4"/>
  <c r="F784" i="4" s="1"/>
  <c r="L230" i="5"/>
  <c r="L244" i="5" s="1"/>
  <c r="F810" i="5"/>
  <c r="F811" i="5" s="1"/>
  <c r="L554" i="4"/>
  <c r="L568" i="4" s="1"/>
  <c r="E703" i="4"/>
  <c r="L446" i="2"/>
  <c r="L460" i="2" s="1"/>
  <c r="F230" i="4"/>
  <c r="F729" i="5"/>
  <c r="D34" i="6"/>
  <c r="F635" i="2"/>
  <c r="F649" i="2" s="1"/>
  <c r="L14" i="4"/>
  <c r="L28" i="4" s="1"/>
  <c r="L95" i="5"/>
  <c r="L109" i="5" s="1"/>
  <c r="F162" i="5"/>
  <c r="F230" i="5"/>
  <c r="F244" i="5" s="1"/>
  <c r="L392" i="5"/>
  <c r="L406" i="5" s="1"/>
  <c r="F135" i="5"/>
  <c r="F662" i="5"/>
  <c r="F756" i="2"/>
  <c r="F757" i="2" s="1"/>
  <c r="E163" i="4"/>
  <c r="F95" i="5"/>
  <c r="F365" i="5"/>
  <c r="F379" i="5" s="1"/>
  <c r="F756" i="5"/>
  <c r="F757" i="5" s="1"/>
  <c r="F378" i="4"/>
  <c r="L621" i="5"/>
  <c r="F109" i="2" l="1"/>
  <c r="L109" i="2"/>
  <c r="L757" i="2"/>
  <c r="L55" i="2"/>
  <c r="F784" i="2"/>
  <c r="L190" i="2"/>
  <c r="L217" i="3"/>
  <c r="L28" i="3"/>
  <c r="F433" i="3"/>
  <c r="F406" i="3"/>
  <c r="F406" i="2"/>
  <c r="L379" i="4"/>
  <c r="F757" i="4"/>
  <c r="L244" i="4"/>
  <c r="L406" i="4"/>
  <c r="L460" i="4"/>
  <c r="L703" i="4"/>
  <c r="L649" i="4"/>
  <c r="F298" i="3"/>
  <c r="L811" i="5"/>
  <c r="L622" i="5"/>
  <c r="L676" i="5"/>
  <c r="L541" i="5"/>
  <c r="L703" i="5"/>
  <c r="F703" i="5"/>
  <c r="H33" i="2"/>
  <c r="L595" i="5"/>
  <c r="G34" i="6"/>
  <c r="F82" i="3"/>
  <c r="F325" i="4"/>
  <c r="L622" i="4"/>
  <c r="F352" i="5"/>
  <c r="F163" i="5"/>
  <c r="F244" i="4"/>
  <c r="L757" i="3"/>
  <c r="L352" i="2"/>
  <c r="F352" i="4"/>
  <c r="F136" i="5"/>
  <c r="G33" i="2"/>
  <c r="L622" i="3"/>
  <c r="L487" i="2"/>
  <c r="L703" i="2"/>
  <c r="F730" i="5"/>
  <c r="F109" i="5"/>
  <c r="F622" i="5"/>
  <c r="I33" i="2"/>
  <c r="F541" i="5"/>
  <c r="L136" i="3"/>
  <c r="L487" i="5"/>
  <c r="L703" i="3"/>
  <c r="G18" i="3"/>
  <c r="G19" i="3" s="1"/>
  <c r="L190" i="4"/>
  <c r="F55" i="5"/>
  <c r="F352" i="3"/>
  <c r="F298" i="4"/>
  <c r="F703" i="3"/>
  <c r="F406" i="4"/>
  <c r="F163" i="2"/>
  <c r="I6" i="3"/>
  <c r="I7" i="3" s="1"/>
  <c r="H7" i="3"/>
  <c r="B8" i="3"/>
  <c r="B9" i="3" s="1"/>
  <c r="B10" i="3" s="1"/>
  <c r="B11" i="3" s="1"/>
  <c r="B12" i="3" s="1"/>
  <c r="B13" i="3" s="1"/>
  <c r="G6" i="3"/>
  <c r="G10" i="3" s="1"/>
  <c r="L352" i="4"/>
  <c r="F55" i="4"/>
  <c r="L784" i="5"/>
  <c r="L298" i="3"/>
  <c r="L325" i="4"/>
  <c r="L55" i="5"/>
  <c r="L298" i="4"/>
  <c r="F28" i="3"/>
  <c r="F82" i="5"/>
  <c r="L514" i="4"/>
  <c r="F379" i="4"/>
  <c r="F676" i="4"/>
  <c r="F676" i="5"/>
  <c r="F757" i="3"/>
  <c r="F622" i="3"/>
  <c r="L487" i="3"/>
  <c r="L352" i="5"/>
  <c r="L82" i="4"/>
  <c r="G35" i="2" l="1"/>
  <c r="G36" i="2" s="1"/>
  <c r="I35" i="2"/>
  <c r="I36" i="2" s="1"/>
  <c r="H9" i="3"/>
  <c r="I9" i="3"/>
  <c r="G21" i="3"/>
  <c r="G23" i="3" s="1"/>
  <c r="H35" i="2"/>
  <c r="H36" i="2" s="1"/>
  <c r="H38" i="2" l="1"/>
  <c r="G24" i="3"/>
  <c r="G25" i="3"/>
  <c r="I38" i="2"/>
  <c r="G38" i="2"/>
  <c r="H10" i="3"/>
  <c r="H12" i="3" s="1"/>
  <c r="I10" i="3"/>
  <c r="I12" i="3" s="1"/>
  <c r="H15" i="3" l="1"/>
  <c r="I15" i="3"/>
  <c r="G39" i="2"/>
  <c r="I39" i="2"/>
  <c r="G30" i="3"/>
  <c r="H39" i="2"/>
  <c r="H40" i="2" s="1"/>
  <c r="I40" i="2" l="1"/>
  <c r="G40" i="2"/>
  <c r="H17" i="3"/>
  <c r="H42" i="2"/>
  <c r="H44" i="2" s="1"/>
  <c r="G31" i="3"/>
  <c r="I17" i="3"/>
  <c r="H18" i="3"/>
  <c r="I18" i="3"/>
  <c r="I19" i="3" l="1"/>
  <c r="H45" i="2"/>
  <c r="H19" i="3"/>
  <c r="G32" i="3"/>
  <c r="I21" i="3"/>
  <c r="G42" i="2"/>
  <c r="I42" i="2"/>
  <c r="I23" i="3" l="1"/>
  <c r="G33" i="3"/>
  <c r="G44" i="2"/>
  <c r="G45" i="2" s="1"/>
  <c r="H46" i="2"/>
  <c r="I44" i="2"/>
  <c r="H21" i="3"/>
  <c r="H23" i="3" s="1"/>
  <c r="I24" i="3" l="1"/>
  <c r="I25" i="3" s="1"/>
  <c r="H24" i="3"/>
  <c r="I45" i="2"/>
  <c r="I30" i="3"/>
  <c r="G35" i="3"/>
  <c r="G46" i="2"/>
  <c r="H47" i="2"/>
  <c r="H48" i="2" l="1"/>
  <c r="G36" i="3"/>
  <c r="G37" i="3"/>
  <c r="G39" i="3" s="1"/>
  <c r="H49" i="2"/>
  <c r="G47" i="2"/>
  <c r="I46" i="2"/>
  <c r="I31" i="3"/>
  <c r="I32" i="3" s="1"/>
  <c r="H25" i="3"/>
  <c r="H30" i="3" l="1"/>
  <c r="H50" i="2"/>
  <c r="I34" i="3"/>
  <c r="I47" i="2"/>
  <c r="G40" i="3"/>
  <c r="G48" i="2"/>
  <c r="G42" i="3" l="1"/>
  <c r="G49" i="2"/>
  <c r="I48" i="2"/>
  <c r="H31" i="3"/>
  <c r="G45" i="3"/>
  <c r="H51" i="2"/>
  <c r="H52" i="2" s="1"/>
  <c r="I49" i="2"/>
  <c r="I35" i="3"/>
  <c r="I36" i="3" s="1"/>
  <c r="H32" i="3" l="1"/>
  <c r="H53" i="2"/>
  <c r="I37" i="3"/>
  <c r="I50" i="2"/>
  <c r="G46" i="3"/>
  <c r="G50" i="2"/>
  <c r="G51" i="2" l="1"/>
  <c r="G47" i="3"/>
  <c r="G49" i="3" s="1"/>
  <c r="H34" i="3"/>
  <c r="I39" i="3"/>
  <c r="I40" i="3" s="1"/>
  <c r="I51" i="2"/>
  <c r="I42" i="3" l="1"/>
  <c r="H35" i="3"/>
  <c r="I45" i="3"/>
  <c r="H36" i="3"/>
  <c r="G52" i="2"/>
  <c r="G53" i="2" s="1"/>
  <c r="I52" i="2"/>
  <c r="I53" i="2" s="1"/>
  <c r="G50" i="3"/>
  <c r="G51" i="3" l="1"/>
  <c r="G52" i="3" s="1"/>
  <c r="H37" i="3"/>
  <c r="I46" i="3"/>
  <c r="I47" i="3" l="1"/>
  <c r="H39" i="3"/>
  <c r="G53" i="3"/>
  <c r="G57" i="3" l="1"/>
  <c r="I49" i="3"/>
  <c r="G58" i="3"/>
  <c r="H40" i="3"/>
  <c r="H42" i="3" l="1"/>
  <c r="I50" i="3"/>
  <c r="G59" i="3"/>
  <c r="G60" i="3" l="1"/>
  <c r="H45" i="3"/>
  <c r="I51" i="3"/>
  <c r="H46" i="3" l="1"/>
  <c r="H47" i="3" s="1"/>
  <c r="I52" i="3"/>
  <c r="G63" i="3"/>
  <c r="G66" i="3" s="1"/>
  <c r="G67" i="3" s="1"/>
  <c r="H49" i="3" l="1"/>
  <c r="I53" i="3"/>
  <c r="I57" i="3" s="1"/>
  <c r="H50" i="3" l="1"/>
  <c r="I58" i="3"/>
  <c r="I59" i="3" l="1"/>
  <c r="H51" i="3"/>
  <c r="H52" i="3" l="1"/>
  <c r="H53" i="3"/>
  <c r="I60" i="3"/>
  <c r="H57" i="3" l="1"/>
  <c r="I63" i="3"/>
  <c r="I66" i="3" s="1"/>
  <c r="I67" i="3" s="1"/>
  <c r="H58" i="3" l="1"/>
  <c r="H59" i="3"/>
  <c r="H60" i="3" l="1"/>
  <c r="H63" i="3"/>
  <c r="H66" i="3" l="1"/>
  <c r="H67" i="3" s="1"/>
</calcChain>
</file>

<file path=xl/sharedStrings.xml><?xml version="1.0" encoding="utf-8"?>
<sst xmlns="http://schemas.openxmlformats.org/spreadsheetml/2006/main" count="8423" uniqueCount="376">
  <si>
    <t>📊  RESUMO — TOTALIZADOR DA BALANÇA  |  JUNHO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</si>
  <si>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</si>
  <si>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</si>
  <si>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</si>
  <si>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</si>
  <si>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</si>
  <si>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</si>
  <si>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</si>
  <si>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</si>
  <si>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</si>
  <si>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</si>
  <si>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</si>
  <si>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</si>
  <si>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</si>
  <si>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</si>
  <si>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</si>
  <si>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</si>
  <si>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</si>
  <si>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</si>
  <si>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</si>
  <si>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</si>
  <si>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</si>
  <si>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</si>
  <si>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</si>
  <si>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</si>
  <si>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</si>
  <si>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</si>
  <si>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</si>
  <si>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</si>
  <si>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</si>
  <si>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</si>
  <si>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</si>
  <si>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</si>
  <si>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</si>
  <si>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</si>
  <si>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</si>
  <si>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</si>
  <si>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</si>
  <si>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</si>
  <si>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</si>
  <si>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</si>
  <si>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</si>
  <si>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</si>
  <si>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</si>
  <si>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</si>
  <si>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</si>
  <si>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</si>
  <si>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</si>
  <si>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</si>
  <si>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</si>
  <si>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</si>
  <si>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</si>
  <si>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</si>
  <si>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</si>
  <si>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</si>
  <si>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</si>
  <si>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</si>
  <si>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</si>
  <si>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</si>
  <si>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</si>
  <si>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</si>
  <si>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</si>
  <si>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</si>
  <si>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</si>
  <si>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</si>
  <si>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</si>
  <si>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</si>
  <si>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</si>
  <si>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</si>
  <si>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</si>
  <si>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</si>
  <si>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</si>
  <si>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</si>
  <si>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</si>
  <si>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</si>
  <si>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</si>
  <si>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</si>
  <si>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</si>
  <si>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</si>
  <si>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</si>
  <si>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</si>
  <si>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</si>
  <si>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</si>
  <si>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</si>
  <si>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</si>
  <si>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</si>
  <si>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</si>
  <si>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</si>
  <si>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</si>
  <si>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</si>
  <si>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</si>
  <si>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</si>
  <si>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</si>
  <si>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</si>
  <si>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</si>
  <si>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</si>
  <si>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ajuste no ip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</si>
  <si>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</si>
  <si>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</si>
  <si>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</si>
  <si>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</si>
  <si>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</si>
  <si>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</si>
  <si>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</si>
  <si>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</si>
  <si>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</si>
  <si>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</si>
  <si>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</si>
  <si>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</si>
  <si>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</si>
  <si>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arrenbentou as correia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</si>
  <si>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</si>
  <si>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</si>
  <si>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</si>
  <si>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</si>
  <si>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</si>
  <si>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</si>
  <si>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</si>
  <si>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</si>
  <si>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</si>
  <si>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</si>
  <si>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</si>
  <si>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</si>
  <si>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</si>
  <si>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</si>
  <si>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</si>
  <si>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</si>
  <si>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</si>
  <si>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</si>
  <si>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</si>
  <si>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</si>
  <si>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</si>
  <si>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</si>
  <si>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</si>
  <si>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</si>
  <si>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</si>
  <si>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</si>
  <si>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</si>
  <si>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</si>
  <si>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</si>
  <si>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</si>
  <si>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</si>
  <si>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</si>
  <si>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</si>
  <si>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</si>
  <si>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</si>
  <si>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</si>
  <si>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</si>
  <si>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</si>
  <si>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</si>
  <si>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</si>
  <si>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</si>
  <si>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</si>
  <si>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</si>
  <si>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</si>
  <si>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</si>
  <si>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</si>
  <si>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</si>
  <si>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</si>
  <si>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</si>
  <si>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</si>
  <si>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</si>
  <si>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</si>
  <si>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</si>
  <si>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</si>
  <si>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</si>
  <si>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</si>
  <si>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</si>
  <si>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</si>
  <si>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</si>
  <si>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</si>
  <si>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desobstrucao do escanamento</t>
  </si>
  <si>
    <t>troca do bico do ciclone</t>
  </si>
  <si>
    <t>limpeza tc 2</t>
  </si>
  <si>
    <t>Material atrapalhando a troca do componente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</si>
  <si>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</si>
  <si>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</si>
  <si>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</si>
  <si>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</si>
  <si>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</si>
  <si>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Colocamento da trava da tampa</t>
  </si>
  <si>
    <t>Hora</t>
  </si>
  <si>
    <t>N° de Conchadas</t>
  </si>
  <si>
    <t>Produção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</si>
  <si>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</si>
  <si>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</si>
  <si>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</si>
  <si>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</si>
  <si>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</si>
  <si>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</si>
  <si>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Inspeção</t>
  </si>
  <si>
    <t>☀  TURNO DIURNO</t>
  </si>
  <si>
    <t>Totalizador da balança  ➜</t>
  </si>
  <si>
    <t>🌙  TURNO NOTURNO</t>
  </si>
  <si>
    <t>TOTAL GLOBAL DO DIA</t>
  </si>
  <si>
    <t>Totalizador global  ➜</t>
  </si>
  <si>
    <t>Manutenção TC2</t>
  </si>
  <si>
    <t>Refeição</t>
  </si>
  <si>
    <t xml:space="preserve">Lubrificação </t>
  </si>
  <si>
    <t>Limpeza</t>
  </si>
  <si>
    <t>e manutenção flange</t>
  </si>
  <si>
    <t>engraxamento dos mancais</t>
  </si>
  <si>
    <t>e limpeza na tc 2</t>
  </si>
  <si>
    <t>aperto do mancal e troca de parafuso</t>
  </si>
  <si>
    <t>5s na tc2</t>
  </si>
  <si>
    <t xml:space="preserve">troca do cavalete inferior da tc/ emenda de correia / troca dos mancais do rolo de tração </t>
  </si>
  <si>
    <t>moto do operador ficou sem combustível no caminho</t>
  </si>
  <si>
    <t>pedra grande na caixa</t>
  </si>
  <si>
    <t>Limpeza ma TC 2</t>
  </si>
  <si>
    <t>obstrução, limpeza</t>
  </si>
  <si>
    <t>foi feito solda nos cavalete dos rolete</t>
  </si>
  <si>
    <t>NA TC2</t>
  </si>
  <si>
    <t>solda na tampa</t>
  </si>
  <si>
    <t>manutencao eletrica</t>
  </si>
  <si>
    <t>manutencão da mancal</t>
  </si>
  <si>
    <t>conferencia de aperto dos rolamentos</t>
  </si>
  <si>
    <t>manutencão do mancal</t>
  </si>
  <si>
    <t>troca de pino</t>
  </si>
  <si>
    <t>sem material de estoque</t>
  </si>
  <si>
    <t>tc2 obstruída</t>
  </si>
  <si>
    <t xml:space="preserve">na tc02 material muito molhado </t>
  </si>
  <si>
    <t>tc 03 tc 02, britador intupido, virar as faca</t>
  </si>
  <si>
    <t>tc2</t>
  </si>
  <si>
    <t>troca de balata</t>
  </si>
  <si>
    <t>faze um servico de solda na tampa do britado</t>
  </si>
  <si>
    <t>faze um serviico de solda na flange que escapou</t>
  </si>
  <si>
    <t>rolete caiu e travou a TC3, limpeza na TC2</t>
  </si>
  <si>
    <t>pino quebrou</t>
  </si>
  <si>
    <t>limpeza tc3</t>
  </si>
  <si>
    <t>solda no mancal</t>
  </si>
  <si>
    <t>colocamento da trava da tampa</t>
  </si>
  <si>
    <t>engraxamento nos mancais e solda nos mancais</t>
  </si>
  <si>
    <t>Produção Linha 1
(Hora a Hora)</t>
  </si>
  <si>
    <t>Troca / reparo de eixo</t>
  </si>
  <si>
    <t>Troca de operação para manutenção dos bolas</t>
  </si>
  <si>
    <t>Regulagem / ajuste do nível da caixa de polpa</t>
  </si>
  <si>
    <t>Bomba de polpa 01 (8x6)</t>
  </si>
  <si>
    <t xml:space="preserve">Moinho de martelo 1 e 2 </t>
  </si>
  <si>
    <t>Troca / substituição de balata</t>
  </si>
  <si>
    <t>Hidrociclone 01</t>
  </si>
  <si>
    <t>Falha / obstrução no ciclone ou hidrociclone</t>
  </si>
  <si>
    <t>Falha ao partir - Moiho de bola parou cheio</t>
  </si>
  <si>
    <t>Troca de motor da bomba</t>
  </si>
  <si>
    <t>troca de grelhas, troca de martelo moinho 1 e 2</t>
  </si>
  <si>
    <t>e um sevico de solda na bica parado para roda so linha 2</t>
  </si>
  <si>
    <t>rodando linha 2 e 3 à pedido do supervisor</t>
  </si>
  <si>
    <t>pedra odstruiu  pasagem da alimentadora 19:55/20:02</t>
  </si>
  <si>
    <t xml:space="preserve">desobstruir moiho 01 pedra grade </t>
  </si>
  <si>
    <t>caiu uma barrada de ferro vindo do britador quebrou grelhas. troca de grelha e coloca as balata</t>
  </si>
  <si>
    <t>troca de grelha e coloca as balata</t>
  </si>
  <si>
    <t>blend de material de baixo teor com rabo de bica e caixa de polpa transbordando toda hora</t>
  </si>
  <si>
    <t>troca de martelo do moinho 2 e pedra grande na bica moinho 1</t>
  </si>
  <si>
    <t>aperto no mancal</t>
  </si>
  <si>
    <t>moega cheia</t>
  </si>
  <si>
    <t>moinho  2 moendo grosso linha 1</t>
  </si>
  <si>
    <t>OBSTRUCAO DA LINHA DE BYPASS E LIMPEZA INTERNA</t>
  </si>
  <si>
    <t>TROCA DE MARTELO PARA  PARAR COM A VIBRACAO E COLOCAR PARAFUSO DO REVESTIMENTO</t>
  </si>
  <si>
    <t>feito inspeção nos martelos</t>
  </si>
  <si>
    <t>sem material no pátio</t>
  </si>
  <si>
    <t>reparo em grelhas (moendo grosso)</t>
  </si>
  <si>
    <t>devido o material processado ser  muito denso por ser rabo de bica e material de barragem a caixa de polpa ficou cheia e tivemos que trabalhar com alimentação baixa motivo da baixa produtividade</t>
  </si>
  <si>
    <t>material da barragem de rejeito Pirâmide 2</t>
  </si>
  <si>
    <t>operando apenas moinho 1</t>
  </si>
  <si>
    <t>desarmando várias vezes no turno</t>
  </si>
  <si>
    <t>e faze um sevico de solda na bica e coloca o volante do moinho 02</t>
  </si>
  <si>
    <t>ferro no moinho</t>
  </si>
  <si>
    <t xml:space="preserve">quebrou a orelha do martelo e arrebentou as balatas </t>
  </si>
  <si>
    <t>solda no volante do moinho e aperto de mancal</t>
  </si>
  <si>
    <t>aperto de parafuso do mancal</t>
  </si>
  <si>
    <t>apertar parafuso do mancal</t>
  </si>
  <si>
    <t>colocar parafuso do revestimento</t>
  </si>
  <si>
    <t>seriviço de solda feito na caixa da hidrocliclone</t>
  </si>
  <si>
    <t>balata estourada, moinho 1 entupido</t>
  </si>
  <si>
    <t>ARREBENTOU ACOPLAMENTO DO BOLA 01</t>
  </si>
  <si>
    <t>19.00</t>
  </si>
  <si>
    <t>MOEGA CHEIA</t>
  </si>
  <si>
    <t>aperto de parafuso da balata</t>
  </si>
  <si>
    <t>bola 1 e 2 operando</t>
  </si>
  <si>
    <t>balata arrebentou</t>
  </si>
  <si>
    <t>e troca de martelo</t>
  </si>
  <si>
    <t>desobstrucao no hidrociclone e troca do apex</t>
  </si>
  <si>
    <t>e trocou martelo</t>
  </si>
  <si>
    <t>Após a queda de energia a bomba de polpa (8x6) da linha 1 não quis partir</t>
  </si>
  <si>
    <t>compressor de ar tinha desligado após a queda de energia</t>
  </si>
  <si>
    <t>apertar parafuso do macal</t>
  </si>
  <si>
    <t>pedra travada dentro do bujao que faz distribuicao do hidrociclone</t>
  </si>
  <si>
    <t>desobtrucão do encanamento da RDdo bola 01</t>
  </si>
  <si>
    <t>observacão mardelo quebrou</t>
  </si>
  <si>
    <t>balata soltou, troca de martelo mm1 e mm2</t>
  </si>
  <si>
    <t xml:space="preserve">quebrou orelha do mm2 -  servico de solda na bica  e coloca parafuso do revestimento do moinho 02 e grelhas </t>
  </si>
  <si>
    <t>caiu chapa de ferro do britador</t>
  </si>
  <si>
    <t>troca de martelo e grelha</t>
  </si>
  <si>
    <t>moinho 01 troca de martelo e reajute de queixo eadicionado duas grelhas</t>
  </si>
  <si>
    <t>troca de martelo e troca de grelhas  arrebentou a orelha do martelo nao terminaram antes porqe estava chovendo</t>
  </si>
  <si>
    <t xml:space="preserve">com o impacto do martelo quebrou o eixo vai roda so com o moinho 02 </t>
  </si>
  <si>
    <t>moinho 02 vai ter que faze isolamento no cabo do motor</t>
  </si>
  <si>
    <t>servico de solda nas grelhas</t>
  </si>
  <si>
    <t>moendo grosso reajuste no queixo e coloca parafuso do revestimento</t>
  </si>
  <si>
    <t>balata solta</t>
  </si>
  <si>
    <t>troca de grelhas no moiho 01 aperto de parafuso do revestimento</t>
  </si>
  <si>
    <t>obstrucao na bica</t>
  </si>
  <si>
    <t>15;14</t>
  </si>
  <si>
    <t>lubrificaçao geral, falha nas bombas de polpa 1, 2 4 e rejeito</t>
  </si>
  <si>
    <t xml:space="preserve">falha ao partir </t>
  </si>
  <si>
    <t>troca de rolamento do moinho 01, operando apenas moinho 02</t>
  </si>
  <si>
    <t>troca de rolamento mm1</t>
  </si>
  <si>
    <t>Produção Linha 2
(Hora a Hora)</t>
  </si>
  <si>
    <t>Bomba de polpa 02 (6x4)</t>
  </si>
  <si>
    <t>caixa do rejeito não suporta operar linha 1 e 2 operando, sendo necessário troca de motor da bomba</t>
  </si>
  <si>
    <t xml:space="preserve"> fallha no moinho da linha 2 e ostrução </t>
  </si>
  <si>
    <t xml:space="preserve">blend de material de baixo teor com rabo de bica caixa de polpa transbordando toda hora </t>
  </si>
  <si>
    <t>troca de martelo do moinho 3</t>
  </si>
  <si>
    <t>devido o material processado ser  muito denso (material de barragem) a caixa de polpa ficou cheia e tivemos que trabalhar com alimentação baixa motivo da baixa produtividade</t>
  </si>
  <si>
    <t xml:space="preserve">martelo do moinho 3 linha 2 debulhou,soltou uma mola e tvemos que trocar o martelo </t>
  </si>
  <si>
    <t>turno recebido com moinho entupido</t>
  </si>
  <si>
    <t>desobstrucao no hidrociclone troca do apex</t>
  </si>
  <si>
    <t>parafuso do mancal solto, troca de martelo</t>
  </si>
  <si>
    <t>e troca de balata que arrebentou</t>
  </si>
  <si>
    <t xml:space="preserve">soltou mola do martelo </t>
  </si>
  <si>
    <t>trocas de greias e martelo</t>
  </si>
  <si>
    <t>adicionou duas grelhas</t>
  </si>
  <si>
    <t>troca de martelo, reposição de grelha, solda no moinho</t>
  </si>
  <si>
    <t>tc2 e tc3 desarmando, moinho 7, 8 e 9 desarmando</t>
  </si>
  <si>
    <t>ao ligar moinho 3 desarma o moinho 5</t>
  </si>
  <si>
    <t>troca de martelo</t>
  </si>
  <si>
    <t>Produção Linha 3
(Hora a Hora)</t>
  </si>
  <si>
    <t>Alimentadora de sapata 03</t>
  </si>
  <si>
    <t>Manutenção TC3</t>
  </si>
  <si>
    <t>Desobstrução interna do moinho</t>
  </si>
  <si>
    <t>TC 3</t>
  </si>
  <si>
    <t>Bomba de polpa 04</t>
  </si>
  <si>
    <t>Não operando corretamente</t>
  </si>
  <si>
    <t>Hidrociclone 03</t>
  </si>
  <si>
    <t>Bomba de polpa 03 (8x6)</t>
  </si>
  <si>
    <t xml:space="preserve">Troca de motor </t>
  </si>
  <si>
    <t>Encanamento furado</t>
  </si>
  <si>
    <t>troca finalizada 11:00, linha 3 parada e somente ligada 17:00 à pedido do supervisor do turno</t>
  </si>
  <si>
    <t xml:space="preserve">trocado o chuveiro da RD04 da linha 3, </t>
  </si>
  <si>
    <t>Moinho de martelo 5</t>
  </si>
  <si>
    <t>Centrífuga (RD) 08 L3 bola</t>
  </si>
  <si>
    <t>linha parada amperagem muito alta da centrifuga, janela moinho 09 aberta 22:54</t>
  </si>
  <si>
    <t>liberado pela manutencao eletrica</t>
  </si>
  <si>
    <t>moinho 7 e 9 moendo grosso</t>
  </si>
  <si>
    <t xml:space="preserve">pedra grande presa na bica do moinho 7 e 9 </t>
  </si>
  <si>
    <t>Troca finalizada 19:30, restante do tempo moega cheia</t>
  </si>
  <si>
    <t>troca do cesto da centrífuga</t>
  </si>
  <si>
    <t>materia da barragem de rejeito Pirâmide 2</t>
  </si>
  <si>
    <t>troca de grelha</t>
  </si>
  <si>
    <t xml:space="preserve">pedra grande travado na bica do moinho </t>
  </si>
  <si>
    <t>com o impacto do ferro sacou a janela de inspeção da parte de tras</t>
  </si>
  <si>
    <t>pedra grande na bica do moinho 4</t>
  </si>
  <si>
    <t>martelo do moinho 5 soltou</t>
  </si>
  <si>
    <t>bica recebida obstruída</t>
  </si>
  <si>
    <t>moinho 5 não operando corretamente na sua potência</t>
  </si>
  <si>
    <t>vibrando muito as centrifuga e troca de grelha</t>
  </si>
  <si>
    <t>arrebentou  as balata teve outra troca de martelos</t>
  </si>
  <si>
    <t>engraxamento do mancal</t>
  </si>
  <si>
    <t>trorca de roamento</t>
  </si>
  <si>
    <t>e troca de martelo e reposicao de duas grelhas no moinho 4 e ajuste no queixo do moinho 5 e apeto nos parafuso do mancal</t>
  </si>
  <si>
    <t>solda no rotor</t>
  </si>
  <si>
    <t>trocado martelo</t>
  </si>
  <si>
    <t>e troca de grelha</t>
  </si>
  <si>
    <t>borracha do hidrociclone havia caído</t>
  </si>
  <si>
    <t>moinho correu pra frente</t>
  </si>
  <si>
    <t>obstrucao no moinho de bola</t>
  </si>
  <si>
    <t>obstrucao no moinho de bola e os moinho estava moedo groso e mais uma hora aguardando reforca os martelos e fazendo as limpeza nas rd manual</t>
  </si>
  <si>
    <t>moinho 05 parado para faze a instalacao do eixo do moinho 04</t>
  </si>
  <si>
    <t>quebrou orelha do martelo moinho 04</t>
  </si>
  <si>
    <t>e troca de martelo e grelhas</t>
  </si>
  <si>
    <t>aperto no mancal no moinho 4</t>
  </si>
  <si>
    <t>13;50</t>
  </si>
  <si>
    <t>martelo quebrado, troca de martelo</t>
  </si>
  <si>
    <t xml:space="preserve">engraxamento </t>
  </si>
  <si>
    <t>caiu ferro do m m</t>
  </si>
  <si>
    <t>troca de martelo moinho 5</t>
  </si>
  <si>
    <t>troca de grelhas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</si>
</sst>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h:mm"/>
    <numFmt numFmtId="165" formatCode="0&quot;Kg&quot;"/>
    <numFmt numFmtId="166" formatCode="[$-F400]h:mm:ss\ AM/PM"/>
  </numFmts>
  <fonts count="23">
    <font>
      <sz val="11"/>
      <color theme="1"/>
      <name val="Calibri"/>
      <family val="2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9"/>
      <color rgb="FFFFFFFF"/>
      <name val="Arial"/>
      <charset val="1"/>
    </font>
    <font>
      <sz val="9"/>
      <name val="Arial"/>
      <family val="2"/>
      <charset val="1"/>
    </font>
    <font>
      <sz val="9"/>
      <name val="Arial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11"/>
      <color rgb="FF000000"/>
      <name val="Calibri"/>
      <family val="2"/>
      <charset val="1"/>
    </font>
    <font>
      <b/>
      <sz val="16"/>
      <color rgb="FF000000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2E75B6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sz val="9"/>
      <name val="Arial"/>
    </font>
    <font>
      <sz val="9"/>
      <color rgb="FFFF0000"/>
      <name val="Arial"/>
      <family val="2"/>
      <charset val="1"/>
    </font>
    <font>
      <b/>
      <sz val="9"/>
      <color rgb="FFFFFFFF"/>
      <name val="Arial"/>
    </font>
    <font>
      <b/>
      <sz val="10"/>
      <color rgb="FF1B3A6B"/>
      <name val="Arial"/>
    </font>
    <font>
      <b/>
      <sz val="10"/>
      <color rgb="FFFFFFFF"/>
      <name val="Arial"/>
    </font>
  </fonts>
  <fills count="17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theme="3"/>
        <bgColor rgb="FF1B3A6B"/>
      </patternFill>
    </fill>
    <fill>
      <patternFill patternType="solid">
        <fgColor rgb="FF2E75B6"/>
        <bgColor rgb="FF0066CC"/>
      </patternFill>
    </fill>
    <fill>
      <patternFill patternType="solid">
        <fgColor rgb="FFFFFFFF"/>
        <bgColor rgb="FFFFFDE7"/>
      </patternFill>
    </fill>
    <fill>
      <patternFill patternType="solid">
        <fgColor rgb="FFD6E4F0"/>
        <bgColor rgb="FFEEECE1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theme="2"/>
        <bgColor rgb="FFF2F7F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800080"/>
      </patternFill>
    </fill>
    <fill>
      <patternFill patternType="solid">
        <fgColor rgb="FFF2F7FC"/>
        <bgColor rgb="FFFFFFFF"/>
      </patternFill>
    </fill>
    <fill>
      <patternFill patternType="solid">
        <fgColor rgb="FFFFC000"/>
        <bgColor rgb="FF1F497D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/>
    </xf>
    <xf numFmtId="0" fontId="5" fillId="6" borderId="1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horizontal="left" vertical="center"/>
    </xf>
    <xf numFmtId="0" fontId="7" fillId="7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164" fontId="5" fillId="6" borderId="1" xfId="0" applyNumberFormat="1" applyFont="1" applyFill="1" applyBorder="1" applyAlignment="1">
      <alignment horizontal="center" vertical="center"/>
    </xf>
    <xf numFmtId="0" fontId="5" fillId="6" borderId="1" xfId="0" applyFont="1" applyFill="1" applyBorder="1" applyAlignment="1" applyProtection="1">
      <alignment horizontal="center" vertical="center"/>
      <protection locked="0"/>
    </xf>
    <xf numFmtId="0" fontId="5" fillId="8" borderId="1" xfId="0" applyFont="1" applyFill="1" applyBorder="1" applyAlignment="1" applyProtection="1">
      <alignment horizontal="center" vertical="center"/>
      <protection locked="0"/>
    </xf>
    <xf numFmtId="3" fontId="5" fillId="6" borderId="1" xfId="0" applyNumberFormat="1" applyFont="1" applyFill="1" applyBorder="1" applyAlignment="1">
      <alignment horizontal="center" vertical="center"/>
    </xf>
    <xf numFmtId="164" fontId="5" fillId="8" borderId="1" xfId="0" applyNumberFormat="1" applyFont="1" applyFill="1" applyBorder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164" fontId="5" fillId="5" borderId="1" xfId="0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 applyProtection="1">
      <alignment horizontal="center" vertical="center"/>
      <protection locked="0"/>
    </xf>
    <xf numFmtId="3" fontId="5" fillId="5" borderId="1" xfId="0" applyNumberFormat="1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3" fontId="8" fillId="8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3" fontId="2" fillId="2" borderId="1" xfId="0" applyNumberFormat="1" applyFont="1" applyFill="1" applyBorder="1" applyAlignment="1">
      <alignment horizontal="center" vertical="center"/>
    </xf>
    <xf numFmtId="0" fontId="0" fillId="0" borderId="4" xfId="0" applyBorder="1" applyAlignment="1" applyProtection="1">
      <alignment horizontal="center"/>
      <protection locked="0"/>
    </xf>
    <xf numFmtId="0" fontId="5" fillId="0" borderId="1" xfId="0" applyFont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9" fillId="9" borderId="4" xfId="0" applyFont="1" applyFill="1" applyBorder="1" applyAlignment="1" applyProtection="1">
      <alignment horizontal="center"/>
      <protection locked="0"/>
    </xf>
    <xf numFmtId="3" fontId="10" fillId="8" borderId="3" xfId="0" applyNumberFormat="1" applyFont="1" applyFill="1" applyBorder="1" applyAlignment="1" applyProtection="1">
      <alignment horizontal="center" vertical="center"/>
      <protection locked="0"/>
    </xf>
    <xf numFmtId="0" fontId="5" fillId="8" borderId="5" xfId="0" applyFont="1" applyFill="1" applyBorder="1" applyAlignment="1" applyProtection="1">
      <alignment horizontal="center" vertical="center"/>
      <protection locked="0"/>
    </xf>
    <xf numFmtId="0" fontId="0" fillId="5" borderId="0" xfId="0" applyFill="1" applyAlignment="1" applyProtection="1">
      <alignment horizontal="center" vertical="center"/>
      <protection locked="0"/>
    </xf>
    <xf numFmtId="3" fontId="2" fillId="2" borderId="6" xfId="0" applyNumberFormat="1" applyFont="1" applyFill="1" applyBorder="1" applyAlignment="1">
      <alignment horizontal="center" vertical="center"/>
    </xf>
    <xf numFmtId="0" fontId="6" fillId="5" borderId="1" xfId="0" applyFont="1" applyFill="1" applyBorder="1" applyAlignment="1" applyProtection="1">
      <alignment horizontal="center" vertical="center"/>
      <protection locked="0"/>
    </xf>
    <xf numFmtId="0" fontId="6" fillId="6" borderId="1" xfId="0" applyFont="1" applyFill="1" applyBorder="1" applyAlignment="1" applyProtection="1">
      <alignment horizontal="center" vertical="center"/>
      <protection locked="0"/>
    </xf>
    <xf numFmtId="0" fontId="11" fillId="0" borderId="4" xfId="0" applyFont="1" applyBorder="1" applyAlignment="1" applyProtection="1">
      <alignment horizontal="center"/>
      <protection locked="0"/>
    </xf>
    <xf numFmtId="165" fontId="12" fillId="10" borderId="4" xfId="0" applyNumberFormat="1" applyFont="1" applyFill="1" applyBorder="1" applyAlignment="1" applyProtection="1">
      <alignment horizontal="center" wrapText="1"/>
      <protection locked="0"/>
    </xf>
    <xf numFmtId="0" fontId="11" fillId="5" borderId="4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0" fillId="4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11" fillId="11" borderId="4" xfId="0" applyFont="1" applyFill="1" applyBorder="1" applyAlignment="1" applyProtection="1">
      <alignment horizontal="center"/>
      <protection locked="0"/>
    </xf>
    <xf numFmtId="0" fontId="0" fillId="5" borderId="0" xfId="0" applyFill="1" applyAlignment="1" applyProtection="1">
      <alignment horizontal="center"/>
      <protection locked="0"/>
    </xf>
    <xf numFmtId="0" fontId="14" fillId="4" borderId="1" xfId="0" applyFont="1" applyFill="1" applyBorder="1" applyAlignment="1">
      <alignment horizontal="center" vertical="center" wrapText="1"/>
    </xf>
    <xf numFmtId="0" fontId="14" fillId="12" borderId="1" xfId="0" applyFont="1" applyFill="1" applyBorder="1" applyAlignment="1">
      <alignment horizontal="center" vertical="center" wrapText="1"/>
    </xf>
    <xf numFmtId="0" fontId="14" fillId="13" borderId="1" xfId="0" applyFont="1" applyFill="1" applyBorder="1" applyAlignment="1">
      <alignment horizontal="center" vertical="center" wrapText="1"/>
    </xf>
    <xf numFmtId="0" fontId="14" fillId="14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15" fillId="5" borderId="1" xfId="0" applyFont="1" applyFill="1" applyBorder="1" applyAlignment="1">
      <alignment horizontal="center" vertical="center"/>
    </xf>
    <xf numFmtId="14" fontId="6" fillId="5" borderId="1" xfId="0" applyNumberFormat="1" applyFont="1" applyFill="1" applyBorder="1" applyAlignment="1">
      <alignment horizontal="center" vertical="center"/>
    </xf>
    <xf numFmtId="3" fontId="16" fillId="5" borderId="1" xfId="0" applyNumberFormat="1" applyFont="1" applyFill="1" applyBorder="1" applyAlignment="1">
      <alignment horizontal="center" vertical="center"/>
    </xf>
    <xf numFmtId="3" fontId="17" fillId="5" borderId="1" xfId="0" applyNumberFormat="1" applyFont="1" applyFill="1" applyBorder="1" applyAlignment="1">
      <alignment horizontal="center" vertical="center"/>
    </xf>
    <xf numFmtId="0" fontId="15" fillId="15" borderId="1" xfId="0" applyFont="1" applyFill="1" applyBorder="1" applyAlignment="1">
      <alignment horizontal="center" vertical="center"/>
    </xf>
    <xf numFmtId="14" fontId="6" fillId="15" borderId="1" xfId="0" applyNumberFormat="1" applyFont="1" applyFill="1" applyBorder="1" applyAlignment="1">
      <alignment horizontal="center" vertical="center"/>
    </xf>
    <xf numFmtId="3" fontId="16" fillId="15" borderId="1" xfId="0" applyNumberFormat="1" applyFont="1" applyFill="1" applyBorder="1" applyAlignment="1">
      <alignment horizontal="center" vertical="center"/>
    </xf>
    <xf numFmtId="3" fontId="17" fillId="15" borderId="1" xfId="0" applyNumberFormat="1" applyFont="1" applyFill="1" applyBorder="1" applyAlignment="1">
      <alignment horizontal="center" vertical="center"/>
    </xf>
    <xf numFmtId="3" fontId="14" fillId="2" borderId="1" xfId="0" applyNumberFormat="1" applyFont="1" applyFill="1" applyBorder="1" applyAlignment="1">
      <alignment horizontal="center" vertical="center"/>
    </xf>
    <xf numFmtId="0" fontId="14" fillId="16" borderId="1" xfId="0" applyFont="1" applyFill="1" applyBorder="1" applyAlignment="1">
      <alignment horizontal="center" vertical="center" wrapText="1"/>
    </xf>
    <xf numFmtId="14" fontId="2" fillId="2" borderId="1" xfId="0" applyNumberFormat="1" applyFont="1" applyFill="1" applyBorder="1" applyAlignment="1">
      <alignment horizontal="center" vertical="center" wrapText="1"/>
    </xf>
    <xf numFmtId="14" fontId="5" fillId="6" borderId="1" xfId="0" applyNumberFormat="1" applyFont="1" applyFill="1" applyBorder="1" applyAlignment="1">
      <alignment horizontal="center" vertical="center"/>
    </xf>
    <xf numFmtId="14" fontId="5" fillId="5" borderId="1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0" fillId="0" borderId="0" xfId="0" applyNumberFormat="1" applyAlignment="1">
      <alignment horizontal="center" vertical="center"/>
    </xf>
    <xf numFmtId="14" fontId="5" fillId="6" borderId="1" xfId="0" applyNumberFormat="1" applyFont="1" applyFill="1" applyBorder="1" applyAlignment="1" applyProtection="1">
      <alignment horizontal="center" vertical="center"/>
      <protection locked="0"/>
    </xf>
    <xf numFmtId="14" fontId="5" fillId="5" borderId="1" xfId="0" applyNumberFormat="1" applyFont="1" applyFill="1" applyBorder="1" applyAlignment="1" applyProtection="1">
      <alignment horizontal="center" vertical="center"/>
      <protection locked="0"/>
    </xf>
    <xf numFmtId="14" fontId="6" fillId="5" borderId="1" xfId="0" applyNumberFormat="1" applyFont="1" applyFill="1" applyBorder="1" applyAlignment="1" applyProtection="1">
      <alignment horizontal="center" vertical="center"/>
      <protection locked="0"/>
    </xf>
    <xf numFmtId="14" fontId="0" fillId="0" borderId="0" xfId="0" applyNumberFormat="1" applyAlignment="1">
      <alignment horizontal="center"/>
    </xf>
    <xf numFmtId="0" fontId="18" fillId="6" borderId="1" xfId="0" applyFont="1" applyFill="1" applyBorder="1" applyAlignment="1">
      <alignment horizontal="left" vertical="center"/>
    </xf>
    <xf numFmtId="0" fontId="18" fillId="6" borderId="1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166" fontId="2" fillId="2" borderId="1" xfId="0" applyNumberFormat="1" applyFont="1" applyFill="1" applyBorder="1" applyAlignment="1">
      <alignment horizontal="center" vertical="center" wrapText="1"/>
    </xf>
    <xf numFmtId="166" fontId="5" fillId="6" borderId="1" xfId="0" applyNumberFormat="1" applyFont="1" applyFill="1" applyBorder="1" applyAlignment="1">
      <alignment horizontal="center" vertical="center"/>
    </xf>
    <xf numFmtId="166" fontId="5" fillId="5" borderId="1" xfId="0" applyNumberFormat="1" applyFont="1" applyFill="1" applyBorder="1" applyAlignment="1">
      <alignment horizontal="center" vertical="center"/>
    </xf>
    <xf numFmtId="166" fontId="3" fillId="4" borderId="1" xfId="0" applyNumberFormat="1" applyFont="1" applyFill="1" applyBorder="1" applyAlignment="1">
      <alignment horizontal="center" vertical="center"/>
    </xf>
    <xf numFmtId="166" fontId="3" fillId="2" borderId="1" xfId="0" applyNumberFormat="1" applyFont="1" applyFill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/>
    </xf>
    <xf numFmtId="0" fontId="18" fillId="5" borderId="1" xfId="0" applyFont="1" applyFill="1" applyBorder="1" applyAlignment="1" applyProtection="1">
      <alignment horizontal="center" vertical="center"/>
      <protection locked="0"/>
    </xf>
    <xf numFmtId="166" fontId="18" fillId="5" borderId="1" xfId="0" applyNumberFormat="1" applyFont="1" applyFill="1" applyBorder="1" applyAlignment="1">
      <alignment horizontal="center" vertical="center"/>
    </xf>
    <xf numFmtId="164" fontId="18" fillId="8" borderId="1" xfId="0" applyNumberFormat="1" applyFont="1" applyFill="1" applyBorder="1" applyAlignment="1" applyProtection="1">
      <alignment horizontal="center" vertical="center"/>
      <protection locked="0"/>
    </xf>
    <xf numFmtId="0" fontId="18" fillId="8" borderId="1" xfId="0" applyFont="1" applyFill="1" applyBorder="1" applyAlignment="1" applyProtection="1">
      <alignment horizontal="center" vertical="center"/>
      <protection locked="0"/>
    </xf>
    <xf numFmtId="3" fontId="18" fillId="5" borderId="1" xfId="0" applyNumberFormat="1" applyFont="1" applyFill="1" applyBorder="1" applyAlignment="1">
      <alignment horizontal="center" vertical="center"/>
    </xf>
    <xf numFmtId="20" fontId="5" fillId="8" borderId="1" xfId="0" applyNumberFormat="1" applyFont="1" applyFill="1" applyBorder="1" applyAlignment="1" applyProtection="1">
      <alignment horizontal="center" vertical="center"/>
      <protection locked="0"/>
    </xf>
    <xf numFmtId="0" fontId="3" fillId="4" borderId="1" xfId="0" applyFont="1" applyFill="1" applyBorder="1" applyAlignment="1">
      <alignment horizontal="left" vertical="center"/>
    </xf>
    <xf numFmtId="3" fontId="0" fillId="0" borderId="0" xfId="0" applyNumberFormat="1"/>
    <xf numFmtId="0" fontId="19" fillId="8" borderId="5" xfId="0" applyFont="1" applyFill="1" applyBorder="1" applyAlignment="1" applyProtection="1">
      <alignment horizontal="center" vertical="center"/>
      <protection locked="0"/>
    </xf>
    <xf numFmtId="0" fontId="18" fillId="8" borderId="5" xfId="0" applyFont="1" applyFill="1" applyBorder="1" applyAlignment="1" applyProtection="1">
      <alignment horizontal="center" vertical="center"/>
      <protection locked="0"/>
    </xf>
    <xf numFmtId="166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 applyProtection="1">
      <alignment horizontal="center" vertical="center"/>
      <protection locked="0"/>
    </xf>
    <xf numFmtId="0" fontId="20" fillId="4" borderId="1" xfId="0" applyFont="1" applyFill="1" applyBorder="1" applyAlignment="1">
      <alignment horizontal="center" vertical="center"/>
    </xf>
    <xf numFmtId="3" fontId="21" fillId="8" borderId="3" xfId="0" applyNumberFormat="1" applyFont="1" applyFill="1" applyBorder="1" applyAlignment="1" applyProtection="1">
      <alignment horizontal="center" vertical="center"/>
      <protection locked="0"/>
    </xf>
    <xf numFmtId="14" fontId="18" fillId="6" borderId="1" xfId="0" applyNumberFormat="1" applyFont="1" applyFill="1" applyBorder="1" applyAlignment="1">
      <alignment horizontal="center" vertical="center"/>
    </xf>
    <xf numFmtId="164" fontId="18" fillId="6" borderId="1" xfId="0" applyNumberFormat="1" applyFont="1" applyFill="1" applyBorder="1" applyAlignment="1">
      <alignment horizontal="center" vertical="center"/>
    </xf>
    <xf numFmtId="14" fontId="18" fillId="6" borderId="1" xfId="0" applyNumberFormat="1" applyFont="1" applyFill="1" applyBorder="1" applyAlignment="1" applyProtection="1">
      <alignment horizontal="center" vertical="center"/>
      <protection locked="0"/>
    </xf>
    <xf numFmtId="3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>
      <alignment horizontal="center" vertical="center"/>
    </xf>
    <xf numFmtId="164" fontId="18" fillId="5" borderId="1" xfId="0" applyNumberFormat="1" applyFont="1" applyFill="1" applyBorder="1" applyAlignment="1">
      <alignment horizontal="center" vertical="center"/>
    </xf>
    <xf numFmtId="3" fontId="22" fillId="2" borderId="6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left" vertical="center"/>
    </xf>
    <xf numFmtId="0" fontId="3" fillId="2" borderId="1" xfId="0" applyFont="1" applyFill="1" applyBorder="1" applyAlignment="1">
      <alignment horizontal="center" vertical="center"/>
    </xf>
    <xf numFmtId="0" fontId="13" fillId="2" borderId="5" xfId="0" applyFont="1" applyFill="1" applyBorder="1" applyAlignment="1">
      <alignment horizontal="center" vertical="center"/>
    </xf>
    <xf numFmtId="0" fontId="14" fillId="2" borderId="5" xfId="0" applyFont="1" applyFill="1" applyBorder="1" applyAlignment="1">
      <alignment horizontal="center" vertical="center" wrapText="1"/>
    </xf>
    <xf numFmtId="0" fontId="14" fillId="2" borderId="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20" fillId="4" borderId="1" xfId="0" applyFont="1" applyFill="1" applyBorder="1" applyAlignment="1">
      <alignment horizontal="center" vertical="center"/>
    </xf>
    <xf numFmtId="0" fontId="20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993366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EEECE1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34"/>
  <sheetViews>
    <sheetView showGridLines="0" zoomScaleNormal="100" workbookViewId="0">
      <pane ySplit="3" topLeftCell="A9" activePane="bottomLeft" state="frozen"/>
      <selection pane="bottomLeft" activeCell="G2" sqref="G2"/>
    </sheetView>
  </sheetViews>
  <sheetFormatPr defaultColWidth="8.5703125" defaultRowHeight="14.45"/>
  <cols>
    <col min="1" max="1" width="8.5703125" customWidth="1"/>
    <col min="2" max="2" width="17.42578125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9" t="s">
        <v>0</v>
      </c>
      <c r="B1" s="99"/>
      <c r="C1" s="99"/>
      <c r="D1" s="99"/>
      <c r="E1" s="99"/>
      <c r="F1" s="99"/>
      <c r="G1" s="99"/>
    </row>
    <row r="2" spans="1:7" ht="25.35" customHeight="1">
      <c r="A2" s="100"/>
      <c r="B2" s="100"/>
      <c r="C2" s="42" t="s">
        <v>1</v>
      </c>
      <c r="D2" s="43" t="s">
        <v>2</v>
      </c>
      <c r="E2" s="44" t="s">
        <v>3</v>
      </c>
      <c r="F2" s="45" t="s">
        <v>4</v>
      </c>
      <c r="G2" s="56" t="s">
        <v>5</v>
      </c>
    </row>
    <row r="3" spans="1:7" ht="19.5" customHeight="1">
      <c r="A3" s="46" t="s">
        <v>6</v>
      </c>
      <c r="B3" s="46" t="s">
        <v>7</v>
      </c>
      <c r="C3" s="46" t="s">
        <v>8</v>
      </c>
      <c r="D3" s="46" t="s">
        <v>8</v>
      </c>
      <c r="E3" s="46" t="s">
        <v>8</v>
      </c>
      <c r="F3" s="46" t="s">
        <v>8</v>
      </c>
      <c r="G3" s="46" t="s">
        <v>8</v>
      </c>
    </row>
    <row r="4" spans="1:7" ht="15.75" customHeight="1">
      <c r="A4" s="47">
        <v>1</v>
      </c>
      <c r="B4" s="48">
        <v>46174</v>
      </c>
      <c r="C4" s="49">
        <f>IFERROR(Britador!N28,"")</f>
        <v>2154940</v>
      </c>
      <c r="D4" s="49">
        <f>IFERROR('Linha 1'!N28,"")</f>
        <v>1757900</v>
      </c>
      <c r="E4" s="49">
        <f>IFERROR('Linha 2'!N28,"")</f>
        <v>0</v>
      </c>
      <c r="F4" s="49">
        <f>IFERROR('Linha 3'!N28,"")</f>
        <v>587710</v>
      </c>
      <c r="G4" s="50">
        <f t="shared" ref="G4:G33" si="0">IFERROR(D4+E4+F4,"")</f>
        <v>2345610</v>
      </c>
    </row>
    <row r="5" spans="1:7" ht="15.75" customHeight="1">
      <c r="A5" s="51">
        <v>2</v>
      </c>
      <c r="B5" s="52">
        <v>46175</v>
      </c>
      <c r="C5" s="53">
        <f>IFERROR(Britador!N55,"")</f>
        <v>1395660</v>
      </c>
      <c r="D5" s="53">
        <f>IFERROR('Linha 1'!N55,"")</f>
        <v>1267940</v>
      </c>
      <c r="E5" s="53">
        <f>IFERROR('Linha 2'!N55,"")</f>
        <v>0</v>
      </c>
      <c r="F5" s="53">
        <f>IFERROR('Linha 3'!N55,"")</f>
        <v>1410150</v>
      </c>
      <c r="G5" s="54">
        <f t="shared" si="0"/>
        <v>2678090</v>
      </c>
    </row>
    <row r="6" spans="1:7" ht="15.75" customHeight="1">
      <c r="A6" s="47">
        <v>3</v>
      </c>
      <c r="B6" s="48">
        <v>46176</v>
      </c>
      <c r="C6" s="49">
        <f>IFERROR(Britador!N82,"")</f>
        <v>706900</v>
      </c>
      <c r="D6" s="49">
        <f>IFERROR('Linha 1'!N82,"")</f>
        <v>920210</v>
      </c>
      <c r="E6" s="49">
        <f>IFERROR('Linha 2'!N82,"")</f>
        <v>206440</v>
      </c>
      <c r="F6" s="49">
        <f>IFERROR('Linha 3'!N82,"")</f>
        <v>1059450</v>
      </c>
      <c r="G6" s="50">
        <f t="shared" si="0"/>
        <v>2186100</v>
      </c>
    </row>
    <row r="7" spans="1:7" ht="15.75" customHeight="1">
      <c r="A7" s="51">
        <v>4</v>
      </c>
      <c r="B7" s="52">
        <v>46177</v>
      </c>
      <c r="C7" s="53">
        <f>IFERROR(Britador!N109,"")</f>
        <v>1875020</v>
      </c>
      <c r="D7" s="53">
        <f>IFERROR('Linha 1'!N109,"")</f>
        <v>831020</v>
      </c>
      <c r="E7" s="53">
        <f>IFERROR('Linha 2'!N109,"")</f>
        <v>0</v>
      </c>
      <c r="F7" s="53">
        <f>IFERROR('Linha 3'!N109,"")</f>
        <v>1028760</v>
      </c>
      <c r="G7" s="54">
        <f t="shared" si="0"/>
        <v>1859780</v>
      </c>
    </row>
    <row r="8" spans="1:7" ht="15.75" customHeight="1">
      <c r="A8" s="47">
        <v>5</v>
      </c>
      <c r="B8" s="48">
        <v>46178</v>
      </c>
      <c r="C8" s="49">
        <f>IFERROR(Britador!N136,"")</f>
        <v>2434390</v>
      </c>
      <c r="D8" s="49">
        <f>IFERROR('Linha 1'!N136,"")</f>
        <v>1285490</v>
      </c>
      <c r="E8" s="49">
        <f>IFERROR('Linha 2'!N136,"")</f>
        <v>0</v>
      </c>
      <c r="F8" s="49">
        <f>IFERROR('Linha 3'!N136,"")</f>
        <v>1215450</v>
      </c>
      <c r="G8" s="50">
        <f t="shared" si="0"/>
        <v>2500940</v>
      </c>
    </row>
    <row r="9" spans="1:7" ht="15.75" customHeight="1">
      <c r="A9" s="51">
        <v>6</v>
      </c>
      <c r="B9" s="52">
        <v>46179</v>
      </c>
      <c r="C9" s="53">
        <f>IFERROR(Britador!N163,"")</f>
        <v>2359570</v>
      </c>
      <c r="D9" s="53">
        <f>IFERROR('Linha 1'!N163,"")</f>
        <v>856550</v>
      </c>
      <c r="E9" s="53">
        <f>IFERROR('Linha 2'!N163,"")</f>
        <v>0</v>
      </c>
      <c r="F9" s="53">
        <f>IFERROR('Linha 3'!N163,"")</f>
        <v>1005450</v>
      </c>
      <c r="G9" s="54">
        <f t="shared" si="0"/>
        <v>1862000</v>
      </c>
    </row>
    <row r="10" spans="1:7" ht="15.75" customHeight="1">
      <c r="A10" s="47">
        <v>7</v>
      </c>
      <c r="B10" s="48">
        <v>46180</v>
      </c>
      <c r="C10" s="49">
        <f>IFERROR(Britador!N190,"")</f>
        <v>2605400</v>
      </c>
      <c r="D10" s="49">
        <f>IFERROR('Linha 1'!N190,"")</f>
        <v>0</v>
      </c>
      <c r="E10" s="49">
        <f>IFERROR('Linha 2'!N190,"")</f>
        <v>0</v>
      </c>
      <c r="F10" s="49">
        <f>IFERROR('Linha 3'!N190,"")</f>
        <v>400530</v>
      </c>
      <c r="G10" s="50">
        <f t="shared" si="0"/>
        <v>400530</v>
      </c>
    </row>
    <row r="11" spans="1:7" ht="15.75" customHeight="1">
      <c r="A11" s="51">
        <v>8</v>
      </c>
      <c r="B11" s="52">
        <v>46181</v>
      </c>
      <c r="C11" s="53">
        <f>IFERROR(Britador!N217,"")</f>
        <v>987370</v>
      </c>
      <c r="D11" s="53">
        <f>IFERROR('Linha 1'!N217,"")</f>
        <v>671380</v>
      </c>
      <c r="E11" s="53">
        <f>IFERROR('Linha 2'!N217,"")</f>
        <v>0</v>
      </c>
      <c r="F11" s="53">
        <f>IFERROR('Linha 3'!N217,"")</f>
        <v>929640</v>
      </c>
      <c r="G11" s="54">
        <f t="shared" si="0"/>
        <v>1601020</v>
      </c>
    </row>
    <row r="12" spans="1:7" ht="15.75" customHeight="1">
      <c r="A12" s="47">
        <v>9</v>
      </c>
      <c r="B12" s="48">
        <v>46182</v>
      </c>
      <c r="C12" s="49">
        <f>IFERROR(Britador!N244,"")</f>
        <v>0</v>
      </c>
      <c r="D12" s="49">
        <f>IFERROR('Linha 1'!N244,"")</f>
        <v>657290</v>
      </c>
      <c r="E12" s="49">
        <f>IFERROR('Linha 2'!N244,"")</f>
        <v>281560</v>
      </c>
      <c r="F12" s="49">
        <f>IFERROR('Linha 3'!N244,"")</f>
        <v>793480</v>
      </c>
      <c r="G12" s="50">
        <f t="shared" si="0"/>
        <v>1732330</v>
      </c>
    </row>
    <row r="13" spans="1:7" ht="15.75" customHeight="1">
      <c r="A13" s="51">
        <v>10</v>
      </c>
      <c r="B13" s="52">
        <v>46183</v>
      </c>
      <c r="C13" s="53">
        <f>IFERROR(Britador!N271,"")</f>
        <v>1068180</v>
      </c>
      <c r="D13" s="53">
        <f>IFERROR('Linha 1'!N271,"")</f>
        <v>407720</v>
      </c>
      <c r="E13" s="53">
        <f>IFERROR('Linha 2'!N271,"")</f>
        <v>536030</v>
      </c>
      <c r="F13" s="53">
        <f>IFERROR('Linha 3'!N271,"")</f>
        <v>559540</v>
      </c>
      <c r="G13" s="54">
        <f>IFERROR(D13+E13+F13,"")</f>
        <v>1503290</v>
      </c>
    </row>
    <row r="14" spans="1:7" ht="15.75" customHeight="1">
      <c r="A14" s="47">
        <v>11</v>
      </c>
      <c r="B14" s="48">
        <v>46184</v>
      </c>
      <c r="C14" s="49">
        <f>IFERROR(Britador!N298,"")</f>
        <v>1336870</v>
      </c>
      <c r="D14" s="49">
        <f>IFERROR('Linha 1'!N298,"")</f>
        <v>787890</v>
      </c>
      <c r="E14" s="49">
        <f>IFERROR('Linha 2'!N298,"")</f>
        <v>397090</v>
      </c>
      <c r="F14" s="49">
        <f>IFERROR('Linha 3'!N298,"")</f>
        <v>638593</v>
      </c>
      <c r="G14" s="50">
        <f t="shared" si="0"/>
        <v>1823573</v>
      </c>
    </row>
    <row r="15" spans="1:7" ht="15.75" customHeight="1">
      <c r="A15" s="51">
        <v>12</v>
      </c>
      <c r="B15" s="52">
        <v>46185</v>
      </c>
      <c r="C15" s="53">
        <f>IFERROR(Britador!N325,"")</f>
        <v>877840</v>
      </c>
      <c r="D15" s="53">
        <f>IFERROR('Linha 1'!N325,"")</f>
        <v>755400</v>
      </c>
      <c r="E15" s="53">
        <f>IFERROR('Linha 2'!N325,"")</f>
        <v>645730</v>
      </c>
      <c r="F15" s="53">
        <f>IFERROR('Linha 3'!N325,"")</f>
        <v>937090</v>
      </c>
      <c r="G15" s="54">
        <f>IFERROR(D15+E15+F15,"")</f>
        <v>2338220</v>
      </c>
    </row>
    <row r="16" spans="1:7" ht="15.75" customHeight="1">
      <c r="A16" s="47">
        <v>13</v>
      </c>
      <c r="B16" s="48">
        <v>46186</v>
      </c>
      <c r="C16" s="49">
        <f>IFERROR(Britador!N352,"")</f>
        <v>1451850</v>
      </c>
      <c r="D16" s="49">
        <f>IFERROR('Linha 1'!N352,"")</f>
        <v>933420</v>
      </c>
      <c r="E16" s="49">
        <f>IFERROR('Linha 2'!N352,"")</f>
        <v>334320</v>
      </c>
      <c r="F16" s="49">
        <f>IFERROR('Linha 3'!N352,"")</f>
        <v>1107070</v>
      </c>
      <c r="G16" s="50">
        <f t="shared" si="0"/>
        <v>2374810</v>
      </c>
    </row>
    <row r="17" spans="1:7" ht="15.75" customHeight="1">
      <c r="A17" s="51">
        <v>14</v>
      </c>
      <c r="B17" s="52">
        <v>46187</v>
      </c>
      <c r="C17" s="53">
        <f>IFERROR(Britador!N379,"")</f>
        <v>1931450</v>
      </c>
      <c r="D17" s="53">
        <f>IFERROR('Linha 1'!N379,"")</f>
        <v>988390</v>
      </c>
      <c r="E17" s="53">
        <f>IFERROR('Linha 2'!N379,"")</f>
        <v>554390</v>
      </c>
      <c r="F17" s="53">
        <f>IFERROR('Linha 3'!N379,"")</f>
        <v>1270090</v>
      </c>
      <c r="G17" s="54">
        <f t="shared" si="0"/>
        <v>2812870</v>
      </c>
    </row>
    <row r="18" spans="1:7" ht="15.75" customHeight="1">
      <c r="A18" s="47">
        <v>15</v>
      </c>
      <c r="B18" s="48">
        <v>46188</v>
      </c>
      <c r="C18" s="49">
        <f>IFERROR(Britador!N406,"")</f>
        <v>3065870</v>
      </c>
      <c r="D18" s="49">
        <f>IFERROR('Linha 1'!N406,"")</f>
        <v>422090</v>
      </c>
      <c r="E18" s="49">
        <f>IFERROR('Linha 2'!N406,"")</f>
        <v>847000</v>
      </c>
      <c r="F18" s="49">
        <f>IFERROR('Linha 3'!N406,"")</f>
        <v>1375890</v>
      </c>
      <c r="G18" s="50">
        <f t="shared" si="0"/>
        <v>2644980</v>
      </c>
    </row>
    <row r="19" spans="1:7" ht="15.75" customHeight="1">
      <c r="A19" s="51">
        <v>16</v>
      </c>
      <c r="B19" s="52">
        <v>46189</v>
      </c>
      <c r="C19" s="53">
        <f>IFERROR(Britador!N433,"")</f>
        <v>2181780</v>
      </c>
      <c r="D19" s="53">
        <f>IFERROR('Linha 1'!N433,"")</f>
        <v>855790</v>
      </c>
      <c r="E19" s="53">
        <f>IFERROR('Linha 2'!N433,"")</f>
        <v>482720</v>
      </c>
      <c r="F19" s="53">
        <f>IFERROR('Linha 3'!N433,"")</f>
        <v>1125600</v>
      </c>
      <c r="G19" s="54">
        <f t="shared" si="0"/>
        <v>2464110</v>
      </c>
    </row>
    <row r="20" spans="1:7" ht="15.75" customHeight="1">
      <c r="A20" s="47">
        <v>17</v>
      </c>
      <c r="B20" s="48">
        <v>46190</v>
      </c>
      <c r="C20" s="49">
        <f>IFERROR(Britador!N460,"")</f>
        <v>2314550</v>
      </c>
      <c r="D20" s="49">
        <f>IFERROR('Linha 1'!N460,"")</f>
        <v>987050</v>
      </c>
      <c r="E20" s="49">
        <f>IFERROR('Linha 2'!N460,"")</f>
        <v>491700</v>
      </c>
      <c r="F20" s="49">
        <f>IFERROR('Linha 3'!N460,"")</f>
        <v>561612</v>
      </c>
      <c r="G20" s="50">
        <f t="shared" si="0"/>
        <v>2040362</v>
      </c>
    </row>
    <row r="21" spans="1:7" ht="15.75" customHeight="1">
      <c r="A21" s="51">
        <v>18</v>
      </c>
      <c r="B21" s="52">
        <v>46191</v>
      </c>
      <c r="C21" s="53">
        <f>IFERROR(Britador!N487,"")</f>
        <v>1062910</v>
      </c>
      <c r="D21" s="53">
        <f>IFERROR('Linha 1'!N487,"")</f>
        <v>944800</v>
      </c>
      <c r="E21" s="53">
        <f>IFERROR('Linha 2'!N487,"")</f>
        <v>448000</v>
      </c>
      <c r="F21" s="53">
        <f>IFERROR('Linha 3'!N487,"")</f>
        <v>835080</v>
      </c>
      <c r="G21" s="54">
        <f t="shared" si="0"/>
        <v>2227880</v>
      </c>
    </row>
    <row r="22" spans="1:7" ht="15.75" customHeight="1">
      <c r="A22" s="47">
        <v>19</v>
      </c>
      <c r="B22" s="48">
        <v>46192</v>
      </c>
      <c r="C22" s="49">
        <f>IFERROR(Britador!N514,"")</f>
        <v>1567550</v>
      </c>
      <c r="D22" s="49">
        <f>IFERROR('Linha 1'!N514,"")</f>
        <v>1507330</v>
      </c>
      <c r="E22" s="49">
        <f>IFERROR('Linha 2'!N514,"")</f>
        <v>132750</v>
      </c>
      <c r="F22" s="49">
        <f>IFERROR('Linha 3'!N514,"")</f>
        <v>1207520</v>
      </c>
      <c r="G22" s="50">
        <f t="shared" si="0"/>
        <v>2847600</v>
      </c>
    </row>
    <row r="23" spans="1:7" ht="15.75" customHeight="1">
      <c r="A23" s="51">
        <v>20</v>
      </c>
      <c r="B23" s="52">
        <v>46193</v>
      </c>
      <c r="C23" s="53">
        <f>IFERROR(Britador!N541,"")</f>
        <v>1795770</v>
      </c>
      <c r="D23" s="53">
        <f>IFERROR('Linha 1'!N541,"")</f>
        <v>900470</v>
      </c>
      <c r="E23" s="53">
        <f>IFERROR('Linha 2'!N541,"")</f>
        <v>468230</v>
      </c>
      <c r="F23" s="53">
        <f>IFERROR('Linha 3'!N541,"")</f>
        <v>900450</v>
      </c>
      <c r="G23" s="54">
        <f t="shared" si="0"/>
        <v>2269150</v>
      </c>
    </row>
    <row r="24" spans="1:7" ht="15.75" customHeight="1">
      <c r="A24" s="47">
        <v>21</v>
      </c>
      <c r="B24" s="48">
        <v>46194</v>
      </c>
      <c r="C24" s="49">
        <f>IFERROR(Britador!N568,"")</f>
        <v>2159490</v>
      </c>
      <c r="D24" s="49">
        <f>IFERROR('Linha 1'!N568,"")</f>
        <v>354670</v>
      </c>
      <c r="E24" s="49">
        <f>IFERROR('Linha 2'!N568,"")</f>
        <v>639570</v>
      </c>
      <c r="F24" s="49">
        <f>IFERROR('Linha 3'!N568,"")</f>
        <v>1282590</v>
      </c>
      <c r="G24" s="50">
        <f t="shared" si="0"/>
        <v>2276830</v>
      </c>
    </row>
    <row r="25" spans="1:7" ht="15.75" customHeight="1">
      <c r="A25" s="51">
        <v>22</v>
      </c>
      <c r="B25" s="52">
        <v>46195</v>
      </c>
      <c r="C25" s="53">
        <f>IFERROR(Britador!N595,"")</f>
        <v>1587000</v>
      </c>
      <c r="D25" s="53">
        <f>IFERROR('Linha 1'!N595,"")</f>
        <v>258960</v>
      </c>
      <c r="E25" s="53">
        <f>IFERROR('Linha 2'!N595,"")</f>
        <v>466190</v>
      </c>
      <c r="F25" s="53">
        <f>IFERROR('Linha 3'!N595,"")</f>
        <v>1272530</v>
      </c>
      <c r="G25" s="54">
        <f t="shared" si="0"/>
        <v>1997680</v>
      </c>
    </row>
    <row r="26" spans="1:7" ht="15.75" customHeight="1">
      <c r="A26" s="47">
        <v>23</v>
      </c>
      <c r="B26" s="48">
        <v>46196</v>
      </c>
      <c r="C26" s="49">
        <f>IFERROR(Britador!N622,"")</f>
        <v>792770</v>
      </c>
      <c r="D26" s="49">
        <f>IFERROR('Linha 1'!N622,"")</f>
        <v>1370470</v>
      </c>
      <c r="E26" s="49">
        <f>IFERROR('Linha 2'!N622,"")</f>
        <v>398370</v>
      </c>
      <c r="F26" s="49">
        <f>IFERROR('Linha 3'!N622,"")</f>
        <v>741900</v>
      </c>
      <c r="G26" s="50">
        <f t="shared" si="0"/>
        <v>2510740</v>
      </c>
    </row>
    <row r="27" spans="1:7" ht="15.75" customHeight="1">
      <c r="A27" s="51">
        <v>24</v>
      </c>
      <c r="B27" s="52">
        <v>46197</v>
      </c>
      <c r="C27" s="53">
        <f>IFERROR(Britador!N649,"")</f>
        <v>1761430</v>
      </c>
      <c r="D27" s="53">
        <f>IFERROR('Linha 1'!N649,"")</f>
        <v>671170</v>
      </c>
      <c r="E27" s="53">
        <f>IFERROR('Linha 2'!N649,"")</f>
        <v>467180</v>
      </c>
      <c r="F27" s="53">
        <f>IFERROR('Linha 3'!N649,"")</f>
        <v>402790</v>
      </c>
      <c r="G27" s="54">
        <f t="shared" si="0"/>
        <v>1541140</v>
      </c>
    </row>
    <row r="28" spans="1:7" ht="15.75" customHeight="1">
      <c r="A28" s="47">
        <v>25</v>
      </c>
      <c r="B28" s="48">
        <v>46198</v>
      </c>
      <c r="C28" s="49">
        <f>IFERROR(Britador!N676,"")</f>
        <v>3091830</v>
      </c>
      <c r="D28" s="49">
        <f>IFERROR('Linha 1'!N676,"")</f>
        <v>674130</v>
      </c>
      <c r="E28" s="49">
        <f>IFERROR('Linha 2'!N676,"")</f>
        <v>382200</v>
      </c>
      <c r="F28" s="49">
        <f>IFERROR('Linha 3'!N676,"")</f>
        <v>763150</v>
      </c>
      <c r="G28" s="50">
        <f t="shared" si="0"/>
        <v>1819480</v>
      </c>
    </row>
    <row r="29" spans="1:7" ht="15.75" customHeight="1">
      <c r="A29" s="51">
        <v>26</v>
      </c>
      <c r="B29" s="52">
        <v>46199</v>
      </c>
      <c r="C29" s="53">
        <f>IFERROR(Britador!N703,"")</f>
        <v>2049200</v>
      </c>
      <c r="D29" s="53">
        <f>IFERROR('Linha 1'!N703,"")</f>
        <v>1174890</v>
      </c>
      <c r="E29" s="53">
        <f>IFERROR('Linha 2'!N703,"")</f>
        <v>393130</v>
      </c>
      <c r="F29" s="53">
        <f>IFERROR('Linha 3'!N703,"")</f>
        <v>1521810</v>
      </c>
      <c r="G29" s="54">
        <f t="shared" si="0"/>
        <v>3089830</v>
      </c>
    </row>
    <row r="30" spans="1:7" ht="15.75" customHeight="1">
      <c r="A30" s="47">
        <v>27</v>
      </c>
      <c r="B30" s="48">
        <v>46200</v>
      </c>
      <c r="C30" s="49">
        <f>IFERROR(Britador!N730,"")</f>
        <v>1330240</v>
      </c>
      <c r="D30" s="49">
        <f>IFERROR('Linha 1'!N730,"")</f>
        <v>1148080</v>
      </c>
      <c r="E30" s="49">
        <f>IFERROR('Linha 2'!N730,"")</f>
        <v>638770</v>
      </c>
      <c r="F30" s="49">
        <f>IFERROR('Linha 3'!N730,"")</f>
        <v>1407530</v>
      </c>
      <c r="G30" s="50">
        <f t="shared" si="0"/>
        <v>3194380</v>
      </c>
    </row>
    <row r="31" spans="1:7" ht="15.75" customHeight="1">
      <c r="A31" s="51">
        <v>28</v>
      </c>
      <c r="B31" s="52">
        <v>46201</v>
      </c>
      <c r="C31" s="53">
        <f>IFERROR(Britador!N757,"")</f>
        <v>2856080</v>
      </c>
      <c r="D31" s="53">
        <f>IFERROR('Linha 1'!N757,"")</f>
        <v>807120</v>
      </c>
      <c r="E31" s="53">
        <f>IFERROR('Linha 2'!N757,"")</f>
        <v>446080</v>
      </c>
      <c r="F31" s="53">
        <f>IFERROR('Linha 3'!N757,"")</f>
        <v>1473290</v>
      </c>
      <c r="G31" s="54">
        <f t="shared" si="0"/>
        <v>2726490</v>
      </c>
    </row>
    <row r="32" spans="1:7" ht="15.75" customHeight="1">
      <c r="A32" s="47">
        <v>29</v>
      </c>
      <c r="B32" s="48">
        <v>46202</v>
      </c>
      <c r="C32" s="49">
        <f>IFERROR(Britador!N784,"")</f>
        <v>928270</v>
      </c>
      <c r="D32" s="49">
        <f>IFERROR('Linha 1'!N784,"")</f>
        <v>309470</v>
      </c>
      <c r="E32" s="49">
        <f>IFERROR('Linha 2'!N784,"")</f>
        <v>216400</v>
      </c>
      <c r="F32" s="49">
        <f>IFERROR('Linha 3'!N784,"")</f>
        <v>769540</v>
      </c>
      <c r="G32" s="50">
        <f t="shared" si="0"/>
        <v>1295410</v>
      </c>
    </row>
    <row r="33" spans="1:7" ht="15.75" customHeight="1">
      <c r="A33" s="51">
        <v>30</v>
      </c>
      <c r="B33" s="52">
        <v>46203</v>
      </c>
      <c r="C33" s="53">
        <f>IFERROR(Britador!N811,"")</f>
        <v>0</v>
      </c>
      <c r="D33" s="53">
        <f>IFERROR('Linha 1'!N811,"")</f>
        <v>0</v>
      </c>
      <c r="E33" s="53">
        <f>IFERROR('Linha 2'!N811,"")</f>
        <v>0</v>
      </c>
      <c r="F33" s="53">
        <f>IFERROR('Linha 3'!N811,"")</f>
        <v>0</v>
      </c>
      <c r="G33" s="54">
        <f t="shared" si="0"/>
        <v>0</v>
      </c>
    </row>
    <row r="34" spans="1:7" ht="21.75" customHeight="1">
      <c r="A34" s="101" t="s">
        <v>9</v>
      </c>
      <c r="B34" s="101"/>
      <c r="C34" s="55">
        <f t="shared" ref="C34:G34" si="1">IFERROR(SUM(C4:C33),"")</f>
        <v>49730180</v>
      </c>
      <c r="D34" s="55">
        <f t="shared" si="1"/>
        <v>24507090</v>
      </c>
      <c r="E34" s="55">
        <f t="shared" si="1"/>
        <v>9873850</v>
      </c>
      <c r="F34" s="55">
        <f t="shared" si="1"/>
        <v>28584285</v>
      </c>
      <c r="G34" s="55">
        <f t="shared" si="1"/>
        <v>62965225</v>
      </c>
    </row>
  </sheetData>
  <mergeCells count="3">
    <mergeCell ref="A1:G1"/>
    <mergeCell ref="A2:B2"/>
    <mergeCell ref="A34:B3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757575"/>
  </sheetPr>
  <dimension ref="A1:M113"/>
  <sheetViews>
    <sheetView showGridLines="0" topLeftCell="E1" zoomScale="85" zoomScaleNormal="85" workbookViewId="0">
      <selection activeCell="M46" sqref="M46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285156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2" t="s">
        <v>10</v>
      </c>
      <c r="B1" s="102"/>
      <c r="C1" s="102"/>
      <c r="D1" s="102"/>
      <c r="E1" s="102"/>
      <c r="F1" s="102"/>
      <c r="G1" s="102"/>
      <c r="H1" s="103"/>
      <c r="I1" s="104" t="s">
        <v>11</v>
      </c>
      <c r="J1" s="104"/>
      <c r="K1" s="104"/>
      <c r="L1" s="104"/>
      <c r="M1" s="104"/>
    </row>
    <row r="2" spans="1:13" ht="4.5" customHeight="1">
      <c r="H2" s="103"/>
    </row>
    <row r="3" spans="1:13" ht="21.75" customHeight="1">
      <c r="A3" s="1" t="s">
        <v>12</v>
      </c>
      <c r="C3" s="1" t="s">
        <v>13</v>
      </c>
      <c r="E3" s="1" t="s">
        <v>14</v>
      </c>
      <c r="G3" s="1" t="s">
        <v>15</v>
      </c>
      <c r="H3" s="103"/>
      <c r="I3" s="2" t="s">
        <v>16</v>
      </c>
      <c r="J3" s="2" t="s">
        <v>17</v>
      </c>
      <c r="K3" s="2" t="s">
        <v>18</v>
      </c>
      <c r="L3" s="2" t="s">
        <v>19</v>
      </c>
      <c r="M3" s="2" t="s">
        <v>20</v>
      </c>
    </row>
    <row r="4" spans="1:13" ht="15.75" customHeight="1">
      <c r="A4" s="3" t="s">
        <v>21</v>
      </c>
      <c r="C4" s="3" t="s">
        <v>22</v>
      </c>
      <c r="E4" s="3" t="s">
        <v>16</v>
      </c>
      <c r="G4" s="3" t="s">
        <v>23</v>
      </c>
      <c r="H4" s="103"/>
      <c r="I4" s="3" t="s">
        <v>24</v>
      </c>
      <c r="J4" s="3" t="s">
        <v>25</v>
      </c>
      <c r="K4" s="3" t="s">
        <v>26</v>
      </c>
      <c r="L4" s="3" t="s">
        <v>27</v>
      </c>
      <c r="M4" s="3" t="s">
        <v>28</v>
      </c>
    </row>
    <row r="5" spans="1:13" ht="15.75" customHeight="1">
      <c r="A5" s="4" t="s">
        <v>29</v>
      </c>
      <c r="C5" s="4" t="s">
        <v>30</v>
      </c>
      <c r="E5" s="4" t="s">
        <v>17</v>
      </c>
      <c r="G5" s="4" t="s">
        <v>31</v>
      </c>
      <c r="H5" s="103"/>
      <c r="I5" s="4" t="s">
        <v>32</v>
      </c>
      <c r="J5" s="4" t="s">
        <v>33</v>
      </c>
      <c r="K5" s="4" t="s">
        <v>34</v>
      </c>
      <c r="L5" s="4" t="s">
        <v>35</v>
      </c>
      <c r="M5" s="4" t="s">
        <v>36</v>
      </c>
    </row>
    <row r="6" spans="1:13" ht="15.75" customHeight="1">
      <c r="A6" s="3" t="s">
        <v>37</v>
      </c>
      <c r="C6" s="3" t="s">
        <v>38</v>
      </c>
      <c r="E6" s="3" t="s">
        <v>18</v>
      </c>
      <c r="G6" s="3" t="s">
        <v>39</v>
      </c>
      <c r="H6" s="103"/>
      <c r="I6" s="3" t="s">
        <v>40</v>
      </c>
      <c r="J6" s="3" t="s">
        <v>41</v>
      </c>
      <c r="K6" s="3" t="s">
        <v>42</v>
      </c>
      <c r="L6" s="3" t="s">
        <v>43</v>
      </c>
      <c r="M6" s="3" t="s">
        <v>44</v>
      </c>
    </row>
    <row r="7" spans="1:13" ht="15.75" customHeight="1">
      <c r="A7" s="4" t="s">
        <v>45</v>
      </c>
      <c r="C7" s="4" t="s">
        <v>46</v>
      </c>
      <c r="E7" s="3" t="s">
        <v>19</v>
      </c>
      <c r="G7" s="4" t="s">
        <v>47</v>
      </c>
      <c r="H7" s="103"/>
      <c r="I7" s="4" t="s">
        <v>48</v>
      </c>
      <c r="J7" s="4" t="s">
        <v>49</v>
      </c>
      <c r="K7" s="4" t="s">
        <v>34</v>
      </c>
      <c r="L7" s="4" t="s">
        <v>50</v>
      </c>
      <c r="M7" s="4" t="s">
        <v>51</v>
      </c>
    </row>
    <row r="8" spans="1:13" ht="15.75" customHeight="1">
      <c r="A8" s="3"/>
      <c r="C8" s="3"/>
      <c r="E8" s="4" t="s">
        <v>20</v>
      </c>
      <c r="G8" s="3" t="s">
        <v>52</v>
      </c>
      <c r="H8" s="103"/>
      <c r="I8" s="3" t="s">
        <v>53</v>
      </c>
      <c r="J8" s="3" t="s">
        <v>54</v>
      </c>
      <c r="K8" s="3" t="s">
        <v>42</v>
      </c>
      <c r="L8" s="3" t="s">
        <v>55</v>
      </c>
      <c r="M8" s="3" t="s">
        <v>56</v>
      </c>
    </row>
    <row r="9" spans="1:13" ht="15.75" customHeight="1">
      <c r="A9" s="4"/>
      <c r="C9" s="4"/>
      <c r="E9" s="4"/>
      <c r="G9" s="4" t="s">
        <v>57</v>
      </c>
      <c r="H9" s="103"/>
      <c r="I9" s="4" t="s">
        <v>58</v>
      </c>
      <c r="J9" s="4" t="s">
        <v>59</v>
      </c>
      <c r="K9" s="4" t="s">
        <v>60</v>
      </c>
      <c r="L9" s="4" t="s">
        <v>61</v>
      </c>
      <c r="M9" s="4" t="s">
        <v>62</v>
      </c>
    </row>
    <row r="10" spans="1:13" ht="15.75" customHeight="1">
      <c r="A10" s="3"/>
      <c r="C10" s="3"/>
      <c r="E10" s="3"/>
      <c r="G10" s="3" t="s">
        <v>63</v>
      </c>
      <c r="H10" s="103"/>
      <c r="I10" s="3" t="s">
        <v>64</v>
      </c>
      <c r="J10" s="3" t="s">
        <v>65</v>
      </c>
      <c r="K10" s="3" t="s">
        <v>66</v>
      </c>
      <c r="L10" s="3" t="s">
        <v>67</v>
      </c>
      <c r="M10" s="3" t="s">
        <v>68</v>
      </c>
    </row>
    <row r="11" spans="1:13" ht="15.75" customHeight="1">
      <c r="A11" s="4"/>
      <c r="C11" s="4"/>
      <c r="E11" s="4"/>
      <c r="G11" s="4" t="s">
        <v>69</v>
      </c>
      <c r="H11" s="103"/>
      <c r="I11" s="4" t="s">
        <v>70</v>
      </c>
      <c r="J11" s="4" t="s">
        <v>71</v>
      </c>
      <c r="K11" s="4" t="s">
        <v>72</v>
      </c>
      <c r="L11" s="4" t="s">
        <v>73</v>
      </c>
      <c r="M11" s="4" t="s">
        <v>74</v>
      </c>
    </row>
    <row r="12" spans="1:13" ht="15.75" customHeight="1">
      <c r="A12" s="3"/>
      <c r="C12" s="3"/>
      <c r="E12" s="3"/>
      <c r="G12" s="3" t="s">
        <v>75</v>
      </c>
      <c r="H12" s="103"/>
      <c r="I12" s="3" t="s">
        <v>76</v>
      </c>
      <c r="J12" s="3" t="s">
        <v>77</v>
      </c>
      <c r="K12" s="3" t="s">
        <v>61</v>
      </c>
      <c r="L12" s="3" t="s">
        <v>78</v>
      </c>
      <c r="M12" s="3" t="s">
        <v>79</v>
      </c>
    </row>
    <row r="13" spans="1:13" ht="15.75" customHeight="1">
      <c r="A13" s="4"/>
      <c r="C13" s="4"/>
      <c r="E13" s="4"/>
      <c r="G13" s="4" t="s">
        <v>80</v>
      </c>
      <c r="H13" s="103"/>
      <c r="I13" s="4"/>
      <c r="J13" s="4" t="s">
        <v>81</v>
      </c>
      <c r="K13" s="4" t="s">
        <v>82</v>
      </c>
      <c r="L13" s="4" t="s">
        <v>83</v>
      </c>
      <c r="M13" s="4" t="s">
        <v>84</v>
      </c>
    </row>
    <row r="14" spans="1:13" ht="15.75" customHeight="1">
      <c r="A14" s="3"/>
      <c r="C14" s="3"/>
      <c r="E14" s="3"/>
      <c r="G14" s="3" t="s">
        <v>85</v>
      </c>
      <c r="H14" s="103"/>
      <c r="I14" s="3"/>
      <c r="J14" s="3" t="s">
        <v>86</v>
      </c>
      <c r="K14" s="3" t="s">
        <v>87</v>
      </c>
      <c r="L14" s="3" t="s">
        <v>88</v>
      </c>
      <c r="M14" s="3" t="s">
        <v>89</v>
      </c>
    </row>
    <row r="15" spans="1:13" ht="15.75" customHeight="1">
      <c r="A15" s="4"/>
      <c r="C15" s="4"/>
      <c r="E15" s="4"/>
      <c r="G15" s="4" t="s">
        <v>90</v>
      </c>
      <c r="H15" s="103"/>
      <c r="I15" s="4"/>
      <c r="J15" s="4" t="s">
        <v>91</v>
      </c>
      <c r="K15" s="4" t="s">
        <v>92</v>
      </c>
      <c r="L15" s="4" t="s">
        <v>93</v>
      </c>
      <c r="M15" s="4" t="s">
        <v>94</v>
      </c>
    </row>
    <row r="16" spans="1:13" ht="15.75" customHeight="1">
      <c r="A16" s="3"/>
      <c r="C16" s="3"/>
      <c r="E16" s="3"/>
      <c r="G16" s="3" t="s">
        <v>95</v>
      </c>
      <c r="H16" s="103"/>
      <c r="I16" s="3"/>
      <c r="J16" s="3" t="s">
        <v>96</v>
      </c>
      <c r="K16" s="3" t="s">
        <v>97</v>
      </c>
      <c r="L16" s="3" t="s">
        <v>98</v>
      </c>
      <c r="M16" s="3" t="s">
        <v>99</v>
      </c>
    </row>
    <row r="17" spans="1:13" ht="15.75" customHeight="1">
      <c r="A17" s="4"/>
      <c r="C17" s="4"/>
      <c r="E17" s="4"/>
      <c r="G17" s="4" t="s">
        <v>100</v>
      </c>
      <c r="H17" s="103"/>
      <c r="I17" s="4"/>
      <c r="J17" s="4"/>
      <c r="K17" s="4" t="s">
        <v>101</v>
      </c>
      <c r="L17" s="4" t="s">
        <v>102</v>
      </c>
      <c r="M17" s="4" t="s">
        <v>103</v>
      </c>
    </row>
    <row r="18" spans="1:13" ht="15.75" customHeight="1">
      <c r="A18" s="3"/>
      <c r="C18" s="3"/>
      <c r="E18" s="3"/>
      <c r="G18" s="3" t="s">
        <v>104</v>
      </c>
      <c r="H18" s="103"/>
      <c r="I18" s="3"/>
      <c r="J18" s="3"/>
      <c r="K18" s="3" t="s">
        <v>105</v>
      </c>
      <c r="L18" s="3" t="s">
        <v>106</v>
      </c>
      <c r="M18" s="3" t="s">
        <v>107</v>
      </c>
    </row>
    <row r="19" spans="1:13" ht="15.75" customHeight="1">
      <c r="A19" s="4"/>
      <c r="C19" s="4"/>
      <c r="E19" s="4"/>
      <c r="G19" s="4" t="s">
        <v>108</v>
      </c>
      <c r="H19" s="103"/>
      <c r="I19" s="4"/>
      <c r="J19" s="4"/>
      <c r="K19" s="4" t="s">
        <v>109</v>
      </c>
      <c r="L19" s="4" t="s">
        <v>110</v>
      </c>
      <c r="M19" s="4" t="s">
        <v>111</v>
      </c>
    </row>
    <row r="20" spans="1:13" ht="15.75" customHeight="1">
      <c r="A20" s="3"/>
      <c r="C20" s="3"/>
      <c r="E20" s="3"/>
      <c r="G20" s="3" t="s">
        <v>112</v>
      </c>
      <c r="H20" s="103"/>
      <c r="I20" s="3"/>
      <c r="J20" s="3"/>
      <c r="K20" s="3" t="s">
        <v>113</v>
      </c>
      <c r="L20" s="3"/>
      <c r="M20" s="3" t="s">
        <v>114</v>
      </c>
    </row>
    <row r="21" spans="1:13" ht="15.75" customHeight="1">
      <c r="A21" s="4"/>
      <c r="C21" s="4"/>
      <c r="E21" s="4"/>
      <c r="G21" s="4" t="s">
        <v>115</v>
      </c>
      <c r="H21" s="103"/>
      <c r="I21" s="4"/>
      <c r="J21" s="4"/>
      <c r="K21" s="4" t="s">
        <v>116</v>
      </c>
      <c r="L21" s="4"/>
      <c r="M21" s="4" t="s">
        <v>117</v>
      </c>
    </row>
    <row r="22" spans="1:13" ht="15.75" customHeight="1">
      <c r="A22" s="3"/>
      <c r="C22" s="3"/>
      <c r="E22" s="3"/>
      <c r="G22" s="3" t="s">
        <v>118</v>
      </c>
      <c r="H22" s="103"/>
      <c r="I22" s="3"/>
      <c r="J22" s="3"/>
      <c r="K22" s="3" t="s">
        <v>119</v>
      </c>
      <c r="L22" s="3"/>
      <c r="M22" s="3" t="s">
        <v>120</v>
      </c>
    </row>
    <row r="23" spans="1:13" ht="15.75" customHeight="1">
      <c r="A23" s="4"/>
      <c r="C23" s="4"/>
      <c r="E23" s="4"/>
      <c r="G23" s="4" t="s">
        <v>121</v>
      </c>
      <c r="H23" s="103"/>
      <c r="I23" s="4"/>
      <c r="J23" s="4"/>
      <c r="K23" s="4" t="s">
        <v>122</v>
      </c>
      <c r="L23" s="4"/>
      <c r="M23" s="4" t="s">
        <v>123</v>
      </c>
    </row>
    <row r="24" spans="1:13" ht="15.75" customHeight="1">
      <c r="A24" s="3"/>
      <c r="C24" s="3"/>
      <c r="E24" s="3"/>
      <c r="G24" s="3" t="s">
        <v>124</v>
      </c>
      <c r="H24" s="103"/>
      <c r="I24" s="3"/>
      <c r="J24" s="3"/>
      <c r="K24" s="3" t="s">
        <v>125</v>
      </c>
      <c r="L24" s="3"/>
      <c r="M24" s="3" t="s">
        <v>126</v>
      </c>
    </row>
    <row r="25" spans="1:13" ht="15.75" customHeight="1">
      <c r="A25" s="4"/>
      <c r="C25" s="4"/>
      <c r="E25" s="4"/>
      <c r="G25" s="4" t="s">
        <v>127</v>
      </c>
      <c r="H25" s="103"/>
      <c r="I25" s="4"/>
      <c r="J25" s="4"/>
      <c r="K25" s="4" t="s">
        <v>128</v>
      </c>
      <c r="L25" s="4"/>
      <c r="M25" s="4" t="s">
        <v>129</v>
      </c>
    </row>
    <row r="26" spans="1:13" ht="15.75" customHeight="1">
      <c r="A26" s="3"/>
      <c r="C26" s="3"/>
      <c r="E26" s="3"/>
      <c r="G26" s="3" t="s">
        <v>130</v>
      </c>
      <c r="H26" s="103"/>
      <c r="I26" s="3"/>
      <c r="J26" s="3"/>
      <c r="K26" s="3" t="s">
        <v>131</v>
      </c>
      <c r="L26" s="3"/>
      <c r="M26" s="3"/>
    </row>
    <row r="27" spans="1:13" ht="15.75" customHeight="1">
      <c r="A27" s="4"/>
      <c r="C27" s="4"/>
      <c r="E27" s="4"/>
      <c r="G27" s="4" t="s">
        <v>132</v>
      </c>
      <c r="H27" s="103"/>
      <c r="I27" s="4"/>
      <c r="J27" s="4"/>
      <c r="K27" s="4" t="s">
        <v>123</v>
      </c>
      <c r="L27" s="4"/>
      <c r="M27" s="4" t="s">
        <v>62</v>
      </c>
    </row>
    <row r="28" spans="1:13" ht="15.75" customHeight="1">
      <c r="A28" s="3"/>
      <c r="C28" s="3"/>
      <c r="E28" s="3"/>
      <c r="G28" s="3" t="s">
        <v>133</v>
      </c>
      <c r="H28" s="103"/>
      <c r="I28" s="3"/>
      <c r="J28" s="3"/>
      <c r="K28" s="3" t="s">
        <v>126</v>
      </c>
      <c r="L28" s="3"/>
      <c r="M28" s="3" t="s">
        <v>134</v>
      </c>
    </row>
    <row r="29" spans="1:13" ht="15.75" customHeight="1">
      <c r="A29" s="4"/>
      <c r="C29" s="4"/>
      <c r="E29" s="4"/>
      <c r="G29" s="4" t="s">
        <v>135</v>
      </c>
      <c r="H29" s="103"/>
      <c r="I29" s="4"/>
      <c r="J29" s="4"/>
      <c r="K29" s="4" t="s">
        <v>136</v>
      </c>
      <c r="L29" s="4"/>
      <c r="M29" s="4" t="s">
        <v>137</v>
      </c>
    </row>
    <row r="30" spans="1:13" ht="15.75" customHeight="1">
      <c r="A30" s="3"/>
      <c r="C30" s="3"/>
      <c r="E30" s="3"/>
      <c r="G30" s="3" t="s">
        <v>138</v>
      </c>
      <c r="H30" s="103"/>
      <c r="I30" s="3"/>
      <c r="J30" s="3"/>
      <c r="K30" s="3" t="s">
        <v>139</v>
      </c>
      <c r="L30" s="3"/>
      <c r="M30" s="3" t="s">
        <v>140</v>
      </c>
    </row>
    <row r="31" spans="1:13" ht="15.75" customHeight="1">
      <c r="A31" s="4"/>
      <c r="C31" s="4"/>
      <c r="E31" s="4"/>
      <c r="G31" s="4" t="s">
        <v>141</v>
      </c>
      <c r="H31" s="103"/>
      <c r="I31" s="4"/>
      <c r="J31" s="4"/>
      <c r="K31" s="5" t="s">
        <v>142</v>
      </c>
      <c r="L31" s="4"/>
      <c r="M31" s="4" t="s">
        <v>143</v>
      </c>
    </row>
    <row r="32" spans="1:13" ht="15.75" customHeight="1">
      <c r="A32" s="3"/>
      <c r="C32" s="3"/>
      <c r="E32" s="3"/>
      <c r="G32" s="3" t="s">
        <v>144</v>
      </c>
      <c r="H32" s="103"/>
      <c r="I32" s="3"/>
      <c r="J32" s="3"/>
      <c r="K32" s="3" t="s">
        <v>145</v>
      </c>
      <c r="L32" s="3"/>
      <c r="M32" t="s">
        <v>146</v>
      </c>
    </row>
    <row r="33" spans="1:13" ht="15.75" customHeight="1">
      <c r="A33" s="4"/>
      <c r="C33" s="4"/>
      <c r="E33" s="4"/>
      <c r="G33" s="4" t="s">
        <v>147</v>
      </c>
      <c r="H33" s="103"/>
      <c r="I33" s="4"/>
      <c r="J33" s="4"/>
      <c r="K33" s="66" t="s">
        <v>148</v>
      </c>
      <c r="L33" s="4"/>
      <c r="M33" s="4" t="s">
        <v>20</v>
      </c>
    </row>
    <row r="34" spans="1:13" ht="15.75" customHeight="1">
      <c r="A34" s="3"/>
      <c r="C34" s="3"/>
      <c r="E34" s="3"/>
      <c r="G34" s="3" t="s">
        <v>149</v>
      </c>
      <c r="H34" s="103"/>
      <c r="I34" s="3"/>
      <c r="J34" s="3"/>
      <c r="K34" s="3" t="s">
        <v>79</v>
      </c>
      <c r="L34" s="3"/>
      <c r="M34" s="3" t="s">
        <v>150</v>
      </c>
    </row>
    <row r="35" spans="1:13" ht="15.75" customHeight="1">
      <c r="A35" s="4"/>
      <c r="C35" s="4"/>
      <c r="E35" s="4"/>
      <c r="G35" s="4" t="s">
        <v>151</v>
      </c>
      <c r="H35" s="103"/>
      <c r="I35" s="4"/>
      <c r="J35" s="4"/>
      <c r="K35" s="4" t="s">
        <v>152</v>
      </c>
      <c r="L35" s="4"/>
      <c r="M35" s="4" t="s">
        <v>153</v>
      </c>
    </row>
    <row r="36" spans="1:13" ht="15.75" customHeight="1">
      <c r="A36" s="3"/>
      <c r="C36" s="3"/>
      <c r="E36" s="3"/>
      <c r="G36" s="3" t="s">
        <v>154</v>
      </c>
      <c r="H36" s="103"/>
      <c r="I36" s="3"/>
      <c r="J36" s="3"/>
      <c r="K36" s="3" t="s">
        <v>155</v>
      </c>
      <c r="L36" s="3"/>
      <c r="M36" s="3" t="s">
        <v>156</v>
      </c>
    </row>
    <row r="37" spans="1:13" ht="15.75" customHeight="1">
      <c r="A37" s="4"/>
      <c r="C37" s="4"/>
      <c r="E37" s="4"/>
      <c r="G37" s="4" t="s">
        <v>157</v>
      </c>
      <c r="H37" s="103"/>
      <c r="I37" s="4"/>
      <c r="J37" s="4"/>
      <c r="K37" s="4" t="s">
        <v>158</v>
      </c>
      <c r="L37" s="4"/>
      <c r="M37" s="4" t="s">
        <v>159</v>
      </c>
    </row>
    <row r="38" spans="1:13" ht="15.75" customHeight="1">
      <c r="A38" s="3"/>
      <c r="C38" s="3"/>
      <c r="E38" s="3"/>
      <c r="G38" s="3"/>
      <c r="H38" s="103"/>
      <c r="I38" s="3"/>
      <c r="J38" s="3"/>
      <c r="K38" s="3" t="s">
        <v>160</v>
      </c>
      <c r="L38" s="3"/>
      <c r="M38" s="3" t="s">
        <v>161</v>
      </c>
    </row>
    <row r="39" spans="1:13" ht="15.75" customHeight="1">
      <c r="A39" s="4"/>
      <c r="C39" s="4"/>
      <c r="E39" s="4"/>
      <c r="G39" s="4"/>
      <c r="H39" s="103"/>
      <c r="I39" s="4"/>
      <c r="J39" s="4"/>
      <c r="K39" s="4" t="s">
        <v>162</v>
      </c>
      <c r="L39" s="4"/>
      <c r="M39" s="4" t="s">
        <v>163</v>
      </c>
    </row>
    <row r="40" spans="1:13" ht="15.75" customHeight="1">
      <c r="A40" s="3"/>
      <c r="C40" s="3"/>
      <c r="E40" s="3"/>
      <c r="G40" s="3"/>
      <c r="H40" s="103"/>
      <c r="I40" s="3"/>
      <c r="J40" s="3"/>
      <c r="K40" s="3" t="s">
        <v>164</v>
      </c>
      <c r="L40" s="3"/>
      <c r="M40" s="3" t="s">
        <v>165</v>
      </c>
    </row>
    <row r="41" spans="1:13" ht="15.75" customHeight="1">
      <c r="A41" s="4"/>
      <c r="C41" s="4"/>
      <c r="E41" s="4"/>
      <c r="G41" s="4"/>
      <c r="H41" s="103"/>
      <c r="I41" s="4"/>
      <c r="J41" s="4"/>
      <c r="K41" s="4" t="s">
        <v>166</v>
      </c>
      <c r="L41" s="4"/>
      <c r="M41" s="4" t="s">
        <v>167</v>
      </c>
    </row>
    <row r="42" spans="1:13" ht="15.75" customHeight="1">
      <c r="A42" s="3"/>
      <c r="C42" s="3"/>
      <c r="E42" s="3"/>
      <c r="G42" s="3"/>
      <c r="H42" s="103"/>
      <c r="I42" s="3"/>
      <c r="J42" s="3"/>
      <c r="K42" s="3" t="s">
        <v>168</v>
      </c>
      <c r="L42" s="3"/>
      <c r="M42" s="3" t="s">
        <v>169</v>
      </c>
    </row>
    <row r="43" spans="1:13" ht="15.75" customHeight="1">
      <c r="A43" s="4"/>
      <c r="C43" s="4"/>
      <c r="E43" s="4"/>
      <c r="G43" s="4"/>
      <c r="H43" s="103"/>
      <c r="I43" s="4"/>
      <c r="J43" s="4"/>
      <c r="K43" s="4" t="s">
        <v>170</v>
      </c>
      <c r="L43" s="4"/>
      <c r="M43" s="4" t="s">
        <v>171</v>
      </c>
    </row>
    <row r="44" spans="1:13" ht="15.75" customHeight="1">
      <c r="A44" s="3"/>
      <c r="C44" s="3"/>
      <c r="E44" s="3"/>
      <c r="G44" s="3"/>
      <c r="H44" s="103"/>
      <c r="I44" s="3"/>
      <c r="J44" s="3"/>
      <c r="K44" s="3" t="s">
        <v>172</v>
      </c>
      <c r="L44" s="3"/>
      <c r="M44" s="3" t="s">
        <v>173</v>
      </c>
    </row>
    <row r="45" spans="1:13" ht="15.75" customHeight="1">
      <c r="A45" s="4"/>
      <c r="C45" s="4"/>
      <c r="E45" s="4"/>
      <c r="G45" s="4"/>
      <c r="H45" s="103"/>
      <c r="I45" s="4"/>
      <c r="J45" s="4"/>
      <c r="K45" s="4"/>
      <c r="L45" s="4"/>
      <c r="M45" s="4" t="s">
        <v>174</v>
      </c>
    </row>
    <row r="46" spans="1:13" ht="15.75" customHeight="1">
      <c r="A46" s="3"/>
      <c r="C46" s="3"/>
      <c r="E46" s="3"/>
      <c r="G46" s="3"/>
      <c r="H46" s="103"/>
      <c r="I46" s="3"/>
      <c r="J46" s="3"/>
      <c r="K46" s="3" t="s">
        <v>175</v>
      </c>
      <c r="L46" s="3"/>
      <c r="M46" s="3"/>
    </row>
    <row r="47" spans="1:13" ht="15.75" customHeight="1">
      <c r="A47" s="4"/>
      <c r="C47" s="4"/>
      <c r="E47" s="4"/>
      <c r="G47" s="4"/>
      <c r="H47" s="103"/>
      <c r="I47" s="4"/>
      <c r="J47" s="4"/>
      <c r="K47" s="4" t="s">
        <v>176</v>
      </c>
      <c r="L47" s="4"/>
      <c r="M47" s="4"/>
    </row>
    <row r="48" spans="1:13" ht="15.75" customHeight="1">
      <c r="A48" s="3"/>
      <c r="C48" s="3"/>
      <c r="E48" s="3"/>
      <c r="G48" s="3"/>
      <c r="H48" s="103"/>
      <c r="I48" s="3"/>
      <c r="J48" s="3"/>
      <c r="K48" s="3" t="s">
        <v>177</v>
      </c>
      <c r="L48" s="3"/>
      <c r="M48" s="3"/>
    </row>
    <row r="49" spans="1:13" ht="18" customHeight="1">
      <c r="H49" s="103"/>
      <c r="I49" s="4"/>
      <c r="J49" s="4"/>
      <c r="K49" s="4" t="s">
        <v>178</v>
      </c>
      <c r="L49" s="4"/>
      <c r="M49" s="4"/>
    </row>
    <row r="50" spans="1:13" ht="21" customHeight="1">
      <c r="A50" s="6" t="s">
        <v>179</v>
      </c>
      <c r="B50" s="6"/>
      <c r="C50" s="6"/>
      <c r="D50" s="6"/>
      <c r="E50" s="6"/>
      <c r="F50" s="6"/>
      <c r="G50" s="6"/>
      <c r="H50" s="103"/>
      <c r="I50" s="3"/>
      <c r="J50" s="3"/>
      <c r="K50" s="3" t="s">
        <v>180</v>
      </c>
      <c r="L50" s="3"/>
      <c r="M50" s="3"/>
    </row>
    <row r="51" spans="1:13" ht="24" customHeight="1">
      <c r="H51" s="103"/>
      <c r="I51" s="4"/>
      <c r="J51" s="4"/>
      <c r="K51" s="4"/>
      <c r="L51" s="4"/>
      <c r="M51" s="4"/>
    </row>
    <row r="52" spans="1:13" ht="24" customHeight="1">
      <c r="H52" s="103"/>
      <c r="I52" s="3"/>
      <c r="J52" s="3"/>
      <c r="K52" s="3"/>
      <c r="L52" s="3"/>
      <c r="M52" s="3"/>
    </row>
    <row r="53" spans="1:13" ht="36" customHeight="1">
      <c r="H53" s="103"/>
      <c r="I53" s="4"/>
      <c r="J53" s="4"/>
      <c r="K53" s="4"/>
      <c r="L53" s="4"/>
      <c r="M53" s="4"/>
    </row>
    <row r="54" spans="1:13" ht="15" customHeight="1">
      <c r="H54" s="103"/>
      <c r="I54" s="3"/>
      <c r="J54" s="3"/>
      <c r="K54" s="3"/>
      <c r="L54" s="3"/>
      <c r="M54" s="3"/>
    </row>
    <row r="55" spans="1:13" ht="15" customHeight="1">
      <c r="H55" s="103"/>
      <c r="I55" s="4"/>
      <c r="J55" s="4"/>
      <c r="K55" s="4"/>
      <c r="L55" s="4"/>
      <c r="M55" s="4"/>
    </row>
    <row r="56" spans="1:13" ht="15" customHeight="1">
      <c r="H56" s="103"/>
      <c r="I56" s="3"/>
      <c r="J56" s="3"/>
      <c r="K56" s="3"/>
      <c r="L56" s="3"/>
      <c r="M56" s="3"/>
    </row>
    <row r="57" spans="1:13" ht="15" customHeight="1">
      <c r="H57" s="103"/>
      <c r="I57" s="4"/>
      <c r="J57" s="4"/>
      <c r="K57" s="4"/>
      <c r="L57" s="4"/>
      <c r="M57" s="4"/>
    </row>
    <row r="58" spans="1:13" ht="15" customHeight="1">
      <c r="H58" s="103"/>
      <c r="I58" s="3"/>
      <c r="J58" s="3"/>
      <c r="K58" s="3"/>
      <c r="L58" s="3"/>
      <c r="M58" s="3"/>
    </row>
    <row r="59" spans="1:13" ht="15" customHeight="1">
      <c r="H59" s="103"/>
      <c r="I59" s="4"/>
      <c r="J59" s="4"/>
      <c r="K59" s="4"/>
      <c r="L59" s="4"/>
      <c r="M59" s="4"/>
    </row>
    <row r="60" spans="1:13" ht="15" customHeight="1">
      <c r="H60" s="103"/>
      <c r="I60" s="3"/>
      <c r="J60" s="3"/>
      <c r="K60" s="3"/>
      <c r="L60" s="3"/>
      <c r="M60" s="3"/>
    </row>
    <row r="61" spans="1:13" ht="15" customHeight="1">
      <c r="H61" s="103"/>
      <c r="I61" s="4"/>
      <c r="J61" s="4"/>
      <c r="K61" s="4"/>
      <c r="L61" s="4"/>
      <c r="M61" s="4"/>
    </row>
    <row r="62" spans="1:13" ht="15" customHeight="1">
      <c r="H62" s="103"/>
      <c r="I62" s="3"/>
      <c r="J62" s="3"/>
      <c r="K62" s="3"/>
      <c r="L62" s="3"/>
      <c r="M62" s="3"/>
    </row>
    <row r="63" spans="1:13" ht="15" customHeight="1">
      <c r="H63" s="103"/>
      <c r="I63" s="4"/>
      <c r="J63" s="4"/>
      <c r="K63" s="4"/>
      <c r="L63" s="4"/>
      <c r="M63" s="4"/>
    </row>
    <row r="64" spans="1:13" ht="15" customHeight="1">
      <c r="H64" s="103"/>
      <c r="I64" s="3"/>
      <c r="J64" s="3"/>
      <c r="K64" s="3"/>
      <c r="L64" s="3"/>
      <c r="M64" s="3"/>
    </row>
    <row r="65" spans="8:13" ht="15" customHeight="1">
      <c r="H65" s="103"/>
      <c r="I65" s="4"/>
      <c r="J65" s="4"/>
      <c r="K65" s="4"/>
      <c r="L65" s="4"/>
      <c r="M65" s="4"/>
    </row>
    <row r="66" spans="8:13" ht="15" customHeight="1">
      <c r="H66" s="103"/>
      <c r="I66" s="3"/>
      <c r="J66" s="3"/>
      <c r="K66" s="3"/>
      <c r="L66" s="3"/>
      <c r="M66" s="3"/>
    </row>
    <row r="67" spans="8:13" ht="15" customHeight="1">
      <c r="H67" s="103"/>
      <c r="I67" s="4"/>
      <c r="J67" s="4"/>
      <c r="K67" s="4"/>
      <c r="L67" s="4"/>
      <c r="M67" s="4"/>
    </row>
    <row r="68" spans="8:13" ht="15" customHeight="1">
      <c r="H68" s="103"/>
      <c r="I68" s="3"/>
      <c r="J68" s="3"/>
      <c r="K68" s="3"/>
      <c r="L68" s="3"/>
      <c r="M68" s="3"/>
    </row>
    <row r="69" spans="8:13" ht="15" customHeight="1">
      <c r="H69" s="103"/>
      <c r="I69" s="4"/>
      <c r="J69" s="4"/>
      <c r="K69" s="4"/>
      <c r="L69" s="4"/>
      <c r="M69" s="4"/>
    </row>
    <row r="70" spans="8:13" ht="15" customHeight="1">
      <c r="H70" s="103"/>
      <c r="I70" s="3"/>
      <c r="J70" s="3"/>
      <c r="K70" s="3"/>
      <c r="L70" s="3"/>
      <c r="M70" s="3"/>
    </row>
    <row r="71" spans="8:13" ht="15" customHeight="1">
      <c r="H71" s="103"/>
      <c r="I71" s="4"/>
      <c r="J71" s="4"/>
      <c r="K71" s="4"/>
      <c r="L71" s="4"/>
      <c r="M71" s="4"/>
    </row>
    <row r="72" spans="8:13" ht="15" customHeight="1">
      <c r="H72" s="103"/>
      <c r="I72" s="3"/>
      <c r="J72" s="3"/>
      <c r="K72" s="3"/>
      <c r="L72" s="3"/>
      <c r="M72" s="3"/>
    </row>
    <row r="73" spans="8:13" ht="15" customHeight="1">
      <c r="H73" s="103"/>
      <c r="I73" s="4"/>
      <c r="J73" s="4"/>
      <c r="K73" s="4"/>
      <c r="L73" s="4"/>
      <c r="M73" s="4"/>
    </row>
    <row r="74" spans="8:13" ht="15" customHeight="1">
      <c r="H74" s="103"/>
      <c r="I74" s="3"/>
      <c r="J74" s="3"/>
      <c r="K74" s="3"/>
      <c r="L74" s="3"/>
      <c r="M74" s="3"/>
    </row>
    <row r="75" spans="8:13" ht="15" customHeight="1">
      <c r="H75" s="103"/>
      <c r="I75" s="4"/>
      <c r="J75" s="4"/>
      <c r="K75" s="4"/>
      <c r="L75" s="4"/>
      <c r="M75" s="4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N811"/>
  <sheetViews>
    <sheetView showGridLines="0" zoomScale="80" zoomScaleNormal="80" workbookViewId="0">
      <pane ySplit="1" topLeftCell="A764" activePane="bottomLeft" state="frozen"/>
      <selection pane="bottomLeft" activeCell="E782" sqref="E782"/>
    </sheetView>
  </sheetViews>
  <sheetFormatPr defaultColWidth="8.5703125" defaultRowHeight="14.45"/>
  <cols>
    <col min="1" max="1" width="13" style="60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3.140625" style="7" customWidth="1"/>
    <col min="8" max="8" width="23.42578125" style="7" customWidth="1"/>
    <col min="9" max="9" width="43.140625" style="7" customWidth="1"/>
    <col min="10" max="10" width="14" style="7" customWidth="1"/>
    <col min="11" max="11" width="13.140625" style="7" customWidth="1"/>
    <col min="12" max="12" width="14" style="74" customWidth="1"/>
    <col min="13" max="13" width="50.42578125" style="7" customWidth="1"/>
    <col min="14" max="14" width="14" style="7" customWidth="1"/>
  </cols>
  <sheetData>
    <row r="1" spans="1:14" ht="37.5" customHeight="1">
      <c r="A1" s="57" t="s">
        <v>7</v>
      </c>
      <c r="B1" s="8" t="s">
        <v>181</v>
      </c>
      <c r="C1" s="8" t="s">
        <v>12</v>
      </c>
      <c r="D1" s="8" t="s">
        <v>13</v>
      </c>
      <c r="E1" s="8" t="s">
        <v>182</v>
      </c>
      <c r="F1" s="8" t="s">
        <v>183</v>
      </c>
      <c r="G1" s="8" t="s">
        <v>14</v>
      </c>
      <c r="H1" s="8" t="s">
        <v>15</v>
      </c>
      <c r="I1" s="8" t="s">
        <v>184</v>
      </c>
      <c r="J1" s="8" t="s">
        <v>185</v>
      </c>
      <c r="K1" s="8" t="s">
        <v>186</v>
      </c>
      <c r="L1" s="69" t="s">
        <v>187</v>
      </c>
      <c r="M1" s="8" t="s">
        <v>188</v>
      </c>
      <c r="N1" s="8" t="s">
        <v>189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11">
        <v>0</v>
      </c>
      <c r="F2" s="12">
        <f t="shared" ref="F2:F13" si="0">IF(E2="","",E2*5)</f>
        <v>0</v>
      </c>
      <c r="G2" s="10" t="s">
        <v>190</v>
      </c>
      <c r="H2" s="10" t="s">
        <v>23</v>
      </c>
      <c r="I2" s="10" t="s">
        <v>58</v>
      </c>
      <c r="J2" s="13">
        <v>0.33333333333333298</v>
      </c>
      <c r="K2" s="13">
        <v>0.375</v>
      </c>
      <c r="L2" s="70">
        <f t="shared" ref="L2:L13" si="1">IFERROR(IF(K2="","",IF(K2&gt;=J2,K2-J2,K2+1-J2)),"")</f>
        <v>4.1666666666667018E-2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 t="s">
        <v>21</v>
      </c>
      <c r="D3" s="16" t="s">
        <v>22</v>
      </c>
      <c r="E3" s="11">
        <v>30</v>
      </c>
      <c r="F3" s="17">
        <f t="shared" si="0"/>
        <v>150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11">
        <v>35</v>
      </c>
      <c r="F4" s="12">
        <f t="shared" si="0"/>
        <v>175</v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 t="s">
        <v>21</v>
      </c>
      <c r="D5" s="16" t="s">
        <v>22</v>
      </c>
      <c r="E5" s="11">
        <v>25</v>
      </c>
      <c r="F5" s="17">
        <f t="shared" si="0"/>
        <v>125</v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11">
        <v>40</v>
      </c>
      <c r="F6" s="12">
        <f t="shared" si="0"/>
        <v>200</v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 t="s">
        <v>21</v>
      </c>
      <c r="D7" s="16" t="s">
        <v>22</v>
      </c>
      <c r="E7" s="11">
        <v>40</v>
      </c>
      <c r="F7" s="17">
        <f t="shared" si="0"/>
        <v>200</v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11">
        <v>40</v>
      </c>
      <c r="F8" s="12">
        <f t="shared" si="0"/>
        <v>200</v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 t="s">
        <v>21</v>
      </c>
      <c r="D9" s="16" t="s">
        <v>22</v>
      </c>
      <c r="E9" s="11">
        <v>30</v>
      </c>
      <c r="F9" s="17">
        <f t="shared" si="0"/>
        <v>150</v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11">
        <v>15</v>
      </c>
      <c r="F10" s="12">
        <f t="shared" si="0"/>
        <v>75</v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 t="s">
        <v>21</v>
      </c>
      <c r="D11" s="16" t="s">
        <v>22</v>
      </c>
      <c r="E11" s="11">
        <v>35</v>
      </c>
      <c r="F11" s="17">
        <f t="shared" si="0"/>
        <v>175</v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11">
        <v>25</v>
      </c>
      <c r="F12" s="12">
        <f t="shared" si="0"/>
        <v>125</v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 t="s">
        <v>21</v>
      </c>
      <c r="D13" s="16" t="s">
        <v>22</v>
      </c>
      <c r="E13" s="11">
        <v>15</v>
      </c>
      <c r="F13" s="17">
        <f t="shared" si="0"/>
        <v>75</v>
      </c>
      <c r="G13" s="16" t="s">
        <v>16</v>
      </c>
      <c r="H13" s="16" t="s">
        <v>23</v>
      </c>
      <c r="I13" s="16" t="s">
        <v>32</v>
      </c>
      <c r="J13" s="13">
        <v>0.77083333333333304</v>
      </c>
      <c r="K13" s="13">
        <v>0.79166666666666696</v>
      </c>
      <c r="L13" s="71">
        <f t="shared" si="1"/>
        <v>2.0833333333333925E-2</v>
      </c>
      <c r="M13" s="11"/>
      <c r="N13" s="14"/>
    </row>
    <row r="14" spans="1:14" ht="15.75" customHeight="1">
      <c r="A14" s="97" t="s">
        <v>191</v>
      </c>
      <c r="B14" s="97"/>
      <c r="C14" s="97"/>
      <c r="D14" s="97"/>
      <c r="E14" s="19">
        <f>SUM(E2:E13)</f>
        <v>330</v>
      </c>
      <c r="F14" s="19">
        <f>SUM(F2:F13)</f>
        <v>1650</v>
      </c>
      <c r="G14" s="18"/>
      <c r="H14" s="18"/>
      <c r="I14" s="18"/>
      <c r="J14" s="18"/>
      <c r="K14" s="18"/>
      <c r="L14" s="72">
        <f>IFERROR(SUM(L2:L13),"")</f>
        <v>6.2500000000000944E-2</v>
      </c>
      <c r="M14" s="19" t="s">
        <v>192</v>
      </c>
      <c r="N14" s="20">
        <v>2154940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11">
        <v>0</v>
      </c>
      <c r="F15" s="17">
        <f t="shared" ref="F15:F26" si="3">IF(E15="","",E15*5)</f>
        <v>0</v>
      </c>
      <c r="G15" s="16" t="s">
        <v>20</v>
      </c>
      <c r="H15" s="16" t="s">
        <v>23</v>
      </c>
      <c r="I15" s="16" t="s">
        <v>120</v>
      </c>
      <c r="J15" s="13">
        <v>0.79166666666666696</v>
      </c>
      <c r="K15" s="13">
        <v>0.29166666666666702</v>
      </c>
      <c r="L15" s="71">
        <f t="shared" ref="L15:L26" si="4">IFERROR(IF(K15="","",IF(K15&gt;=J15,K15-J15,K15+1-J15)),"")</f>
        <v>0.5</v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0" t="s">
        <v>30</v>
      </c>
      <c r="E16" s="11">
        <v>0</v>
      </c>
      <c r="F16" s="12">
        <f t="shared" si="3"/>
        <v>0</v>
      </c>
      <c r="G16" s="16" t="s">
        <v>20</v>
      </c>
      <c r="H16" s="16" t="s">
        <v>23</v>
      </c>
      <c r="I16" s="16" t="s">
        <v>120</v>
      </c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11">
        <v>0</v>
      </c>
      <c r="F17" s="17">
        <f t="shared" si="3"/>
        <v>0</v>
      </c>
      <c r="G17" s="16" t="s">
        <v>20</v>
      </c>
      <c r="H17" s="16" t="s">
        <v>23</v>
      </c>
      <c r="I17" s="16" t="s">
        <v>120</v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0" t="s">
        <v>30</v>
      </c>
      <c r="E18" s="11">
        <v>0</v>
      </c>
      <c r="F18" s="12">
        <f t="shared" si="3"/>
        <v>0</v>
      </c>
      <c r="G18" s="10" t="s">
        <v>20</v>
      </c>
      <c r="H18" s="10" t="s">
        <v>23</v>
      </c>
      <c r="I18" s="10" t="s">
        <v>120</v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11">
        <v>0</v>
      </c>
      <c r="F19" s="17">
        <f t="shared" si="3"/>
        <v>0</v>
      </c>
      <c r="G19" s="16" t="s">
        <v>20</v>
      </c>
      <c r="H19" s="16" t="s">
        <v>23</v>
      </c>
      <c r="I19" s="16" t="s">
        <v>120</v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0" t="s">
        <v>30</v>
      </c>
      <c r="E20" s="11">
        <v>0</v>
      </c>
      <c r="F20" s="12">
        <f t="shared" si="3"/>
        <v>0</v>
      </c>
      <c r="G20" s="10" t="s">
        <v>20</v>
      </c>
      <c r="H20" s="10" t="s">
        <v>23</v>
      </c>
      <c r="I20" s="10" t="s">
        <v>120</v>
      </c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11">
        <v>0</v>
      </c>
      <c r="F21" s="17">
        <f t="shared" si="3"/>
        <v>0</v>
      </c>
      <c r="G21" s="16" t="s">
        <v>20</v>
      </c>
      <c r="H21" s="16" t="s">
        <v>23</v>
      </c>
      <c r="I21" s="16" t="s">
        <v>120</v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0" t="s">
        <v>30</v>
      </c>
      <c r="E22" s="11">
        <v>0</v>
      </c>
      <c r="F22" s="12">
        <f t="shared" si="3"/>
        <v>0</v>
      </c>
      <c r="G22" s="10" t="s">
        <v>20</v>
      </c>
      <c r="H22" s="10" t="s">
        <v>23</v>
      </c>
      <c r="I22" s="10" t="s">
        <v>120</v>
      </c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11">
        <v>0</v>
      </c>
      <c r="F23" s="17">
        <f t="shared" si="3"/>
        <v>0</v>
      </c>
      <c r="G23" s="16" t="s">
        <v>20</v>
      </c>
      <c r="H23" s="16" t="s">
        <v>23</v>
      </c>
      <c r="I23" s="16" t="s">
        <v>120</v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0" t="s">
        <v>30</v>
      </c>
      <c r="E24" s="11">
        <v>0</v>
      </c>
      <c r="F24" s="12">
        <f t="shared" si="3"/>
        <v>0</v>
      </c>
      <c r="G24" s="10" t="s">
        <v>20</v>
      </c>
      <c r="H24" s="10" t="s">
        <v>23</v>
      </c>
      <c r="I24" s="10" t="s">
        <v>120</v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11">
        <v>0</v>
      </c>
      <c r="F25" s="17">
        <f t="shared" si="3"/>
        <v>0</v>
      </c>
      <c r="G25" s="16" t="s">
        <v>20</v>
      </c>
      <c r="H25" s="16" t="s">
        <v>23</v>
      </c>
      <c r="I25" s="16" t="s">
        <v>120</v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0" t="s">
        <v>30</v>
      </c>
      <c r="E26" s="11">
        <v>0</v>
      </c>
      <c r="F26" s="12">
        <f t="shared" si="3"/>
        <v>0</v>
      </c>
      <c r="G26" s="10" t="s">
        <v>20</v>
      </c>
      <c r="H26" s="10" t="s">
        <v>23</v>
      </c>
      <c r="I26" s="10" t="s">
        <v>120</v>
      </c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7" t="s">
        <v>193</v>
      </c>
      <c r="B27" s="97"/>
      <c r="C27" s="97"/>
      <c r="D27" s="97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0.5</v>
      </c>
      <c r="M27" s="19" t="s">
        <v>192</v>
      </c>
      <c r="N27" s="20">
        <v>0</v>
      </c>
    </row>
    <row r="28" spans="1:14" ht="18" customHeight="1">
      <c r="A28" s="98" t="s">
        <v>194</v>
      </c>
      <c r="B28" s="98"/>
      <c r="C28" s="98"/>
      <c r="D28" s="98"/>
      <c r="E28" s="22">
        <f>E14+E27</f>
        <v>330</v>
      </c>
      <c r="F28" s="22">
        <f>F14+F27</f>
        <v>1650</v>
      </c>
      <c r="G28" s="21"/>
      <c r="H28" s="21"/>
      <c r="I28" s="21"/>
      <c r="J28" s="21"/>
      <c r="K28" s="21"/>
      <c r="L28" s="73">
        <f>IFERROR(L14+L27,"")</f>
        <v>0.56250000000000089</v>
      </c>
      <c r="M28" s="22" t="s">
        <v>195</v>
      </c>
      <c r="N28" s="23">
        <f>IFERROR(N14+N27,"")</f>
        <v>2154940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24">
        <v>0</v>
      </c>
      <c r="F29" s="17">
        <f t="shared" ref="F29:F40" si="6">IF(E29="","",E29*5)</f>
        <v>0</v>
      </c>
      <c r="G29" s="16" t="s">
        <v>16</v>
      </c>
      <c r="H29" s="16" t="s">
        <v>23</v>
      </c>
      <c r="I29" s="16" t="s">
        <v>32</v>
      </c>
      <c r="J29" s="13">
        <v>0.29166666666666702</v>
      </c>
      <c r="K29" s="13">
        <v>0.33333333333333298</v>
      </c>
      <c r="L29" s="71">
        <f t="shared" ref="L29:L40" si="7">IFERROR(IF(K29="","",IF(K29&gt;=J29,K29-J29,K29+1-J29)),"")</f>
        <v>4.1666666666665964E-2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24">
        <v>25</v>
      </c>
      <c r="F30" s="12">
        <f t="shared" si="6"/>
        <v>125</v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24">
        <v>25</v>
      </c>
      <c r="F31" s="17">
        <f t="shared" si="6"/>
        <v>125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24">
        <v>28</v>
      </c>
      <c r="F32" s="12">
        <f t="shared" si="6"/>
        <v>140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24">
        <v>25</v>
      </c>
      <c r="F33" s="17">
        <f t="shared" si="6"/>
        <v>125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 t="str">
        <f>IF(J33&lt;&gt;"","",IFERROR(IF(LOOKUP(2,1/(H22:H32&lt;&gt;""),H22:H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H22:H32&lt;&gt;""),H22:H32),"")),""))</f>
        <v/>
      </c>
      <c r="I33" s="16" t="str">
        <f>IF(J33&lt;&gt;"","",IFERROR(IF(LOOKUP(2,1/(I22:I32&lt;&gt;""),I22:I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I22:I32&lt;&gt;""),I22:I32),"")),""))</f>
        <v/>
      </c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24">
        <v>25</v>
      </c>
      <c r="F34" s="12">
        <f t="shared" si="6"/>
        <v>125</v>
      </c>
      <c r="G34" s="10" t="s">
        <v>16</v>
      </c>
      <c r="H34" s="10" t="s">
        <v>23</v>
      </c>
      <c r="I34" s="10" t="s">
        <v>48</v>
      </c>
      <c r="J34" s="13">
        <v>0.54166666666666696</v>
      </c>
      <c r="K34" s="13">
        <v>0.56805555555555598</v>
      </c>
      <c r="L34" s="70">
        <f t="shared" si="7"/>
        <v>2.6388888888889017E-2</v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24">
        <v>25</v>
      </c>
      <c r="F35" s="17">
        <f t="shared" si="6"/>
        <v>125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24">
        <v>15</v>
      </c>
      <c r="F36" s="12">
        <f t="shared" si="6"/>
        <v>75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24">
        <v>6</v>
      </c>
      <c r="F37" s="17">
        <f t="shared" si="6"/>
        <v>30</v>
      </c>
      <c r="G37" s="16" t="s">
        <v>18</v>
      </c>
      <c r="H37" s="16" t="s">
        <v>138</v>
      </c>
      <c r="I37" s="16" t="s">
        <v>196</v>
      </c>
      <c r="J37" s="13">
        <v>0.66666666666666696</v>
      </c>
      <c r="K37" s="13">
        <v>0.69444444444444398</v>
      </c>
      <c r="L37" s="71">
        <f t="shared" si="7"/>
        <v>2.7777777777777013E-2</v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24">
        <v>35</v>
      </c>
      <c r="F38" s="12">
        <f t="shared" si="6"/>
        <v>175</v>
      </c>
      <c r="G38" s="10" t="str">
        <f>IF(J38&lt;&gt;"","",IFERROR(IF(LOOKUP(2,1/(G27:G37&lt;&gt;""),G27:G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G27:G37&lt;&gt;""),G27:G37),"")),""))</f>
        <v/>
      </c>
      <c r="H38" s="10" t="str">
        <f>IF(J38&lt;&gt;"","",IFERROR(IF(LOOKUP(2,1/(H27:H37&lt;&gt;""),H27:H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H27:H37&lt;&gt;""),H27:H37),"")),""))</f>
        <v/>
      </c>
      <c r="I38" s="10" t="str">
        <f>IF(J38&lt;&gt;"","",IFERROR(IF(LOOKUP(2,1/(I27:I37&lt;&gt;""),I27:I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I27:I37&lt;&gt;""),I27:I37),"")),""))</f>
        <v/>
      </c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24">
        <v>30</v>
      </c>
      <c r="F39" s="17">
        <f t="shared" si="6"/>
        <v>150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24">
        <v>15</v>
      </c>
      <c r="F40" s="12">
        <f t="shared" si="6"/>
        <v>75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191</v>
      </c>
      <c r="B41" s="97"/>
      <c r="C41" s="97"/>
      <c r="D41" s="97"/>
      <c r="E41" s="19">
        <f>SUM(E29:E40)</f>
        <v>254</v>
      </c>
      <c r="F41" s="19">
        <f>SUM(F29:F40)</f>
        <v>1270</v>
      </c>
      <c r="G41" s="18"/>
      <c r="H41" s="18"/>
      <c r="I41" s="18"/>
      <c r="J41" s="18"/>
      <c r="K41" s="18"/>
      <c r="L41" s="72">
        <f>IFERROR(SUM(L29:L40),"")</f>
        <v>9.5833333333331994E-2</v>
      </c>
      <c r="M41" s="19" t="s">
        <v>192</v>
      </c>
      <c r="N41" s="20">
        <v>1270000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25">
        <v>30</v>
      </c>
      <c r="F42" s="12">
        <f t="shared" ref="F42:F53" si="9">IF(E42="","",E42*5)</f>
        <v>150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25">
        <v>0</v>
      </c>
      <c r="F43" s="17">
        <f t="shared" si="9"/>
        <v>0</v>
      </c>
      <c r="G43" s="16" t="s">
        <v>18</v>
      </c>
      <c r="H43" s="16" t="s">
        <v>23</v>
      </c>
      <c r="I43" s="16" t="s">
        <v>34</v>
      </c>
      <c r="J43" s="13">
        <v>0.83333333333333304</v>
      </c>
      <c r="K43" s="13">
        <v>0.29166666666666702</v>
      </c>
      <c r="L43" s="71">
        <f t="shared" si="10"/>
        <v>0.45833333333333393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25">
        <v>0</v>
      </c>
      <c r="F44" s="12">
        <f t="shared" si="9"/>
        <v>0</v>
      </c>
      <c r="G44" s="10" t="str">
        <f t="shared" ref="G44:G53" si="12">IF(J44&lt;&gt;"","",IFERROR(IF(LOOKUP(2,1/(G33:G43&lt;&gt;""),G33:G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G33:G43&lt;&gt;""),G33:G43),"")),""))</f>
        <v>Corretiva mecânica</v>
      </c>
      <c r="H44" s="10" t="str">
        <f t="shared" ref="H44:H53" si="13">IF(J44&lt;&gt;"","",IFERROR(IF(LOOKUP(2,1/(H33:H43&lt;&gt;""),H33:H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H33:H43&lt;&gt;""),H33:H43),"")),""))</f>
        <v>Britador de facas</v>
      </c>
      <c r="I44" s="10" t="str">
        <f t="shared" ref="I44:I53" si="14">IF(J44&lt;&gt;"","",IFERROR(IF(LOOKUP(2,1/(I33:I43&lt;&gt;""),I33:I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I33:I43&lt;&gt;""),I33:I43),"")),""))</f>
        <v>Troca de rolamento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25">
        <v>0</v>
      </c>
      <c r="F45" s="17">
        <f t="shared" si="9"/>
        <v>0</v>
      </c>
      <c r="G45" s="16" t="str">
        <f t="shared" si="12"/>
        <v>Corretiva mecânica</v>
      </c>
      <c r="H45" s="16" t="str">
        <f t="shared" si="13"/>
        <v>Britador de facas</v>
      </c>
      <c r="I45" s="16" t="str">
        <f t="shared" si="14"/>
        <v>Troca de rolamento</v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25">
        <v>0</v>
      </c>
      <c r="F46" s="12">
        <f t="shared" si="9"/>
        <v>0</v>
      </c>
      <c r="G46" s="10" t="str">
        <f t="shared" si="12"/>
        <v>Corretiva mecânica</v>
      </c>
      <c r="H46" s="10" t="str">
        <f t="shared" si="13"/>
        <v>Britador de facas</v>
      </c>
      <c r="I46" s="10" t="str">
        <f t="shared" si="14"/>
        <v>Troca de rolamento</v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25">
        <v>0</v>
      </c>
      <c r="F47" s="17">
        <f t="shared" si="9"/>
        <v>0</v>
      </c>
      <c r="G47" s="16" t="str">
        <f t="shared" si="12"/>
        <v>Corretiva mecânica</v>
      </c>
      <c r="H47" s="16" t="str">
        <f t="shared" si="13"/>
        <v>Britador de facas</v>
      </c>
      <c r="I47" s="16" t="str">
        <f t="shared" si="14"/>
        <v>Troca de rolamento</v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25">
        <v>0</v>
      </c>
      <c r="F48" s="12">
        <f t="shared" si="9"/>
        <v>0</v>
      </c>
      <c r="G48" s="10" t="str">
        <f t="shared" si="12"/>
        <v>Corretiva mecânica</v>
      </c>
      <c r="H48" s="10" t="str">
        <f t="shared" si="13"/>
        <v>Britador de facas</v>
      </c>
      <c r="I48" s="10" t="str">
        <f t="shared" si="14"/>
        <v>Troca de rolamento</v>
      </c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25">
        <v>0</v>
      </c>
      <c r="F49" s="17">
        <f t="shared" si="9"/>
        <v>0</v>
      </c>
      <c r="G49" s="16" t="str">
        <f t="shared" si="12"/>
        <v>Corretiva mecânica</v>
      </c>
      <c r="H49" s="16" t="str">
        <f t="shared" si="13"/>
        <v>Britador de facas</v>
      </c>
      <c r="I49" s="16" t="str">
        <f t="shared" si="14"/>
        <v>Troca de rolamento</v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25">
        <v>0</v>
      </c>
      <c r="F50" s="12">
        <f t="shared" si="9"/>
        <v>0</v>
      </c>
      <c r="G50" s="10" t="str">
        <f t="shared" si="12"/>
        <v>Corretiva mecânica</v>
      </c>
      <c r="H50" s="10" t="str">
        <f t="shared" si="13"/>
        <v>Britador de facas</v>
      </c>
      <c r="I50" s="10" t="str">
        <f t="shared" si="14"/>
        <v>Troca de rolamento</v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25">
        <v>0</v>
      </c>
      <c r="F51" s="17">
        <f t="shared" si="9"/>
        <v>0</v>
      </c>
      <c r="G51" s="16" t="str">
        <f t="shared" si="12"/>
        <v>Corretiva mecânica</v>
      </c>
      <c r="H51" s="16" t="str">
        <f t="shared" si="13"/>
        <v>Britador de facas</v>
      </c>
      <c r="I51" s="16" t="str">
        <f t="shared" si="14"/>
        <v>Troca de rolamento</v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25">
        <v>0</v>
      </c>
      <c r="F52" s="12">
        <f t="shared" si="9"/>
        <v>0</v>
      </c>
      <c r="G52" s="10" t="str">
        <f t="shared" si="12"/>
        <v>Corretiva mecânica</v>
      </c>
      <c r="H52" s="10" t="str">
        <f t="shared" si="13"/>
        <v>Britador de facas</v>
      </c>
      <c r="I52" s="10" t="str">
        <f t="shared" si="14"/>
        <v>Troca de rolamento</v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25">
        <v>0</v>
      </c>
      <c r="F53" s="17">
        <f t="shared" si="9"/>
        <v>0</v>
      </c>
      <c r="G53" s="16" t="str">
        <f t="shared" si="12"/>
        <v>Corretiva mecânica</v>
      </c>
      <c r="H53" s="16" t="str">
        <f t="shared" si="13"/>
        <v>Britador de facas</v>
      </c>
      <c r="I53" s="16" t="str">
        <f t="shared" si="14"/>
        <v>Troca de rolamento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193</v>
      </c>
      <c r="B54" s="97"/>
      <c r="C54" s="97"/>
      <c r="D54" s="97"/>
      <c r="E54" s="19">
        <f>SUM(E42:E53)</f>
        <v>30</v>
      </c>
      <c r="F54" s="19">
        <f>SUM(F42:F53)</f>
        <v>150</v>
      </c>
      <c r="G54" s="18"/>
      <c r="H54" s="18"/>
      <c r="I54" s="18"/>
      <c r="J54" s="18"/>
      <c r="K54" s="18"/>
      <c r="L54" s="72">
        <f>IFERROR(SUM(L42:L53),"")</f>
        <v>0.45833333333333393</v>
      </c>
      <c r="M54" s="19" t="s">
        <v>192</v>
      </c>
      <c r="N54" s="20">
        <v>125660</v>
      </c>
    </row>
    <row r="55" spans="1:14" ht="18" customHeight="1">
      <c r="A55" s="98" t="s">
        <v>194</v>
      </c>
      <c r="B55" s="98"/>
      <c r="C55" s="98"/>
      <c r="D55" s="98"/>
      <c r="E55" s="22">
        <f>E41+E54</f>
        <v>284</v>
      </c>
      <c r="F55" s="22">
        <f>F41+F54</f>
        <v>1420</v>
      </c>
      <c r="G55" s="21"/>
      <c r="H55" s="21"/>
      <c r="I55" s="21"/>
      <c r="J55" s="21"/>
      <c r="K55" s="21"/>
      <c r="L55" s="73">
        <f>IFERROR(L41+L54,"")</f>
        <v>0.55416666666666592</v>
      </c>
      <c r="M55" s="22" t="s">
        <v>195</v>
      </c>
      <c r="N55" s="23">
        <f>IFERROR(N41+N54,"")</f>
        <v>1395660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25">
        <v>0</v>
      </c>
      <c r="F56" s="12">
        <f t="shared" ref="F56:F67" si="15">IF(E56="","",E56*5)</f>
        <v>0</v>
      </c>
      <c r="G56" s="10" t="s">
        <v>18</v>
      </c>
      <c r="H56" s="10" t="s">
        <v>23</v>
      </c>
      <c r="I56" s="10" t="s">
        <v>34</v>
      </c>
      <c r="J56" s="13">
        <v>0.33333333333333298</v>
      </c>
      <c r="K56" s="13">
        <v>0.75</v>
      </c>
      <c r="L56" s="70">
        <f t="shared" ref="L56:L67" si="16">IFERROR(IF(K56="","",IF(K56&gt;=J56,K56-J56,K56+1-J56)),"")</f>
        <v>0.41666666666666702</v>
      </c>
      <c r="M56" s="11"/>
      <c r="N56" s="14"/>
    </row>
    <row r="57" spans="1:14" ht="15" customHeight="1">
      <c r="A57" s="59">
        <v>46176</v>
      </c>
      <c r="B57" s="15">
        <f t="shared" ref="B57:B67" si="17">B56+TIME(0,60,0)</f>
        <v>0.37499999999999967</v>
      </c>
      <c r="C57" s="10" t="s">
        <v>21</v>
      </c>
      <c r="D57" s="10" t="s">
        <v>30</v>
      </c>
      <c r="E57" s="25">
        <v>0</v>
      </c>
      <c r="F57" s="17">
        <f t="shared" si="15"/>
        <v>0</v>
      </c>
      <c r="G57" s="16" t="s">
        <v>18</v>
      </c>
      <c r="H57" s="16" t="s">
        <v>23</v>
      </c>
      <c r="I57" s="16" t="s">
        <v>34</v>
      </c>
      <c r="J57" s="13"/>
      <c r="K57" s="13"/>
      <c r="L57" s="71" t="str">
        <f t="shared" si="16"/>
        <v/>
      </c>
      <c r="M57" s="11"/>
      <c r="N57" s="14"/>
    </row>
    <row r="58" spans="1:14" ht="15" customHeight="1">
      <c r="A58" s="58">
        <v>46176</v>
      </c>
      <c r="B58" s="9">
        <f t="shared" si="17"/>
        <v>0.41666666666666635</v>
      </c>
      <c r="C58" s="10" t="s">
        <v>21</v>
      </c>
      <c r="D58" s="10" t="s">
        <v>30</v>
      </c>
      <c r="E58" s="25">
        <v>0</v>
      </c>
      <c r="F58" s="12">
        <f t="shared" si="15"/>
        <v>0</v>
      </c>
      <c r="G58" s="10" t="s">
        <v>18</v>
      </c>
      <c r="H58" s="10" t="s">
        <v>23</v>
      </c>
      <c r="I58" s="10" t="s">
        <v>34</v>
      </c>
      <c r="J58" s="13"/>
      <c r="K58" s="13"/>
      <c r="L58" s="70" t="str">
        <f t="shared" si="16"/>
        <v/>
      </c>
      <c r="M58" s="11"/>
      <c r="N58" s="14"/>
    </row>
    <row r="59" spans="1:14" ht="15" customHeight="1">
      <c r="A59" s="59">
        <v>46176</v>
      </c>
      <c r="B59" s="15">
        <f t="shared" si="17"/>
        <v>0.45833333333333304</v>
      </c>
      <c r="C59" s="10" t="s">
        <v>21</v>
      </c>
      <c r="D59" s="10" t="s">
        <v>30</v>
      </c>
      <c r="E59" s="25">
        <v>0</v>
      </c>
      <c r="F59" s="17">
        <f t="shared" si="15"/>
        <v>0</v>
      </c>
      <c r="G59" s="16" t="s">
        <v>18</v>
      </c>
      <c r="H59" s="16" t="s">
        <v>23</v>
      </c>
      <c r="I59" s="16" t="s">
        <v>34</v>
      </c>
      <c r="J59" s="13"/>
      <c r="K59" s="13"/>
      <c r="L59" s="71" t="str">
        <f t="shared" si="16"/>
        <v/>
      </c>
      <c r="M59" s="11"/>
      <c r="N59" s="14"/>
    </row>
    <row r="60" spans="1:14" ht="15" customHeight="1">
      <c r="A60" s="58">
        <v>46176</v>
      </c>
      <c r="B60" s="9">
        <f t="shared" si="17"/>
        <v>0.49999999999999972</v>
      </c>
      <c r="C60" s="10" t="s">
        <v>21</v>
      </c>
      <c r="D60" s="10" t="s">
        <v>30</v>
      </c>
      <c r="E60" s="25">
        <v>0</v>
      </c>
      <c r="F60" s="12">
        <f t="shared" si="15"/>
        <v>0</v>
      </c>
      <c r="G60" s="10" t="s">
        <v>18</v>
      </c>
      <c r="H60" s="10" t="s">
        <v>23</v>
      </c>
      <c r="I60" s="10" t="s">
        <v>34</v>
      </c>
      <c r="J60" s="13"/>
      <c r="K60" s="13"/>
      <c r="L60" s="70" t="str">
        <f t="shared" si="16"/>
        <v/>
      </c>
      <c r="M60" s="11"/>
      <c r="N60" s="14"/>
    </row>
    <row r="61" spans="1:14" ht="15" customHeight="1">
      <c r="A61" s="59">
        <v>46176</v>
      </c>
      <c r="B61" s="15">
        <f t="shared" si="17"/>
        <v>0.54166666666666641</v>
      </c>
      <c r="C61" s="10" t="s">
        <v>21</v>
      </c>
      <c r="D61" s="10" t="s">
        <v>30</v>
      </c>
      <c r="E61" s="25">
        <v>0</v>
      </c>
      <c r="F61" s="17">
        <f t="shared" si="15"/>
        <v>0</v>
      </c>
      <c r="G61" s="16" t="s">
        <v>18</v>
      </c>
      <c r="H61" s="16" t="s">
        <v>23</v>
      </c>
      <c r="I61" s="16" t="s">
        <v>34</v>
      </c>
      <c r="J61" s="13"/>
      <c r="K61" s="13"/>
      <c r="L61" s="71" t="str">
        <f t="shared" si="16"/>
        <v/>
      </c>
      <c r="M61" s="11"/>
      <c r="N61" s="14"/>
    </row>
    <row r="62" spans="1:14" ht="15" customHeight="1">
      <c r="A62" s="58">
        <v>46176</v>
      </c>
      <c r="B62" s="9">
        <f t="shared" si="17"/>
        <v>0.58333333333333304</v>
      </c>
      <c r="C62" s="10" t="s">
        <v>21</v>
      </c>
      <c r="D62" s="10" t="s">
        <v>30</v>
      </c>
      <c r="E62" s="25">
        <v>0</v>
      </c>
      <c r="F62" s="12">
        <f t="shared" si="15"/>
        <v>0</v>
      </c>
      <c r="G62" s="10" t="s">
        <v>18</v>
      </c>
      <c r="H62" s="10" t="s">
        <v>23</v>
      </c>
      <c r="I62" s="10" t="s">
        <v>34</v>
      </c>
      <c r="J62" s="13"/>
      <c r="K62" s="13"/>
      <c r="L62" s="70" t="str">
        <f t="shared" si="16"/>
        <v/>
      </c>
      <c r="M62" s="11"/>
      <c r="N62" s="14"/>
    </row>
    <row r="63" spans="1:14" ht="15" customHeight="1">
      <c r="A63" s="59">
        <v>46176</v>
      </c>
      <c r="B63" s="15">
        <f t="shared" si="17"/>
        <v>0.62499999999999967</v>
      </c>
      <c r="C63" s="10" t="s">
        <v>21</v>
      </c>
      <c r="D63" s="10" t="s">
        <v>30</v>
      </c>
      <c r="E63" s="25">
        <v>0</v>
      </c>
      <c r="F63" s="17">
        <f t="shared" si="15"/>
        <v>0</v>
      </c>
      <c r="G63" s="16" t="s">
        <v>18</v>
      </c>
      <c r="H63" s="16" t="s">
        <v>23</v>
      </c>
      <c r="I63" s="16" t="s">
        <v>34</v>
      </c>
      <c r="J63" s="13"/>
      <c r="K63" s="13"/>
      <c r="L63" s="71" t="str">
        <f t="shared" si="16"/>
        <v/>
      </c>
      <c r="M63" s="11"/>
      <c r="N63" s="14"/>
    </row>
    <row r="64" spans="1:14" ht="15" customHeight="1">
      <c r="A64" s="58">
        <v>46176</v>
      </c>
      <c r="B64" s="9">
        <f t="shared" si="17"/>
        <v>0.6666666666666663</v>
      </c>
      <c r="C64" s="10" t="s">
        <v>21</v>
      </c>
      <c r="D64" s="10" t="s">
        <v>30</v>
      </c>
      <c r="E64" s="25">
        <v>0</v>
      </c>
      <c r="F64" s="12">
        <f t="shared" si="15"/>
        <v>0</v>
      </c>
      <c r="G64" s="10" t="s">
        <v>18</v>
      </c>
      <c r="H64" s="10" t="s">
        <v>23</v>
      </c>
      <c r="I64" s="10" t="s">
        <v>34</v>
      </c>
      <c r="J64" s="13"/>
      <c r="K64" s="13"/>
      <c r="L64" s="70" t="str">
        <f t="shared" si="16"/>
        <v/>
      </c>
      <c r="M64" s="11"/>
      <c r="N64" s="14"/>
    </row>
    <row r="65" spans="1:14" ht="15" customHeight="1">
      <c r="A65" s="59">
        <v>46176</v>
      </c>
      <c r="B65" s="15">
        <f t="shared" si="17"/>
        <v>0.70833333333333293</v>
      </c>
      <c r="C65" s="10" t="s">
        <v>21</v>
      </c>
      <c r="D65" s="10" t="s">
        <v>30</v>
      </c>
      <c r="E65" s="25">
        <v>0</v>
      </c>
      <c r="F65" s="17">
        <f t="shared" si="15"/>
        <v>0</v>
      </c>
      <c r="G65" s="16" t="s">
        <v>18</v>
      </c>
      <c r="H65" s="16" t="s">
        <v>23</v>
      </c>
      <c r="I65" s="16" t="s">
        <v>34</v>
      </c>
      <c r="J65" s="13"/>
      <c r="K65" s="13"/>
      <c r="L65" s="71" t="str">
        <f t="shared" si="16"/>
        <v/>
      </c>
      <c r="M65" s="11"/>
      <c r="N65" s="14"/>
    </row>
    <row r="66" spans="1:14" ht="15" customHeight="1">
      <c r="A66" s="58">
        <v>46176</v>
      </c>
      <c r="B66" s="9">
        <f t="shared" si="17"/>
        <v>0.74999999999999956</v>
      </c>
      <c r="C66" s="10" t="s">
        <v>21</v>
      </c>
      <c r="D66" s="10" t="s">
        <v>30</v>
      </c>
      <c r="E66" s="25">
        <v>0</v>
      </c>
      <c r="F66" s="12">
        <f t="shared" si="15"/>
        <v>0</v>
      </c>
      <c r="G66" s="10" t="s">
        <v>18</v>
      </c>
      <c r="H66" s="10" t="s">
        <v>23</v>
      </c>
      <c r="I66" s="10" t="s">
        <v>48</v>
      </c>
      <c r="J66" s="13">
        <v>0.75</v>
      </c>
      <c r="K66" s="13">
        <v>0.78125</v>
      </c>
      <c r="L66" s="70">
        <f t="shared" si="16"/>
        <v>3.125E-2</v>
      </c>
      <c r="M66" s="11"/>
      <c r="N66" s="14"/>
    </row>
    <row r="67" spans="1:14" ht="15" customHeight="1">
      <c r="A67" s="59">
        <v>46176</v>
      </c>
      <c r="B67" s="15">
        <f t="shared" si="17"/>
        <v>0.79166666666666619</v>
      </c>
      <c r="C67" s="10" t="s">
        <v>21</v>
      </c>
      <c r="D67" s="10" t="s">
        <v>30</v>
      </c>
      <c r="E67" s="25">
        <v>24</v>
      </c>
      <c r="F67" s="17">
        <f t="shared" si="15"/>
        <v>120</v>
      </c>
      <c r="G67" s="16"/>
      <c r="H67" s="16"/>
      <c r="I67" s="16"/>
      <c r="J67" s="13"/>
      <c r="K67" s="13"/>
      <c r="L67" s="71" t="str">
        <f t="shared" si="16"/>
        <v/>
      </c>
      <c r="M67" s="11"/>
      <c r="N67" s="14"/>
    </row>
    <row r="68" spans="1:14" ht="15.75" customHeight="1">
      <c r="A68" s="97" t="s">
        <v>191</v>
      </c>
      <c r="B68" s="97"/>
      <c r="C68" s="97"/>
      <c r="D68" s="97"/>
      <c r="E68" s="19">
        <f>SUM(E56:E67)</f>
        <v>24</v>
      </c>
      <c r="F68" s="19">
        <f>SUM(F56:F67)</f>
        <v>120</v>
      </c>
      <c r="G68" s="18"/>
      <c r="H68" s="18"/>
      <c r="I68" s="18"/>
      <c r="J68" s="18"/>
      <c r="K68" s="18"/>
      <c r="L68" s="72">
        <f>IFERROR(SUM(L56:L67),"")</f>
        <v>0.44791666666666702</v>
      </c>
      <c r="M68" s="19" t="s">
        <v>192</v>
      </c>
      <c r="N68" s="20">
        <v>126600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22</v>
      </c>
      <c r="E69" s="24">
        <v>0</v>
      </c>
      <c r="F69" s="17">
        <f t="shared" ref="F69:F80" si="18">IF(E69="","",E69*5)</f>
        <v>0</v>
      </c>
      <c r="G69" s="16" t="s">
        <v>18</v>
      </c>
      <c r="H69" s="16" t="s">
        <v>23</v>
      </c>
      <c r="I69" s="16" t="s">
        <v>34</v>
      </c>
      <c r="J69" s="13">
        <v>0.79166666666666696</v>
      </c>
      <c r="K69" s="13">
        <v>0.83333333333333304</v>
      </c>
      <c r="L69" s="71">
        <f t="shared" ref="L69:L80" si="19">IFERROR(IF(K69="","",IF(K69&gt;=J69,K69-J69,K69+1-J69)),"")</f>
        <v>4.1666666666666075E-2</v>
      </c>
      <c r="M69" s="11"/>
      <c r="N69" s="14"/>
    </row>
    <row r="70" spans="1:14" ht="15" customHeight="1">
      <c r="A70" s="58">
        <v>46176</v>
      </c>
      <c r="B70" s="9">
        <f t="shared" ref="B70:B80" si="20">B69+TIME(0,60,0)</f>
        <v>0.87499999999999967</v>
      </c>
      <c r="C70" s="16" t="s">
        <v>29</v>
      </c>
      <c r="D70" s="16" t="s">
        <v>22</v>
      </c>
      <c r="E70" s="24">
        <v>5</v>
      </c>
      <c r="F70" s="12">
        <f t="shared" si="18"/>
        <v>25</v>
      </c>
      <c r="G70" s="10"/>
      <c r="H70" s="10"/>
      <c r="I70" s="10"/>
      <c r="J70" s="13"/>
      <c r="K70" s="13"/>
      <c r="L70" s="70" t="str">
        <f t="shared" si="19"/>
        <v/>
      </c>
      <c r="M70" s="11"/>
      <c r="N70" s="14"/>
    </row>
    <row r="71" spans="1:14" ht="15" customHeight="1">
      <c r="A71" s="59">
        <v>46176</v>
      </c>
      <c r="B71" s="15">
        <f t="shared" si="20"/>
        <v>0.9166666666666663</v>
      </c>
      <c r="C71" s="16" t="s">
        <v>29</v>
      </c>
      <c r="D71" s="16" t="s">
        <v>22</v>
      </c>
      <c r="E71" s="24">
        <v>20</v>
      </c>
      <c r="F71" s="17">
        <f t="shared" si="18"/>
        <v>100</v>
      </c>
      <c r="G71" s="16"/>
      <c r="H71" s="16"/>
      <c r="I71" s="16"/>
      <c r="J71" s="13"/>
      <c r="K71" s="13"/>
      <c r="L71" s="71" t="str">
        <f t="shared" si="19"/>
        <v/>
      </c>
      <c r="M71" s="11"/>
      <c r="N71" s="14"/>
    </row>
    <row r="72" spans="1:14" ht="15" customHeight="1">
      <c r="A72" s="58">
        <v>46176</v>
      </c>
      <c r="B72" s="9">
        <f t="shared" si="20"/>
        <v>0.95833333333333293</v>
      </c>
      <c r="C72" s="16" t="s">
        <v>29</v>
      </c>
      <c r="D72" s="16" t="s">
        <v>22</v>
      </c>
      <c r="E72" s="24">
        <v>23</v>
      </c>
      <c r="F72" s="12">
        <f t="shared" si="18"/>
        <v>115</v>
      </c>
      <c r="G72" s="10"/>
      <c r="H72" s="10"/>
      <c r="I72" s="10"/>
      <c r="J72" s="13"/>
      <c r="K72" s="13"/>
      <c r="L72" s="70" t="str">
        <f t="shared" si="19"/>
        <v/>
      </c>
      <c r="M72" s="11"/>
      <c r="N72" s="14"/>
    </row>
    <row r="73" spans="1:14" ht="15" customHeight="1">
      <c r="A73" s="59">
        <v>46176</v>
      </c>
      <c r="B73" s="15">
        <f t="shared" si="20"/>
        <v>0.99999999999999956</v>
      </c>
      <c r="C73" s="16" t="s">
        <v>29</v>
      </c>
      <c r="D73" s="16" t="s">
        <v>22</v>
      </c>
      <c r="E73" s="24">
        <v>16</v>
      </c>
      <c r="F73" s="17">
        <f t="shared" si="18"/>
        <v>80</v>
      </c>
      <c r="G73" s="16" t="s">
        <v>16</v>
      </c>
      <c r="H73" s="16" t="s">
        <v>23</v>
      </c>
      <c r="I73" s="16" t="s">
        <v>32</v>
      </c>
      <c r="J73" s="13">
        <v>0</v>
      </c>
      <c r="K73" s="13">
        <v>1.52777777777778E-2</v>
      </c>
      <c r="L73" s="71">
        <f t="shared" si="19"/>
        <v>1.52777777777778E-2</v>
      </c>
      <c r="M73" s="11"/>
      <c r="N73" s="14"/>
    </row>
    <row r="74" spans="1:14" ht="15" customHeight="1">
      <c r="A74" s="58">
        <v>46176</v>
      </c>
      <c r="B74" s="9">
        <f t="shared" si="20"/>
        <v>1.0416666666666663</v>
      </c>
      <c r="C74" s="16" t="s">
        <v>29</v>
      </c>
      <c r="D74" s="16" t="s">
        <v>22</v>
      </c>
      <c r="E74" s="24">
        <v>16</v>
      </c>
      <c r="F74" s="12">
        <f t="shared" si="18"/>
        <v>80</v>
      </c>
      <c r="G74" s="10"/>
      <c r="H74" s="10"/>
      <c r="I74" s="10"/>
      <c r="J74" s="13"/>
      <c r="K74" s="13"/>
      <c r="L74" s="70" t="str">
        <f t="shared" si="19"/>
        <v/>
      </c>
      <c r="M74" s="11"/>
      <c r="N74" s="14"/>
    </row>
    <row r="75" spans="1:14" ht="15" customHeight="1">
      <c r="A75" s="59">
        <v>46176</v>
      </c>
      <c r="B75" s="15">
        <f t="shared" si="20"/>
        <v>1.083333333333333</v>
      </c>
      <c r="C75" s="16" t="s">
        <v>29</v>
      </c>
      <c r="D75" s="16" t="s">
        <v>22</v>
      </c>
      <c r="E75" s="24">
        <v>20</v>
      </c>
      <c r="F75" s="17">
        <f t="shared" si="18"/>
        <v>100</v>
      </c>
      <c r="G75" s="16"/>
      <c r="H75" s="16"/>
      <c r="I75" s="16"/>
      <c r="J75" s="13"/>
      <c r="K75" s="13"/>
      <c r="L75" s="71" t="str">
        <f t="shared" si="19"/>
        <v/>
      </c>
      <c r="M75" s="11"/>
      <c r="N75" s="14"/>
    </row>
    <row r="76" spans="1:14" ht="15" customHeight="1">
      <c r="A76" s="58">
        <v>46176</v>
      </c>
      <c r="B76" s="9">
        <f t="shared" si="20"/>
        <v>1.1249999999999998</v>
      </c>
      <c r="C76" s="16" t="s">
        <v>29</v>
      </c>
      <c r="D76" s="16" t="s">
        <v>22</v>
      </c>
      <c r="E76" s="24">
        <v>10</v>
      </c>
      <c r="F76" s="12">
        <f t="shared" si="18"/>
        <v>50</v>
      </c>
      <c r="G76" s="10" t="s">
        <v>18</v>
      </c>
      <c r="H76" s="10" t="s">
        <v>23</v>
      </c>
      <c r="I76" s="10" t="s">
        <v>48</v>
      </c>
      <c r="J76" s="13">
        <v>0.125</v>
      </c>
      <c r="K76" s="13">
        <v>0.15138888888888899</v>
      </c>
      <c r="L76" s="70">
        <f t="shared" si="19"/>
        <v>2.6388888888888989E-2</v>
      </c>
      <c r="M76" s="11"/>
      <c r="N76" s="14"/>
    </row>
    <row r="77" spans="1:14" ht="15" customHeight="1">
      <c r="A77" s="59">
        <v>46176</v>
      </c>
      <c r="B77" s="15">
        <f t="shared" si="20"/>
        <v>1.1666666666666665</v>
      </c>
      <c r="C77" s="16" t="s">
        <v>29</v>
      </c>
      <c r="D77" s="16" t="s">
        <v>22</v>
      </c>
      <c r="E77" s="24">
        <v>5</v>
      </c>
      <c r="F77" s="17">
        <f t="shared" si="18"/>
        <v>25</v>
      </c>
      <c r="G77" s="16"/>
      <c r="H77" s="16"/>
      <c r="I77" s="16"/>
      <c r="J77" s="13"/>
      <c r="K77" s="13"/>
      <c r="L77" s="71" t="str">
        <f t="shared" si="19"/>
        <v/>
      </c>
      <c r="M77" s="11"/>
      <c r="N77" s="14"/>
    </row>
    <row r="78" spans="1:14" ht="15" customHeight="1">
      <c r="A78" s="58">
        <v>46176</v>
      </c>
      <c r="B78" s="9">
        <f t="shared" si="20"/>
        <v>1.2083333333333333</v>
      </c>
      <c r="C78" s="16" t="s">
        <v>29</v>
      </c>
      <c r="D78" s="16" t="s">
        <v>22</v>
      </c>
      <c r="E78" s="24">
        <v>15</v>
      </c>
      <c r="F78" s="12">
        <f t="shared" si="18"/>
        <v>75</v>
      </c>
      <c r="G78" s="10"/>
      <c r="H78" s="10"/>
      <c r="I78" s="10"/>
      <c r="J78" s="13"/>
      <c r="K78" s="13"/>
      <c r="L78" s="70" t="str">
        <f t="shared" si="19"/>
        <v/>
      </c>
      <c r="M78" s="11"/>
      <c r="N78" s="14"/>
    </row>
    <row r="79" spans="1:14" ht="15" customHeight="1">
      <c r="A79" s="59">
        <v>46176</v>
      </c>
      <c r="B79" s="15">
        <f t="shared" si="20"/>
        <v>1.25</v>
      </c>
      <c r="C79" s="16" t="s">
        <v>29</v>
      </c>
      <c r="D79" s="16" t="s">
        <v>22</v>
      </c>
      <c r="E79" s="24">
        <v>19</v>
      </c>
      <c r="F79" s="17">
        <f t="shared" si="18"/>
        <v>95</v>
      </c>
      <c r="G79" s="16"/>
      <c r="H79" s="16"/>
      <c r="I79" s="16"/>
      <c r="J79" s="13"/>
      <c r="K79" s="13"/>
      <c r="L79" s="71" t="str">
        <f t="shared" si="19"/>
        <v/>
      </c>
      <c r="M79" s="11"/>
      <c r="N79" s="14"/>
    </row>
    <row r="80" spans="1:14" ht="15" customHeight="1">
      <c r="A80" s="58">
        <v>46176</v>
      </c>
      <c r="B80" s="9">
        <f t="shared" si="20"/>
        <v>1.2916666666666667</v>
      </c>
      <c r="C80" s="16" t="s">
        <v>29</v>
      </c>
      <c r="D80" s="16" t="s">
        <v>22</v>
      </c>
      <c r="E80" s="24">
        <v>8</v>
      </c>
      <c r="F80" s="12">
        <f t="shared" si="18"/>
        <v>40</v>
      </c>
      <c r="G80" s="10"/>
      <c r="H80" s="10"/>
      <c r="I80" s="10"/>
      <c r="J80" s="13"/>
      <c r="K80" s="13"/>
      <c r="L80" s="70" t="str">
        <f t="shared" si="19"/>
        <v/>
      </c>
      <c r="M80" s="11"/>
      <c r="N80" s="14"/>
    </row>
    <row r="81" spans="1:14" ht="15.75" customHeight="1">
      <c r="A81" s="97" t="s">
        <v>193</v>
      </c>
      <c r="B81" s="97"/>
      <c r="C81" s="97"/>
      <c r="D81" s="97"/>
      <c r="E81" s="19">
        <f>SUM(E69:E80)</f>
        <v>157</v>
      </c>
      <c r="F81" s="19">
        <f>SUM(F69:F80)</f>
        <v>785</v>
      </c>
      <c r="G81" s="18"/>
      <c r="H81" s="18"/>
      <c r="I81" s="18"/>
      <c r="J81" s="18"/>
      <c r="K81" s="18"/>
      <c r="L81" s="72">
        <f>IFERROR(SUM(L69:L80),"")</f>
        <v>8.3333333333332871E-2</v>
      </c>
      <c r="M81" s="19" t="s">
        <v>192</v>
      </c>
      <c r="N81" s="20">
        <v>580300</v>
      </c>
    </row>
    <row r="82" spans="1:14" ht="18" customHeight="1">
      <c r="A82" s="98" t="s">
        <v>194</v>
      </c>
      <c r="B82" s="98"/>
      <c r="C82" s="98"/>
      <c r="D82" s="98"/>
      <c r="E82" s="22">
        <f>E68+E81</f>
        <v>181</v>
      </c>
      <c r="F82" s="22">
        <f>F68+F81</f>
        <v>905</v>
      </c>
      <c r="G82" s="21"/>
      <c r="H82" s="21"/>
      <c r="I82" s="21"/>
      <c r="J82" s="21"/>
      <c r="K82" s="21"/>
      <c r="L82" s="73">
        <f>IFERROR(L68+L81,"")</f>
        <v>0.53124999999999989</v>
      </c>
      <c r="M82" s="22" t="s">
        <v>195</v>
      </c>
      <c r="N82" s="23">
        <f>IFERROR(N68+N81,"")</f>
        <v>706900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22</v>
      </c>
      <c r="E83" s="24">
        <v>0</v>
      </c>
      <c r="F83" s="17">
        <f t="shared" ref="F83:F94" si="21">IF(E83="","",E83*5)</f>
        <v>0</v>
      </c>
      <c r="G83" s="10" t="s">
        <v>190</v>
      </c>
      <c r="H83" s="16" t="s">
        <v>23</v>
      </c>
      <c r="I83" s="16" t="s">
        <v>67</v>
      </c>
      <c r="J83" s="13">
        <v>0.29166666666666702</v>
      </c>
      <c r="K83" s="13">
        <v>0.33333333333333298</v>
      </c>
      <c r="L83" s="71">
        <f t="shared" ref="L83:L94" si="22">IFERROR(IF(K83="","",IF(K83&gt;=J83,K83-J83,K83+1-J83)),"")</f>
        <v>4.1666666666665964E-2</v>
      </c>
      <c r="M83" s="11"/>
      <c r="N83" s="14"/>
    </row>
    <row r="84" spans="1:14" ht="15" customHeight="1">
      <c r="A84" s="58">
        <v>46177</v>
      </c>
      <c r="B84" s="9">
        <f t="shared" ref="B84:B94" si="23">B83+TIME(0,60,0)</f>
        <v>0.37499999999999967</v>
      </c>
      <c r="C84" s="16" t="s">
        <v>21</v>
      </c>
      <c r="D84" s="16" t="s">
        <v>22</v>
      </c>
      <c r="E84" s="24">
        <v>30</v>
      </c>
      <c r="F84" s="12">
        <f t="shared" si="21"/>
        <v>150</v>
      </c>
      <c r="G84" s="26"/>
      <c r="H84" s="10"/>
      <c r="I84" s="10"/>
      <c r="J84" s="13"/>
      <c r="K84" s="13"/>
      <c r="L84" s="70" t="str">
        <f t="shared" si="22"/>
        <v/>
      </c>
      <c r="M84" s="11"/>
      <c r="N84" s="14"/>
    </row>
    <row r="85" spans="1:14" ht="15" customHeight="1">
      <c r="A85" s="59">
        <v>46177</v>
      </c>
      <c r="B85" s="15">
        <f t="shared" si="23"/>
        <v>0.41666666666666635</v>
      </c>
      <c r="C85" s="16" t="s">
        <v>21</v>
      </c>
      <c r="D85" s="16" t="s">
        <v>22</v>
      </c>
      <c r="E85" s="24">
        <v>20</v>
      </c>
      <c r="F85" s="17">
        <f t="shared" si="21"/>
        <v>100</v>
      </c>
      <c r="G85" s="16"/>
      <c r="H85" s="16"/>
      <c r="I85" s="16"/>
      <c r="J85" s="13"/>
      <c r="K85" s="13"/>
      <c r="L85" s="71" t="str">
        <f t="shared" si="22"/>
        <v/>
      </c>
      <c r="M85" s="11"/>
      <c r="N85" s="14"/>
    </row>
    <row r="86" spans="1:14" ht="15" customHeight="1">
      <c r="A86" s="58">
        <v>46177</v>
      </c>
      <c r="B86" s="9">
        <f t="shared" si="23"/>
        <v>0.45833333333333304</v>
      </c>
      <c r="C86" s="16" t="s">
        <v>21</v>
      </c>
      <c r="D86" s="16" t="s">
        <v>22</v>
      </c>
      <c r="E86" s="24">
        <v>20</v>
      </c>
      <c r="F86" s="12">
        <f t="shared" si="21"/>
        <v>100</v>
      </c>
      <c r="G86" s="10"/>
      <c r="H86" s="10"/>
      <c r="I86" s="10"/>
      <c r="J86" s="13"/>
      <c r="K86" s="13"/>
      <c r="L86" s="70" t="str">
        <f t="shared" si="22"/>
        <v/>
      </c>
      <c r="M86" s="11"/>
      <c r="N86" s="14"/>
    </row>
    <row r="87" spans="1:14" ht="15" customHeight="1">
      <c r="A87" s="59">
        <v>46177</v>
      </c>
      <c r="B87" s="15">
        <f t="shared" si="23"/>
        <v>0.49999999999999972</v>
      </c>
      <c r="C87" s="16" t="s">
        <v>21</v>
      </c>
      <c r="D87" s="16" t="s">
        <v>22</v>
      </c>
      <c r="E87" s="24">
        <v>25</v>
      </c>
      <c r="F87" s="17">
        <f t="shared" si="21"/>
        <v>125</v>
      </c>
      <c r="G87" s="16"/>
      <c r="H87" s="16"/>
      <c r="I87" s="16"/>
      <c r="J87" s="13"/>
      <c r="K87" s="13"/>
      <c r="L87" s="71" t="str">
        <f t="shared" si="22"/>
        <v/>
      </c>
      <c r="M87" s="11"/>
      <c r="N87" s="14"/>
    </row>
    <row r="88" spans="1:14" ht="15" customHeight="1">
      <c r="A88" s="58">
        <v>46177</v>
      </c>
      <c r="B88" s="9">
        <f t="shared" si="23"/>
        <v>0.54166666666666641</v>
      </c>
      <c r="C88" s="16" t="s">
        <v>21</v>
      </c>
      <c r="D88" s="16" t="s">
        <v>22</v>
      </c>
      <c r="E88" s="24">
        <v>35</v>
      </c>
      <c r="F88" s="12">
        <f t="shared" si="21"/>
        <v>175</v>
      </c>
      <c r="G88" s="10"/>
      <c r="H88" s="10"/>
      <c r="I88" s="10"/>
      <c r="J88" s="13"/>
      <c r="K88" s="13"/>
      <c r="L88" s="70" t="str">
        <f t="shared" si="22"/>
        <v/>
      </c>
      <c r="M88" s="11"/>
      <c r="N88" s="14"/>
    </row>
    <row r="89" spans="1:14" ht="15" customHeight="1">
      <c r="A89" s="59">
        <v>46177</v>
      </c>
      <c r="B89" s="15">
        <f t="shared" si="23"/>
        <v>0.58333333333333304</v>
      </c>
      <c r="C89" s="16" t="s">
        <v>21</v>
      </c>
      <c r="D89" s="16" t="s">
        <v>22</v>
      </c>
      <c r="E89" s="24">
        <v>27</v>
      </c>
      <c r="F89" s="17">
        <f t="shared" si="21"/>
        <v>135</v>
      </c>
      <c r="G89" s="16"/>
      <c r="H89" s="16"/>
      <c r="I89" s="16"/>
      <c r="J89" s="13"/>
      <c r="K89" s="13"/>
      <c r="L89" s="71" t="str">
        <f t="shared" si="22"/>
        <v/>
      </c>
      <c r="M89" s="11"/>
      <c r="N89" s="14"/>
    </row>
    <row r="90" spans="1:14" ht="15" customHeight="1">
      <c r="A90" s="58">
        <v>46177</v>
      </c>
      <c r="B90" s="9">
        <f t="shared" si="23"/>
        <v>0.62499999999999967</v>
      </c>
      <c r="C90" s="16" t="s">
        <v>21</v>
      </c>
      <c r="D90" s="16" t="s">
        <v>22</v>
      </c>
      <c r="E90" s="24">
        <v>20</v>
      </c>
      <c r="F90" s="12">
        <f t="shared" si="21"/>
        <v>100</v>
      </c>
      <c r="G90" s="10"/>
      <c r="H90" s="10"/>
      <c r="I90" s="10"/>
      <c r="J90" s="13"/>
      <c r="K90" s="13"/>
      <c r="L90" s="70" t="str">
        <f t="shared" si="22"/>
        <v/>
      </c>
      <c r="M90" s="11"/>
      <c r="N90" s="14"/>
    </row>
    <row r="91" spans="1:14" ht="15" customHeight="1">
      <c r="A91" s="59">
        <v>46177</v>
      </c>
      <c r="B91" s="15">
        <f t="shared" si="23"/>
        <v>0.6666666666666663</v>
      </c>
      <c r="C91" s="16" t="s">
        <v>21</v>
      </c>
      <c r="D91" s="16" t="s">
        <v>22</v>
      </c>
      <c r="E91" s="24">
        <v>15</v>
      </c>
      <c r="F91" s="17">
        <f t="shared" si="21"/>
        <v>75</v>
      </c>
      <c r="G91" s="16"/>
      <c r="H91" s="16"/>
      <c r="I91" s="16"/>
      <c r="J91" s="13"/>
      <c r="K91" s="13"/>
      <c r="L91" s="71" t="str">
        <f t="shared" si="22"/>
        <v/>
      </c>
      <c r="M91" s="11"/>
      <c r="N91" s="14"/>
    </row>
    <row r="92" spans="1:14" ht="15" customHeight="1">
      <c r="A92" s="58">
        <v>46177</v>
      </c>
      <c r="B92" s="9">
        <f t="shared" si="23"/>
        <v>0.70833333333333293</v>
      </c>
      <c r="C92" s="16" t="s">
        <v>21</v>
      </c>
      <c r="D92" s="16" t="s">
        <v>22</v>
      </c>
      <c r="E92" s="24">
        <v>13</v>
      </c>
      <c r="F92" s="12">
        <f t="shared" si="21"/>
        <v>65</v>
      </c>
      <c r="G92" s="10"/>
      <c r="H92" s="10"/>
      <c r="I92" s="10"/>
      <c r="J92" s="13"/>
      <c r="K92" s="13"/>
      <c r="L92" s="70" t="str">
        <f t="shared" si="22"/>
        <v/>
      </c>
      <c r="M92" s="11"/>
      <c r="N92" s="14"/>
    </row>
    <row r="93" spans="1:14" ht="15" customHeight="1">
      <c r="A93" s="59">
        <v>46177</v>
      </c>
      <c r="B93" s="15">
        <f t="shared" si="23"/>
        <v>0.74999999999999956</v>
      </c>
      <c r="C93" s="16" t="s">
        <v>21</v>
      </c>
      <c r="D93" s="16" t="s">
        <v>22</v>
      </c>
      <c r="E93" s="24">
        <v>20</v>
      </c>
      <c r="F93" s="17">
        <f t="shared" si="21"/>
        <v>100</v>
      </c>
      <c r="G93" s="16"/>
      <c r="H93" s="16"/>
      <c r="I93" s="16"/>
      <c r="J93" s="13"/>
      <c r="K93" s="13"/>
      <c r="L93" s="71" t="str">
        <f t="shared" si="22"/>
        <v/>
      </c>
      <c r="M93" s="11"/>
      <c r="N93" s="14"/>
    </row>
    <row r="94" spans="1:14" ht="15" customHeight="1">
      <c r="A94" s="58">
        <v>46177</v>
      </c>
      <c r="B94" s="9">
        <f t="shared" si="23"/>
        <v>0.79166666666666619</v>
      </c>
      <c r="C94" s="16" t="s">
        <v>21</v>
      </c>
      <c r="D94" s="16" t="s">
        <v>22</v>
      </c>
      <c r="E94" s="24">
        <v>20</v>
      </c>
      <c r="F94" s="12">
        <f t="shared" si="21"/>
        <v>100</v>
      </c>
      <c r="G94" s="10"/>
      <c r="H94" s="10"/>
      <c r="I94" s="10"/>
      <c r="J94" s="13"/>
      <c r="K94" s="13"/>
      <c r="L94" s="70" t="str">
        <f t="shared" si="22"/>
        <v/>
      </c>
      <c r="M94" s="11"/>
      <c r="N94" s="14"/>
    </row>
    <row r="95" spans="1:14" ht="15.75" customHeight="1">
      <c r="A95" s="97" t="s">
        <v>191</v>
      </c>
      <c r="B95" s="97"/>
      <c r="C95" s="97"/>
      <c r="D95" s="97"/>
      <c r="E95" s="19">
        <f>SUM(E83:E94)</f>
        <v>245</v>
      </c>
      <c r="F95" s="19">
        <f>SUM(F83:F94)</f>
        <v>1225</v>
      </c>
      <c r="G95" s="18"/>
      <c r="H95" s="18"/>
      <c r="I95" s="18"/>
      <c r="J95" s="18"/>
      <c r="K95" s="18"/>
      <c r="L95" s="72">
        <f>IFERROR(SUM(L83:L94),"")</f>
        <v>4.1666666666665964E-2</v>
      </c>
      <c r="M95" s="19" t="s">
        <v>192</v>
      </c>
      <c r="N95" s="20">
        <v>1222500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22</v>
      </c>
      <c r="E96" s="24">
        <v>27</v>
      </c>
      <c r="F96" s="12">
        <f t="shared" ref="F96:F107" si="24">IF(E96="","",E96*5)</f>
        <v>135</v>
      </c>
      <c r="G96" s="10"/>
      <c r="H96" s="10"/>
      <c r="I96" s="10"/>
      <c r="J96" s="13"/>
      <c r="K96" s="13"/>
      <c r="L96" s="70" t="str">
        <f t="shared" ref="L96:L107" si="25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6">B96+TIME(0,60,0)</f>
        <v>0.87499999999999967</v>
      </c>
      <c r="C97" s="10" t="s">
        <v>29</v>
      </c>
      <c r="D97" s="10" t="s">
        <v>22</v>
      </c>
      <c r="E97" s="24">
        <v>6</v>
      </c>
      <c r="F97" s="17">
        <f t="shared" si="24"/>
        <v>30</v>
      </c>
      <c r="G97" s="16" t="s">
        <v>20</v>
      </c>
      <c r="H97" s="16"/>
      <c r="I97" s="16" t="s">
        <v>197</v>
      </c>
      <c r="J97" s="13">
        <v>0.875</v>
      </c>
      <c r="K97" s="13">
        <v>0.91666666666666696</v>
      </c>
      <c r="L97" s="71">
        <f t="shared" si="25"/>
        <v>4.1666666666666963E-2</v>
      </c>
      <c r="M97" s="11"/>
      <c r="N97" s="14"/>
    </row>
    <row r="98" spans="1:14" ht="15" customHeight="1">
      <c r="A98" s="58">
        <v>46177</v>
      </c>
      <c r="B98" s="9">
        <f t="shared" si="26"/>
        <v>0.9166666666666663</v>
      </c>
      <c r="C98" s="10" t="s">
        <v>29</v>
      </c>
      <c r="D98" s="10" t="s">
        <v>22</v>
      </c>
      <c r="E98" s="24">
        <v>0</v>
      </c>
      <c r="F98" s="12">
        <f t="shared" si="24"/>
        <v>0</v>
      </c>
      <c r="G98" s="10"/>
      <c r="H98" s="10"/>
      <c r="I98" s="10"/>
      <c r="J98" s="13"/>
      <c r="K98" s="13"/>
      <c r="L98" s="70" t="str">
        <f t="shared" si="25"/>
        <v/>
      </c>
      <c r="M98" s="11"/>
      <c r="N98" s="14"/>
    </row>
    <row r="99" spans="1:14" ht="15" customHeight="1">
      <c r="A99" s="59">
        <v>46177</v>
      </c>
      <c r="B99" s="15">
        <f t="shared" si="26"/>
        <v>0.95833333333333293</v>
      </c>
      <c r="C99" s="10" t="s">
        <v>29</v>
      </c>
      <c r="D99" s="10" t="s">
        <v>22</v>
      </c>
      <c r="E99" s="24">
        <v>19</v>
      </c>
      <c r="F99" s="17">
        <f t="shared" si="24"/>
        <v>95</v>
      </c>
      <c r="G99" s="16"/>
      <c r="H99" s="16"/>
      <c r="I99" s="16"/>
      <c r="J99" s="13"/>
      <c r="K99" s="13"/>
      <c r="L99" s="71" t="str">
        <f t="shared" si="25"/>
        <v/>
      </c>
      <c r="M99" s="11"/>
      <c r="N99" s="14"/>
    </row>
    <row r="100" spans="1:14" ht="15" customHeight="1">
      <c r="A100" s="58">
        <v>46177</v>
      </c>
      <c r="B100" s="9">
        <f t="shared" si="26"/>
        <v>0.99999999999999956</v>
      </c>
      <c r="C100" s="10" t="s">
        <v>29</v>
      </c>
      <c r="D100" s="10" t="s">
        <v>22</v>
      </c>
      <c r="E100" s="24">
        <v>20</v>
      </c>
      <c r="F100" s="12">
        <f t="shared" si="24"/>
        <v>100</v>
      </c>
      <c r="G100" s="10"/>
      <c r="H100" s="10"/>
      <c r="I100" s="10"/>
      <c r="J100" s="13"/>
      <c r="K100" s="13"/>
      <c r="L100" s="70" t="str">
        <f t="shared" si="25"/>
        <v/>
      </c>
      <c r="M100" s="11"/>
      <c r="N100" s="14"/>
    </row>
    <row r="101" spans="1:14" ht="15" customHeight="1">
      <c r="A101" s="59">
        <v>46177</v>
      </c>
      <c r="B101" s="15">
        <f t="shared" si="26"/>
        <v>1.0416666666666663</v>
      </c>
      <c r="C101" s="10" t="s">
        <v>29</v>
      </c>
      <c r="D101" s="10" t="s">
        <v>22</v>
      </c>
      <c r="E101" s="24">
        <v>18</v>
      </c>
      <c r="F101" s="17">
        <f t="shared" si="24"/>
        <v>90</v>
      </c>
      <c r="G101" s="16"/>
      <c r="H101" s="16"/>
      <c r="I101" s="16"/>
      <c r="J101" s="13"/>
      <c r="K101" s="13"/>
      <c r="L101" s="71" t="str">
        <f t="shared" si="25"/>
        <v/>
      </c>
      <c r="M101" s="11"/>
      <c r="N101" s="14"/>
    </row>
    <row r="102" spans="1:14" ht="15" customHeight="1">
      <c r="A102" s="58">
        <v>46177</v>
      </c>
      <c r="B102" s="9">
        <f t="shared" si="26"/>
        <v>1.083333333333333</v>
      </c>
      <c r="C102" s="10" t="s">
        <v>29</v>
      </c>
      <c r="D102" s="10" t="s">
        <v>22</v>
      </c>
      <c r="E102" s="24">
        <v>17</v>
      </c>
      <c r="F102" s="12">
        <f t="shared" si="24"/>
        <v>85</v>
      </c>
      <c r="G102" s="10"/>
      <c r="H102" s="10"/>
      <c r="I102" s="10"/>
      <c r="J102" s="13"/>
      <c r="K102" s="13"/>
      <c r="L102" s="70" t="str">
        <f t="shared" si="25"/>
        <v/>
      </c>
      <c r="M102" s="11"/>
      <c r="N102" s="14"/>
    </row>
    <row r="103" spans="1:14" ht="15" customHeight="1">
      <c r="A103" s="59">
        <v>46177</v>
      </c>
      <c r="B103" s="15">
        <f t="shared" si="26"/>
        <v>1.1249999999999998</v>
      </c>
      <c r="C103" s="10" t="s">
        <v>29</v>
      </c>
      <c r="D103" s="10" t="s">
        <v>22</v>
      </c>
      <c r="E103" s="24">
        <v>20</v>
      </c>
      <c r="F103" s="17">
        <f t="shared" si="24"/>
        <v>100</v>
      </c>
      <c r="G103" s="16"/>
      <c r="H103" s="16"/>
      <c r="I103" s="16"/>
      <c r="J103" s="13"/>
      <c r="K103" s="13"/>
      <c r="L103" s="71" t="str">
        <f t="shared" si="25"/>
        <v/>
      </c>
      <c r="M103" s="11"/>
      <c r="N103" s="14"/>
    </row>
    <row r="104" spans="1:14" ht="15" customHeight="1">
      <c r="A104" s="58">
        <v>46177</v>
      </c>
      <c r="B104" s="9">
        <f t="shared" si="26"/>
        <v>1.1666666666666665</v>
      </c>
      <c r="C104" s="10" t="s">
        <v>29</v>
      </c>
      <c r="D104" s="10" t="s">
        <v>22</v>
      </c>
      <c r="E104" s="24">
        <v>24</v>
      </c>
      <c r="F104" s="12">
        <f t="shared" si="24"/>
        <v>120</v>
      </c>
      <c r="G104" s="10" t="s">
        <v>18</v>
      </c>
      <c r="H104" s="10" t="s">
        <v>138</v>
      </c>
      <c r="I104" s="10" t="s">
        <v>196</v>
      </c>
      <c r="J104" s="13">
        <v>0.16666666666666699</v>
      </c>
      <c r="K104" s="13">
        <v>0.194444444444444</v>
      </c>
      <c r="L104" s="70">
        <f t="shared" si="25"/>
        <v>2.7777777777777013E-2</v>
      </c>
      <c r="M104" s="11"/>
      <c r="N104" s="14"/>
    </row>
    <row r="105" spans="1:14" ht="15" customHeight="1">
      <c r="A105" s="59">
        <v>46177</v>
      </c>
      <c r="B105" s="15">
        <f t="shared" si="26"/>
        <v>1.2083333333333333</v>
      </c>
      <c r="C105" s="10" t="s">
        <v>29</v>
      </c>
      <c r="D105" s="10" t="s">
        <v>22</v>
      </c>
      <c r="E105" s="24">
        <v>10</v>
      </c>
      <c r="F105" s="17">
        <f t="shared" si="24"/>
        <v>50</v>
      </c>
      <c r="G105" s="16"/>
      <c r="H105" s="16"/>
      <c r="I105" s="16"/>
      <c r="J105" s="13"/>
      <c r="K105" s="13"/>
      <c r="L105" s="71" t="str">
        <f t="shared" si="25"/>
        <v/>
      </c>
      <c r="M105" s="11"/>
      <c r="N105" s="14"/>
    </row>
    <row r="106" spans="1:14" ht="15" customHeight="1">
      <c r="A106" s="58">
        <v>46177</v>
      </c>
      <c r="B106" s="9">
        <f t="shared" si="26"/>
        <v>1.25</v>
      </c>
      <c r="C106" s="10" t="s">
        <v>29</v>
      </c>
      <c r="D106" s="10" t="s">
        <v>22</v>
      </c>
      <c r="E106" s="24">
        <v>15</v>
      </c>
      <c r="F106" s="12">
        <f t="shared" si="24"/>
        <v>75</v>
      </c>
      <c r="G106" s="10"/>
      <c r="H106" s="10"/>
      <c r="I106" s="10"/>
      <c r="J106" s="13"/>
      <c r="K106" s="13"/>
      <c r="L106" s="70" t="str">
        <f t="shared" si="25"/>
        <v/>
      </c>
      <c r="M106" s="11"/>
      <c r="N106" s="14"/>
    </row>
    <row r="107" spans="1:14" ht="15" customHeight="1">
      <c r="A107" s="59">
        <v>46177</v>
      </c>
      <c r="B107" s="15">
        <f t="shared" si="26"/>
        <v>1.2916666666666667</v>
      </c>
      <c r="C107" s="10" t="s">
        <v>29</v>
      </c>
      <c r="D107" s="10" t="s">
        <v>22</v>
      </c>
      <c r="E107" s="24"/>
      <c r="F107" s="17" t="str">
        <f t="shared" si="24"/>
        <v/>
      </c>
      <c r="G107" s="16"/>
      <c r="H107" s="16"/>
      <c r="I107" s="16"/>
      <c r="J107" s="13"/>
      <c r="K107" s="13"/>
      <c r="L107" s="71" t="str">
        <f t="shared" si="25"/>
        <v/>
      </c>
      <c r="M107" s="11"/>
      <c r="N107" s="14"/>
    </row>
    <row r="108" spans="1:14" ht="15.75" customHeight="1">
      <c r="A108" s="97" t="s">
        <v>193</v>
      </c>
      <c r="B108" s="97"/>
      <c r="C108" s="97"/>
      <c r="D108" s="97"/>
      <c r="E108" s="19">
        <f>SUM(E96:E107)</f>
        <v>176</v>
      </c>
      <c r="F108" s="19">
        <f>SUM(F96:F107)</f>
        <v>880</v>
      </c>
      <c r="G108" s="18"/>
      <c r="H108" s="18"/>
      <c r="I108" s="18"/>
      <c r="J108" s="18"/>
      <c r="K108" s="18"/>
      <c r="L108" s="72">
        <f>IFERROR(SUM(L96:L107),"")</f>
        <v>6.9444444444443976E-2</v>
      </c>
      <c r="M108" s="19" t="s">
        <v>192</v>
      </c>
      <c r="N108" s="20">
        <v>652520</v>
      </c>
    </row>
    <row r="109" spans="1:14" ht="18" customHeight="1">
      <c r="A109" s="98" t="s">
        <v>194</v>
      </c>
      <c r="B109" s="98"/>
      <c r="C109" s="98"/>
      <c r="D109" s="98"/>
      <c r="E109" s="22">
        <f>E95+E108</f>
        <v>421</v>
      </c>
      <c r="F109" s="22">
        <f>F95+F108</f>
        <v>2105</v>
      </c>
      <c r="G109" s="21"/>
      <c r="H109" s="21"/>
      <c r="I109" s="21"/>
      <c r="J109" s="21"/>
      <c r="K109" s="21"/>
      <c r="L109" s="73">
        <f>IFERROR(L95+L108,"")</f>
        <v>0.11111111111110994</v>
      </c>
      <c r="M109" s="22" t="s">
        <v>195</v>
      </c>
      <c r="N109" s="23">
        <f>IFERROR(N95+N108,"")</f>
        <v>1875020</v>
      </c>
    </row>
    <row r="110" spans="1:14" ht="15" customHeight="1">
      <c r="A110" s="58">
        <v>46178</v>
      </c>
      <c r="B110" s="9">
        <v>0.29166666666666702</v>
      </c>
      <c r="C110" s="10" t="s">
        <v>21</v>
      </c>
      <c r="D110" s="10" t="s">
        <v>22</v>
      </c>
      <c r="E110" s="24">
        <v>0</v>
      </c>
      <c r="F110" s="12">
        <f t="shared" ref="F110:F121" si="27">IF(E110="","",E110*5)</f>
        <v>0</v>
      </c>
      <c r="G110" s="10" t="s">
        <v>16</v>
      </c>
      <c r="H110" s="10" t="s">
        <v>23</v>
      </c>
      <c r="I110" s="10" t="s">
        <v>198</v>
      </c>
      <c r="J110" s="13">
        <v>0.29166666666666702</v>
      </c>
      <c r="K110" s="13">
        <v>0.33333333333333298</v>
      </c>
      <c r="L110" s="70">
        <f t="shared" ref="L110:L121" si="28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9">B110+TIME(0,60,0)</f>
        <v>0.3333333333333337</v>
      </c>
      <c r="C111" s="10" t="s">
        <v>21</v>
      </c>
      <c r="D111" s="10" t="s">
        <v>22</v>
      </c>
      <c r="E111" s="24">
        <v>20</v>
      </c>
      <c r="F111" s="17">
        <f t="shared" si="27"/>
        <v>100</v>
      </c>
      <c r="G111" s="16" t="s">
        <v>18</v>
      </c>
      <c r="H111" s="16" t="s">
        <v>23</v>
      </c>
      <c r="I111" s="16" t="s">
        <v>48</v>
      </c>
      <c r="J111" s="13">
        <v>0.58333333333333304</v>
      </c>
      <c r="K111" s="13">
        <v>0.60416666666666696</v>
      </c>
      <c r="L111" s="71">
        <f t="shared" si="28"/>
        <v>2.0833333333333925E-2</v>
      </c>
      <c r="M111" s="11"/>
      <c r="N111" s="14"/>
    </row>
    <row r="112" spans="1:14" ht="15" customHeight="1">
      <c r="A112" s="58">
        <v>46178</v>
      </c>
      <c r="B112" s="9">
        <f t="shared" si="29"/>
        <v>0.37500000000000039</v>
      </c>
      <c r="C112" s="10" t="s">
        <v>21</v>
      </c>
      <c r="D112" s="10" t="s">
        <v>22</v>
      </c>
      <c r="E112" s="24">
        <v>20</v>
      </c>
      <c r="F112" s="12">
        <f t="shared" si="27"/>
        <v>100</v>
      </c>
      <c r="G112" s="10"/>
      <c r="H112" s="10"/>
      <c r="I112" s="10"/>
      <c r="J112" s="13"/>
      <c r="K112" s="13"/>
      <c r="L112" s="70" t="str">
        <f t="shared" si="28"/>
        <v/>
      </c>
      <c r="M112" s="11"/>
      <c r="N112" s="14"/>
    </row>
    <row r="113" spans="1:14" ht="15" customHeight="1">
      <c r="A113" s="59">
        <v>46178</v>
      </c>
      <c r="B113" s="15">
        <f t="shared" si="29"/>
        <v>0.41666666666666707</v>
      </c>
      <c r="C113" s="10" t="s">
        <v>21</v>
      </c>
      <c r="D113" s="10" t="s">
        <v>22</v>
      </c>
      <c r="E113" s="24">
        <v>15</v>
      </c>
      <c r="F113" s="17">
        <f t="shared" si="27"/>
        <v>75</v>
      </c>
      <c r="G113" s="16"/>
      <c r="H113" s="16"/>
      <c r="I113" s="16"/>
      <c r="J113" s="13"/>
      <c r="K113" s="13"/>
      <c r="L113" s="71" t="str">
        <f t="shared" si="28"/>
        <v/>
      </c>
      <c r="M113" s="11"/>
      <c r="N113" s="14"/>
    </row>
    <row r="114" spans="1:14" ht="15" customHeight="1">
      <c r="A114" s="58">
        <v>46178</v>
      </c>
      <c r="B114" s="9">
        <f t="shared" si="29"/>
        <v>0.45833333333333376</v>
      </c>
      <c r="C114" s="10" t="s">
        <v>21</v>
      </c>
      <c r="D114" s="10" t="s">
        <v>22</v>
      </c>
      <c r="E114" s="24">
        <v>25</v>
      </c>
      <c r="F114" s="12">
        <f t="shared" si="27"/>
        <v>125</v>
      </c>
      <c r="G114" s="10"/>
      <c r="H114" s="10"/>
      <c r="I114" s="10"/>
      <c r="J114" s="13"/>
      <c r="K114" s="13"/>
      <c r="L114" s="70" t="str">
        <f t="shared" si="28"/>
        <v/>
      </c>
      <c r="M114" s="11"/>
      <c r="N114" s="14"/>
    </row>
    <row r="115" spans="1:14" ht="15" customHeight="1">
      <c r="A115" s="59">
        <v>46178</v>
      </c>
      <c r="B115" s="15">
        <f t="shared" si="29"/>
        <v>0.50000000000000044</v>
      </c>
      <c r="C115" s="10" t="s">
        <v>21</v>
      </c>
      <c r="D115" s="10" t="s">
        <v>22</v>
      </c>
      <c r="E115" s="24">
        <v>25</v>
      </c>
      <c r="F115" s="17">
        <f t="shared" si="27"/>
        <v>125</v>
      </c>
      <c r="G115" s="16"/>
      <c r="H115" s="16"/>
      <c r="I115" s="16"/>
      <c r="J115" s="13"/>
      <c r="K115" s="13"/>
      <c r="L115" s="71" t="str">
        <f t="shared" si="28"/>
        <v/>
      </c>
      <c r="M115" s="11"/>
      <c r="N115" s="14"/>
    </row>
    <row r="116" spans="1:14" ht="15" customHeight="1">
      <c r="A116" s="58">
        <v>46178</v>
      </c>
      <c r="B116" s="9">
        <f t="shared" si="29"/>
        <v>0.54166666666666707</v>
      </c>
      <c r="C116" s="10" t="s">
        <v>21</v>
      </c>
      <c r="D116" s="10" t="s">
        <v>22</v>
      </c>
      <c r="E116" s="24">
        <v>34</v>
      </c>
      <c r="F116" s="12">
        <f t="shared" si="27"/>
        <v>170</v>
      </c>
      <c r="G116" s="10"/>
      <c r="H116" s="10"/>
      <c r="I116" s="10"/>
      <c r="J116" s="13"/>
      <c r="K116" s="13"/>
      <c r="L116" s="70" t="str">
        <f t="shared" si="28"/>
        <v/>
      </c>
      <c r="M116" s="11"/>
      <c r="N116" s="14"/>
    </row>
    <row r="117" spans="1:14" ht="15" customHeight="1">
      <c r="A117" s="59">
        <v>46178</v>
      </c>
      <c r="B117" s="15">
        <f t="shared" si="29"/>
        <v>0.5833333333333337</v>
      </c>
      <c r="C117" s="10" t="s">
        <v>21</v>
      </c>
      <c r="D117" s="10" t="s">
        <v>22</v>
      </c>
      <c r="E117" s="24">
        <v>31</v>
      </c>
      <c r="F117" s="17">
        <f t="shared" si="27"/>
        <v>155</v>
      </c>
      <c r="G117" s="16"/>
      <c r="H117" s="16"/>
      <c r="I117" s="16"/>
      <c r="J117" s="13"/>
      <c r="K117" s="13"/>
      <c r="L117" s="71" t="str">
        <f t="shared" si="28"/>
        <v/>
      </c>
      <c r="M117" s="11"/>
      <c r="N117" s="14"/>
    </row>
    <row r="118" spans="1:14" ht="15" customHeight="1">
      <c r="A118" s="58">
        <v>46178</v>
      </c>
      <c r="B118" s="9">
        <f t="shared" si="29"/>
        <v>0.62500000000000033</v>
      </c>
      <c r="C118" s="10" t="s">
        <v>21</v>
      </c>
      <c r="D118" s="10" t="s">
        <v>22</v>
      </c>
      <c r="E118" s="24">
        <v>30</v>
      </c>
      <c r="F118" s="12">
        <f t="shared" si="27"/>
        <v>150</v>
      </c>
      <c r="G118" s="10"/>
      <c r="H118" s="10"/>
      <c r="I118" s="10"/>
      <c r="J118" s="13"/>
      <c r="K118" s="13"/>
      <c r="L118" s="70" t="str">
        <f t="shared" si="28"/>
        <v/>
      </c>
      <c r="M118" s="11"/>
      <c r="N118" s="14"/>
    </row>
    <row r="119" spans="1:14" ht="15" customHeight="1">
      <c r="A119" s="59">
        <v>46178</v>
      </c>
      <c r="B119" s="15">
        <f t="shared" si="29"/>
        <v>0.66666666666666696</v>
      </c>
      <c r="C119" s="10" t="s">
        <v>21</v>
      </c>
      <c r="D119" s="10" t="s">
        <v>22</v>
      </c>
      <c r="E119" s="24">
        <v>25</v>
      </c>
      <c r="F119" s="17">
        <f t="shared" si="27"/>
        <v>125</v>
      </c>
      <c r="G119" s="16"/>
      <c r="H119" s="16"/>
      <c r="I119" s="16"/>
      <c r="J119" s="13"/>
      <c r="K119" s="13"/>
      <c r="L119" s="71" t="str">
        <f t="shared" si="28"/>
        <v/>
      </c>
      <c r="M119" s="11"/>
      <c r="N119" s="14"/>
    </row>
    <row r="120" spans="1:14" ht="15" customHeight="1">
      <c r="A120" s="58">
        <v>46178</v>
      </c>
      <c r="B120" s="9">
        <f t="shared" si="29"/>
        <v>0.70833333333333359</v>
      </c>
      <c r="C120" s="10" t="s">
        <v>21</v>
      </c>
      <c r="D120" s="10" t="s">
        <v>22</v>
      </c>
      <c r="E120" s="24">
        <v>40</v>
      </c>
      <c r="F120" s="12">
        <f t="shared" si="27"/>
        <v>200</v>
      </c>
      <c r="G120" s="10"/>
      <c r="H120" s="10"/>
      <c r="I120" s="10"/>
      <c r="J120" s="13"/>
      <c r="K120" s="13"/>
      <c r="L120" s="70" t="str">
        <f t="shared" si="28"/>
        <v/>
      </c>
      <c r="M120" s="11"/>
      <c r="N120" s="14"/>
    </row>
    <row r="121" spans="1:14" ht="15" customHeight="1">
      <c r="A121" s="59">
        <v>46178</v>
      </c>
      <c r="B121" s="15">
        <f t="shared" si="29"/>
        <v>0.75000000000000022</v>
      </c>
      <c r="C121" s="10" t="s">
        <v>21</v>
      </c>
      <c r="D121" s="10" t="s">
        <v>22</v>
      </c>
      <c r="E121" s="24">
        <v>20</v>
      </c>
      <c r="F121" s="17">
        <f t="shared" si="27"/>
        <v>100</v>
      </c>
      <c r="G121" s="16"/>
      <c r="H121" s="16"/>
      <c r="I121" s="16"/>
      <c r="J121" s="13"/>
      <c r="K121" s="13"/>
      <c r="L121" s="71" t="str">
        <f t="shared" si="28"/>
        <v/>
      </c>
      <c r="M121" s="11"/>
      <c r="N121" s="14"/>
    </row>
    <row r="122" spans="1:14" ht="15.75" customHeight="1">
      <c r="A122" s="97" t="s">
        <v>191</v>
      </c>
      <c r="B122" s="97"/>
      <c r="C122" s="97"/>
      <c r="D122" s="97"/>
      <c r="E122" s="19">
        <f>SUM(E110:E121)</f>
        <v>285</v>
      </c>
      <c r="F122" s="19">
        <f>SUM(F110:F121)</f>
        <v>1425</v>
      </c>
      <c r="G122" s="18"/>
      <c r="H122" s="18"/>
      <c r="I122" s="18"/>
      <c r="J122" s="18"/>
      <c r="K122" s="18"/>
      <c r="L122" s="72">
        <f>IFERROR(SUM(L110:L121),"")</f>
        <v>6.2499999999999889E-2</v>
      </c>
      <c r="M122" s="19" t="s">
        <v>192</v>
      </c>
      <c r="N122" s="20">
        <v>1525340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24">
        <v>15</v>
      </c>
      <c r="F123" s="17">
        <f t="shared" ref="F123:F134" si="30">IF(E123="","",E123*5)</f>
        <v>75</v>
      </c>
      <c r="G123" s="16" t="s">
        <v>18</v>
      </c>
      <c r="H123" s="16" t="s">
        <v>23</v>
      </c>
      <c r="I123" s="16" t="s">
        <v>48</v>
      </c>
      <c r="J123" s="13"/>
      <c r="K123" s="13"/>
      <c r="L123" s="71" t="str">
        <f t="shared" ref="L123:L134" si="31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32">B123+TIME(0,60,0)</f>
        <v>0.87499999999999967</v>
      </c>
      <c r="C124" s="16" t="s">
        <v>29</v>
      </c>
      <c r="D124" s="16" t="s">
        <v>22</v>
      </c>
      <c r="E124" s="24">
        <v>20</v>
      </c>
      <c r="F124" s="12">
        <f t="shared" si="30"/>
        <v>100</v>
      </c>
      <c r="G124" s="10"/>
      <c r="H124" s="10"/>
      <c r="I124" s="10"/>
      <c r="J124" s="13"/>
      <c r="K124" s="13"/>
      <c r="L124" s="70" t="str">
        <f t="shared" si="31"/>
        <v/>
      </c>
      <c r="M124" s="11"/>
      <c r="N124" s="14"/>
    </row>
    <row r="125" spans="1:14" ht="15" customHeight="1">
      <c r="A125" s="59">
        <v>46178</v>
      </c>
      <c r="B125" s="15">
        <f t="shared" si="32"/>
        <v>0.9166666666666663</v>
      </c>
      <c r="C125" s="16" t="s">
        <v>29</v>
      </c>
      <c r="D125" s="16" t="s">
        <v>22</v>
      </c>
      <c r="E125" s="24">
        <v>13</v>
      </c>
      <c r="F125" s="17">
        <f t="shared" si="30"/>
        <v>65</v>
      </c>
      <c r="G125" s="16"/>
      <c r="H125" s="16"/>
      <c r="I125" s="16"/>
      <c r="J125" s="13"/>
      <c r="K125" s="13"/>
      <c r="L125" s="71" t="str">
        <f t="shared" si="31"/>
        <v/>
      </c>
      <c r="M125" s="11"/>
      <c r="N125" s="14"/>
    </row>
    <row r="126" spans="1:14" ht="15" customHeight="1">
      <c r="A126" s="58">
        <v>46178</v>
      </c>
      <c r="B126" s="9">
        <f t="shared" si="32"/>
        <v>0.95833333333333293</v>
      </c>
      <c r="C126" s="16" t="s">
        <v>29</v>
      </c>
      <c r="D126" s="16" t="s">
        <v>22</v>
      </c>
      <c r="E126" s="24">
        <v>10</v>
      </c>
      <c r="F126" s="12">
        <f t="shared" si="30"/>
        <v>50</v>
      </c>
      <c r="G126" s="10"/>
      <c r="H126" s="10"/>
      <c r="I126" s="10"/>
      <c r="J126" s="13"/>
      <c r="K126" s="13"/>
      <c r="L126" s="70" t="str">
        <f t="shared" si="31"/>
        <v/>
      </c>
      <c r="M126" s="11"/>
      <c r="N126" s="14"/>
    </row>
    <row r="127" spans="1:14" ht="15" customHeight="1">
      <c r="A127" s="59">
        <v>46178</v>
      </c>
      <c r="B127" s="15">
        <f t="shared" si="32"/>
        <v>0.99999999999999956</v>
      </c>
      <c r="C127" s="16" t="s">
        <v>29</v>
      </c>
      <c r="D127" s="16" t="s">
        <v>22</v>
      </c>
      <c r="E127" s="24">
        <v>22</v>
      </c>
      <c r="F127" s="17">
        <f t="shared" si="30"/>
        <v>110</v>
      </c>
      <c r="G127" s="16"/>
      <c r="H127" s="16"/>
      <c r="I127" s="16"/>
      <c r="J127" s="13"/>
      <c r="K127" s="13"/>
      <c r="L127" s="71" t="str">
        <f t="shared" si="31"/>
        <v/>
      </c>
      <c r="M127" s="11"/>
      <c r="N127" s="14"/>
    </row>
    <row r="128" spans="1:14" ht="15" customHeight="1">
      <c r="A128" s="58">
        <v>46178</v>
      </c>
      <c r="B128" s="9">
        <f t="shared" si="32"/>
        <v>1.0416666666666663</v>
      </c>
      <c r="C128" s="16" t="s">
        <v>29</v>
      </c>
      <c r="D128" s="16" t="s">
        <v>22</v>
      </c>
      <c r="E128" s="24">
        <v>30</v>
      </c>
      <c r="F128" s="12">
        <f t="shared" si="30"/>
        <v>150</v>
      </c>
      <c r="G128" s="10"/>
      <c r="H128" s="10"/>
      <c r="I128" s="10"/>
      <c r="J128" s="13"/>
      <c r="K128" s="13"/>
      <c r="L128" s="70" t="str">
        <f t="shared" si="31"/>
        <v/>
      </c>
      <c r="M128" s="11"/>
      <c r="N128" s="14"/>
    </row>
    <row r="129" spans="1:14" ht="15" customHeight="1">
      <c r="A129" s="59">
        <v>46178</v>
      </c>
      <c r="B129" s="15">
        <f t="shared" si="32"/>
        <v>1.083333333333333</v>
      </c>
      <c r="C129" s="16" t="s">
        <v>29</v>
      </c>
      <c r="D129" s="16" t="s">
        <v>22</v>
      </c>
      <c r="E129" s="24">
        <v>25</v>
      </c>
      <c r="F129" s="17">
        <f t="shared" si="30"/>
        <v>125</v>
      </c>
      <c r="G129" s="16"/>
      <c r="H129" s="16"/>
      <c r="I129" s="16"/>
      <c r="J129" s="13"/>
      <c r="K129" s="13"/>
      <c r="L129" s="71" t="str">
        <f t="shared" si="31"/>
        <v/>
      </c>
      <c r="M129" s="11"/>
      <c r="N129" s="14"/>
    </row>
    <row r="130" spans="1:14" ht="15" customHeight="1">
      <c r="A130" s="58">
        <v>46178</v>
      </c>
      <c r="B130" s="9">
        <f t="shared" si="32"/>
        <v>1.1249999999999998</v>
      </c>
      <c r="C130" s="16" t="s">
        <v>29</v>
      </c>
      <c r="D130" s="16" t="s">
        <v>22</v>
      </c>
      <c r="E130" s="24">
        <v>18</v>
      </c>
      <c r="F130" s="12">
        <f t="shared" si="30"/>
        <v>90</v>
      </c>
      <c r="G130" s="10"/>
      <c r="H130" s="10"/>
      <c r="I130" s="10"/>
      <c r="J130" s="13"/>
      <c r="K130" s="13"/>
      <c r="L130" s="70" t="str">
        <f t="shared" si="31"/>
        <v/>
      </c>
      <c r="M130" s="11"/>
      <c r="N130" s="14"/>
    </row>
    <row r="131" spans="1:14" ht="15" customHeight="1">
      <c r="A131" s="59">
        <v>46178</v>
      </c>
      <c r="B131" s="15">
        <f t="shared" si="32"/>
        <v>1.1666666666666665</v>
      </c>
      <c r="C131" s="16" t="s">
        <v>29</v>
      </c>
      <c r="D131" s="16" t="s">
        <v>22</v>
      </c>
      <c r="E131" s="24">
        <v>14</v>
      </c>
      <c r="F131" s="17">
        <f t="shared" si="30"/>
        <v>70</v>
      </c>
      <c r="G131" s="16"/>
      <c r="H131" s="16"/>
      <c r="I131" s="16"/>
      <c r="J131" s="13"/>
      <c r="K131" s="13"/>
      <c r="L131" s="71" t="str">
        <f t="shared" si="31"/>
        <v/>
      </c>
      <c r="M131" s="11"/>
      <c r="N131" s="14"/>
    </row>
    <row r="132" spans="1:14" ht="15" customHeight="1">
      <c r="A132" s="58">
        <v>46178</v>
      </c>
      <c r="B132" s="9">
        <f t="shared" si="32"/>
        <v>1.2083333333333333</v>
      </c>
      <c r="C132" s="16" t="s">
        <v>29</v>
      </c>
      <c r="D132" s="16" t="s">
        <v>22</v>
      </c>
      <c r="E132" s="24">
        <v>20</v>
      </c>
      <c r="F132" s="12">
        <f t="shared" si="30"/>
        <v>100</v>
      </c>
      <c r="G132" s="10"/>
      <c r="H132" s="10"/>
      <c r="I132" s="10"/>
      <c r="J132" s="13"/>
      <c r="K132" s="13"/>
      <c r="L132" s="70" t="str">
        <f t="shared" si="31"/>
        <v/>
      </c>
      <c r="M132" s="11"/>
      <c r="N132" s="14"/>
    </row>
    <row r="133" spans="1:14" ht="15" customHeight="1">
      <c r="A133" s="59">
        <v>46178</v>
      </c>
      <c r="B133" s="15">
        <f t="shared" si="32"/>
        <v>1.25</v>
      </c>
      <c r="C133" s="16" t="s">
        <v>29</v>
      </c>
      <c r="D133" s="16" t="s">
        <v>22</v>
      </c>
      <c r="E133" s="24">
        <v>30</v>
      </c>
      <c r="F133" s="17">
        <f t="shared" si="30"/>
        <v>150</v>
      </c>
      <c r="G133" s="16"/>
      <c r="H133" s="16"/>
      <c r="I133" s="16"/>
      <c r="J133" s="13"/>
      <c r="K133" s="13"/>
      <c r="L133" s="71" t="str">
        <f t="shared" si="31"/>
        <v/>
      </c>
      <c r="M133" s="11"/>
      <c r="N133" s="14"/>
    </row>
    <row r="134" spans="1:14" ht="15" customHeight="1">
      <c r="A134" s="58">
        <v>46178</v>
      </c>
      <c r="B134" s="9">
        <f t="shared" si="32"/>
        <v>1.2916666666666667</v>
      </c>
      <c r="C134" s="16" t="s">
        <v>29</v>
      </c>
      <c r="D134" s="16" t="s">
        <v>22</v>
      </c>
      <c r="E134" s="24">
        <v>15</v>
      </c>
      <c r="F134" s="12">
        <f t="shared" si="30"/>
        <v>75</v>
      </c>
      <c r="G134" s="10"/>
      <c r="H134" s="10"/>
      <c r="I134" s="10"/>
      <c r="J134" s="13"/>
      <c r="K134" s="13"/>
      <c r="L134" s="70" t="str">
        <f t="shared" si="31"/>
        <v/>
      </c>
      <c r="M134" s="11"/>
      <c r="N134" s="14"/>
    </row>
    <row r="135" spans="1:14" ht="15.75" customHeight="1">
      <c r="A135" s="97" t="s">
        <v>193</v>
      </c>
      <c r="B135" s="97"/>
      <c r="C135" s="97"/>
      <c r="D135" s="97"/>
      <c r="E135" s="19">
        <f>SUM(E123:E134)</f>
        <v>232</v>
      </c>
      <c r="F135" s="19">
        <f>SUM(F123:F134)</f>
        <v>1160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192</v>
      </c>
      <c r="N135" s="20">
        <v>909050</v>
      </c>
    </row>
    <row r="136" spans="1:14" ht="18" customHeight="1">
      <c r="A136" s="98" t="s">
        <v>194</v>
      </c>
      <c r="B136" s="98"/>
      <c r="C136" s="98"/>
      <c r="D136" s="98"/>
      <c r="E136" s="22">
        <f>E122+E135</f>
        <v>517</v>
      </c>
      <c r="F136" s="22">
        <f>F122+F135</f>
        <v>2585</v>
      </c>
      <c r="G136" s="21"/>
      <c r="H136" s="21"/>
      <c r="I136" s="21"/>
      <c r="J136" s="21"/>
      <c r="K136" s="21"/>
      <c r="L136" s="73">
        <f>IFERROR(L122+L135,"")</f>
        <v>6.2499999999999889E-2</v>
      </c>
      <c r="M136" s="22" t="s">
        <v>195</v>
      </c>
      <c r="N136" s="23">
        <f>IFERROR(N122+N135,"")</f>
        <v>2434390</v>
      </c>
    </row>
    <row r="137" spans="1:14" ht="15" customHeight="1">
      <c r="A137" s="59">
        <v>46179</v>
      </c>
      <c r="B137" s="15">
        <v>0.29166666666666702</v>
      </c>
      <c r="C137" s="16" t="s">
        <v>21</v>
      </c>
      <c r="D137" s="16" t="s">
        <v>22</v>
      </c>
      <c r="E137" s="11">
        <v>0</v>
      </c>
      <c r="F137" s="17">
        <f t="shared" ref="F137:F148" si="33">IF(E137="","",E137*5)</f>
        <v>0</v>
      </c>
      <c r="G137" s="16" t="s">
        <v>190</v>
      </c>
      <c r="H137" s="16" t="s">
        <v>23</v>
      </c>
      <c r="I137" s="16" t="s">
        <v>58</v>
      </c>
      <c r="J137" s="13">
        <v>0.29166666666666702</v>
      </c>
      <c r="K137" s="13">
        <v>0.375</v>
      </c>
      <c r="L137" s="71">
        <f t="shared" ref="L137:L148" si="34">IFERROR(IF(K137="","",IF(K137&gt;=J137,K137-J137,K137+1-J137)),"")</f>
        <v>8.3333333333332982E-2</v>
      </c>
      <c r="M137" s="11"/>
      <c r="N137" s="14"/>
    </row>
    <row r="138" spans="1:14" ht="15" customHeight="1">
      <c r="A138" s="58">
        <v>46179</v>
      </c>
      <c r="B138" s="9">
        <f t="shared" ref="B138:B148" si="35">B137+TIME(0,60,0)</f>
        <v>0.3333333333333337</v>
      </c>
      <c r="C138" s="16" t="s">
        <v>21</v>
      </c>
      <c r="D138" s="16" t="s">
        <v>22</v>
      </c>
      <c r="E138" s="11">
        <v>0</v>
      </c>
      <c r="F138" s="12">
        <f t="shared" si="33"/>
        <v>0</v>
      </c>
      <c r="G138" s="10" t="s">
        <v>18</v>
      </c>
      <c r="H138" s="10" t="s">
        <v>23</v>
      </c>
      <c r="I138" s="10" t="s">
        <v>48</v>
      </c>
      <c r="J138" s="13">
        <v>0.41666666666666702</v>
      </c>
      <c r="K138" s="13">
        <v>0.43402777777777801</v>
      </c>
      <c r="L138" s="70">
        <f t="shared" si="34"/>
        <v>1.7361111111110994E-2</v>
      </c>
      <c r="M138" s="11"/>
      <c r="N138" s="14"/>
    </row>
    <row r="139" spans="1:14" ht="15" customHeight="1">
      <c r="A139" s="59">
        <v>46179</v>
      </c>
      <c r="B139" s="15">
        <f t="shared" si="35"/>
        <v>0.37500000000000039</v>
      </c>
      <c r="C139" s="16" t="s">
        <v>21</v>
      </c>
      <c r="D139" s="16" t="s">
        <v>22</v>
      </c>
      <c r="E139" s="11">
        <v>37</v>
      </c>
      <c r="F139" s="17">
        <f t="shared" si="33"/>
        <v>185</v>
      </c>
      <c r="G139" s="16"/>
      <c r="H139" s="16"/>
      <c r="I139" s="16"/>
      <c r="J139" s="13"/>
      <c r="K139" s="13"/>
      <c r="L139" s="71" t="str">
        <f t="shared" si="34"/>
        <v/>
      </c>
      <c r="M139" s="11"/>
      <c r="N139" s="14"/>
    </row>
    <row r="140" spans="1:14" ht="15" customHeight="1">
      <c r="A140" s="58">
        <v>46179</v>
      </c>
      <c r="B140" s="9">
        <f t="shared" si="35"/>
        <v>0.41666666666666707</v>
      </c>
      <c r="C140" s="16" t="s">
        <v>21</v>
      </c>
      <c r="D140" s="16" t="s">
        <v>22</v>
      </c>
      <c r="E140" s="11">
        <v>28</v>
      </c>
      <c r="F140" s="12">
        <f t="shared" si="33"/>
        <v>140</v>
      </c>
      <c r="G140" s="10"/>
      <c r="H140" s="10"/>
      <c r="I140" s="10"/>
      <c r="J140" s="13"/>
      <c r="K140" s="13"/>
      <c r="L140" s="70" t="str">
        <f t="shared" si="34"/>
        <v/>
      </c>
      <c r="M140" s="11"/>
      <c r="N140" s="14"/>
    </row>
    <row r="141" spans="1:14" ht="15" customHeight="1">
      <c r="A141" s="59">
        <v>46179</v>
      </c>
      <c r="B141" s="15">
        <f t="shared" si="35"/>
        <v>0.45833333333333376</v>
      </c>
      <c r="C141" s="16" t="s">
        <v>21</v>
      </c>
      <c r="D141" s="16" t="s">
        <v>22</v>
      </c>
      <c r="E141" s="11">
        <v>20</v>
      </c>
      <c r="F141" s="17">
        <f t="shared" si="33"/>
        <v>100</v>
      </c>
      <c r="G141" s="16"/>
      <c r="H141" s="16"/>
      <c r="I141" s="16"/>
      <c r="J141" s="13"/>
      <c r="K141" s="13"/>
      <c r="L141" s="71" t="str">
        <f t="shared" si="34"/>
        <v/>
      </c>
      <c r="M141" s="11"/>
      <c r="N141" s="14"/>
    </row>
    <row r="142" spans="1:14" ht="15" customHeight="1">
      <c r="A142" s="58">
        <v>46179</v>
      </c>
      <c r="B142" s="9">
        <f t="shared" si="35"/>
        <v>0.50000000000000044</v>
      </c>
      <c r="C142" s="16" t="s">
        <v>21</v>
      </c>
      <c r="D142" s="16" t="s">
        <v>22</v>
      </c>
      <c r="E142" s="11">
        <v>29</v>
      </c>
      <c r="F142" s="12">
        <f t="shared" si="33"/>
        <v>145</v>
      </c>
      <c r="G142" s="10"/>
      <c r="H142" s="10"/>
      <c r="I142" s="10"/>
      <c r="J142" s="13"/>
      <c r="K142" s="13"/>
      <c r="L142" s="70" t="str">
        <f t="shared" si="34"/>
        <v/>
      </c>
      <c r="M142" s="11"/>
      <c r="N142" s="14"/>
    </row>
    <row r="143" spans="1:14" ht="15" customHeight="1">
      <c r="A143" s="59">
        <v>46179</v>
      </c>
      <c r="B143" s="15">
        <f t="shared" si="35"/>
        <v>0.54166666666666707</v>
      </c>
      <c r="C143" s="16" t="s">
        <v>21</v>
      </c>
      <c r="D143" s="16" t="s">
        <v>22</v>
      </c>
      <c r="E143" s="11">
        <v>20</v>
      </c>
      <c r="F143" s="17">
        <f t="shared" si="33"/>
        <v>100</v>
      </c>
      <c r="G143" s="16"/>
      <c r="H143" s="16"/>
      <c r="I143" s="16"/>
      <c r="J143" s="13"/>
      <c r="K143" s="13"/>
      <c r="L143" s="71" t="str">
        <f t="shared" si="34"/>
        <v/>
      </c>
      <c r="M143" s="11"/>
      <c r="N143" s="14"/>
    </row>
    <row r="144" spans="1:14" ht="15" customHeight="1">
      <c r="A144" s="58">
        <v>46179</v>
      </c>
      <c r="B144" s="9">
        <f t="shared" si="35"/>
        <v>0.5833333333333337</v>
      </c>
      <c r="C144" s="16" t="s">
        <v>21</v>
      </c>
      <c r="D144" s="16" t="s">
        <v>22</v>
      </c>
      <c r="E144" s="11">
        <v>30</v>
      </c>
      <c r="F144" s="12">
        <f t="shared" si="33"/>
        <v>150</v>
      </c>
      <c r="G144" s="10"/>
      <c r="H144" s="10"/>
      <c r="I144" s="10"/>
      <c r="J144" s="13"/>
      <c r="K144" s="13"/>
      <c r="L144" s="70" t="str">
        <f t="shared" si="34"/>
        <v/>
      </c>
      <c r="M144" s="11"/>
      <c r="N144" s="14"/>
    </row>
    <row r="145" spans="1:14" ht="15" customHeight="1">
      <c r="A145" s="59">
        <v>46179</v>
      </c>
      <c r="B145" s="15">
        <f t="shared" si="35"/>
        <v>0.62500000000000033</v>
      </c>
      <c r="C145" s="16" t="s">
        <v>21</v>
      </c>
      <c r="D145" s="16" t="s">
        <v>22</v>
      </c>
      <c r="E145" s="11">
        <v>30</v>
      </c>
      <c r="F145" s="17">
        <f t="shared" si="33"/>
        <v>150</v>
      </c>
      <c r="G145" s="16"/>
      <c r="H145" s="16"/>
      <c r="I145" s="16"/>
      <c r="J145" s="13"/>
      <c r="K145" s="13"/>
      <c r="L145" s="71" t="str">
        <f t="shared" si="34"/>
        <v/>
      </c>
      <c r="M145" s="11"/>
      <c r="N145" s="14"/>
    </row>
    <row r="146" spans="1:14" ht="15" customHeight="1">
      <c r="A146" s="58">
        <v>46179</v>
      </c>
      <c r="B146" s="9">
        <f t="shared" si="35"/>
        <v>0.66666666666666696</v>
      </c>
      <c r="C146" s="16" t="s">
        <v>21</v>
      </c>
      <c r="D146" s="16" t="s">
        <v>22</v>
      </c>
      <c r="E146" s="11">
        <v>45</v>
      </c>
      <c r="F146" s="12">
        <f t="shared" si="33"/>
        <v>225</v>
      </c>
      <c r="G146" s="10"/>
      <c r="H146" s="10"/>
      <c r="I146" s="10"/>
      <c r="J146" s="13"/>
      <c r="K146" s="13"/>
      <c r="L146" s="70" t="str">
        <f t="shared" si="34"/>
        <v/>
      </c>
      <c r="M146" s="11"/>
      <c r="N146" s="14"/>
    </row>
    <row r="147" spans="1:14" ht="15" customHeight="1">
      <c r="A147" s="59">
        <v>46179</v>
      </c>
      <c r="B147" s="15">
        <f t="shared" si="35"/>
        <v>0.70833333333333359</v>
      </c>
      <c r="C147" s="16" t="s">
        <v>21</v>
      </c>
      <c r="D147" s="16" t="s">
        <v>22</v>
      </c>
      <c r="E147" s="11">
        <v>35</v>
      </c>
      <c r="F147" s="17">
        <f t="shared" si="33"/>
        <v>175</v>
      </c>
      <c r="G147" s="16"/>
      <c r="H147" s="16"/>
      <c r="I147" s="16"/>
      <c r="J147" s="13"/>
      <c r="K147" s="13"/>
      <c r="L147" s="71" t="str">
        <f t="shared" si="34"/>
        <v/>
      </c>
      <c r="M147" s="11"/>
      <c r="N147" s="14"/>
    </row>
    <row r="148" spans="1:14" ht="15" customHeight="1">
      <c r="A148" s="58">
        <v>46179</v>
      </c>
      <c r="B148" s="9">
        <f t="shared" si="35"/>
        <v>0.75000000000000022</v>
      </c>
      <c r="C148" s="16" t="s">
        <v>21</v>
      </c>
      <c r="D148" s="16" t="s">
        <v>22</v>
      </c>
      <c r="E148" s="11">
        <v>25</v>
      </c>
      <c r="F148" s="12">
        <f t="shared" si="33"/>
        <v>125</v>
      </c>
      <c r="G148" s="10"/>
      <c r="H148" s="10"/>
      <c r="I148" s="10"/>
      <c r="J148" s="13"/>
      <c r="K148" s="13"/>
      <c r="L148" s="70" t="str">
        <f t="shared" si="34"/>
        <v/>
      </c>
      <c r="M148" s="11"/>
      <c r="N148" s="14"/>
    </row>
    <row r="149" spans="1:14" ht="15.75" customHeight="1">
      <c r="A149" s="97" t="s">
        <v>191</v>
      </c>
      <c r="B149" s="97"/>
      <c r="C149" s="97"/>
      <c r="D149" s="97"/>
      <c r="E149" s="19">
        <f>SUM(E137:E148)</f>
        <v>299</v>
      </c>
      <c r="F149" s="19">
        <f>SUM(F137:F148)</f>
        <v>1495</v>
      </c>
      <c r="G149" s="18"/>
      <c r="H149" s="18"/>
      <c r="I149" s="18"/>
      <c r="J149" s="18"/>
      <c r="K149" s="18"/>
      <c r="L149" s="72">
        <f>IFERROR(SUM(L137:L148),"")</f>
        <v>0.10069444444444398</v>
      </c>
      <c r="M149" s="19" t="s">
        <v>192</v>
      </c>
      <c r="N149" s="27">
        <v>1310690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30</v>
      </c>
      <c r="E150" s="11">
        <v>16</v>
      </c>
      <c r="F150" s="12">
        <f t="shared" ref="F150:F161" si="36">IF(E150="","",E150*5)</f>
        <v>80</v>
      </c>
      <c r="G150" s="10" t="s">
        <v>18</v>
      </c>
      <c r="H150" s="10" t="s">
        <v>138</v>
      </c>
      <c r="I150" s="10" t="s">
        <v>126</v>
      </c>
      <c r="J150" s="13">
        <v>0</v>
      </c>
      <c r="K150" s="13">
        <v>1.38888888888889E-2</v>
      </c>
      <c r="L150" s="70">
        <f t="shared" ref="L150:L161" si="37">IFERROR(IF(K150="","",IF(K150&gt;=J150,K150-J150,K150+1-J150)),"")</f>
        <v>1.38888888888889E-2</v>
      </c>
      <c r="M150" s="11"/>
      <c r="N150" s="14"/>
    </row>
    <row r="151" spans="1:14" ht="15" customHeight="1">
      <c r="A151" s="59">
        <v>46179</v>
      </c>
      <c r="B151" s="15">
        <f t="shared" ref="B151:B161" si="38">B150+TIME(0,60,0)</f>
        <v>0.87499999999999967</v>
      </c>
      <c r="C151" s="10" t="s">
        <v>37</v>
      </c>
      <c r="D151" s="10" t="s">
        <v>30</v>
      </c>
      <c r="E151" s="11">
        <v>15</v>
      </c>
      <c r="F151" s="17">
        <f t="shared" si="36"/>
        <v>75</v>
      </c>
      <c r="G151" s="16"/>
      <c r="H151" s="16"/>
      <c r="I151" s="16"/>
      <c r="J151" s="13"/>
      <c r="K151" s="13"/>
      <c r="L151" s="71" t="str">
        <f t="shared" si="37"/>
        <v/>
      </c>
      <c r="M151" s="11"/>
      <c r="N151" s="14"/>
    </row>
    <row r="152" spans="1:14" ht="15" customHeight="1">
      <c r="A152" s="58">
        <v>46179</v>
      </c>
      <c r="B152" s="9">
        <f t="shared" si="38"/>
        <v>0.9166666666666663</v>
      </c>
      <c r="C152" s="10" t="s">
        <v>37</v>
      </c>
      <c r="D152" s="10" t="s">
        <v>30</v>
      </c>
      <c r="E152" s="11">
        <v>10</v>
      </c>
      <c r="F152" s="12">
        <f t="shared" si="36"/>
        <v>50</v>
      </c>
      <c r="G152" s="10"/>
      <c r="H152" s="10"/>
      <c r="I152" s="10"/>
      <c r="J152" s="13"/>
      <c r="K152" s="13"/>
      <c r="L152" s="70" t="str">
        <f t="shared" si="37"/>
        <v/>
      </c>
      <c r="M152" s="11"/>
      <c r="N152" s="14"/>
    </row>
    <row r="153" spans="1:14" ht="15" customHeight="1">
      <c r="A153" s="59">
        <v>46179</v>
      </c>
      <c r="B153" s="15">
        <f t="shared" si="38"/>
        <v>0.95833333333333293</v>
      </c>
      <c r="C153" s="10" t="s">
        <v>37</v>
      </c>
      <c r="D153" s="10" t="s">
        <v>30</v>
      </c>
      <c r="E153" s="11">
        <v>32</v>
      </c>
      <c r="F153" s="17">
        <f t="shared" si="36"/>
        <v>160</v>
      </c>
      <c r="G153" s="16"/>
      <c r="H153" s="16"/>
      <c r="I153" s="16"/>
      <c r="J153" s="13"/>
      <c r="K153" s="13"/>
      <c r="L153" s="71" t="str">
        <f t="shared" si="37"/>
        <v/>
      </c>
      <c r="M153" s="11"/>
      <c r="N153" s="14"/>
    </row>
    <row r="154" spans="1:14" ht="15" customHeight="1">
      <c r="A154" s="58">
        <v>46179</v>
      </c>
      <c r="B154" s="9">
        <f t="shared" si="38"/>
        <v>0.99999999999999956</v>
      </c>
      <c r="C154" s="10" t="s">
        <v>37</v>
      </c>
      <c r="D154" s="10" t="s">
        <v>30</v>
      </c>
      <c r="E154" s="11">
        <v>36</v>
      </c>
      <c r="F154" s="12">
        <f t="shared" si="36"/>
        <v>180</v>
      </c>
      <c r="G154" s="10"/>
      <c r="H154" s="10"/>
      <c r="I154" s="10"/>
      <c r="J154" s="13"/>
      <c r="K154" s="13"/>
      <c r="L154" s="70" t="str">
        <f t="shared" si="37"/>
        <v/>
      </c>
      <c r="M154" s="11"/>
      <c r="N154" s="14"/>
    </row>
    <row r="155" spans="1:14" ht="15" customHeight="1">
      <c r="A155" s="59">
        <v>46179</v>
      </c>
      <c r="B155" s="15">
        <f t="shared" si="38"/>
        <v>1.0416666666666663</v>
      </c>
      <c r="C155" s="10" t="s">
        <v>37</v>
      </c>
      <c r="D155" s="10" t="s">
        <v>30</v>
      </c>
      <c r="E155" s="11">
        <v>0</v>
      </c>
      <c r="F155" s="17">
        <f t="shared" si="36"/>
        <v>0</v>
      </c>
      <c r="G155" s="16"/>
      <c r="H155" s="16"/>
      <c r="I155" s="16"/>
      <c r="J155" s="13"/>
      <c r="K155" s="13"/>
      <c r="L155" s="71" t="str">
        <f t="shared" si="37"/>
        <v/>
      </c>
      <c r="M155" s="11"/>
      <c r="N155" s="14"/>
    </row>
    <row r="156" spans="1:14" ht="15" customHeight="1">
      <c r="A156" s="58">
        <v>46179</v>
      </c>
      <c r="B156" s="9">
        <f t="shared" si="38"/>
        <v>1.083333333333333</v>
      </c>
      <c r="C156" s="10" t="s">
        <v>37</v>
      </c>
      <c r="D156" s="10" t="s">
        <v>30</v>
      </c>
      <c r="E156" s="11">
        <v>12</v>
      </c>
      <c r="F156" s="12">
        <f t="shared" si="36"/>
        <v>60</v>
      </c>
      <c r="G156" s="10"/>
      <c r="H156" s="10"/>
      <c r="I156" s="10"/>
      <c r="J156" s="13"/>
      <c r="K156" s="13"/>
      <c r="L156" s="70" t="str">
        <f t="shared" si="37"/>
        <v/>
      </c>
      <c r="M156" s="11"/>
      <c r="N156" s="14"/>
    </row>
    <row r="157" spans="1:14" ht="15" customHeight="1">
      <c r="A157" s="59">
        <v>46179</v>
      </c>
      <c r="B157" s="15">
        <f t="shared" si="38"/>
        <v>1.1249999999999998</v>
      </c>
      <c r="C157" s="10" t="s">
        <v>37</v>
      </c>
      <c r="D157" s="10" t="s">
        <v>30</v>
      </c>
      <c r="E157" s="11">
        <v>10</v>
      </c>
      <c r="F157" s="17">
        <f t="shared" si="36"/>
        <v>50</v>
      </c>
      <c r="G157" s="16"/>
      <c r="H157" s="16"/>
      <c r="I157" s="16"/>
      <c r="J157" s="13"/>
      <c r="K157" s="13"/>
      <c r="L157" s="71" t="str">
        <f t="shared" si="37"/>
        <v/>
      </c>
      <c r="M157" s="11"/>
      <c r="N157" s="14"/>
    </row>
    <row r="158" spans="1:14" ht="15" customHeight="1">
      <c r="A158" s="58">
        <v>46179</v>
      </c>
      <c r="B158" s="9">
        <f t="shared" si="38"/>
        <v>1.1666666666666665</v>
      </c>
      <c r="C158" s="10" t="s">
        <v>37</v>
      </c>
      <c r="D158" s="10" t="s">
        <v>30</v>
      </c>
      <c r="E158" s="11">
        <v>5</v>
      </c>
      <c r="F158" s="12">
        <f t="shared" si="36"/>
        <v>25</v>
      </c>
      <c r="G158" s="10"/>
      <c r="H158" s="10"/>
      <c r="I158" s="10"/>
      <c r="J158" s="13"/>
      <c r="K158" s="13"/>
      <c r="L158" s="70" t="str">
        <f t="shared" si="37"/>
        <v/>
      </c>
      <c r="M158" s="11"/>
      <c r="N158" s="14"/>
    </row>
    <row r="159" spans="1:14" ht="15" customHeight="1">
      <c r="A159" s="59">
        <v>46179</v>
      </c>
      <c r="B159" s="15">
        <f t="shared" si="38"/>
        <v>1.2083333333333333</v>
      </c>
      <c r="C159" s="10" t="s">
        <v>37</v>
      </c>
      <c r="D159" s="10" t="s">
        <v>30</v>
      </c>
      <c r="E159" s="11">
        <v>25</v>
      </c>
      <c r="F159" s="17">
        <f t="shared" si="36"/>
        <v>125</v>
      </c>
      <c r="G159" s="16"/>
      <c r="H159" s="16"/>
      <c r="I159" s="16"/>
      <c r="J159" s="13"/>
      <c r="K159" s="13"/>
      <c r="L159" s="71" t="str">
        <f t="shared" si="37"/>
        <v/>
      </c>
      <c r="M159" s="11"/>
      <c r="N159" s="14"/>
    </row>
    <row r="160" spans="1:14" ht="15" customHeight="1">
      <c r="A160" s="58">
        <v>46179</v>
      </c>
      <c r="B160" s="9">
        <f t="shared" si="38"/>
        <v>1.25</v>
      </c>
      <c r="C160" s="10" t="s">
        <v>37</v>
      </c>
      <c r="D160" s="10" t="s">
        <v>30</v>
      </c>
      <c r="E160" s="11">
        <v>30</v>
      </c>
      <c r="F160" s="12">
        <f t="shared" si="36"/>
        <v>150</v>
      </c>
      <c r="G160" s="10"/>
      <c r="H160" s="10"/>
      <c r="I160" s="10"/>
      <c r="J160" s="13"/>
      <c r="K160" s="13"/>
      <c r="L160" s="70" t="str">
        <f t="shared" si="37"/>
        <v/>
      </c>
      <c r="M160" s="11"/>
      <c r="N160" s="14"/>
    </row>
    <row r="161" spans="1:14" ht="15" customHeight="1">
      <c r="A161" s="59">
        <v>46179</v>
      </c>
      <c r="B161" s="15">
        <f t="shared" si="38"/>
        <v>1.2916666666666667</v>
      </c>
      <c r="C161" s="10" t="s">
        <v>37</v>
      </c>
      <c r="D161" s="10" t="s">
        <v>30</v>
      </c>
      <c r="E161" s="11">
        <v>15</v>
      </c>
      <c r="F161" s="17">
        <f t="shared" si="36"/>
        <v>75</v>
      </c>
      <c r="G161" s="16"/>
      <c r="H161" s="16"/>
      <c r="I161" s="16"/>
      <c r="J161" s="13"/>
      <c r="K161" s="13"/>
      <c r="L161" s="71" t="str">
        <f t="shared" si="37"/>
        <v/>
      </c>
      <c r="M161" s="11"/>
      <c r="N161" s="14"/>
    </row>
    <row r="162" spans="1:14" ht="15.75" customHeight="1">
      <c r="A162" s="97" t="s">
        <v>193</v>
      </c>
      <c r="B162" s="97"/>
      <c r="C162" s="97"/>
      <c r="D162" s="97"/>
      <c r="E162" s="19">
        <f>SUM(E150:E161)</f>
        <v>206</v>
      </c>
      <c r="F162" s="19">
        <f>SUM(F150:F161)</f>
        <v>1030</v>
      </c>
      <c r="G162" s="18"/>
      <c r="H162" s="18"/>
      <c r="I162" s="18"/>
      <c r="J162" s="18"/>
      <c r="K162" s="18"/>
      <c r="L162" s="72">
        <f>IFERROR(SUM(L150:L161),"")</f>
        <v>1.38888888888889E-2</v>
      </c>
      <c r="M162" s="19" t="s">
        <v>192</v>
      </c>
      <c r="N162" s="27">
        <v>1048880</v>
      </c>
    </row>
    <row r="163" spans="1:14" ht="18" customHeight="1">
      <c r="A163" s="98" t="s">
        <v>194</v>
      </c>
      <c r="B163" s="98"/>
      <c r="C163" s="98"/>
      <c r="D163" s="98"/>
      <c r="E163" s="22">
        <f>E149+E162</f>
        <v>505</v>
      </c>
      <c r="F163" s="22">
        <f>F149+F162</f>
        <v>2525</v>
      </c>
      <c r="G163" s="21"/>
      <c r="H163" s="21"/>
      <c r="I163" s="21"/>
      <c r="J163" s="21"/>
      <c r="K163" s="21"/>
      <c r="L163" s="73">
        <f>IFERROR(L149+L162,"")</f>
        <v>0.11458333333333287</v>
      </c>
      <c r="M163" s="22" t="s">
        <v>195</v>
      </c>
      <c r="N163" s="23">
        <f>IFERROR(N149+N162,"")</f>
        <v>2359570</v>
      </c>
    </row>
    <row r="164" spans="1:14" ht="15" customHeight="1">
      <c r="A164" s="58">
        <v>46180</v>
      </c>
      <c r="B164" s="9">
        <v>0.29166666666666702</v>
      </c>
      <c r="C164" s="10" t="s">
        <v>21</v>
      </c>
      <c r="D164" s="10" t="s">
        <v>22</v>
      </c>
      <c r="E164" s="24">
        <v>0</v>
      </c>
      <c r="F164" s="12">
        <f t="shared" ref="F164:F175" si="39">IF(E164="","",E164*5)</f>
        <v>0</v>
      </c>
      <c r="G164" s="10" t="s">
        <v>16</v>
      </c>
      <c r="H164" s="10" t="s">
        <v>23</v>
      </c>
      <c r="I164" s="10" t="s">
        <v>198</v>
      </c>
      <c r="J164" s="13">
        <v>0.29166666666666702</v>
      </c>
      <c r="K164" s="13">
        <v>0.34722222222222199</v>
      </c>
      <c r="L164" s="70">
        <f t="shared" ref="L164:L175" si="40">IFERROR(IF(K164="","",IF(K164&gt;=J164,K164-J164,K164+1-J164)),"")</f>
        <v>5.555555555555497E-2</v>
      </c>
      <c r="M164" s="11"/>
      <c r="N164" s="14"/>
    </row>
    <row r="165" spans="1:14" ht="15" customHeight="1">
      <c r="A165" s="59">
        <v>46180</v>
      </c>
      <c r="B165" s="15">
        <f t="shared" ref="B165:B175" si="41">B164+TIME(0,60,0)</f>
        <v>0.3333333333333337</v>
      </c>
      <c r="C165" s="10" t="s">
        <v>21</v>
      </c>
      <c r="D165" s="10" t="s">
        <v>22</v>
      </c>
      <c r="E165" s="24">
        <v>30</v>
      </c>
      <c r="F165" s="17">
        <f t="shared" si="39"/>
        <v>150</v>
      </c>
      <c r="G165" s="16" t="s">
        <v>20</v>
      </c>
      <c r="H165" s="16" t="s">
        <v>138</v>
      </c>
      <c r="I165" s="16" t="s">
        <v>126</v>
      </c>
      <c r="J165" s="13">
        <v>0.45833333333333298</v>
      </c>
      <c r="K165" s="13">
        <v>0.5</v>
      </c>
      <c r="L165" s="71">
        <f t="shared" si="40"/>
        <v>4.1666666666667018E-2</v>
      </c>
      <c r="M165" s="11"/>
      <c r="N165" s="14"/>
    </row>
    <row r="166" spans="1:14" ht="15" customHeight="1">
      <c r="A166" s="58">
        <v>46180</v>
      </c>
      <c r="B166" s="9">
        <f t="shared" si="41"/>
        <v>0.37500000000000039</v>
      </c>
      <c r="C166" s="10" t="s">
        <v>21</v>
      </c>
      <c r="D166" s="10" t="s">
        <v>22</v>
      </c>
      <c r="E166" s="24">
        <v>35</v>
      </c>
      <c r="F166" s="12">
        <f t="shared" si="39"/>
        <v>175</v>
      </c>
      <c r="G166" s="10" t="s">
        <v>16</v>
      </c>
      <c r="H166" s="10" t="s">
        <v>23</v>
      </c>
      <c r="I166" s="10" t="s">
        <v>199</v>
      </c>
      <c r="J166" s="13">
        <v>0.66666666666666696</v>
      </c>
      <c r="K166" s="13">
        <v>0.68541666666666701</v>
      </c>
      <c r="L166" s="70">
        <f t="shared" si="40"/>
        <v>1.8750000000000044E-2</v>
      </c>
      <c r="M166" s="11"/>
      <c r="N166" s="14"/>
    </row>
    <row r="167" spans="1:14" ht="15" customHeight="1">
      <c r="A167" s="59">
        <v>46180</v>
      </c>
      <c r="B167" s="15">
        <f t="shared" si="41"/>
        <v>0.41666666666666707</v>
      </c>
      <c r="C167" s="10" t="s">
        <v>21</v>
      </c>
      <c r="D167" s="10" t="s">
        <v>22</v>
      </c>
      <c r="E167" s="24">
        <v>25</v>
      </c>
      <c r="F167" s="17">
        <f t="shared" si="39"/>
        <v>125</v>
      </c>
      <c r="G167" s="16"/>
      <c r="H167" s="16"/>
      <c r="I167" s="16"/>
      <c r="J167" s="13"/>
      <c r="K167" s="13"/>
      <c r="L167" s="71" t="str">
        <f t="shared" si="40"/>
        <v/>
      </c>
      <c r="M167" s="11"/>
      <c r="N167" s="14"/>
    </row>
    <row r="168" spans="1:14" ht="15" customHeight="1">
      <c r="A168" s="58">
        <v>46180</v>
      </c>
      <c r="B168" s="9">
        <f t="shared" si="41"/>
        <v>0.45833333333333376</v>
      </c>
      <c r="C168" s="10" t="s">
        <v>21</v>
      </c>
      <c r="D168" s="10" t="s">
        <v>22</v>
      </c>
      <c r="E168" s="24">
        <v>40</v>
      </c>
      <c r="F168" s="12">
        <f t="shared" si="39"/>
        <v>200</v>
      </c>
      <c r="G168" s="10"/>
      <c r="H168" s="10"/>
      <c r="I168" s="10"/>
      <c r="J168" s="13"/>
      <c r="K168" s="13"/>
      <c r="L168" s="70" t="str">
        <f t="shared" si="40"/>
        <v/>
      </c>
      <c r="M168" s="11"/>
      <c r="N168" s="14"/>
    </row>
    <row r="169" spans="1:14" ht="15" customHeight="1">
      <c r="A169" s="59">
        <v>46180</v>
      </c>
      <c r="B169" s="15">
        <f t="shared" si="41"/>
        <v>0.50000000000000044</v>
      </c>
      <c r="C169" s="10" t="s">
        <v>21</v>
      </c>
      <c r="D169" s="10" t="s">
        <v>22</v>
      </c>
      <c r="E169" s="24">
        <v>40</v>
      </c>
      <c r="F169" s="17">
        <f t="shared" si="39"/>
        <v>200</v>
      </c>
      <c r="G169" s="16"/>
      <c r="H169" s="16"/>
      <c r="I169" s="16"/>
      <c r="J169" s="13"/>
      <c r="K169" s="13"/>
      <c r="L169" s="71" t="str">
        <f t="shared" si="40"/>
        <v/>
      </c>
      <c r="M169" s="11"/>
      <c r="N169" s="14"/>
    </row>
    <row r="170" spans="1:14" ht="15" customHeight="1">
      <c r="A170" s="58">
        <v>46180</v>
      </c>
      <c r="B170" s="9">
        <f t="shared" si="41"/>
        <v>0.54166666666666707</v>
      </c>
      <c r="C170" s="10" t="s">
        <v>21</v>
      </c>
      <c r="D170" s="10" t="s">
        <v>22</v>
      </c>
      <c r="E170" s="24">
        <v>40</v>
      </c>
      <c r="F170" s="12">
        <f t="shared" si="39"/>
        <v>200</v>
      </c>
      <c r="G170" s="10"/>
      <c r="H170" s="10"/>
      <c r="I170" s="10"/>
      <c r="J170" s="13"/>
      <c r="K170" s="13"/>
      <c r="L170" s="70" t="str">
        <f t="shared" si="40"/>
        <v/>
      </c>
      <c r="M170" s="11"/>
      <c r="N170" s="14"/>
    </row>
    <row r="171" spans="1:14" ht="15" customHeight="1">
      <c r="A171" s="59">
        <v>46180</v>
      </c>
      <c r="B171" s="15">
        <f t="shared" si="41"/>
        <v>0.5833333333333337</v>
      </c>
      <c r="C171" s="10" t="s">
        <v>21</v>
      </c>
      <c r="D171" s="10" t="s">
        <v>22</v>
      </c>
      <c r="E171" s="24">
        <v>30</v>
      </c>
      <c r="F171" s="17">
        <f t="shared" si="39"/>
        <v>150</v>
      </c>
      <c r="G171" s="16"/>
      <c r="H171" s="16"/>
      <c r="I171" s="16"/>
      <c r="J171" s="13"/>
      <c r="K171" s="13"/>
      <c r="L171" s="71" t="str">
        <f t="shared" si="40"/>
        <v/>
      </c>
      <c r="M171" s="11"/>
      <c r="N171" s="14"/>
    </row>
    <row r="172" spans="1:14" ht="15" customHeight="1">
      <c r="A172" s="58">
        <v>46180</v>
      </c>
      <c r="B172" s="9">
        <f t="shared" si="41"/>
        <v>0.62500000000000033</v>
      </c>
      <c r="C172" s="10" t="s">
        <v>21</v>
      </c>
      <c r="D172" s="10" t="s">
        <v>30</v>
      </c>
      <c r="E172" s="24">
        <v>15</v>
      </c>
      <c r="F172" s="12">
        <f t="shared" si="39"/>
        <v>75</v>
      </c>
      <c r="G172" s="10"/>
      <c r="H172" s="10"/>
      <c r="I172" s="10"/>
      <c r="J172" s="13"/>
      <c r="K172" s="13"/>
      <c r="L172" s="70" t="str">
        <f t="shared" si="40"/>
        <v/>
      </c>
      <c r="M172" s="11"/>
      <c r="N172" s="14"/>
    </row>
    <row r="173" spans="1:14" ht="15" customHeight="1">
      <c r="A173" s="59">
        <v>46180</v>
      </c>
      <c r="B173" s="15">
        <f t="shared" si="41"/>
        <v>0.66666666666666696</v>
      </c>
      <c r="C173" s="10" t="s">
        <v>21</v>
      </c>
      <c r="D173" s="10" t="s">
        <v>30</v>
      </c>
      <c r="E173" s="24">
        <v>35</v>
      </c>
      <c r="F173" s="17">
        <f t="shared" si="39"/>
        <v>175</v>
      </c>
      <c r="G173" s="16"/>
      <c r="H173" s="16"/>
      <c r="I173" s="16"/>
      <c r="J173" s="13"/>
      <c r="K173" s="13"/>
      <c r="L173" s="71" t="str">
        <f t="shared" si="40"/>
        <v/>
      </c>
      <c r="M173" s="11"/>
      <c r="N173" s="14"/>
    </row>
    <row r="174" spans="1:14" ht="15" customHeight="1">
      <c r="A174" s="58">
        <v>46180</v>
      </c>
      <c r="B174" s="9">
        <f t="shared" si="41"/>
        <v>0.70833333333333359</v>
      </c>
      <c r="C174" s="10" t="s">
        <v>21</v>
      </c>
      <c r="D174" s="10" t="s">
        <v>30</v>
      </c>
      <c r="E174" s="24">
        <v>25</v>
      </c>
      <c r="F174" s="12">
        <f t="shared" si="39"/>
        <v>125</v>
      </c>
      <c r="G174" s="10"/>
      <c r="H174" s="10"/>
      <c r="I174" s="10"/>
      <c r="J174" s="13"/>
      <c r="K174" s="13"/>
      <c r="L174" s="70" t="str">
        <f t="shared" si="40"/>
        <v/>
      </c>
      <c r="M174" s="11"/>
      <c r="N174" s="14"/>
    </row>
    <row r="175" spans="1:14" ht="15" customHeight="1">
      <c r="A175" s="59">
        <v>46180</v>
      </c>
      <c r="B175" s="15">
        <f t="shared" si="41"/>
        <v>0.75000000000000022</v>
      </c>
      <c r="C175" s="10" t="s">
        <v>21</v>
      </c>
      <c r="D175" s="10" t="s">
        <v>30</v>
      </c>
      <c r="E175" s="24">
        <v>15</v>
      </c>
      <c r="F175" s="17">
        <f t="shared" si="39"/>
        <v>75</v>
      </c>
      <c r="G175" s="16"/>
      <c r="H175" s="16"/>
      <c r="I175" s="16"/>
      <c r="J175" s="13"/>
      <c r="K175" s="13"/>
      <c r="L175" s="71" t="str">
        <f t="shared" si="40"/>
        <v/>
      </c>
      <c r="M175" s="11"/>
      <c r="N175" s="14"/>
    </row>
    <row r="176" spans="1:14" ht="15.75" customHeight="1">
      <c r="A176" s="97" t="s">
        <v>191</v>
      </c>
      <c r="B176" s="97"/>
      <c r="C176" s="97"/>
      <c r="D176" s="97"/>
      <c r="E176" s="19">
        <f>SUM(E164:E175)</f>
        <v>330</v>
      </c>
      <c r="F176" s="19">
        <f>SUM(F164:F175)</f>
        <v>1650</v>
      </c>
      <c r="G176" s="18"/>
      <c r="H176" s="18"/>
      <c r="I176" s="18"/>
      <c r="J176" s="18"/>
      <c r="K176" s="18"/>
      <c r="L176" s="72">
        <f>IFERROR(SUM(L164:L175),"")</f>
        <v>0.11597222222222203</v>
      </c>
      <c r="M176" s="19" t="s">
        <v>192</v>
      </c>
      <c r="N176" s="20">
        <v>1807860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 t="s">
        <v>30</v>
      </c>
      <c r="E177" s="24">
        <v>16</v>
      </c>
      <c r="F177" s="17">
        <f t="shared" ref="F177:F188" si="42">IF(E177="","",E177*5)</f>
        <v>80</v>
      </c>
      <c r="G177" s="16" t="s">
        <v>18</v>
      </c>
      <c r="H177" s="16" t="s">
        <v>23</v>
      </c>
      <c r="I177" s="16" t="s">
        <v>48</v>
      </c>
      <c r="J177" s="13">
        <v>0.79166666666666696</v>
      </c>
      <c r="K177" s="13">
        <v>0.9375</v>
      </c>
      <c r="L177" s="71">
        <f t="shared" ref="L177:L188" si="43">IFERROR(IF(K177="","",IF(K177&gt;=J177,K177-J177,K177+1-J177)),"")</f>
        <v>0.14583333333333304</v>
      </c>
      <c r="M177" s="11"/>
      <c r="N177" s="14"/>
    </row>
    <row r="178" spans="1:14" ht="15" customHeight="1">
      <c r="A178" s="58">
        <v>46180</v>
      </c>
      <c r="B178" s="9">
        <f t="shared" ref="B178:B188" si="44">B177+TIME(0,60,0)</f>
        <v>0.87499999999999967</v>
      </c>
      <c r="C178" s="16" t="s">
        <v>45</v>
      </c>
      <c r="D178" s="16" t="s">
        <v>30</v>
      </c>
      <c r="E178" s="24">
        <v>16</v>
      </c>
      <c r="F178" s="12">
        <f t="shared" si="42"/>
        <v>80</v>
      </c>
      <c r="G178" s="10"/>
      <c r="H178" s="10"/>
      <c r="I178" s="10"/>
      <c r="J178" s="13"/>
      <c r="K178" s="13"/>
      <c r="L178" s="70" t="str">
        <f t="shared" si="43"/>
        <v/>
      </c>
      <c r="M178" s="11"/>
      <c r="N178" s="14"/>
    </row>
    <row r="179" spans="1:14" ht="15" customHeight="1">
      <c r="A179" s="59">
        <v>46180</v>
      </c>
      <c r="B179" s="15">
        <f t="shared" si="44"/>
        <v>0.9166666666666663</v>
      </c>
      <c r="C179" s="16" t="s">
        <v>45</v>
      </c>
      <c r="D179" s="16" t="s">
        <v>30</v>
      </c>
      <c r="E179" s="24">
        <v>0</v>
      </c>
      <c r="F179" s="17">
        <f t="shared" si="42"/>
        <v>0</v>
      </c>
      <c r="G179" s="16"/>
      <c r="H179" s="16"/>
      <c r="I179" s="16"/>
      <c r="J179" s="13"/>
      <c r="K179" s="13"/>
      <c r="L179" s="71" t="str">
        <f t="shared" si="43"/>
        <v/>
      </c>
      <c r="M179" s="11"/>
      <c r="N179" s="14"/>
    </row>
    <row r="180" spans="1:14" ht="15" customHeight="1">
      <c r="A180" s="58">
        <v>46180</v>
      </c>
      <c r="B180" s="9">
        <f t="shared" si="44"/>
        <v>0.95833333333333293</v>
      </c>
      <c r="C180" s="16" t="s">
        <v>45</v>
      </c>
      <c r="D180" s="16" t="s">
        <v>30</v>
      </c>
      <c r="E180" s="24">
        <v>0</v>
      </c>
      <c r="F180" s="12">
        <f t="shared" si="42"/>
        <v>0</v>
      </c>
      <c r="G180" s="10"/>
      <c r="H180" s="10"/>
      <c r="I180" s="10"/>
      <c r="J180" s="13"/>
      <c r="K180" s="13"/>
      <c r="L180" s="70" t="str">
        <f t="shared" si="43"/>
        <v/>
      </c>
      <c r="M180" s="11"/>
      <c r="N180" s="14"/>
    </row>
    <row r="181" spans="1:14" ht="15" customHeight="1">
      <c r="A181" s="59">
        <v>46180</v>
      </c>
      <c r="B181" s="15">
        <f t="shared" si="44"/>
        <v>0.99999999999999956</v>
      </c>
      <c r="C181" s="16" t="s">
        <v>45</v>
      </c>
      <c r="D181" s="16" t="s">
        <v>30</v>
      </c>
      <c r="E181" s="24">
        <v>23</v>
      </c>
      <c r="F181" s="17">
        <f t="shared" si="42"/>
        <v>115</v>
      </c>
      <c r="G181" s="16"/>
      <c r="H181" s="16"/>
      <c r="I181" s="16"/>
      <c r="J181" s="13"/>
      <c r="K181" s="13"/>
      <c r="L181" s="71" t="str">
        <f t="shared" si="43"/>
        <v/>
      </c>
      <c r="M181" s="11"/>
      <c r="N181" s="14"/>
    </row>
    <row r="182" spans="1:14" ht="15" customHeight="1">
      <c r="A182" s="58">
        <v>46180</v>
      </c>
      <c r="B182" s="9">
        <f t="shared" si="44"/>
        <v>1.0416666666666663</v>
      </c>
      <c r="C182" s="16" t="s">
        <v>45</v>
      </c>
      <c r="D182" s="16" t="s">
        <v>30</v>
      </c>
      <c r="E182" s="24">
        <v>37</v>
      </c>
      <c r="F182" s="12">
        <f t="shared" si="42"/>
        <v>185</v>
      </c>
      <c r="G182" s="10"/>
      <c r="H182" s="10"/>
      <c r="I182" s="10"/>
      <c r="J182" s="13"/>
      <c r="K182" s="13"/>
      <c r="L182" s="70" t="str">
        <f t="shared" si="43"/>
        <v/>
      </c>
      <c r="M182" s="11"/>
      <c r="N182" s="14"/>
    </row>
    <row r="183" spans="1:14" ht="15" customHeight="1">
      <c r="A183" s="59">
        <v>46180</v>
      </c>
      <c r="B183" s="15">
        <f t="shared" si="44"/>
        <v>1.083333333333333</v>
      </c>
      <c r="C183" s="16" t="s">
        <v>45</v>
      </c>
      <c r="D183" s="16" t="s">
        <v>30</v>
      </c>
      <c r="E183" s="24">
        <v>28</v>
      </c>
      <c r="F183" s="17">
        <f t="shared" si="42"/>
        <v>140</v>
      </c>
      <c r="G183" s="16"/>
      <c r="H183" s="16"/>
      <c r="I183" s="16"/>
      <c r="J183" s="13"/>
      <c r="K183" s="13"/>
      <c r="L183" s="71" t="str">
        <f t="shared" si="43"/>
        <v/>
      </c>
      <c r="M183" s="11"/>
      <c r="N183" s="14"/>
    </row>
    <row r="184" spans="1:14" ht="15" customHeight="1">
      <c r="A184" s="58">
        <v>46180</v>
      </c>
      <c r="B184" s="9">
        <f t="shared" si="44"/>
        <v>1.1249999999999998</v>
      </c>
      <c r="C184" s="16" t="s">
        <v>45</v>
      </c>
      <c r="D184" s="16" t="s">
        <v>30</v>
      </c>
      <c r="E184" s="24">
        <v>15</v>
      </c>
      <c r="F184" s="12">
        <f t="shared" si="42"/>
        <v>75</v>
      </c>
      <c r="G184" s="10"/>
      <c r="H184" s="10"/>
      <c r="I184" s="10"/>
      <c r="J184" s="13"/>
      <c r="K184" s="13"/>
      <c r="L184" s="70" t="str">
        <f t="shared" si="43"/>
        <v/>
      </c>
      <c r="M184" s="11"/>
      <c r="N184" s="14"/>
    </row>
    <row r="185" spans="1:14" ht="15" customHeight="1">
      <c r="A185" s="59">
        <v>46180</v>
      </c>
      <c r="B185" s="15">
        <f t="shared" si="44"/>
        <v>1.1666666666666665</v>
      </c>
      <c r="C185" s="16" t="s">
        <v>45</v>
      </c>
      <c r="D185" s="16" t="s">
        <v>30</v>
      </c>
      <c r="E185" s="24">
        <v>10</v>
      </c>
      <c r="F185" s="17">
        <f t="shared" si="42"/>
        <v>50</v>
      </c>
      <c r="G185" s="16"/>
      <c r="H185" s="16"/>
      <c r="I185" s="16"/>
      <c r="J185" s="13"/>
      <c r="K185" s="13"/>
      <c r="L185" s="71" t="str">
        <f t="shared" si="43"/>
        <v/>
      </c>
      <c r="M185" s="11"/>
      <c r="N185" s="14"/>
    </row>
    <row r="186" spans="1:14" ht="15" customHeight="1">
      <c r="A186" s="58">
        <v>46180</v>
      </c>
      <c r="B186" s="9">
        <f t="shared" si="44"/>
        <v>1.2083333333333333</v>
      </c>
      <c r="C186" s="16" t="s">
        <v>45</v>
      </c>
      <c r="D186" s="16" t="s">
        <v>30</v>
      </c>
      <c r="E186" s="24">
        <v>31</v>
      </c>
      <c r="F186" s="12">
        <f t="shared" si="42"/>
        <v>155</v>
      </c>
      <c r="G186" s="10"/>
      <c r="H186" s="10"/>
      <c r="I186" s="10"/>
      <c r="J186" s="13"/>
      <c r="K186" s="13"/>
      <c r="L186" s="70" t="str">
        <f t="shared" si="43"/>
        <v/>
      </c>
      <c r="M186" s="11"/>
      <c r="N186" s="14"/>
    </row>
    <row r="187" spans="1:14" ht="15" customHeight="1">
      <c r="A187" s="59">
        <v>46180</v>
      </c>
      <c r="B187" s="15">
        <f t="shared" si="44"/>
        <v>1.25</v>
      </c>
      <c r="C187" s="16" t="s">
        <v>45</v>
      </c>
      <c r="D187" s="16" t="s">
        <v>30</v>
      </c>
      <c r="E187" s="24">
        <v>20</v>
      </c>
      <c r="F187" s="17">
        <f t="shared" si="42"/>
        <v>100</v>
      </c>
      <c r="G187" s="16"/>
      <c r="H187" s="16"/>
      <c r="I187" s="16"/>
      <c r="J187" s="13"/>
      <c r="K187" s="13"/>
      <c r="L187" s="71" t="str">
        <f t="shared" si="43"/>
        <v/>
      </c>
      <c r="M187" s="11"/>
      <c r="N187" s="14"/>
    </row>
    <row r="188" spans="1:14" ht="15" customHeight="1">
      <c r="A188" s="58">
        <v>46180</v>
      </c>
      <c r="B188" s="9">
        <f t="shared" si="44"/>
        <v>1.2916666666666667</v>
      </c>
      <c r="C188" s="16" t="s">
        <v>45</v>
      </c>
      <c r="D188" s="16" t="s">
        <v>30</v>
      </c>
      <c r="E188" s="24">
        <v>14</v>
      </c>
      <c r="F188" s="12">
        <f t="shared" si="42"/>
        <v>70</v>
      </c>
      <c r="G188" s="10"/>
      <c r="H188" s="10"/>
      <c r="I188" s="10"/>
      <c r="J188" s="13"/>
      <c r="K188" s="13"/>
      <c r="L188" s="70" t="str">
        <f t="shared" si="43"/>
        <v/>
      </c>
      <c r="M188" s="11"/>
      <c r="N188" s="14"/>
    </row>
    <row r="189" spans="1:14" ht="15.75" customHeight="1">
      <c r="A189" s="97" t="s">
        <v>193</v>
      </c>
      <c r="B189" s="97"/>
      <c r="C189" s="97"/>
      <c r="D189" s="97"/>
      <c r="E189" s="19">
        <f>SUM(E177:E188)</f>
        <v>210</v>
      </c>
      <c r="F189" s="19">
        <f>SUM(F177:F188)</f>
        <v>1050</v>
      </c>
      <c r="G189" s="18"/>
      <c r="H189" s="18"/>
      <c r="I189" s="18"/>
      <c r="J189" s="18"/>
      <c r="K189" s="18"/>
      <c r="L189" s="72">
        <f>IFERROR(SUM(L177:L188),"")</f>
        <v>0.14583333333333304</v>
      </c>
      <c r="M189" s="19" t="s">
        <v>192</v>
      </c>
      <c r="N189" s="20">
        <v>797540</v>
      </c>
    </row>
    <row r="190" spans="1:14" ht="18" customHeight="1">
      <c r="A190" s="98" t="s">
        <v>194</v>
      </c>
      <c r="B190" s="98"/>
      <c r="C190" s="98"/>
      <c r="D190" s="98"/>
      <c r="E190" s="22">
        <f>E176+E189</f>
        <v>540</v>
      </c>
      <c r="F190" s="22">
        <f>F176+F189</f>
        <v>2700</v>
      </c>
      <c r="G190" s="21"/>
      <c r="H190" s="21"/>
      <c r="I190" s="21"/>
      <c r="J190" s="21"/>
      <c r="K190" s="21"/>
      <c r="L190" s="73">
        <f>IFERROR(L176+L189,"")</f>
        <v>0.26180555555555507</v>
      </c>
      <c r="M190" s="22" t="s">
        <v>195</v>
      </c>
      <c r="N190" s="23">
        <f>IFERROR(N176+N189,"")</f>
        <v>2605400</v>
      </c>
    </row>
    <row r="191" spans="1:14" ht="15" customHeight="1">
      <c r="A191" s="59">
        <v>46181</v>
      </c>
      <c r="B191" s="15">
        <v>0.33333333333333331</v>
      </c>
      <c r="C191" s="16" t="s">
        <v>29</v>
      </c>
      <c r="D191" s="16" t="s">
        <v>22</v>
      </c>
      <c r="E191" s="11">
        <v>0</v>
      </c>
      <c r="F191" s="17">
        <f t="shared" ref="F191:F202" si="45">IF(E191="","",E191*5)</f>
        <v>0</v>
      </c>
      <c r="G191" s="16" t="s">
        <v>16</v>
      </c>
      <c r="H191" s="16" t="s">
        <v>23</v>
      </c>
      <c r="I191" s="16" t="s">
        <v>198</v>
      </c>
      <c r="J191" s="13">
        <v>0.29166666666666702</v>
      </c>
      <c r="K191" s="13">
        <v>0.45833333333333298</v>
      </c>
      <c r="L191" s="71">
        <f t="shared" ref="L191:L202" si="46">IFERROR(IF(K191="","",IF(K191&gt;=J191,K191-J191,K191+1-J191)),"")</f>
        <v>0.16666666666666596</v>
      </c>
      <c r="M191" s="11" t="s">
        <v>200</v>
      </c>
      <c r="N191" s="14"/>
    </row>
    <row r="192" spans="1:14" ht="15" customHeight="1">
      <c r="A192" s="58">
        <v>46181</v>
      </c>
      <c r="B192" s="9">
        <f t="shared" ref="B192:B202" si="47">B191+TIME(0,60,0)</f>
        <v>0.375</v>
      </c>
      <c r="C192" s="16" t="s">
        <v>29</v>
      </c>
      <c r="D192" s="16" t="s">
        <v>22</v>
      </c>
      <c r="E192" s="11">
        <v>0</v>
      </c>
      <c r="F192" s="12">
        <f t="shared" si="45"/>
        <v>0</v>
      </c>
      <c r="G192" s="10" t="s">
        <v>18</v>
      </c>
      <c r="H192" s="10" t="s">
        <v>138</v>
      </c>
      <c r="I192" s="10" t="s">
        <v>126</v>
      </c>
      <c r="J192" s="13">
        <v>0.75</v>
      </c>
      <c r="K192" s="13">
        <v>0.79166666666666696</v>
      </c>
      <c r="L192" s="70">
        <f t="shared" si="46"/>
        <v>4.1666666666666963E-2</v>
      </c>
      <c r="M192" s="11"/>
      <c r="N192" s="14"/>
    </row>
    <row r="193" spans="1:14" ht="15" customHeight="1">
      <c r="A193" s="59">
        <v>46181</v>
      </c>
      <c r="B193" s="15">
        <f t="shared" si="47"/>
        <v>0.41666666666666669</v>
      </c>
      <c r="C193" s="16" t="s">
        <v>29</v>
      </c>
      <c r="D193" s="16" t="s">
        <v>22</v>
      </c>
      <c r="E193" s="11">
        <v>0</v>
      </c>
      <c r="F193" s="17">
        <f t="shared" si="45"/>
        <v>0</v>
      </c>
      <c r="G193" s="16"/>
      <c r="H193" s="16"/>
      <c r="I193" s="16"/>
      <c r="J193" s="13"/>
      <c r="K193" s="13"/>
      <c r="L193" s="71" t="str">
        <f t="shared" si="46"/>
        <v/>
      </c>
      <c r="M193" s="11"/>
      <c r="N193" s="14"/>
    </row>
    <row r="194" spans="1:14" ht="15" customHeight="1">
      <c r="A194" s="58">
        <v>46181</v>
      </c>
      <c r="B194" s="9">
        <f t="shared" si="47"/>
        <v>0.45833333333333337</v>
      </c>
      <c r="C194" s="16" t="s">
        <v>29</v>
      </c>
      <c r="D194" s="16" t="s">
        <v>22</v>
      </c>
      <c r="E194" s="11">
        <v>0</v>
      </c>
      <c r="F194" s="12">
        <f t="shared" si="45"/>
        <v>0</v>
      </c>
      <c r="G194" s="10"/>
      <c r="H194" s="10"/>
      <c r="I194" s="10"/>
      <c r="J194" s="13"/>
      <c r="K194" s="13"/>
      <c r="L194" s="70" t="str">
        <f t="shared" si="46"/>
        <v/>
      </c>
      <c r="M194" s="11"/>
      <c r="N194" s="14"/>
    </row>
    <row r="195" spans="1:14" ht="15" customHeight="1">
      <c r="A195" s="59">
        <v>46181</v>
      </c>
      <c r="B195" s="15">
        <f t="shared" si="47"/>
        <v>0.5</v>
      </c>
      <c r="C195" s="16" t="s">
        <v>29</v>
      </c>
      <c r="D195" s="16" t="s">
        <v>22</v>
      </c>
      <c r="E195" s="11">
        <v>16</v>
      </c>
      <c r="F195" s="17">
        <f t="shared" si="45"/>
        <v>80</v>
      </c>
      <c r="G195" s="16"/>
      <c r="H195" s="16"/>
      <c r="I195" s="16"/>
      <c r="J195" s="13"/>
      <c r="K195" s="13"/>
      <c r="L195" s="71" t="str">
        <f t="shared" si="46"/>
        <v/>
      </c>
      <c r="M195" s="11"/>
      <c r="N195" s="14"/>
    </row>
    <row r="196" spans="1:14" ht="15" customHeight="1">
      <c r="A196" s="58">
        <v>46181</v>
      </c>
      <c r="B196" s="9">
        <f t="shared" si="47"/>
        <v>0.54166666666666663</v>
      </c>
      <c r="C196" s="16" t="s">
        <v>29</v>
      </c>
      <c r="D196" s="16" t="s">
        <v>22</v>
      </c>
      <c r="E196" s="11">
        <v>12</v>
      </c>
      <c r="F196" s="12">
        <f t="shared" si="45"/>
        <v>60</v>
      </c>
      <c r="G196" s="10"/>
      <c r="H196" s="10"/>
      <c r="I196" s="10"/>
      <c r="J196" s="13"/>
      <c r="K196" s="13"/>
      <c r="L196" s="70" t="str">
        <f t="shared" si="46"/>
        <v/>
      </c>
      <c r="M196" s="11"/>
      <c r="N196" s="14"/>
    </row>
    <row r="197" spans="1:14" ht="15" customHeight="1">
      <c r="A197" s="59">
        <v>46181</v>
      </c>
      <c r="B197" s="15">
        <f t="shared" si="47"/>
        <v>0.58333333333333326</v>
      </c>
      <c r="C197" s="16" t="s">
        <v>29</v>
      </c>
      <c r="D197" s="16" t="s">
        <v>22</v>
      </c>
      <c r="E197" s="11">
        <v>24</v>
      </c>
      <c r="F197" s="17">
        <f t="shared" si="45"/>
        <v>120</v>
      </c>
      <c r="G197" s="16"/>
      <c r="H197" s="16"/>
      <c r="I197" s="16"/>
      <c r="J197" s="13"/>
      <c r="K197" s="13"/>
      <c r="L197" s="71" t="str">
        <f t="shared" si="46"/>
        <v/>
      </c>
      <c r="M197" s="11"/>
      <c r="N197" s="14"/>
    </row>
    <row r="198" spans="1:14" ht="15" customHeight="1">
      <c r="A198" s="58">
        <v>46181</v>
      </c>
      <c r="B198" s="9">
        <f t="shared" si="47"/>
        <v>0.62499999999999989</v>
      </c>
      <c r="C198" s="16" t="s">
        <v>29</v>
      </c>
      <c r="D198" s="16" t="s">
        <v>22</v>
      </c>
      <c r="E198" s="11">
        <v>26</v>
      </c>
      <c r="F198" s="12">
        <f t="shared" si="45"/>
        <v>130</v>
      </c>
      <c r="G198" s="10"/>
      <c r="H198" s="10"/>
      <c r="I198" s="10"/>
      <c r="J198" s="13"/>
      <c r="K198" s="13"/>
      <c r="L198" s="70" t="str">
        <f t="shared" si="46"/>
        <v/>
      </c>
      <c r="M198" s="11"/>
      <c r="N198" s="14"/>
    </row>
    <row r="199" spans="1:14" ht="15" customHeight="1">
      <c r="A199" s="59">
        <v>46181</v>
      </c>
      <c r="B199" s="15">
        <f t="shared" si="47"/>
        <v>0.66666666666666652</v>
      </c>
      <c r="C199" s="16" t="s">
        <v>29</v>
      </c>
      <c r="D199" s="16" t="s">
        <v>22</v>
      </c>
      <c r="E199" s="11">
        <v>38</v>
      </c>
      <c r="F199" s="17">
        <f t="shared" si="45"/>
        <v>190</v>
      </c>
      <c r="G199" s="16"/>
      <c r="H199" s="16"/>
      <c r="I199" s="16"/>
      <c r="J199" s="13"/>
      <c r="K199" s="13"/>
      <c r="L199" s="71" t="str">
        <f t="shared" si="46"/>
        <v/>
      </c>
      <c r="M199" s="11"/>
      <c r="N199" s="14"/>
    </row>
    <row r="200" spans="1:14" ht="15" customHeight="1">
      <c r="A200" s="58">
        <v>46181</v>
      </c>
      <c r="B200" s="9">
        <f t="shared" si="47"/>
        <v>0.70833333333333315</v>
      </c>
      <c r="C200" s="16" t="s">
        <v>29</v>
      </c>
      <c r="D200" s="10" t="s">
        <v>30</v>
      </c>
      <c r="E200" s="11">
        <v>34</v>
      </c>
      <c r="F200" s="12">
        <f t="shared" si="45"/>
        <v>170</v>
      </c>
      <c r="G200" s="10"/>
      <c r="H200" s="10"/>
      <c r="I200" s="10"/>
      <c r="J200" s="13"/>
      <c r="K200" s="13"/>
      <c r="L200" s="70" t="str">
        <f t="shared" si="46"/>
        <v/>
      </c>
      <c r="M200" s="11"/>
      <c r="N200" s="14"/>
    </row>
    <row r="201" spans="1:14" ht="15" customHeight="1">
      <c r="A201" s="59">
        <v>46181</v>
      </c>
      <c r="B201" s="15">
        <f t="shared" si="47"/>
        <v>0.74999999999999978</v>
      </c>
      <c r="C201" s="16" t="s">
        <v>29</v>
      </c>
      <c r="D201" s="10" t="s">
        <v>30</v>
      </c>
      <c r="E201" s="11">
        <v>20</v>
      </c>
      <c r="F201" s="17">
        <f t="shared" si="45"/>
        <v>100</v>
      </c>
      <c r="G201" s="16"/>
      <c r="H201" s="16"/>
      <c r="I201" s="16"/>
      <c r="J201" s="13"/>
      <c r="K201" s="13"/>
      <c r="L201" s="71" t="str">
        <f t="shared" si="46"/>
        <v/>
      </c>
      <c r="M201" s="11"/>
      <c r="N201" s="14"/>
    </row>
    <row r="202" spans="1:14" ht="15" customHeight="1">
      <c r="A202" s="58">
        <v>46181</v>
      </c>
      <c r="B202" s="9">
        <f t="shared" si="47"/>
        <v>0.79166666666666641</v>
      </c>
      <c r="C202" s="16" t="s">
        <v>29</v>
      </c>
      <c r="D202" s="10" t="s">
        <v>30</v>
      </c>
      <c r="E202" s="11">
        <v>0</v>
      </c>
      <c r="F202" s="12">
        <f t="shared" si="45"/>
        <v>0</v>
      </c>
      <c r="G202" s="10"/>
      <c r="H202" s="10"/>
      <c r="I202" s="10"/>
      <c r="J202" s="13"/>
      <c r="K202" s="13"/>
      <c r="L202" s="70" t="str">
        <f t="shared" si="46"/>
        <v/>
      </c>
      <c r="M202" s="11"/>
      <c r="N202" s="14"/>
    </row>
    <row r="203" spans="1:14" ht="15.75" customHeight="1">
      <c r="A203" s="97" t="s">
        <v>191</v>
      </c>
      <c r="B203" s="97"/>
      <c r="C203" s="97"/>
      <c r="D203" s="97"/>
      <c r="E203" s="19">
        <f>SUM(E191:E202)</f>
        <v>170</v>
      </c>
      <c r="F203" s="19">
        <f>SUM(F191:F202)</f>
        <v>850</v>
      </c>
      <c r="G203" s="18"/>
      <c r="H203" s="18"/>
      <c r="I203" s="18"/>
      <c r="J203" s="18"/>
      <c r="K203" s="18"/>
      <c r="L203" s="72">
        <f>IFERROR(SUM(L191:L202),"")</f>
        <v>0.20833333333333293</v>
      </c>
      <c r="M203" s="19" t="s">
        <v>192</v>
      </c>
      <c r="N203" s="28">
        <v>784290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30</v>
      </c>
      <c r="E204" s="11">
        <v>15</v>
      </c>
      <c r="F204" s="12">
        <f t="shared" ref="F204:F215" si="48">IF(E204="","",E204*5)</f>
        <v>75</v>
      </c>
      <c r="G204" s="10" t="s">
        <v>18</v>
      </c>
      <c r="H204" s="10" t="s">
        <v>23</v>
      </c>
      <c r="I204" s="10" t="s">
        <v>72</v>
      </c>
      <c r="J204" s="13">
        <v>0</v>
      </c>
      <c r="K204" s="13">
        <v>0.29166666666666702</v>
      </c>
      <c r="L204" s="70">
        <f t="shared" ref="L204:L215" si="49">IFERROR(IF(K204="","",IF(K204&gt;=J204,K204-J204,K204+1-J204)),"")</f>
        <v>0.29166666666666702</v>
      </c>
      <c r="M204" s="29"/>
      <c r="N204" s="30"/>
    </row>
    <row r="205" spans="1:14" ht="15" customHeight="1">
      <c r="A205" s="59">
        <v>46181</v>
      </c>
      <c r="B205" s="15">
        <f t="shared" ref="B205:B215" si="50">B204+TIME(0,60,0)</f>
        <v>0.87499999999999967</v>
      </c>
      <c r="C205" s="10" t="s">
        <v>45</v>
      </c>
      <c r="D205" s="10" t="s">
        <v>30</v>
      </c>
      <c r="E205" s="11">
        <v>16</v>
      </c>
      <c r="F205" s="17">
        <f t="shared" si="48"/>
        <v>80</v>
      </c>
      <c r="G205" s="16"/>
      <c r="H205" s="16"/>
      <c r="I205" s="16"/>
      <c r="J205" s="13"/>
      <c r="K205" s="13"/>
      <c r="L205" s="71" t="str">
        <f t="shared" si="49"/>
        <v/>
      </c>
      <c r="M205" s="29"/>
      <c r="N205" s="30"/>
    </row>
    <row r="206" spans="1:14" ht="15" customHeight="1">
      <c r="A206" s="58">
        <v>46181</v>
      </c>
      <c r="B206" s="9">
        <f t="shared" si="50"/>
        <v>0.9166666666666663</v>
      </c>
      <c r="C206" s="10" t="s">
        <v>45</v>
      </c>
      <c r="D206" s="10" t="s">
        <v>30</v>
      </c>
      <c r="E206" s="11">
        <v>5</v>
      </c>
      <c r="F206" s="12">
        <f t="shared" si="48"/>
        <v>25</v>
      </c>
      <c r="G206" s="10"/>
      <c r="H206" s="10"/>
      <c r="I206" s="10"/>
      <c r="J206" s="13"/>
      <c r="K206" s="13"/>
      <c r="L206" s="70" t="str">
        <f t="shared" si="49"/>
        <v/>
      </c>
      <c r="M206" s="29"/>
      <c r="N206" s="30"/>
    </row>
    <row r="207" spans="1:14" ht="15" customHeight="1">
      <c r="A207" s="59">
        <v>46181</v>
      </c>
      <c r="B207" s="15">
        <f t="shared" si="50"/>
        <v>0.95833333333333293</v>
      </c>
      <c r="C207" s="10" t="s">
        <v>45</v>
      </c>
      <c r="D207" s="10" t="s">
        <v>30</v>
      </c>
      <c r="E207" s="11">
        <v>23</v>
      </c>
      <c r="F207" s="17">
        <f t="shared" si="48"/>
        <v>115</v>
      </c>
      <c r="G207" s="16"/>
      <c r="H207" s="16"/>
      <c r="I207" s="16"/>
      <c r="J207" s="13"/>
      <c r="K207" s="13"/>
      <c r="L207" s="71" t="str">
        <f t="shared" si="49"/>
        <v/>
      </c>
      <c r="M207" s="29"/>
      <c r="N207" s="30"/>
    </row>
    <row r="208" spans="1:14" ht="15" customHeight="1">
      <c r="A208" s="58">
        <v>46181</v>
      </c>
      <c r="B208" s="9">
        <f t="shared" si="50"/>
        <v>0.99999999999999956</v>
      </c>
      <c r="C208" s="10" t="s">
        <v>45</v>
      </c>
      <c r="D208" s="10" t="s">
        <v>30</v>
      </c>
      <c r="E208" s="11">
        <v>0</v>
      </c>
      <c r="F208" s="12">
        <f t="shared" si="48"/>
        <v>0</v>
      </c>
      <c r="G208" s="10"/>
      <c r="H208" s="10"/>
      <c r="I208" s="10"/>
      <c r="J208" s="13"/>
      <c r="K208" s="13"/>
      <c r="L208" s="70" t="str">
        <f t="shared" si="49"/>
        <v/>
      </c>
      <c r="M208" s="29"/>
      <c r="N208" s="30"/>
    </row>
    <row r="209" spans="1:14" ht="15" customHeight="1">
      <c r="A209" s="59">
        <v>46181</v>
      </c>
      <c r="B209" s="15">
        <f t="shared" si="50"/>
        <v>1.0416666666666663</v>
      </c>
      <c r="C209" s="10" t="s">
        <v>45</v>
      </c>
      <c r="D209" s="10" t="s">
        <v>30</v>
      </c>
      <c r="E209" s="11">
        <v>0</v>
      </c>
      <c r="F209" s="17">
        <f t="shared" si="48"/>
        <v>0</v>
      </c>
      <c r="G209" s="16"/>
      <c r="H209" s="16"/>
      <c r="I209" s="16"/>
      <c r="J209" s="13"/>
      <c r="K209" s="13"/>
      <c r="L209" s="71" t="str">
        <f t="shared" si="49"/>
        <v/>
      </c>
      <c r="M209" s="29"/>
      <c r="N209" s="30"/>
    </row>
    <row r="210" spans="1:14" ht="15" customHeight="1">
      <c r="A210" s="58">
        <v>46181</v>
      </c>
      <c r="B210" s="9">
        <f t="shared" si="50"/>
        <v>1.083333333333333</v>
      </c>
      <c r="C210" s="10" t="s">
        <v>45</v>
      </c>
      <c r="D210" s="10" t="s">
        <v>30</v>
      </c>
      <c r="E210" s="11">
        <v>0</v>
      </c>
      <c r="F210" s="12">
        <f t="shared" si="48"/>
        <v>0</v>
      </c>
      <c r="G210" s="10"/>
      <c r="H210" s="10"/>
      <c r="I210" s="10"/>
      <c r="J210" s="13"/>
      <c r="K210" s="13"/>
      <c r="L210" s="70" t="str">
        <f t="shared" si="49"/>
        <v/>
      </c>
      <c r="M210" s="29"/>
      <c r="N210" s="30"/>
    </row>
    <row r="211" spans="1:14" ht="15" customHeight="1">
      <c r="A211" s="59">
        <v>46181</v>
      </c>
      <c r="B211" s="15">
        <f t="shared" si="50"/>
        <v>1.1249999999999998</v>
      </c>
      <c r="C211" s="10" t="s">
        <v>45</v>
      </c>
      <c r="D211" s="10" t="s">
        <v>30</v>
      </c>
      <c r="E211" s="11">
        <v>0</v>
      </c>
      <c r="F211" s="17">
        <f t="shared" si="48"/>
        <v>0</v>
      </c>
      <c r="G211" s="16"/>
      <c r="H211" s="16"/>
      <c r="I211" s="16"/>
      <c r="J211" s="13"/>
      <c r="K211" s="13"/>
      <c r="L211" s="71" t="str">
        <f t="shared" si="49"/>
        <v/>
      </c>
      <c r="M211" s="29"/>
      <c r="N211" s="30"/>
    </row>
    <row r="212" spans="1:14" ht="15" customHeight="1">
      <c r="A212" s="58">
        <v>46181</v>
      </c>
      <c r="B212" s="9">
        <f t="shared" si="50"/>
        <v>1.1666666666666665</v>
      </c>
      <c r="C212" s="10" t="s">
        <v>45</v>
      </c>
      <c r="D212" s="10" t="s">
        <v>30</v>
      </c>
      <c r="E212" s="11">
        <v>0</v>
      </c>
      <c r="F212" s="12">
        <f t="shared" si="48"/>
        <v>0</v>
      </c>
      <c r="G212" s="10"/>
      <c r="H212" s="10"/>
      <c r="I212" s="10"/>
      <c r="J212" s="13"/>
      <c r="K212" s="13"/>
      <c r="L212" s="70" t="str">
        <f t="shared" si="49"/>
        <v/>
      </c>
      <c r="M212" s="29"/>
      <c r="N212" s="30"/>
    </row>
    <row r="213" spans="1:14" ht="15" customHeight="1">
      <c r="A213" s="59">
        <v>46181</v>
      </c>
      <c r="B213" s="15">
        <f t="shared" si="50"/>
        <v>1.2083333333333333</v>
      </c>
      <c r="C213" s="10" t="s">
        <v>45</v>
      </c>
      <c r="D213" s="10" t="s">
        <v>30</v>
      </c>
      <c r="E213" s="11">
        <v>0</v>
      </c>
      <c r="F213" s="17">
        <f t="shared" si="48"/>
        <v>0</v>
      </c>
      <c r="G213" s="16"/>
      <c r="H213" s="16"/>
      <c r="I213" s="16"/>
      <c r="J213" s="13"/>
      <c r="K213" s="13"/>
      <c r="L213" s="71" t="str">
        <f t="shared" si="49"/>
        <v/>
      </c>
      <c r="M213" s="29"/>
      <c r="N213" s="30"/>
    </row>
    <row r="214" spans="1:14" ht="15" customHeight="1">
      <c r="A214" s="58">
        <v>46181</v>
      </c>
      <c r="B214" s="9">
        <f t="shared" si="50"/>
        <v>1.25</v>
      </c>
      <c r="C214" s="10" t="s">
        <v>45</v>
      </c>
      <c r="D214" s="10" t="s">
        <v>30</v>
      </c>
      <c r="E214" s="11">
        <v>0</v>
      </c>
      <c r="F214" s="12">
        <f t="shared" si="48"/>
        <v>0</v>
      </c>
      <c r="G214" s="10"/>
      <c r="H214" s="10"/>
      <c r="I214" s="10"/>
      <c r="J214" s="13"/>
      <c r="K214" s="13"/>
      <c r="L214" s="70" t="str">
        <f t="shared" si="49"/>
        <v/>
      </c>
      <c r="M214" s="29"/>
      <c r="N214" s="30"/>
    </row>
    <row r="215" spans="1:14" ht="15" customHeight="1">
      <c r="A215" s="59">
        <v>46181</v>
      </c>
      <c r="B215" s="15">
        <f t="shared" si="50"/>
        <v>1.2916666666666667</v>
      </c>
      <c r="C215" s="10" t="s">
        <v>45</v>
      </c>
      <c r="D215" s="10" t="s">
        <v>30</v>
      </c>
      <c r="E215" s="11">
        <v>0</v>
      </c>
      <c r="F215" s="17">
        <f t="shared" si="48"/>
        <v>0</v>
      </c>
      <c r="G215" s="16"/>
      <c r="H215" s="16"/>
      <c r="I215" s="16"/>
      <c r="J215" s="13"/>
      <c r="K215" s="13"/>
      <c r="L215" s="71" t="str">
        <f t="shared" si="49"/>
        <v/>
      </c>
      <c r="M215" s="29"/>
      <c r="N215" s="30"/>
    </row>
    <row r="216" spans="1:14" ht="15.75" customHeight="1">
      <c r="A216" s="97" t="s">
        <v>193</v>
      </c>
      <c r="B216" s="97"/>
      <c r="C216" s="97"/>
      <c r="D216" s="97"/>
      <c r="E216" s="19">
        <f>SUM(E204:E215)</f>
        <v>59</v>
      </c>
      <c r="F216" s="19">
        <f>SUM(F204:F215)</f>
        <v>295</v>
      </c>
      <c r="G216" s="18"/>
      <c r="H216" s="18"/>
      <c r="I216" s="18"/>
      <c r="J216" s="18"/>
      <c r="K216" s="18"/>
      <c r="L216" s="72">
        <f>IFERROR(SUM(L204:L215),"")</f>
        <v>0.29166666666666702</v>
      </c>
      <c r="M216" s="19" t="s">
        <v>192</v>
      </c>
      <c r="N216" s="28">
        <v>203080</v>
      </c>
    </row>
    <row r="217" spans="1:14" ht="18" customHeight="1">
      <c r="A217" s="98" t="s">
        <v>194</v>
      </c>
      <c r="B217" s="98"/>
      <c r="C217" s="98"/>
      <c r="D217" s="98"/>
      <c r="E217" s="22">
        <f>E203+E216</f>
        <v>229</v>
      </c>
      <c r="F217" s="22">
        <f>F203+F216</f>
        <v>1145</v>
      </c>
      <c r="G217" s="21"/>
      <c r="H217" s="21"/>
      <c r="I217" s="21"/>
      <c r="J217" s="21"/>
      <c r="K217" s="21"/>
      <c r="L217" s="73">
        <f>IFERROR(L203+L216,"")</f>
        <v>0.49999999999999994</v>
      </c>
      <c r="M217" s="22" t="s">
        <v>195</v>
      </c>
      <c r="N217" s="31">
        <f>IFERROR(N203+N216,"")</f>
        <v>987370</v>
      </c>
    </row>
    <row r="218" spans="1:14" ht="15" customHeight="1">
      <c r="A218" s="58">
        <v>46182</v>
      </c>
      <c r="B218" s="9">
        <v>0.33333333333333331</v>
      </c>
      <c r="C218" s="10" t="s">
        <v>21</v>
      </c>
      <c r="D218" s="10"/>
      <c r="E218" s="11">
        <v>0</v>
      </c>
      <c r="F218" s="12">
        <f t="shared" ref="F218:F229" si="51">IF(E218="","",E218*5)</f>
        <v>0</v>
      </c>
      <c r="G218" s="10" t="s">
        <v>18</v>
      </c>
      <c r="H218" s="10" t="s">
        <v>23</v>
      </c>
      <c r="I218" s="10" t="s">
        <v>66</v>
      </c>
      <c r="J218" s="13">
        <v>0.29166666666666702</v>
      </c>
      <c r="K218" s="13">
        <v>0.79166666666666696</v>
      </c>
      <c r="L218" s="70">
        <f t="shared" ref="L218:L229" si="52">IFERROR(IF(K218="","",IF(K218&gt;=J218,K218-J218,K218+1-J218)),"")</f>
        <v>0.49999999999999994</v>
      </c>
      <c r="M218" s="29"/>
      <c r="N218" s="30"/>
    </row>
    <row r="219" spans="1:14" ht="15" customHeight="1">
      <c r="A219" s="59">
        <v>46182</v>
      </c>
      <c r="B219" s="15">
        <f t="shared" ref="B219:B229" si="53">B218+TIME(0,60,0)</f>
        <v>0.375</v>
      </c>
      <c r="C219" s="10" t="s">
        <v>21</v>
      </c>
      <c r="D219" s="16"/>
      <c r="E219" s="11">
        <v>0</v>
      </c>
      <c r="F219" s="17">
        <f t="shared" si="51"/>
        <v>0</v>
      </c>
      <c r="G219" s="16"/>
      <c r="H219" s="16"/>
      <c r="I219" s="16"/>
      <c r="J219" s="13"/>
      <c r="K219" s="13"/>
      <c r="L219" s="71" t="str">
        <f t="shared" si="52"/>
        <v/>
      </c>
      <c r="M219" s="29"/>
      <c r="N219" s="30"/>
    </row>
    <row r="220" spans="1:14" ht="15" customHeight="1">
      <c r="A220" s="58">
        <v>46182</v>
      </c>
      <c r="B220" s="9">
        <f t="shared" si="53"/>
        <v>0.41666666666666669</v>
      </c>
      <c r="C220" s="10" t="s">
        <v>21</v>
      </c>
      <c r="D220" s="10"/>
      <c r="E220" s="11">
        <v>0</v>
      </c>
      <c r="F220" s="12">
        <f t="shared" si="51"/>
        <v>0</v>
      </c>
      <c r="G220" s="10"/>
      <c r="H220" s="10"/>
      <c r="I220" s="10"/>
      <c r="J220" s="13"/>
      <c r="K220" s="13"/>
      <c r="L220" s="70" t="str">
        <f t="shared" si="52"/>
        <v/>
      </c>
      <c r="M220" s="29"/>
      <c r="N220" s="30"/>
    </row>
    <row r="221" spans="1:14" ht="15" customHeight="1">
      <c r="A221" s="59">
        <v>46182</v>
      </c>
      <c r="B221" s="15">
        <f t="shared" si="53"/>
        <v>0.45833333333333337</v>
      </c>
      <c r="C221" s="10" t="s">
        <v>21</v>
      </c>
      <c r="D221" s="16"/>
      <c r="E221" s="11">
        <v>0</v>
      </c>
      <c r="F221" s="17">
        <f t="shared" si="51"/>
        <v>0</v>
      </c>
      <c r="G221" s="16"/>
      <c r="H221" s="16"/>
      <c r="I221" s="16"/>
      <c r="J221" s="13"/>
      <c r="K221" s="13"/>
      <c r="L221" s="71" t="str">
        <f t="shared" si="52"/>
        <v/>
      </c>
      <c r="M221" s="29"/>
      <c r="N221" s="30"/>
    </row>
    <row r="222" spans="1:14" ht="15" customHeight="1">
      <c r="A222" s="58">
        <v>46182</v>
      </c>
      <c r="B222" s="9">
        <f t="shared" si="53"/>
        <v>0.5</v>
      </c>
      <c r="C222" s="10" t="s">
        <v>21</v>
      </c>
      <c r="D222" s="10"/>
      <c r="E222" s="11">
        <v>0</v>
      </c>
      <c r="F222" s="12">
        <f t="shared" si="51"/>
        <v>0</v>
      </c>
      <c r="G222" s="10"/>
      <c r="H222" s="10"/>
      <c r="I222" s="10"/>
      <c r="J222" s="13"/>
      <c r="K222" s="13"/>
      <c r="L222" s="70" t="str">
        <f t="shared" si="52"/>
        <v/>
      </c>
      <c r="M222" s="29"/>
      <c r="N222" s="30"/>
    </row>
    <row r="223" spans="1:14" ht="15" customHeight="1">
      <c r="A223" s="59">
        <v>46182</v>
      </c>
      <c r="B223" s="15">
        <f t="shared" si="53"/>
        <v>0.54166666666666663</v>
      </c>
      <c r="C223" s="10" t="s">
        <v>21</v>
      </c>
      <c r="D223" s="16"/>
      <c r="E223" s="11">
        <v>0</v>
      </c>
      <c r="F223" s="17">
        <f t="shared" si="51"/>
        <v>0</v>
      </c>
      <c r="G223" s="16"/>
      <c r="H223" s="16"/>
      <c r="I223" s="16"/>
      <c r="J223" s="13"/>
      <c r="K223" s="13"/>
      <c r="L223" s="71" t="str">
        <f t="shared" si="52"/>
        <v/>
      </c>
      <c r="M223" s="29"/>
      <c r="N223" s="30"/>
    </row>
    <row r="224" spans="1:14" ht="15" customHeight="1">
      <c r="A224" s="58">
        <v>46182</v>
      </c>
      <c r="B224" s="9">
        <f t="shared" si="53"/>
        <v>0.58333333333333326</v>
      </c>
      <c r="C224" s="10" t="s">
        <v>21</v>
      </c>
      <c r="D224" s="10"/>
      <c r="E224" s="11">
        <v>0</v>
      </c>
      <c r="F224" s="12">
        <f t="shared" si="51"/>
        <v>0</v>
      </c>
      <c r="G224" s="10"/>
      <c r="H224" s="10"/>
      <c r="I224" s="10"/>
      <c r="J224" s="13"/>
      <c r="K224" s="13"/>
      <c r="L224" s="70" t="str">
        <f t="shared" si="52"/>
        <v/>
      </c>
      <c r="M224" s="29"/>
      <c r="N224" s="30"/>
    </row>
    <row r="225" spans="1:14" ht="15" customHeight="1">
      <c r="A225" s="59">
        <v>46182</v>
      </c>
      <c r="B225" s="15">
        <f t="shared" si="53"/>
        <v>0.62499999999999989</v>
      </c>
      <c r="C225" s="10" t="s">
        <v>21</v>
      </c>
      <c r="D225" s="16"/>
      <c r="E225" s="11">
        <v>0</v>
      </c>
      <c r="F225" s="17">
        <f t="shared" si="51"/>
        <v>0</v>
      </c>
      <c r="G225" s="16"/>
      <c r="H225" s="16"/>
      <c r="I225" s="16"/>
      <c r="J225" s="13"/>
      <c r="K225" s="13"/>
      <c r="L225" s="71" t="str">
        <f t="shared" si="52"/>
        <v/>
      </c>
      <c r="M225" s="29"/>
      <c r="N225" s="30"/>
    </row>
    <row r="226" spans="1:14" ht="15" customHeight="1">
      <c r="A226" s="58">
        <v>46182</v>
      </c>
      <c r="B226" s="9">
        <f t="shared" si="53"/>
        <v>0.66666666666666652</v>
      </c>
      <c r="C226" s="10" t="s">
        <v>21</v>
      </c>
      <c r="D226" s="10"/>
      <c r="E226" s="11">
        <v>0</v>
      </c>
      <c r="F226" s="12">
        <f t="shared" si="51"/>
        <v>0</v>
      </c>
      <c r="G226" s="10"/>
      <c r="H226" s="10"/>
      <c r="I226" s="10"/>
      <c r="J226" s="13"/>
      <c r="K226" s="13"/>
      <c r="L226" s="70" t="str">
        <f t="shared" si="52"/>
        <v/>
      </c>
      <c r="M226" s="29"/>
      <c r="N226" s="30"/>
    </row>
    <row r="227" spans="1:14" ht="15" customHeight="1">
      <c r="A227" s="59">
        <v>46182</v>
      </c>
      <c r="B227" s="15">
        <f t="shared" si="53"/>
        <v>0.70833333333333315</v>
      </c>
      <c r="C227" s="10" t="s">
        <v>21</v>
      </c>
      <c r="D227" s="16"/>
      <c r="E227" s="11">
        <v>0</v>
      </c>
      <c r="F227" s="17">
        <f t="shared" si="51"/>
        <v>0</v>
      </c>
      <c r="G227" s="16"/>
      <c r="H227" s="16"/>
      <c r="I227" s="16"/>
      <c r="J227" s="13"/>
      <c r="K227" s="13"/>
      <c r="L227" s="71" t="str">
        <f t="shared" si="52"/>
        <v/>
      </c>
      <c r="M227" s="29"/>
      <c r="N227" s="30"/>
    </row>
    <row r="228" spans="1:14" ht="15" customHeight="1">
      <c r="A228" s="58">
        <v>46182</v>
      </c>
      <c r="B228" s="9">
        <f t="shared" si="53"/>
        <v>0.74999999999999978</v>
      </c>
      <c r="C228" s="10" t="s">
        <v>21</v>
      </c>
      <c r="D228" s="10"/>
      <c r="E228" s="11">
        <v>0</v>
      </c>
      <c r="F228" s="12">
        <f t="shared" si="51"/>
        <v>0</v>
      </c>
      <c r="G228" s="10"/>
      <c r="H228" s="10"/>
      <c r="I228" s="10"/>
      <c r="J228" s="13"/>
      <c r="K228" s="13"/>
      <c r="L228" s="70" t="str">
        <f t="shared" si="52"/>
        <v/>
      </c>
      <c r="M228" s="29"/>
      <c r="N228" s="30"/>
    </row>
    <row r="229" spans="1:14" ht="15" customHeight="1">
      <c r="A229" s="59">
        <v>46182</v>
      </c>
      <c r="B229" s="15">
        <f t="shared" si="53"/>
        <v>0.79166666666666641</v>
      </c>
      <c r="C229" s="10" t="s">
        <v>21</v>
      </c>
      <c r="D229" s="16"/>
      <c r="E229" s="11">
        <v>0</v>
      </c>
      <c r="F229" s="17">
        <f t="shared" si="51"/>
        <v>0</v>
      </c>
      <c r="G229" s="16"/>
      <c r="H229" s="16"/>
      <c r="I229" s="16"/>
      <c r="J229" s="13"/>
      <c r="K229" s="13"/>
      <c r="L229" s="71" t="str">
        <f t="shared" si="52"/>
        <v/>
      </c>
      <c r="M229" s="29"/>
      <c r="N229" s="30"/>
    </row>
    <row r="230" spans="1:14" ht="15.75" customHeight="1">
      <c r="A230" s="97" t="s">
        <v>191</v>
      </c>
      <c r="B230" s="97"/>
      <c r="C230" s="97"/>
      <c r="D230" s="97"/>
      <c r="E230" s="19">
        <f>SUM(E218:E229)</f>
        <v>0</v>
      </c>
      <c r="F230" s="19">
        <f>SUM(F218:F229)</f>
        <v>0</v>
      </c>
      <c r="G230" s="18"/>
      <c r="H230" s="18"/>
      <c r="I230" s="18"/>
      <c r="J230" s="18"/>
      <c r="K230" s="18"/>
      <c r="L230" s="72">
        <f>IFERROR(SUM(L218:L229),"")</f>
        <v>0.49999999999999994</v>
      </c>
      <c r="M230" s="19" t="s">
        <v>192</v>
      </c>
      <c r="N230" s="20">
        <v>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/>
      <c r="E231" s="11">
        <v>0</v>
      </c>
      <c r="F231" s="17">
        <f t="shared" ref="F231:F242" si="54">IF(E231="","",E231*5)</f>
        <v>0</v>
      </c>
      <c r="G231" s="16" t="s">
        <v>18</v>
      </c>
      <c r="H231" s="16" t="s">
        <v>23</v>
      </c>
      <c r="I231" s="16" t="s">
        <v>145</v>
      </c>
      <c r="J231" s="13">
        <v>0.79166666666666696</v>
      </c>
      <c r="K231" s="13">
        <v>0.29166666666666702</v>
      </c>
      <c r="L231" s="71">
        <f t="shared" ref="L231:L242" si="55">IFERROR(IF(K231="","",IF(K231&gt;=J231,K231-J231,K231+1-J231)),"")</f>
        <v>0.5</v>
      </c>
      <c r="M231" s="29"/>
      <c r="N231" s="30"/>
    </row>
    <row r="232" spans="1:14" ht="15" customHeight="1">
      <c r="A232" s="58">
        <v>46182</v>
      </c>
      <c r="B232" s="9">
        <f t="shared" ref="B232:B242" si="56">B231+TIME(0,60,0)</f>
        <v>0.87499999999999967</v>
      </c>
      <c r="C232" s="32" t="s">
        <v>45</v>
      </c>
      <c r="D232" s="10"/>
      <c r="E232" s="11">
        <v>0</v>
      </c>
      <c r="F232" s="12">
        <f t="shared" si="54"/>
        <v>0</v>
      </c>
      <c r="G232" s="10"/>
      <c r="H232" s="10"/>
      <c r="I232" s="33"/>
      <c r="J232" s="13"/>
      <c r="K232" s="13"/>
      <c r="L232" s="70" t="str">
        <f t="shared" si="55"/>
        <v/>
      </c>
      <c r="M232" s="29"/>
      <c r="N232" s="30"/>
    </row>
    <row r="233" spans="1:14" ht="15" customHeight="1">
      <c r="A233" s="59">
        <v>46182</v>
      </c>
      <c r="B233" s="15">
        <f t="shared" si="56"/>
        <v>0.9166666666666663</v>
      </c>
      <c r="C233" s="16" t="s">
        <v>45</v>
      </c>
      <c r="D233" s="16"/>
      <c r="E233" s="11">
        <v>0</v>
      </c>
      <c r="F233" s="17">
        <f t="shared" si="54"/>
        <v>0</v>
      </c>
      <c r="G233" s="16"/>
      <c r="H233" s="16"/>
      <c r="I233" s="16"/>
      <c r="J233" s="13"/>
      <c r="K233" s="13"/>
      <c r="L233" s="71" t="str">
        <f t="shared" si="55"/>
        <v/>
      </c>
      <c r="M233" s="29"/>
      <c r="N233" s="30"/>
    </row>
    <row r="234" spans="1:14" ht="15" customHeight="1">
      <c r="A234" s="58">
        <v>46182</v>
      </c>
      <c r="B234" s="9">
        <f t="shared" si="56"/>
        <v>0.95833333333333293</v>
      </c>
      <c r="C234" s="32" t="s">
        <v>45</v>
      </c>
      <c r="D234" s="10"/>
      <c r="E234" s="11">
        <v>0</v>
      </c>
      <c r="F234" s="12">
        <f t="shared" si="54"/>
        <v>0</v>
      </c>
      <c r="G234" s="10"/>
      <c r="H234" s="10"/>
      <c r="I234" s="33"/>
      <c r="J234" s="13"/>
      <c r="K234" s="13"/>
      <c r="L234" s="70" t="str">
        <f t="shared" si="55"/>
        <v/>
      </c>
      <c r="M234" s="29"/>
      <c r="N234" s="30"/>
    </row>
    <row r="235" spans="1:14" ht="15" customHeight="1">
      <c r="A235" s="59">
        <v>46182</v>
      </c>
      <c r="B235" s="15">
        <f t="shared" si="56"/>
        <v>0.99999999999999956</v>
      </c>
      <c r="C235" s="16" t="s">
        <v>45</v>
      </c>
      <c r="D235" s="16"/>
      <c r="E235" s="11">
        <v>0</v>
      </c>
      <c r="F235" s="17">
        <f t="shared" si="54"/>
        <v>0</v>
      </c>
      <c r="G235" s="16"/>
      <c r="H235" s="16"/>
      <c r="I235" s="16"/>
      <c r="J235" s="13"/>
      <c r="K235" s="13"/>
      <c r="L235" s="71" t="str">
        <f t="shared" si="55"/>
        <v/>
      </c>
      <c r="M235" s="29"/>
      <c r="N235" s="30"/>
    </row>
    <row r="236" spans="1:14" ht="15" customHeight="1">
      <c r="A236" s="58">
        <v>46182</v>
      </c>
      <c r="B236" s="9">
        <f t="shared" si="56"/>
        <v>1.0416666666666663</v>
      </c>
      <c r="C236" s="32" t="s">
        <v>45</v>
      </c>
      <c r="D236" s="10"/>
      <c r="E236" s="11">
        <v>0</v>
      </c>
      <c r="F236" s="12">
        <f t="shared" si="54"/>
        <v>0</v>
      </c>
      <c r="G236" s="10"/>
      <c r="H236" s="10"/>
      <c r="I236" s="33"/>
      <c r="J236" s="13"/>
      <c r="K236" s="13"/>
      <c r="L236" s="70" t="str">
        <f t="shared" si="55"/>
        <v/>
      </c>
      <c r="M236" s="29"/>
      <c r="N236" s="30"/>
    </row>
    <row r="237" spans="1:14" ht="15" customHeight="1">
      <c r="A237" s="59">
        <v>46182</v>
      </c>
      <c r="B237" s="15">
        <f t="shared" si="56"/>
        <v>1.083333333333333</v>
      </c>
      <c r="C237" s="16" t="s">
        <v>45</v>
      </c>
      <c r="D237" s="16"/>
      <c r="E237" s="11">
        <v>0</v>
      </c>
      <c r="F237" s="17">
        <f t="shared" si="54"/>
        <v>0</v>
      </c>
      <c r="G237" s="16"/>
      <c r="H237" s="16"/>
      <c r="I237" s="16"/>
      <c r="J237" s="13"/>
      <c r="K237" s="13"/>
      <c r="L237" s="71" t="str">
        <f t="shared" si="55"/>
        <v/>
      </c>
      <c r="M237" s="29"/>
      <c r="N237" s="30"/>
    </row>
    <row r="238" spans="1:14" ht="15" customHeight="1">
      <c r="A238" s="58">
        <v>46182</v>
      </c>
      <c r="B238" s="9">
        <f t="shared" si="56"/>
        <v>1.1249999999999998</v>
      </c>
      <c r="C238" s="32" t="s">
        <v>45</v>
      </c>
      <c r="D238" s="10"/>
      <c r="E238" s="11">
        <v>0</v>
      </c>
      <c r="F238" s="12">
        <f t="shared" si="54"/>
        <v>0</v>
      </c>
      <c r="G238" s="10"/>
      <c r="H238" s="10"/>
      <c r="I238" s="33"/>
      <c r="J238" s="13"/>
      <c r="K238" s="13"/>
      <c r="L238" s="70" t="str">
        <f t="shared" si="55"/>
        <v/>
      </c>
      <c r="M238" s="29"/>
      <c r="N238" s="30"/>
    </row>
    <row r="239" spans="1:14" ht="15" customHeight="1">
      <c r="A239" s="59">
        <v>46182</v>
      </c>
      <c r="B239" s="15">
        <f t="shared" si="56"/>
        <v>1.1666666666666665</v>
      </c>
      <c r="C239" s="16" t="s">
        <v>45</v>
      </c>
      <c r="D239" s="16"/>
      <c r="E239" s="11">
        <v>0</v>
      </c>
      <c r="F239" s="17">
        <f t="shared" si="54"/>
        <v>0</v>
      </c>
      <c r="G239" s="16"/>
      <c r="H239" s="16"/>
      <c r="I239" s="16"/>
      <c r="J239" s="13"/>
      <c r="K239" s="13"/>
      <c r="L239" s="71" t="str">
        <f t="shared" si="55"/>
        <v/>
      </c>
      <c r="M239" s="29"/>
      <c r="N239" s="30"/>
    </row>
    <row r="240" spans="1:14" ht="15" customHeight="1">
      <c r="A240" s="58">
        <v>46182</v>
      </c>
      <c r="B240" s="9">
        <f t="shared" si="56"/>
        <v>1.2083333333333333</v>
      </c>
      <c r="C240" s="32" t="s">
        <v>45</v>
      </c>
      <c r="D240" s="10"/>
      <c r="E240" s="11">
        <v>0</v>
      </c>
      <c r="F240" s="12">
        <f t="shared" si="54"/>
        <v>0</v>
      </c>
      <c r="G240" s="10"/>
      <c r="H240" s="10"/>
      <c r="I240" s="33"/>
      <c r="J240" s="13"/>
      <c r="K240" s="13"/>
      <c r="L240" s="70" t="str">
        <f t="shared" si="55"/>
        <v/>
      </c>
      <c r="M240" s="29"/>
      <c r="N240" s="30"/>
    </row>
    <row r="241" spans="1:14" ht="15" customHeight="1">
      <c r="A241" s="59">
        <v>46182</v>
      </c>
      <c r="B241" s="15">
        <f t="shared" si="56"/>
        <v>1.25</v>
      </c>
      <c r="C241" s="16" t="s">
        <v>45</v>
      </c>
      <c r="D241" s="16"/>
      <c r="E241" s="11">
        <v>0</v>
      </c>
      <c r="F241" s="17">
        <f t="shared" si="54"/>
        <v>0</v>
      </c>
      <c r="G241" s="16"/>
      <c r="H241" s="16"/>
      <c r="I241" s="16"/>
      <c r="J241" s="13"/>
      <c r="K241" s="13"/>
      <c r="L241" s="71" t="str">
        <f t="shared" si="55"/>
        <v/>
      </c>
      <c r="M241" s="29"/>
      <c r="N241" s="30"/>
    </row>
    <row r="242" spans="1:14" ht="15" customHeight="1">
      <c r="A242" s="58">
        <v>46182</v>
      </c>
      <c r="B242" s="9">
        <f t="shared" si="56"/>
        <v>1.2916666666666667</v>
      </c>
      <c r="C242" s="32" t="s">
        <v>45</v>
      </c>
      <c r="D242" s="10"/>
      <c r="E242" s="11">
        <v>0</v>
      </c>
      <c r="F242" s="12">
        <f t="shared" si="54"/>
        <v>0</v>
      </c>
      <c r="G242" s="10"/>
      <c r="H242" s="10"/>
      <c r="I242" s="33"/>
      <c r="J242" s="13"/>
      <c r="K242" s="13"/>
      <c r="L242" s="70" t="str">
        <f t="shared" si="55"/>
        <v/>
      </c>
      <c r="M242" s="29"/>
      <c r="N242" s="30"/>
    </row>
    <row r="243" spans="1:14" ht="15.75" customHeight="1">
      <c r="A243" s="97" t="s">
        <v>193</v>
      </c>
      <c r="B243" s="97"/>
      <c r="C243" s="97"/>
      <c r="D243" s="97"/>
      <c r="E243" s="19">
        <f>SUM(E231:E242)</f>
        <v>0</v>
      </c>
      <c r="F243" s="19">
        <f>SUM(F231:F242)</f>
        <v>0</v>
      </c>
      <c r="G243" s="18"/>
      <c r="H243" s="18"/>
      <c r="I243" s="18"/>
      <c r="J243" s="18"/>
      <c r="K243" s="18"/>
      <c r="L243" s="72">
        <f>IFERROR(SUM(L231:L242),"")</f>
        <v>0.5</v>
      </c>
      <c r="M243" s="19" t="s">
        <v>192</v>
      </c>
      <c r="N243" s="20">
        <v>0</v>
      </c>
    </row>
    <row r="244" spans="1:14" ht="18" customHeight="1">
      <c r="A244" s="98" t="s">
        <v>194</v>
      </c>
      <c r="B244" s="98"/>
      <c r="C244" s="98"/>
      <c r="D244" s="98"/>
      <c r="E244" s="22">
        <f>E230+E243</f>
        <v>0</v>
      </c>
      <c r="F244" s="22">
        <f>F230+F243</f>
        <v>0</v>
      </c>
      <c r="G244" s="21"/>
      <c r="H244" s="21"/>
      <c r="I244" s="21"/>
      <c r="J244" s="21"/>
      <c r="K244" s="21"/>
      <c r="L244" s="73">
        <f>IFERROR(L230+L243,"")</f>
        <v>1</v>
      </c>
      <c r="M244" s="22" t="s">
        <v>195</v>
      </c>
      <c r="N244" s="31">
        <f>IFERROR(N230+N243,"")</f>
        <v>0</v>
      </c>
    </row>
    <row r="245" spans="1:14" ht="15" customHeight="1">
      <c r="A245" s="59">
        <v>46183</v>
      </c>
      <c r="B245" s="15">
        <v>0.33333333333333331</v>
      </c>
      <c r="C245" s="16" t="s">
        <v>29</v>
      </c>
      <c r="D245" s="16" t="s">
        <v>30</v>
      </c>
      <c r="E245" s="11">
        <v>0</v>
      </c>
      <c r="F245" s="17">
        <f t="shared" ref="F245:F256" si="57">IF(E245="","",E245*5)</f>
        <v>0</v>
      </c>
      <c r="G245" s="16" t="s">
        <v>18</v>
      </c>
      <c r="H245" s="16" t="s">
        <v>23</v>
      </c>
      <c r="I245" s="16" t="s">
        <v>145</v>
      </c>
      <c r="J245" s="13">
        <v>0.29166666666666702</v>
      </c>
      <c r="K245" s="13">
        <v>0.61805555555555558</v>
      </c>
      <c r="L245" s="71">
        <f t="shared" ref="L245:L256" si="58">IFERROR(IF(K245="","",IF(K245&gt;=J245,K245-J245,K245+1-J245)),"")</f>
        <v>0.32638888888888856</v>
      </c>
      <c r="M245" s="29"/>
      <c r="N245" s="30"/>
    </row>
    <row r="246" spans="1:14" ht="15" customHeight="1">
      <c r="A246" s="58">
        <v>46183</v>
      </c>
      <c r="B246" s="9">
        <f t="shared" ref="B246:B256" si="59">B245+TIME(0,60,0)</f>
        <v>0.375</v>
      </c>
      <c r="C246" s="32" t="s">
        <v>29</v>
      </c>
      <c r="D246" s="16" t="s">
        <v>30</v>
      </c>
      <c r="E246" s="11">
        <v>0</v>
      </c>
      <c r="F246" s="12">
        <f t="shared" si="57"/>
        <v>0</v>
      </c>
      <c r="G246" s="10" t="s">
        <v>18</v>
      </c>
      <c r="H246" s="10" t="s">
        <v>23</v>
      </c>
      <c r="I246" s="10" t="s">
        <v>148</v>
      </c>
      <c r="J246" s="13">
        <v>0.64583333333333337</v>
      </c>
      <c r="K246" s="13">
        <v>0.68541666666666667</v>
      </c>
      <c r="L246" s="70">
        <f t="shared" si="58"/>
        <v>3.9583333333333304E-2</v>
      </c>
      <c r="M246" s="29"/>
      <c r="N246" s="30"/>
    </row>
    <row r="247" spans="1:14" ht="15" customHeight="1">
      <c r="A247" s="59">
        <v>46183</v>
      </c>
      <c r="B247" s="15">
        <f t="shared" si="59"/>
        <v>0.41666666666666669</v>
      </c>
      <c r="C247" s="16" t="s">
        <v>29</v>
      </c>
      <c r="D247" s="16" t="s">
        <v>30</v>
      </c>
      <c r="E247" s="11">
        <v>0</v>
      </c>
      <c r="F247" s="17">
        <f t="shared" si="57"/>
        <v>0</v>
      </c>
      <c r="G247" s="10"/>
      <c r="H247" s="16"/>
      <c r="I247" s="10"/>
      <c r="J247" s="13"/>
      <c r="K247" s="13"/>
      <c r="L247" s="71" t="str">
        <f t="shared" si="58"/>
        <v/>
      </c>
      <c r="M247" s="29"/>
      <c r="N247" s="30"/>
    </row>
    <row r="248" spans="1:14" ht="15" customHeight="1">
      <c r="A248" s="58">
        <v>46183</v>
      </c>
      <c r="B248" s="9">
        <f t="shared" si="59"/>
        <v>0.45833333333333337</v>
      </c>
      <c r="C248" s="32" t="s">
        <v>29</v>
      </c>
      <c r="D248" s="16" t="s">
        <v>30</v>
      </c>
      <c r="E248" s="11">
        <v>0</v>
      </c>
      <c r="F248" s="12">
        <f t="shared" si="57"/>
        <v>0</v>
      </c>
      <c r="G248" s="10"/>
      <c r="H248" s="10" t="s">
        <v>151</v>
      </c>
      <c r="I248" s="10"/>
      <c r="J248" s="13"/>
      <c r="K248" s="13"/>
      <c r="L248" s="70" t="str">
        <f t="shared" si="58"/>
        <v/>
      </c>
      <c r="M248" s="29"/>
      <c r="N248" s="30"/>
    </row>
    <row r="249" spans="1:14" ht="15" customHeight="1">
      <c r="A249" s="59">
        <v>46183</v>
      </c>
      <c r="B249" s="15">
        <f t="shared" si="59"/>
        <v>0.5</v>
      </c>
      <c r="C249" s="16" t="s">
        <v>29</v>
      </c>
      <c r="D249" s="16" t="s">
        <v>30</v>
      </c>
      <c r="E249" s="11">
        <v>0</v>
      </c>
      <c r="F249" s="17">
        <f t="shared" si="57"/>
        <v>0</v>
      </c>
      <c r="G249" s="16"/>
      <c r="H249" s="16"/>
      <c r="I249" s="16"/>
      <c r="J249" s="13"/>
      <c r="K249" s="13"/>
      <c r="L249" s="71" t="str">
        <f t="shared" si="58"/>
        <v/>
      </c>
      <c r="M249" s="29"/>
      <c r="N249" s="30"/>
    </row>
    <row r="250" spans="1:14" ht="15" customHeight="1">
      <c r="A250" s="58">
        <v>46183</v>
      </c>
      <c r="B250" s="9">
        <f t="shared" si="59"/>
        <v>0.54166666666666663</v>
      </c>
      <c r="C250" s="32" t="s">
        <v>29</v>
      </c>
      <c r="D250" s="16" t="s">
        <v>30</v>
      </c>
      <c r="E250" s="11">
        <v>0</v>
      </c>
      <c r="F250" s="12">
        <f t="shared" si="57"/>
        <v>0</v>
      </c>
      <c r="G250" s="10"/>
      <c r="H250" s="10"/>
      <c r="I250" s="10"/>
      <c r="J250" s="13"/>
      <c r="K250" s="13"/>
      <c r="L250" s="70" t="str">
        <f t="shared" si="58"/>
        <v/>
      </c>
      <c r="M250" s="29"/>
      <c r="N250" s="30"/>
    </row>
    <row r="251" spans="1:14" ht="15" customHeight="1">
      <c r="A251" s="59">
        <v>46183</v>
      </c>
      <c r="B251" s="15">
        <f t="shared" si="59"/>
        <v>0.58333333333333326</v>
      </c>
      <c r="C251" s="16" t="s">
        <v>29</v>
      </c>
      <c r="D251" s="16" t="s">
        <v>30</v>
      </c>
      <c r="E251" s="11">
        <v>0</v>
      </c>
      <c r="F251" s="17">
        <f t="shared" si="57"/>
        <v>0</v>
      </c>
      <c r="G251" s="16"/>
      <c r="H251" s="16"/>
      <c r="I251" s="16"/>
      <c r="J251" s="13"/>
      <c r="K251" s="13"/>
      <c r="L251" s="71" t="str">
        <f t="shared" si="58"/>
        <v/>
      </c>
      <c r="M251" s="29"/>
      <c r="N251" s="30"/>
    </row>
    <row r="252" spans="1:14" ht="15" customHeight="1">
      <c r="A252" s="58">
        <v>46183</v>
      </c>
      <c r="B252" s="9">
        <f t="shared" si="59"/>
        <v>0.62499999999999989</v>
      </c>
      <c r="C252" s="32" t="s">
        <v>29</v>
      </c>
      <c r="D252" s="16" t="s">
        <v>30</v>
      </c>
      <c r="E252" s="11">
        <v>0</v>
      </c>
      <c r="F252" s="12">
        <f t="shared" si="57"/>
        <v>0</v>
      </c>
      <c r="G252" s="10"/>
      <c r="H252" s="10"/>
      <c r="I252" s="10"/>
      <c r="J252" s="13"/>
      <c r="K252" s="13"/>
      <c r="L252" s="70" t="str">
        <f t="shared" si="58"/>
        <v/>
      </c>
      <c r="M252" s="29"/>
      <c r="N252" s="30"/>
    </row>
    <row r="253" spans="1:14" ht="15" customHeight="1">
      <c r="A253" s="59">
        <v>46183</v>
      </c>
      <c r="B253" s="15">
        <f t="shared" si="59"/>
        <v>0.66666666666666652</v>
      </c>
      <c r="C253" s="16" t="s">
        <v>29</v>
      </c>
      <c r="D253" s="16" t="s">
        <v>30</v>
      </c>
      <c r="E253" s="11">
        <v>0</v>
      </c>
      <c r="F253" s="17">
        <f t="shared" si="57"/>
        <v>0</v>
      </c>
      <c r="G253" s="16"/>
      <c r="H253" s="16"/>
      <c r="I253" s="16"/>
      <c r="J253" s="13"/>
      <c r="K253" s="13"/>
      <c r="L253" s="71" t="str">
        <f t="shared" si="58"/>
        <v/>
      </c>
      <c r="M253" s="29"/>
      <c r="N253" s="30"/>
    </row>
    <row r="254" spans="1:14" ht="15" customHeight="1">
      <c r="A254" s="58">
        <v>46183</v>
      </c>
      <c r="B254" s="9">
        <f t="shared" si="59"/>
        <v>0.70833333333333315</v>
      </c>
      <c r="C254" s="32" t="s">
        <v>29</v>
      </c>
      <c r="D254" s="16" t="s">
        <v>30</v>
      </c>
      <c r="E254" s="11">
        <v>25</v>
      </c>
      <c r="F254" s="12">
        <f t="shared" si="57"/>
        <v>125</v>
      </c>
      <c r="G254" s="10"/>
      <c r="H254" s="10"/>
      <c r="I254" s="10"/>
      <c r="J254" s="13"/>
      <c r="K254" s="13"/>
      <c r="L254" s="70" t="str">
        <f t="shared" si="58"/>
        <v/>
      </c>
      <c r="M254" s="29"/>
      <c r="N254" s="30"/>
    </row>
    <row r="255" spans="1:14" ht="15" customHeight="1">
      <c r="A255" s="59">
        <v>46183</v>
      </c>
      <c r="B255" s="15">
        <f t="shared" si="59"/>
        <v>0.74999999999999978</v>
      </c>
      <c r="C255" s="16" t="s">
        <v>29</v>
      </c>
      <c r="D255" s="16" t="s">
        <v>30</v>
      </c>
      <c r="E255" s="11">
        <v>35</v>
      </c>
      <c r="F255" s="17">
        <f t="shared" si="57"/>
        <v>175</v>
      </c>
      <c r="G255" s="16"/>
      <c r="H255" s="16"/>
      <c r="I255" s="16"/>
      <c r="J255" s="13"/>
      <c r="K255" s="13"/>
      <c r="L255" s="71" t="str">
        <f t="shared" si="58"/>
        <v/>
      </c>
      <c r="M255" s="29"/>
      <c r="N255" s="30"/>
    </row>
    <row r="256" spans="1:14" ht="15" customHeight="1">
      <c r="A256" s="58">
        <v>46183</v>
      </c>
      <c r="B256" s="9">
        <f t="shared" si="59"/>
        <v>0.79166666666666641</v>
      </c>
      <c r="C256" s="10" t="s">
        <v>29</v>
      </c>
      <c r="D256" s="10" t="s">
        <v>30</v>
      </c>
      <c r="E256" s="11">
        <v>23</v>
      </c>
      <c r="F256" s="12">
        <f t="shared" si="57"/>
        <v>115</v>
      </c>
      <c r="G256" s="10"/>
      <c r="H256" s="10"/>
      <c r="I256" s="10"/>
      <c r="J256" s="13"/>
      <c r="K256" s="13"/>
      <c r="L256" s="70" t="str">
        <f t="shared" si="58"/>
        <v/>
      </c>
      <c r="M256" s="29"/>
      <c r="N256" s="30"/>
    </row>
    <row r="257" spans="1:14" ht="15.75" customHeight="1">
      <c r="A257" s="97" t="s">
        <v>191</v>
      </c>
      <c r="B257" s="97"/>
      <c r="C257" s="97"/>
      <c r="D257" s="97"/>
      <c r="E257" s="19">
        <f>SUM(E245:E256)</f>
        <v>83</v>
      </c>
      <c r="F257" s="19">
        <f>SUM(F245:F256)</f>
        <v>415</v>
      </c>
      <c r="G257" s="18"/>
      <c r="H257" s="18"/>
      <c r="I257" s="18"/>
      <c r="J257" s="18"/>
      <c r="K257" s="18"/>
      <c r="L257" s="72">
        <f>IFERROR(SUM(L245:L256),"")</f>
        <v>0.36597222222222187</v>
      </c>
      <c r="M257" s="19" t="s">
        <v>192</v>
      </c>
      <c r="N257" s="20">
        <v>452700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10</v>
      </c>
      <c r="F258" s="12">
        <f t="shared" ref="F258:F269" si="60">IF(E258="","",E258*5)</f>
        <v>50</v>
      </c>
      <c r="G258" s="10" t="s">
        <v>17</v>
      </c>
      <c r="H258" s="10"/>
      <c r="I258" s="10" t="s">
        <v>25</v>
      </c>
      <c r="J258" s="13">
        <v>0.92013888888888884</v>
      </c>
      <c r="K258" s="13">
        <v>0.15138888888888888</v>
      </c>
      <c r="L258" s="70">
        <f t="shared" ref="L258:L269" si="61">IFERROR(IF(K258="","",IF(K258&gt;=J258,K258-J258,K258+1-J258)),"")</f>
        <v>0.23124999999999996</v>
      </c>
      <c r="M258" s="29"/>
      <c r="N258" s="30"/>
    </row>
    <row r="259" spans="1:14" ht="15" customHeight="1">
      <c r="A259" s="59">
        <v>46183</v>
      </c>
      <c r="B259" s="15">
        <f t="shared" ref="B259:B269" si="62">B258+TIME(0,60,0)</f>
        <v>0.87499999999999967</v>
      </c>
      <c r="C259" s="10" t="s">
        <v>45</v>
      </c>
      <c r="D259" s="10" t="s">
        <v>30</v>
      </c>
      <c r="E259" s="11">
        <v>16</v>
      </c>
      <c r="F259" s="17">
        <f t="shared" si="60"/>
        <v>80</v>
      </c>
      <c r="G259" s="16" t="s">
        <v>20</v>
      </c>
      <c r="H259" s="16"/>
      <c r="I259" s="16" t="s">
        <v>62</v>
      </c>
      <c r="J259" s="13">
        <v>0.26597222222222222</v>
      </c>
      <c r="K259" s="13">
        <v>0.29166666666666669</v>
      </c>
      <c r="L259" s="71">
        <f t="shared" si="61"/>
        <v>2.5694444444444464E-2</v>
      </c>
      <c r="M259" s="29"/>
      <c r="N259" s="30"/>
    </row>
    <row r="260" spans="1:14" ht="15" customHeight="1">
      <c r="A260" s="58">
        <v>46183</v>
      </c>
      <c r="B260" s="9">
        <f t="shared" si="62"/>
        <v>0.9166666666666663</v>
      </c>
      <c r="C260" s="10" t="s">
        <v>45</v>
      </c>
      <c r="D260" s="10" t="s">
        <v>30</v>
      </c>
      <c r="E260" s="11">
        <v>30</v>
      </c>
      <c r="F260" s="12">
        <f t="shared" si="60"/>
        <v>150</v>
      </c>
      <c r="G260" s="10"/>
      <c r="H260" s="10"/>
      <c r="I260" s="10"/>
      <c r="J260" s="13"/>
      <c r="K260" s="13"/>
      <c r="L260" s="70" t="str">
        <f t="shared" si="61"/>
        <v/>
      </c>
      <c r="M260" s="11"/>
      <c r="N260" s="30"/>
    </row>
    <row r="261" spans="1:14" ht="15" customHeight="1">
      <c r="A261" s="59">
        <v>46183</v>
      </c>
      <c r="B261" s="15">
        <f t="shared" si="62"/>
        <v>0.95833333333333293</v>
      </c>
      <c r="C261" s="10" t="s">
        <v>45</v>
      </c>
      <c r="D261" s="10" t="s">
        <v>30</v>
      </c>
      <c r="E261" s="11">
        <v>0</v>
      </c>
      <c r="F261" s="17">
        <f t="shared" si="60"/>
        <v>0</v>
      </c>
      <c r="G261" s="10"/>
      <c r="H261" s="16"/>
      <c r="I261" s="10"/>
      <c r="J261" s="13"/>
      <c r="K261" s="13"/>
      <c r="L261" s="71" t="str">
        <f t="shared" si="61"/>
        <v/>
      </c>
      <c r="M261" s="29"/>
      <c r="N261" s="30"/>
    </row>
    <row r="262" spans="1:14" ht="15" customHeight="1">
      <c r="A262" s="58">
        <v>46183</v>
      </c>
      <c r="B262" s="9">
        <f t="shared" si="62"/>
        <v>0.99999999999999956</v>
      </c>
      <c r="C262" s="10" t="s">
        <v>45</v>
      </c>
      <c r="D262" s="10" t="s">
        <v>30</v>
      </c>
      <c r="E262" s="11">
        <v>0</v>
      </c>
      <c r="F262" s="12">
        <f t="shared" si="60"/>
        <v>0</v>
      </c>
      <c r="G262" s="10"/>
      <c r="H262" s="10"/>
      <c r="I262" s="10"/>
      <c r="J262" s="13"/>
      <c r="K262" s="13"/>
      <c r="L262" s="70" t="str">
        <f t="shared" si="61"/>
        <v/>
      </c>
      <c r="M262" s="11"/>
      <c r="N262" s="30"/>
    </row>
    <row r="263" spans="1:14" ht="15" customHeight="1">
      <c r="A263" s="59">
        <v>46183</v>
      </c>
      <c r="B263" s="15">
        <f t="shared" si="62"/>
        <v>1.0416666666666663</v>
      </c>
      <c r="C263" s="10" t="s">
        <v>45</v>
      </c>
      <c r="D263" s="10" t="s">
        <v>30</v>
      </c>
      <c r="E263" s="11">
        <v>0</v>
      </c>
      <c r="F263" s="17">
        <f t="shared" si="60"/>
        <v>0</v>
      </c>
      <c r="G263" s="10"/>
      <c r="H263" s="16"/>
      <c r="I263" s="10"/>
      <c r="J263" s="13"/>
      <c r="K263" s="13"/>
      <c r="L263" s="71" t="str">
        <f t="shared" si="61"/>
        <v/>
      </c>
      <c r="M263" s="29"/>
      <c r="N263" s="30"/>
    </row>
    <row r="264" spans="1:14" ht="15" customHeight="1">
      <c r="A264" s="58">
        <v>46183</v>
      </c>
      <c r="B264" s="9">
        <f t="shared" si="62"/>
        <v>1.083333333333333</v>
      </c>
      <c r="C264" s="10" t="s">
        <v>45</v>
      </c>
      <c r="D264" s="10" t="s">
        <v>30</v>
      </c>
      <c r="E264" s="11">
        <v>0</v>
      </c>
      <c r="F264" s="12">
        <f t="shared" si="60"/>
        <v>0</v>
      </c>
      <c r="G264" s="10"/>
      <c r="H264" s="10"/>
      <c r="I264" s="10"/>
      <c r="J264" s="13"/>
      <c r="K264" s="13"/>
      <c r="L264" s="70" t="str">
        <f t="shared" si="61"/>
        <v/>
      </c>
      <c r="M264" s="29"/>
      <c r="N264" s="30"/>
    </row>
    <row r="265" spans="1:14" ht="15" customHeight="1">
      <c r="A265" s="59">
        <v>46183</v>
      </c>
      <c r="B265" s="15">
        <f t="shared" si="62"/>
        <v>1.1249999999999998</v>
      </c>
      <c r="C265" s="10" t="s">
        <v>45</v>
      </c>
      <c r="D265" s="10" t="s">
        <v>30</v>
      </c>
      <c r="E265" s="11">
        <v>0</v>
      </c>
      <c r="F265" s="17">
        <f t="shared" si="60"/>
        <v>0</v>
      </c>
      <c r="G265" s="10"/>
      <c r="H265" s="16"/>
      <c r="I265" s="10"/>
      <c r="J265" s="13"/>
      <c r="K265" s="13"/>
      <c r="L265" s="71" t="str">
        <f t="shared" si="61"/>
        <v/>
      </c>
      <c r="M265" s="11"/>
      <c r="N265" s="30"/>
    </row>
    <row r="266" spans="1:14" ht="15" customHeight="1">
      <c r="A266" s="58">
        <v>46183</v>
      </c>
      <c r="B266" s="9">
        <f t="shared" si="62"/>
        <v>1.1666666666666665</v>
      </c>
      <c r="C266" s="10" t="s">
        <v>45</v>
      </c>
      <c r="D266" s="10" t="s">
        <v>30</v>
      </c>
      <c r="E266" s="11">
        <v>25</v>
      </c>
      <c r="F266" s="12">
        <f t="shared" si="60"/>
        <v>125</v>
      </c>
      <c r="G266" s="10"/>
      <c r="H266" s="10"/>
      <c r="I266" s="10"/>
      <c r="J266" s="13"/>
      <c r="K266" s="13"/>
      <c r="L266" s="70" t="str">
        <f t="shared" si="61"/>
        <v/>
      </c>
      <c r="M266" s="29"/>
      <c r="N266" s="30"/>
    </row>
    <row r="267" spans="1:14" ht="15" customHeight="1">
      <c r="A267" s="59">
        <v>46183</v>
      </c>
      <c r="B267" s="15">
        <f t="shared" si="62"/>
        <v>1.2083333333333333</v>
      </c>
      <c r="C267" s="10" t="s">
        <v>45</v>
      </c>
      <c r="D267" s="10" t="s">
        <v>30</v>
      </c>
      <c r="E267" s="11">
        <v>5</v>
      </c>
      <c r="F267" s="17">
        <f t="shared" si="60"/>
        <v>25</v>
      </c>
      <c r="G267" s="16"/>
      <c r="H267" s="16"/>
      <c r="I267" s="16"/>
      <c r="J267" s="13"/>
      <c r="K267" s="13"/>
      <c r="L267" s="71" t="str">
        <f t="shared" si="61"/>
        <v/>
      </c>
      <c r="M267" s="29"/>
      <c r="N267" s="30"/>
    </row>
    <row r="268" spans="1:14" ht="15" customHeight="1">
      <c r="A268" s="58">
        <v>46183</v>
      </c>
      <c r="B268" s="9">
        <f t="shared" si="62"/>
        <v>1.25</v>
      </c>
      <c r="C268" s="10" t="s">
        <v>45</v>
      </c>
      <c r="D268" s="10" t="s">
        <v>30</v>
      </c>
      <c r="E268" s="11">
        <v>13</v>
      </c>
      <c r="F268" s="12">
        <f t="shared" si="60"/>
        <v>65</v>
      </c>
      <c r="G268" s="10"/>
      <c r="H268" s="10"/>
      <c r="I268" s="10"/>
      <c r="J268" s="13"/>
      <c r="K268" s="13"/>
      <c r="L268" s="70" t="str">
        <f t="shared" si="61"/>
        <v/>
      </c>
      <c r="M268" s="29"/>
      <c r="N268" s="30"/>
    </row>
    <row r="269" spans="1:14" ht="15" customHeight="1">
      <c r="A269" s="59">
        <v>46183</v>
      </c>
      <c r="B269" s="15">
        <f t="shared" si="62"/>
        <v>1.2916666666666667</v>
      </c>
      <c r="C269" s="10" t="s">
        <v>45</v>
      </c>
      <c r="D269" s="10" t="s">
        <v>30</v>
      </c>
      <c r="E269" s="11">
        <v>10</v>
      </c>
      <c r="F269" s="17">
        <f t="shared" si="60"/>
        <v>50</v>
      </c>
      <c r="G269" s="16"/>
      <c r="H269" s="16"/>
      <c r="I269" s="16"/>
      <c r="J269" s="13"/>
      <c r="K269" s="13"/>
      <c r="L269" s="71" t="str">
        <f t="shared" si="61"/>
        <v/>
      </c>
      <c r="M269" s="29"/>
      <c r="N269" s="30"/>
    </row>
    <row r="270" spans="1:14" ht="15.75" customHeight="1">
      <c r="A270" s="97" t="s">
        <v>193</v>
      </c>
      <c r="B270" s="97"/>
      <c r="C270" s="97"/>
      <c r="D270" s="97"/>
      <c r="E270" s="19">
        <f>SUM(E258:E269)</f>
        <v>109</v>
      </c>
      <c r="F270" s="19">
        <f>SUM(F258:F269)</f>
        <v>545</v>
      </c>
      <c r="G270" s="18"/>
      <c r="H270" s="18"/>
      <c r="I270" s="18"/>
      <c r="J270" s="18"/>
      <c r="K270" s="18"/>
      <c r="L270" s="72">
        <f>IFERROR(SUM(L258:L269),"")</f>
        <v>0.25694444444444442</v>
      </c>
      <c r="M270" s="19" t="s">
        <v>192</v>
      </c>
      <c r="N270" s="20">
        <f>346400+269080</f>
        <v>615480</v>
      </c>
    </row>
    <row r="271" spans="1:14" ht="18" customHeight="1">
      <c r="A271" s="98" t="s">
        <v>194</v>
      </c>
      <c r="B271" s="98"/>
      <c r="C271" s="98"/>
      <c r="D271" s="98"/>
      <c r="E271" s="22">
        <f>E257+E270</f>
        <v>192</v>
      </c>
      <c r="F271" s="22">
        <f>F257+F270</f>
        <v>960</v>
      </c>
      <c r="G271" s="21"/>
      <c r="H271" s="21"/>
      <c r="I271" s="21"/>
      <c r="J271" s="21"/>
      <c r="K271" s="21"/>
      <c r="L271" s="73">
        <f>IFERROR(L257+L270,"")</f>
        <v>0.62291666666666634</v>
      </c>
      <c r="M271" s="22" t="s">
        <v>195</v>
      </c>
      <c r="N271" s="31">
        <f>IFERROR(N257+N270,"")</f>
        <v>1068180</v>
      </c>
    </row>
    <row r="272" spans="1:14" ht="15" customHeight="1">
      <c r="A272" s="58">
        <v>46184</v>
      </c>
      <c r="B272" s="9">
        <v>0.33333333333333331</v>
      </c>
      <c r="C272" s="10" t="s">
        <v>29</v>
      </c>
      <c r="D272" s="10" t="s">
        <v>30</v>
      </c>
      <c r="E272" s="11">
        <v>0</v>
      </c>
      <c r="F272" s="12">
        <f t="shared" ref="F272:F283" si="63">IF(E272="","",E272*5)</f>
        <v>0</v>
      </c>
      <c r="G272" s="10" t="s">
        <v>16</v>
      </c>
      <c r="H272" s="10" t="s">
        <v>23</v>
      </c>
      <c r="I272" s="10" t="s">
        <v>40</v>
      </c>
      <c r="J272" s="13">
        <v>0.29166666666666669</v>
      </c>
      <c r="K272" s="13">
        <v>0.33333333333333331</v>
      </c>
      <c r="L272" s="70">
        <f t="shared" ref="L272:L283" si="64">IFERROR(IF(K272="","",IF(K272&gt;=J272,K272-J272,K272+1-J272)),"")</f>
        <v>4.166666666666663E-2</v>
      </c>
      <c r="M272" s="29"/>
      <c r="N272" s="30"/>
    </row>
    <row r="273" spans="1:14" ht="15" customHeight="1">
      <c r="A273" s="59">
        <v>46184</v>
      </c>
      <c r="B273" s="15">
        <f t="shared" ref="B273:B283" si="65">B272+TIME(0,60,0)</f>
        <v>0.375</v>
      </c>
      <c r="C273" s="10" t="s">
        <v>29</v>
      </c>
      <c r="D273" s="10" t="s">
        <v>22</v>
      </c>
      <c r="E273" s="11">
        <v>27</v>
      </c>
      <c r="F273" s="17">
        <f t="shared" si="63"/>
        <v>135</v>
      </c>
      <c r="G273" s="16" t="s">
        <v>20</v>
      </c>
      <c r="H273" s="16" t="s">
        <v>23</v>
      </c>
      <c r="I273" s="16" t="s">
        <v>129</v>
      </c>
      <c r="J273" s="13">
        <v>0.4201388888888889</v>
      </c>
      <c r="K273" s="13">
        <v>0.45277777777777778</v>
      </c>
      <c r="L273" s="71">
        <f t="shared" si="64"/>
        <v>3.2638888888888884E-2</v>
      </c>
      <c r="M273" s="29" t="s">
        <v>201</v>
      </c>
      <c r="N273" s="30"/>
    </row>
    <row r="274" spans="1:14" ht="15" customHeight="1">
      <c r="A274" s="58">
        <v>46184</v>
      </c>
      <c r="B274" s="9">
        <f t="shared" si="65"/>
        <v>0.41666666666666669</v>
      </c>
      <c r="C274" s="10" t="s">
        <v>29</v>
      </c>
      <c r="D274" s="10" t="s">
        <v>22</v>
      </c>
      <c r="E274" s="11">
        <v>14</v>
      </c>
      <c r="F274" s="12">
        <f t="shared" si="63"/>
        <v>70</v>
      </c>
      <c r="G274" s="10"/>
      <c r="H274" s="10"/>
      <c r="I274" s="10"/>
      <c r="J274" s="13"/>
      <c r="K274" s="13"/>
      <c r="L274" s="70" t="str">
        <f t="shared" si="64"/>
        <v/>
      </c>
      <c r="M274" s="29"/>
      <c r="N274" s="30"/>
    </row>
    <row r="275" spans="1:14" ht="15" customHeight="1">
      <c r="A275" s="59">
        <v>46184</v>
      </c>
      <c r="B275" s="15">
        <f t="shared" si="65"/>
        <v>0.45833333333333337</v>
      </c>
      <c r="C275" s="10" t="s">
        <v>29</v>
      </c>
      <c r="D275" s="10" t="s">
        <v>22</v>
      </c>
      <c r="E275" s="11">
        <v>11</v>
      </c>
      <c r="F275" s="17">
        <f t="shared" si="63"/>
        <v>55</v>
      </c>
      <c r="G275" s="16"/>
      <c r="H275" s="16"/>
      <c r="I275" s="16"/>
      <c r="J275" s="13"/>
      <c r="K275" s="13"/>
      <c r="L275" s="71" t="str">
        <f t="shared" si="64"/>
        <v/>
      </c>
      <c r="M275" s="29"/>
      <c r="N275" s="30"/>
    </row>
    <row r="276" spans="1:14" ht="15" customHeight="1">
      <c r="A276" s="58">
        <v>46184</v>
      </c>
      <c r="B276" s="9">
        <f t="shared" si="65"/>
        <v>0.5</v>
      </c>
      <c r="C276" s="10" t="s">
        <v>29</v>
      </c>
      <c r="D276" s="10" t="s">
        <v>22</v>
      </c>
      <c r="E276" s="11">
        <v>5</v>
      </c>
      <c r="F276" s="12">
        <f t="shared" si="63"/>
        <v>25</v>
      </c>
      <c r="G276" s="10"/>
      <c r="H276" s="10"/>
      <c r="I276" s="10"/>
      <c r="J276" s="13"/>
      <c r="K276" s="13"/>
      <c r="L276" s="70" t="str">
        <f t="shared" si="64"/>
        <v/>
      </c>
      <c r="M276" s="29"/>
      <c r="N276" s="30"/>
    </row>
    <row r="277" spans="1:14" ht="15" customHeight="1">
      <c r="A277" s="59">
        <v>46184</v>
      </c>
      <c r="B277" s="15">
        <f t="shared" si="65"/>
        <v>0.54166666666666663</v>
      </c>
      <c r="C277" s="10" t="s">
        <v>29</v>
      </c>
      <c r="D277" s="10" t="s">
        <v>22</v>
      </c>
      <c r="E277" s="11">
        <v>28</v>
      </c>
      <c r="F277" s="17">
        <f t="shared" si="63"/>
        <v>140</v>
      </c>
      <c r="G277" s="16"/>
      <c r="H277" s="16"/>
      <c r="I277" s="16"/>
      <c r="J277" s="13"/>
      <c r="K277" s="13"/>
      <c r="L277" s="71" t="str">
        <f t="shared" si="64"/>
        <v/>
      </c>
      <c r="M277" s="29"/>
      <c r="N277" s="30"/>
    </row>
    <row r="278" spans="1:14" ht="15" customHeight="1">
      <c r="A278" s="58">
        <v>46184</v>
      </c>
      <c r="B278" s="9">
        <f t="shared" si="65"/>
        <v>0.58333333333333326</v>
      </c>
      <c r="C278" s="10" t="s">
        <v>29</v>
      </c>
      <c r="D278" s="10" t="s">
        <v>22</v>
      </c>
      <c r="E278" s="11">
        <v>20</v>
      </c>
      <c r="F278" s="12">
        <f t="shared" si="63"/>
        <v>100</v>
      </c>
      <c r="G278" s="10"/>
      <c r="H278" s="10"/>
      <c r="I278" s="10"/>
      <c r="J278" s="13"/>
      <c r="K278" s="13"/>
      <c r="L278" s="70" t="str">
        <f t="shared" si="64"/>
        <v/>
      </c>
      <c r="M278" s="29"/>
      <c r="N278" s="30"/>
    </row>
    <row r="279" spans="1:14" ht="15" customHeight="1">
      <c r="A279" s="59">
        <v>46184</v>
      </c>
      <c r="B279" s="15">
        <f t="shared" si="65"/>
        <v>0.62499999999999989</v>
      </c>
      <c r="C279" s="10" t="s">
        <v>29</v>
      </c>
      <c r="D279" s="10" t="s">
        <v>22</v>
      </c>
      <c r="E279" s="11">
        <v>20</v>
      </c>
      <c r="F279" s="17">
        <f t="shared" si="63"/>
        <v>100</v>
      </c>
      <c r="G279" s="16"/>
      <c r="H279" s="16"/>
      <c r="I279" s="16"/>
      <c r="J279" s="13"/>
      <c r="K279" s="13"/>
      <c r="L279" s="71" t="str">
        <f t="shared" si="64"/>
        <v/>
      </c>
      <c r="M279" s="29"/>
      <c r="N279" s="30"/>
    </row>
    <row r="280" spans="1:14" ht="15" customHeight="1">
      <c r="A280" s="58">
        <v>46184</v>
      </c>
      <c r="B280" s="9">
        <f t="shared" si="65"/>
        <v>0.66666666666666652</v>
      </c>
      <c r="C280" s="10" t="s">
        <v>29</v>
      </c>
      <c r="D280" s="10" t="s">
        <v>22</v>
      </c>
      <c r="E280" s="11">
        <v>10</v>
      </c>
      <c r="F280" s="12">
        <f t="shared" si="63"/>
        <v>50</v>
      </c>
      <c r="G280" s="10"/>
      <c r="H280" s="10"/>
      <c r="I280" s="10"/>
      <c r="J280" s="13"/>
      <c r="K280" s="13"/>
      <c r="L280" s="70" t="str">
        <f t="shared" si="64"/>
        <v/>
      </c>
      <c r="M280" s="29"/>
      <c r="N280" s="30"/>
    </row>
    <row r="281" spans="1:14" ht="15" customHeight="1">
      <c r="A281" s="59">
        <v>46184</v>
      </c>
      <c r="B281" s="15">
        <f t="shared" si="65"/>
        <v>0.70833333333333315</v>
      </c>
      <c r="C281" s="10" t="s">
        <v>29</v>
      </c>
      <c r="D281" s="10" t="s">
        <v>22</v>
      </c>
      <c r="E281" s="11">
        <v>12</v>
      </c>
      <c r="F281" s="17">
        <f t="shared" si="63"/>
        <v>60</v>
      </c>
      <c r="G281" s="16"/>
      <c r="H281" s="16"/>
      <c r="I281" s="16"/>
      <c r="J281" s="13"/>
      <c r="K281" s="13"/>
      <c r="L281" s="71" t="str">
        <f t="shared" si="64"/>
        <v/>
      </c>
      <c r="M281" s="29"/>
      <c r="N281" s="30"/>
    </row>
    <row r="282" spans="1:14" ht="15" customHeight="1">
      <c r="A282" s="58">
        <v>46184</v>
      </c>
      <c r="B282" s="9">
        <f t="shared" si="65"/>
        <v>0.74999999999999978</v>
      </c>
      <c r="C282" s="10" t="s">
        <v>29</v>
      </c>
      <c r="D282" s="10" t="s">
        <v>22</v>
      </c>
      <c r="E282" s="11">
        <v>30</v>
      </c>
      <c r="F282" s="12">
        <f t="shared" si="63"/>
        <v>150</v>
      </c>
      <c r="G282" s="10"/>
      <c r="H282" s="10"/>
      <c r="I282" s="10"/>
      <c r="J282" s="13"/>
      <c r="K282" s="13"/>
      <c r="L282" s="70" t="str">
        <f t="shared" si="64"/>
        <v/>
      </c>
      <c r="M282" s="29"/>
      <c r="N282" s="30"/>
    </row>
    <row r="283" spans="1:14" ht="15" customHeight="1">
      <c r="A283" s="59">
        <v>46184</v>
      </c>
      <c r="B283" s="15">
        <f t="shared" si="65"/>
        <v>0.79166666666666641</v>
      </c>
      <c r="C283" s="10" t="s">
        <v>29</v>
      </c>
      <c r="D283" s="10" t="s">
        <v>22</v>
      </c>
      <c r="E283" s="11">
        <v>20</v>
      </c>
      <c r="F283" s="17">
        <f t="shared" si="63"/>
        <v>100</v>
      </c>
      <c r="G283" s="16"/>
      <c r="H283" s="16"/>
      <c r="I283" s="16"/>
      <c r="J283" s="13"/>
      <c r="K283" s="13"/>
      <c r="L283" s="71" t="str">
        <f t="shared" si="64"/>
        <v/>
      </c>
      <c r="M283" s="29"/>
      <c r="N283" s="30"/>
    </row>
    <row r="284" spans="1:14" ht="15.75" customHeight="1">
      <c r="A284" s="97" t="s">
        <v>191</v>
      </c>
      <c r="B284" s="97"/>
      <c r="C284" s="97"/>
      <c r="D284" s="97"/>
      <c r="E284" s="19">
        <f>SUM(E272:E283)</f>
        <v>197</v>
      </c>
      <c r="F284" s="19">
        <f>SUM(F272:F283)</f>
        <v>985</v>
      </c>
      <c r="G284" s="18"/>
      <c r="H284" s="18"/>
      <c r="I284" s="18"/>
      <c r="J284" s="18"/>
      <c r="K284" s="18"/>
      <c r="L284" s="72">
        <f>IFERROR(SUM(L272:L283),"")</f>
        <v>7.4305555555555514E-2</v>
      </c>
      <c r="M284" s="19" t="s">
        <v>192</v>
      </c>
      <c r="N284" s="20">
        <v>918100</v>
      </c>
    </row>
    <row r="285" spans="1:14" ht="15" customHeight="1">
      <c r="A285" s="59">
        <v>46184</v>
      </c>
      <c r="B285" s="15">
        <v>0.83333333333333337</v>
      </c>
      <c r="C285" s="16" t="s">
        <v>45</v>
      </c>
      <c r="D285" s="16" t="s">
        <v>22</v>
      </c>
      <c r="E285" s="11">
        <v>0</v>
      </c>
      <c r="F285" s="17">
        <f t="shared" ref="F285:F296" si="66">IF(E285="","",E285*5)</f>
        <v>0</v>
      </c>
      <c r="G285" s="16" t="s">
        <v>18</v>
      </c>
      <c r="H285" s="16" t="s">
        <v>23</v>
      </c>
      <c r="I285" s="16" t="s">
        <v>105</v>
      </c>
      <c r="J285" s="13">
        <v>0.15972222222222221</v>
      </c>
      <c r="K285" s="13">
        <v>0.29166666666666669</v>
      </c>
      <c r="L285" s="71">
        <f t="shared" ref="L285:L296" si="67">IFERROR(IF(K285="","",IF(K285&gt;=J285,K285-J285,K285+1-J285)),"")</f>
        <v>0.13194444444444448</v>
      </c>
      <c r="M285" s="29"/>
      <c r="N285" s="30"/>
    </row>
    <row r="286" spans="1:14" ht="15" customHeight="1">
      <c r="A286" s="58">
        <v>46184</v>
      </c>
      <c r="B286" s="9">
        <f t="shared" ref="B286:B296" si="68">B285+TIME(0,60,0)</f>
        <v>0.875</v>
      </c>
      <c r="C286" s="16" t="s">
        <v>45</v>
      </c>
      <c r="D286" s="16" t="s">
        <v>22</v>
      </c>
      <c r="E286" s="11">
        <v>30</v>
      </c>
      <c r="F286" s="12">
        <f t="shared" si="66"/>
        <v>150</v>
      </c>
      <c r="G286" s="10"/>
      <c r="H286" s="10"/>
      <c r="I286" s="10"/>
      <c r="J286" s="13"/>
      <c r="K286" s="13"/>
      <c r="L286" s="70" t="str">
        <f t="shared" si="67"/>
        <v/>
      </c>
      <c r="M286" s="29"/>
      <c r="N286" s="30"/>
    </row>
    <row r="287" spans="1:14" ht="15" customHeight="1">
      <c r="A287" s="59">
        <v>46184</v>
      </c>
      <c r="B287" s="15">
        <f t="shared" si="68"/>
        <v>0.91666666666666663</v>
      </c>
      <c r="C287" s="16" t="s">
        <v>45</v>
      </c>
      <c r="D287" s="16" t="s">
        <v>22</v>
      </c>
      <c r="E287" s="11">
        <v>0</v>
      </c>
      <c r="F287" s="17">
        <f t="shared" si="66"/>
        <v>0</v>
      </c>
      <c r="G287" s="16"/>
      <c r="H287" s="16"/>
      <c r="I287" s="16"/>
      <c r="J287" s="13"/>
      <c r="K287" s="13"/>
      <c r="L287" s="71" t="str">
        <f t="shared" si="67"/>
        <v/>
      </c>
      <c r="M287" s="29"/>
      <c r="N287" s="30"/>
    </row>
    <row r="288" spans="1:14" ht="15" customHeight="1">
      <c r="A288" s="58">
        <v>46184</v>
      </c>
      <c r="B288" s="9">
        <f t="shared" si="68"/>
        <v>0.95833333333333326</v>
      </c>
      <c r="C288" s="16" t="s">
        <v>45</v>
      </c>
      <c r="D288" s="16" t="s">
        <v>22</v>
      </c>
      <c r="E288" s="11">
        <v>20</v>
      </c>
      <c r="F288" s="12">
        <f t="shared" si="66"/>
        <v>100</v>
      </c>
      <c r="G288" s="10"/>
      <c r="H288" s="10"/>
      <c r="I288" s="10"/>
      <c r="J288" s="13"/>
      <c r="K288" s="13"/>
      <c r="L288" s="70" t="str">
        <f t="shared" si="67"/>
        <v/>
      </c>
      <c r="M288" s="29"/>
      <c r="N288" s="30"/>
    </row>
    <row r="289" spans="1:14" ht="15" customHeight="1">
      <c r="A289" s="59">
        <v>46184</v>
      </c>
      <c r="B289" s="15">
        <f t="shared" si="68"/>
        <v>0.99999999999999989</v>
      </c>
      <c r="C289" s="16" t="s">
        <v>45</v>
      </c>
      <c r="D289" s="16" t="s">
        <v>22</v>
      </c>
      <c r="E289" s="11">
        <v>6</v>
      </c>
      <c r="F289" s="17">
        <f t="shared" si="66"/>
        <v>30</v>
      </c>
      <c r="G289" s="16"/>
      <c r="H289" s="16"/>
      <c r="I289" s="16"/>
      <c r="J289" s="13"/>
      <c r="K289" s="13"/>
      <c r="L289" s="71" t="str">
        <f t="shared" si="67"/>
        <v/>
      </c>
      <c r="M289" s="29"/>
      <c r="N289" s="30"/>
    </row>
    <row r="290" spans="1:14" ht="15" customHeight="1">
      <c r="A290" s="58">
        <v>46184</v>
      </c>
      <c r="B290" s="9">
        <f t="shared" si="68"/>
        <v>1.0416666666666665</v>
      </c>
      <c r="C290" s="16" t="s">
        <v>45</v>
      </c>
      <c r="D290" s="16" t="s">
        <v>22</v>
      </c>
      <c r="E290" s="11">
        <v>20</v>
      </c>
      <c r="F290" s="12">
        <f t="shared" si="66"/>
        <v>100</v>
      </c>
      <c r="G290" s="10"/>
      <c r="H290" s="10"/>
      <c r="I290" s="10"/>
      <c r="J290" s="13"/>
      <c r="K290" s="13"/>
      <c r="L290" s="70" t="str">
        <f t="shared" si="67"/>
        <v/>
      </c>
      <c r="M290" s="29"/>
      <c r="N290" s="30"/>
    </row>
    <row r="291" spans="1:14" ht="15" customHeight="1">
      <c r="A291" s="59">
        <v>46184</v>
      </c>
      <c r="B291" s="15">
        <f t="shared" si="68"/>
        <v>1.0833333333333333</v>
      </c>
      <c r="C291" s="16" t="s">
        <v>45</v>
      </c>
      <c r="D291" s="16" t="s">
        <v>22</v>
      </c>
      <c r="E291" s="11">
        <v>30</v>
      </c>
      <c r="F291" s="17">
        <f t="shared" si="66"/>
        <v>150</v>
      </c>
      <c r="G291" s="16"/>
      <c r="H291" s="16"/>
      <c r="I291" s="16"/>
      <c r="J291" s="13"/>
      <c r="K291" s="13"/>
      <c r="L291" s="71" t="str">
        <f t="shared" si="67"/>
        <v/>
      </c>
      <c r="M291" s="29"/>
      <c r="N291" s="30"/>
    </row>
    <row r="292" spans="1:14" ht="15" customHeight="1">
      <c r="A292" s="58">
        <v>46184</v>
      </c>
      <c r="B292" s="9">
        <f t="shared" si="68"/>
        <v>1.125</v>
      </c>
      <c r="C292" s="16" t="s">
        <v>45</v>
      </c>
      <c r="D292" s="16" t="s">
        <v>22</v>
      </c>
      <c r="E292" s="11">
        <v>36</v>
      </c>
      <c r="F292" s="12">
        <f t="shared" si="66"/>
        <v>180</v>
      </c>
      <c r="G292" s="10"/>
      <c r="H292" s="10"/>
      <c r="I292" s="10"/>
      <c r="J292" s="13"/>
      <c r="K292" s="13"/>
      <c r="L292" s="70" t="str">
        <f t="shared" si="67"/>
        <v/>
      </c>
      <c r="M292" s="29"/>
      <c r="N292" s="30"/>
    </row>
    <row r="293" spans="1:14" ht="15" customHeight="1">
      <c r="A293" s="59">
        <v>46184</v>
      </c>
      <c r="B293" s="15">
        <f t="shared" si="68"/>
        <v>1.1666666666666667</v>
      </c>
      <c r="C293" s="16" t="s">
        <v>45</v>
      </c>
      <c r="D293" s="16" t="s">
        <v>22</v>
      </c>
      <c r="E293" s="11">
        <v>0</v>
      </c>
      <c r="F293" s="17">
        <f t="shared" si="66"/>
        <v>0</v>
      </c>
      <c r="G293" s="16"/>
      <c r="H293" s="16"/>
      <c r="I293" s="16"/>
      <c r="J293" s="13"/>
      <c r="K293" s="13"/>
      <c r="L293" s="71" t="str">
        <f t="shared" si="67"/>
        <v/>
      </c>
      <c r="M293" s="29"/>
      <c r="N293" s="30"/>
    </row>
    <row r="294" spans="1:14" ht="15" customHeight="1">
      <c r="A294" s="58">
        <v>46184</v>
      </c>
      <c r="B294" s="9">
        <f t="shared" si="68"/>
        <v>1.2083333333333335</v>
      </c>
      <c r="C294" s="16" t="s">
        <v>45</v>
      </c>
      <c r="D294" s="16" t="s">
        <v>22</v>
      </c>
      <c r="E294" s="11">
        <v>0</v>
      </c>
      <c r="F294" s="12">
        <f t="shared" si="66"/>
        <v>0</v>
      </c>
      <c r="G294" s="10"/>
      <c r="H294" s="10"/>
      <c r="I294" s="10"/>
      <c r="J294" s="13"/>
      <c r="K294" s="13"/>
      <c r="L294" s="70" t="str">
        <f t="shared" si="67"/>
        <v/>
      </c>
      <c r="M294" s="29"/>
      <c r="N294" s="30"/>
    </row>
    <row r="295" spans="1:14" ht="15" customHeight="1">
      <c r="A295" s="59">
        <v>46184</v>
      </c>
      <c r="B295" s="15">
        <f t="shared" si="68"/>
        <v>1.2500000000000002</v>
      </c>
      <c r="C295" s="16" t="s">
        <v>45</v>
      </c>
      <c r="D295" s="16" t="s">
        <v>22</v>
      </c>
      <c r="E295" s="11">
        <v>0</v>
      </c>
      <c r="F295" s="17">
        <f t="shared" si="66"/>
        <v>0</v>
      </c>
      <c r="G295" s="16"/>
      <c r="H295" s="16"/>
      <c r="I295" s="16"/>
      <c r="J295" s="13"/>
      <c r="K295" s="13"/>
      <c r="L295" s="71" t="str">
        <f t="shared" si="67"/>
        <v/>
      </c>
      <c r="M295" s="29"/>
      <c r="N295" s="30"/>
    </row>
    <row r="296" spans="1:14" ht="15" customHeight="1">
      <c r="A296" s="58">
        <v>46184</v>
      </c>
      <c r="B296" s="9">
        <f t="shared" si="68"/>
        <v>1.291666666666667</v>
      </c>
      <c r="C296" s="16" t="s">
        <v>45</v>
      </c>
      <c r="D296" s="16" t="s">
        <v>22</v>
      </c>
      <c r="E296" s="11">
        <v>0</v>
      </c>
      <c r="F296" s="12">
        <f t="shared" si="66"/>
        <v>0</v>
      </c>
      <c r="G296" s="10"/>
      <c r="H296" s="10"/>
      <c r="I296" s="10"/>
      <c r="J296" s="13"/>
      <c r="K296" s="13"/>
      <c r="L296" s="70" t="str">
        <f t="shared" si="67"/>
        <v/>
      </c>
      <c r="M296" s="29"/>
      <c r="N296" s="30"/>
    </row>
    <row r="297" spans="1:14" ht="15.75" customHeight="1">
      <c r="A297" s="97" t="s">
        <v>193</v>
      </c>
      <c r="B297" s="97"/>
      <c r="C297" s="97"/>
      <c r="D297" s="97"/>
      <c r="E297" s="19">
        <f>SUM(E285:E296)</f>
        <v>142</v>
      </c>
      <c r="F297" s="19">
        <f>SUM(F285:F296)</f>
        <v>710</v>
      </c>
      <c r="G297" s="18"/>
      <c r="H297" s="18"/>
      <c r="I297" s="18"/>
      <c r="J297" s="18"/>
      <c r="K297" s="18"/>
      <c r="L297" s="72">
        <f>IFERROR(SUM(L285:L296),"")</f>
        <v>0.13194444444444448</v>
      </c>
      <c r="M297" s="19" t="s">
        <v>192</v>
      </c>
      <c r="N297" s="20">
        <f>35160+383610</f>
        <v>418770</v>
      </c>
    </row>
    <row r="298" spans="1:14" ht="18" customHeight="1">
      <c r="A298" s="98" t="s">
        <v>194</v>
      </c>
      <c r="B298" s="98"/>
      <c r="C298" s="98"/>
      <c r="D298" s="98"/>
      <c r="E298" s="22">
        <f>E284+E297</f>
        <v>339</v>
      </c>
      <c r="F298" s="22">
        <f>F284+F297</f>
        <v>1695</v>
      </c>
      <c r="G298" s="21"/>
      <c r="H298" s="21"/>
      <c r="I298" s="21"/>
      <c r="J298" s="21"/>
      <c r="K298" s="21"/>
      <c r="L298" s="73">
        <f>IFERROR(L284+L297,"")</f>
        <v>0.20624999999999999</v>
      </c>
      <c r="M298" s="22" t="s">
        <v>195</v>
      </c>
      <c r="N298" s="31">
        <f>IFERROR(N284+N297,"")</f>
        <v>1336870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22</v>
      </c>
      <c r="E299" s="11">
        <v>0</v>
      </c>
      <c r="F299" s="17">
        <f t="shared" ref="F299:F310" si="69">IF(E299="","",E299*5)</f>
        <v>0</v>
      </c>
      <c r="G299" s="16" t="s">
        <v>18</v>
      </c>
      <c r="H299" s="16" t="s">
        <v>23</v>
      </c>
      <c r="I299" s="16" t="s">
        <v>122</v>
      </c>
      <c r="J299" s="13">
        <v>0.29166666666666669</v>
      </c>
      <c r="K299" s="13">
        <v>0.79166666666666663</v>
      </c>
      <c r="L299" s="71">
        <f t="shared" ref="L299:L310" si="70">IFERROR(IF(K299="","",IF(K299&gt;=J299,K299-J299,K299+1-J299)),"")</f>
        <v>0.49999999999999994</v>
      </c>
      <c r="M299" s="29" t="s">
        <v>202</v>
      </c>
      <c r="N299" s="30"/>
    </row>
    <row r="300" spans="1:14" ht="15" customHeight="1">
      <c r="A300" s="58">
        <v>46185</v>
      </c>
      <c r="B300" s="9">
        <f t="shared" ref="B300:B310" si="71">B299+TIME(0,60,0)</f>
        <v>0.37499999999999967</v>
      </c>
      <c r="C300" s="16" t="s">
        <v>29</v>
      </c>
      <c r="D300" s="16" t="s">
        <v>22</v>
      </c>
      <c r="E300" s="11">
        <v>0</v>
      </c>
      <c r="F300" s="12">
        <f t="shared" si="69"/>
        <v>0</v>
      </c>
      <c r="G300" s="10"/>
      <c r="H300" s="10"/>
      <c r="I300" s="10"/>
      <c r="J300" s="13"/>
      <c r="K300" s="13"/>
      <c r="L300" s="70" t="str">
        <f t="shared" si="70"/>
        <v/>
      </c>
      <c r="M300" s="29"/>
      <c r="N300" s="30"/>
    </row>
    <row r="301" spans="1:14" ht="15" customHeight="1">
      <c r="A301" s="59">
        <v>46185</v>
      </c>
      <c r="B301" s="15">
        <f t="shared" si="71"/>
        <v>0.41666666666666635</v>
      </c>
      <c r="C301" s="16" t="s">
        <v>29</v>
      </c>
      <c r="D301" s="16" t="s">
        <v>22</v>
      </c>
      <c r="E301" s="11">
        <v>0</v>
      </c>
      <c r="F301" s="17">
        <f t="shared" si="69"/>
        <v>0</v>
      </c>
      <c r="G301" s="16"/>
      <c r="H301" s="16"/>
      <c r="I301" s="16"/>
      <c r="J301" s="13"/>
      <c r="K301" s="13"/>
      <c r="L301" s="71" t="str">
        <f t="shared" si="70"/>
        <v/>
      </c>
      <c r="M301" s="29"/>
      <c r="N301" s="30"/>
    </row>
    <row r="302" spans="1:14" ht="15" customHeight="1">
      <c r="A302" s="58">
        <v>46185</v>
      </c>
      <c r="B302" s="9">
        <f t="shared" si="71"/>
        <v>0.45833333333333304</v>
      </c>
      <c r="C302" s="16" t="s">
        <v>29</v>
      </c>
      <c r="D302" s="16" t="s">
        <v>22</v>
      </c>
      <c r="E302" s="11">
        <v>0</v>
      </c>
      <c r="F302" s="12">
        <f t="shared" si="69"/>
        <v>0</v>
      </c>
      <c r="G302" s="10"/>
      <c r="H302" s="10"/>
      <c r="I302" s="10"/>
      <c r="J302" s="13"/>
      <c r="K302" s="13"/>
      <c r="L302" s="70" t="str">
        <f t="shared" si="70"/>
        <v/>
      </c>
      <c r="M302" s="29"/>
      <c r="N302" s="30"/>
    </row>
    <row r="303" spans="1:14" ht="15" customHeight="1">
      <c r="A303" s="59">
        <v>46185</v>
      </c>
      <c r="B303" s="15">
        <f t="shared" si="71"/>
        <v>0.49999999999999972</v>
      </c>
      <c r="C303" s="16" t="s">
        <v>29</v>
      </c>
      <c r="D303" s="16" t="s">
        <v>22</v>
      </c>
      <c r="E303" s="11">
        <v>0</v>
      </c>
      <c r="F303" s="17">
        <f t="shared" si="69"/>
        <v>0</v>
      </c>
      <c r="G303" s="16"/>
      <c r="H303" s="16"/>
      <c r="I303" s="16"/>
      <c r="J303" s="13"/>
      <c r="K303" s="13"/>
      <c r="L303" s="71" t="str">
        <f t="shared" si="70"/>
        <v/>
      </c>
      <c r="M303" s="29"/>
      <c r="N303" s="30"/>
    </row>
    <row r="304" spans="1:14" ht="15" customHeight="1">
      <c r="A304" s="58">
        <v>46185</v>
      </c>
      <c r="B304" s="9">
        <f t="shared" si="71"/>
        <v>0.54166666666666641</v>
      </c>
      <c r="C304" s="16" t="s">
        <v>29</v>
      </c>
      <c r="D304" s="16" t="s">
        <v>22</v>
      </c>
      <c r="E304" s="11">
        <v>0</v>
      </c>
      <c r="F304" s="12">
        <f t="shared" si="69"/>
        <v>0</v>
      </c>
      <c r="G304" s="10"/>
      <c r="H304" s="10"/>
      <c r="I304" s="10"/>
      <c r="J304" s="13"/>
      <c r="K304" s="13"/>
      <c r="L304" s="70" t="str">
        <f t="shared" si="70"/>
        <v/>
      </c>
      <c r="M304" s="29"/>
      <c r="N304" s="30"/>
    </row>
    <row r="305" spans="1:14" ht="15" customHeight="1">
      <c r="A305" s="59">
        <v>46185</v>
      </c>
      <c r="B305" s="15">
        <f t="shared" si="71"/>
        <v>0.58333333333333304</v>
      </c>
      <c r="C305" s="16" t="s">
        <v>29</v>
      </c>
      <c r="D305" s="16" t="s">
        <v>22</v>
      </c>
      <c r="E305" s="11">
        <v>0</v>
      </c>
      <c r="F305" s="17">
        <f t="shared" si="69"/>
        <v>0</v>
      </c>
      <c r="G305" s="16"/>
      <c r="H305" s="16"/>
      <c r="I305" s="16"/>
      <c r="J305" s="13"/>
      <c r="K305" s="13"/>
      <c r="L305" s="71" t="str">
        <f t="shared" si="70"/>
        <v/>
      </c>
      <c r="M305" s="29"/>
      <c r="N305" s="30"/>
    </row>
    <row r="306" spans="1:14" ht="15" customHeight="1">
      <c r="A306" s="58">
        <v>46185</v>
      </c>
      <c r="B306" s="9">
        <f t="shared" si="71"/>
        <v>0.62499999999999967</v>
      </c>
      <c r="C306" s="16" t="s">
        <v>29</v>
      </c>
      <c r="D306" s="16" t="s">
        <v>22</v>
      </c>
      <c r="E306" s="11">
        <v>0</v>
      </c>
      <c r="F306" s="12">
        <f t="shared" si="69"/>
        <v>0</v>
      </c>
      <c r="G306" s="10"/>
      <c r="H306" s="10"/>
      <c r="I306" s="10"/>
      <c r="J306" s="13"/>
      <c r="K306" s="13"/>
      <c r="L306" s="70" t="str">
        <f t="shared" si="70"/>
        <v/>
      </c>
      <c r="M306" s="29"/>
      <c r="N306" s="30"/>
    </row>
    <row r="307" spans="1:14" ht="15" customHeight="1">
      <c r="A307" s="59">
        <v>46185</v>
      </c>
      <c r="B307" s="15">
        <f t="shared" si="71"/>
        <v>0.6666666666666663</v>
      </c>
      <c r="C307" s="16" t="s">
        <v>29</v>
      </c>
      <c r="D307" s="16" t="s">
        <v>22</v>
      </c>
      <c r="E307" s="11">
        <v>0</v>
      </c>
      <c r="F307" s="17">
        <f t="shared" si="69"/>
        <v>0</v>
      </c>
      <c r="G307" s="16"/>
      <c r="H307" s="16"/>
      <c r="I307" s="16"/>
      <c r="J307" s="13"/>
      <c r="K307" s="13"/>
      <c r="L307" s="71" t="str">
        <f t="shared" si="70"/>
        <v/>
      </c>
      <c r="M307" s="29"/>
      <c r="N307" s="30"/>
    </row>
    <row r="308" spans="1:14" ht="15" customHeight="1">
      <c r="A308" s="58">
        <v>46185</v>
      </c>
      <c r="B308" s="9">
        <f t="shared" si="71"/>
        <v>0.70833333333333293</v>
      </c>
      <c r="C308" s="16" t="s">
        <v>29</v>
      </c>
      <c r="D308" s="16" t="s">
        <v>22</v>
      </c>
      <c r="E308" s="11">
        <v>0</v>
      </c>
      <c r="F308" s="12">
        <f t="shared" si="69"/>
        <v>0</v>
      </c>
      <c r="G308" s="10"/>
      <c r="H308" s="10"/>
      <c r="I308" s="10"/>
      <c r="J308" s="13"/>
      <c r="K308" s="13"/>
      <c r="L308" s="70" t="str">
        <f t="shared" si="70"/>
        <v/>
      </c>
      <c r="M308" s="29"/>
      <c r="N308" s="30"/>
    </row>
    <row r="309" spans="1:14" ht="15" customHeight="1">
      <c r="A309" s="59">
        <v>46185</v>
      </c>
      <c r="B309" s="15">
        <f t="shared" si="71"/>
        <v>0.74999999999999956</v>
      </c>
      <c r="C309" s="16" t="s">
        <v>29</v>
      </c>
      <c r="D309" s="16" t="s">
        <v>22</v>
      </c>
      <c r="E309" s="11">
        <v>0</v>
      </c>
      <c r="F309" s="17">
        <f t="shared" si="69"/>
        <v>0</v>
      </c>
      <c r="G309" s="16"/>
      <c r="H309" s="16"/>
      <c r="I309" s="16"/>
      <c r="J309" s="13"/>
      <c r="K309" s="13"/>
      <c r="L309" s="71" t="str">
        <f t="shared" si="70"/>
        <v/>
      </c>
      <c r="M309" s="29"/>
      <c r="N309" s="30"/>
    </row>
    <row r="310" spans="1:14" ht="15" customHeight="1">
      <c r="A310" s="58">
        <v>46185</v>
      </c>
      <c r="B310" s="9">
        <f t="shared" si="71"/>
        <v>0.79166666666666619</v>
      </c>
      <c r="C310" s="16" t="s">
        <v>29</v>
      </c>
      <c r="D310" s="16" t="s">
        <v>22</v>
      </c>
      <c r="E310" s="11">
        <v>0</v>
      </c>
      <c r="F310" s="12">
        <f t="shared" si="69"/>
        <v>0</v>
      </c>
      <c r="G310" s="10"/>
      <c r="H310" s="10"/>
      <c r="I310" s="10"/>
      <c r="J310" s="13"/>
      <c r="K310" s="13"/>
      <c r="L310" s="70" t="str">
        <f t="shared" si="70"/>
        <v/>
      </c>
      <c r="M310" s="29"/>
      <c r="N310" s="30"/>
    </row>
    <row r="311" spans="1:14" ht="15.75" customHeight="1">
      <c r="A311" s="97" t="s">
        <v>191</v>
      </c>
      <c r="B311" s="97"/>
      <c r="C311" s="97"/>
      <c r="D311" s="97"/>
      <c r="E311" s="19">
        <f>SUM(E299:E310)</f>
        <v>0</v>
      </c>
      <c r="F311" s="19">
        <f>SUM(F299:F310)</f>
        <v>0</v>
      </c>
      <c r="G311" s="18"/>
      <c r="H311" s="18"/>
      <c r="I311" s="18"/>
      <c r="J311" s="18"/>
      <c r="K311" s="18"/>
      <c r="L311" s="72">
        <f>IFERROR(SUM(L299:L310),"")</f>
        <v>0.49999999999999994</v>
      </c>
      <c r="M311" s="19" t="s">
        <v>192</v>
      </c>
      <c r="N311" s="20"/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22</v>
      </c>
      <c r="E312" s="11">
        <v>0</v>
      </c>
      <c r="F312" s="12">
        <f t="shared" ref="F312:F323" si="72">IF(E312="","",E312*5)</f>
        <v>0</v>
      </c>
      <c r="G312" s="10" t="s">
        <v>18</v>
      </c>
      <c r="H312" s="10" t="s">
        <v>23</v>
      </c>
      <c r="I312" s="10" t="s">
        <v>34</v>
      </c>
      <c r="J312" s="13">
        <v>0.8305555555555556</v>
      </c>
      <c r="K312" s="13">
        <v>0.8520833333333333</v>
      </c>
      <c r="L312" s="70">
        <f t="shared" ref="L312:L323" si="73">IFERROR(IF(K312="","",IF(K312&gt;=J312,K312-J312,K312+1-J312)),"")</f>
        <v>2.1527777777777701E-2</v>
      </c>
      <c r="M312" s="29"/>
      <c r="N312" s="30"/>
    </row>
    <row r="313" spans="1:14" ht="15" customHeight="1">
      <c r="A313" s="59">
        <v>46185</v>
      </c>
      <c r="B313" s="15">
        <f t="shared" ref="B313:B323" si="74">B312+TIME(0,60,0)</f>
        <v>0.87499999999999967</v>
      </c>
      <c r="C313" s="10" t="s">
        <v>45</v>
      </c>
      <c r="D313" s="10" t="s">
        <v>22</v>
      </c>
      <c r="E313" s="11">
        <v>20</v>
      </c>
      <c r="F313" s="17">
        <f t="shared" si="72"/>
        <v>100</v>
      </c>
      <c r="G313" s="16" t="s">
        <v>16</v>
      </c>
      <c r="H313" s="16" t="s">
        <v>23</v>
      </c>
      <c r="I313" s="16" t="s">
        <v>48</v>
      </c>
      <c r="J313" s="13">
        <v>0.85902777777777772</v>
      </c>
      <c r="K313" s="13">
        <v>0.87986111111111109</v>
      </c>
      <c r="L313" s="71">
        <f t="shared" si="73"/>
        <v>2.083333333333337E-2</v>
      </c>
      <c r="M313" s="29" t="s">
        <v>203</v>
      </c>
      <c r="N313" s="30"/>
    </row>
    <row r="314" spans="1:14" ht="15" customHeight="1">
      <c r="A314" s="58">
        <v>46185</v>
      </c>
      <c r="B314" s="9">
        <f t="shared" si="74"/>
        <v>0.9166666666666663</v>
      </c>
      <c r="C314" s="10" t="s">
        <v>45</v>
      </c>
      <c r="D314" s="10" t="s">
        <v>22</v>
      </c>
      <c r="E314" s="11">
        <v>24</v>
      </c>
      <c r="F314" s="12">
        <f t="shared" si="72"/>
        <v>120</v>
      </c>
      <c r="G314" s="10"/>
      <c r="H314" s="10"/>
      <c r="I314" s="10"/>
      <c r="J314" s="13"/>
      <c r="K314" s="13"/>
      <c r="L314" s="70" t="str">
        <f t="shared" si="73"/>
        <v/>
      </c>
      <c r="M314" s="29"/>
      <c r="N314" s="30"/>
    </row>
    <row r="315" spans="1:14" ht="15" customHeight="1">
      <c r="A315" s="59">
        <v>46185</v>
      </c>
      <c r="B315" s="15">
        <f t="shared" si="74"/>
        <v>0.95833333333333293</v>
      </c>
      <c r="C315" s="10" t="s">
        <v>45</v>
      </c>
      <c r="D315" s="10" t="s">
        <v>22</v>
      </c>
      <c r="E315" s="11">
        <v>22</v>
      </c>
      <c r="F315" s="17">
        <f t="shared" si="72"/>
        <v>110</v>
      </c>
      <c r="G315" s="16"/>
      <c r="H315" s="16"/>
      <c r="I315" s="16"/>
      <c r="J315" s="13"/>
      <c r="K315" s="13"/>
      <c r="L315" s="71" t="str">
        <f t="shared" si="73"/>
        <v/>
      </c>
      <c r="M315" s="29"/>
      <c r="N315" s="30"/>
    </row>
    <row r="316" spans="1:14" ht="15" customHeight="1">
      <c r="A316" s="58">
        <v>46185</v>
      </c>
      <c r="B316" s="9">
        <f t="shared" si="74"/>
        <v>0.99999999999999956</v>
      </c>
      <c r="C316" s="10" t="s">
        <v>45</v>
      </c>
      <c r="D316" s="10" t="s">
        <v>22</v>
      </c>
      <c r="E316" s="11">
        <v>26</v>
      </c>
      <c r="F316" s="12">
        <f t="shared" si="72"/>
        <v>130</v>
      </c>
      <c r="G316" s="10"/>
      <c r="H316" s="10"/>
      <c r="I316" s="10"/>
      <c r="J316" s="13"/>
      <c r="K316" s="13"/>
      <c r="L316" s="70" t="str">
        <f t="shared" si="73"/>
        <v/>
      </c>
      <c r="M316" s="29"/>
      <c r="N316" s="30"/>
    </row>
    <row r="317" spans="1:14" ht="15" customHeight="1">
      <c r="A317" s="59">
        <v>46185</v>
      </c>
      <c r="B317" s="15">
        <f t="shared" si="74"/>
        <v>1.0416666666666663</v>
      </c>
      <c r="C317" s="10" t="s">
        <v>45</v>
      </c>
      <c r="D317" s="10" t="s">
        <v>22</v>
      </c>
      <c r="E317" s="11">
        <v>38</v>
      </c>
      <c r="F317" s="17">
        <f t="shared" si="72"/>
        <v>190</v>
      </c>
      <c r="G317" s="16"/>
      <c r="H317" s="16"/>
      <c r="I317" s="16"/>
      <c r="J317" s="13"/>
      <c r="K317" s="13"/>
      <c r="L317" s="71" t="str">
        <f t="shared" si="73"/>
        <v/>
      </c>
      <c r="M317" s="29"/>
      <c r="N317" s="30"/>
    </row>
    <row r="318" spans="1:14" ht="15" customHeight="1">
      <c r="A318" s="58">
        <v>46185</v>
      </c>
      <c r="B318" s="9">
        <f t="shared" si="74"/>
        <v>1.083333333333333</v>
      </c>
      <c r="C318" s="10" t="s">
        <v>45</v>
      </c>
      <c r="D318" s="10" t="s">
        <v>22</v>
      </c>
      <c r="E318" s="11">
        <v>50</v>
      </c>
      <c r="F318" s="12">
        <f t="shared" si="72"/>
        <v>250</v>
      </c>
      <c r="G318" s="10"/>
      <c r="H318" s="10"/>
      <c r="I318" s="10"/>
      <c r="J318" s="13"/>
      <c r="K318" s="13"/>
      <c r="L318" s="70" t="str">
        <f t="shared" si="73"/>
        <v/>
      </c>
      <c r="M318" s="29"/>
      <c r="N318" s="30"/>
    </row>
    <row r="319" spans="1:14" ht="15" customHeight="1">
      <c r="A319" s="59">
        <v>46185</v>
      </c>
      <c r="B319" s="15">
        <f t="shared" si="74"/>
        <v>1.1249999999999998</v>
      </c>
      <c r="C319" s="10" t="s">
        <v>45</v>
      </c>
      <c r="D319" s="10" t="s">
        <v>22</v>
      </c>
      <c r="E319" s="11">
        <v>10</v>
      </c>
      <c r="F319" s="17">
        <f t="shared" si="72"/>
        <v>50</v>
      </c>
      <c r="G319" s="16"/>
      <c r="H319" s="16"/>
      <c r="I319" s="16"/>
      <c r="J319" s="13"/>
      <c r="K319" s="13"/>
      <c r="L319" s="71" t="str">
        <f t="shared" si="73"/>
        <v/>
      </c>
      <c r="M319" s="29"/>
      <c r="N319" s="30"/>
    </row>
    <row r="320" spans="1:14" ht="15" customHeight="1">
      <c r="A320" s="58">
        <v>46185</v>
      </c>
      <c r="B320" s="9">
        <f t="shared" si="74"/>
        <v>1.1666666666666665</v>
      </c>
      <c r="C320" s="10" t="s">
        <v>45</v>
      </c>
      <c r="D320" s="10" t="s">
        <v>22</v>
      </c>
      <c r="E320" s="11">
        <v>35</v>
      </c>
      <c r="F320" s="12">
        <f t="shared" si="72"/>
        <v>175</v>
      </c>
      <c r="G320" s="10"/>
      <c r="H320" s="10"/>
      <c r="I320" s="10"/>
      <c r="J320" s="13"/>
      <c r="K320" s="13"/>
      <c r="L320" s="70" t="str">
        <f t="shared" si="73"/>
        <v/>
      </c>
      <c r="M320" s="29"/>
      <c r="N320" s="30"/>
    </row>
    <row r="321" spans="1:14" ht="15" customHeight="1">
      <c r="A321" s="59">
        <v>46185</v>
      </c>
      <c r="B321" s="15">
        <f t="shared" si="74"/>
        <v>1.2083333333333333</v>
      </c>
      <c r="C321" s="10" t="s">
        <v>45</v>
      </c>
      <c r="D321" s="10" t="s">
        <v>22</v>
      </c>
      <c r="E321" s="11">
        <v>25</v>
      </c>
      <c r="F321" s="17">
        <f t="shared" si="72"/>
        <v>125</v>
      </c>
      <c r="G321" s="16"/>
      <c r="H321" s="16"/>
      <c r="I321" s="16"/>
      <c r="J321" s="13"/>
      <c r="K321" s="13"/>
      <c r="L321" s="71" t="str">
        <f t="shared" si="73"/>
        <v/>
      </c>
      <c r="M321" s="29"/>
      <c r="N321" s="30"/>
    </row>
    <row r="322" spans="1:14" ht="15" customHeight="1">
      <c r="A322" s="58">
        <v>46185</v>
      </c>
      <c r="B322" s="9">
        <f t="shared" si="74"/>
        <v>1.25</v>
      </c>
      <c r="C322" s="10" t="s">
        <v>45</v>
      </c>
      <c r="D322" s="10" t="s">
        <v>22</v>
      </c>
      <c r="E322" s="11">
        <v>20</v>
      </c>
      <c r="F322" s="12">
        <f t="shared" si="72"/>
        <v>100</v>
      </c>
      <c r="G322" s="10"/>
      <c r="H322" s="10"/>
      <c r="I322" s="10"/>
      <c r="J322" s="13"/>
      <c r="K322" s="13"/>
      <c r="L322" s="70" t="str">
        <f t="shared" si="73"/>
        <v/>
      </c>
      <c r="M322" s="29"/>
      <c r="N322" s="30"/>
    </row>
    <row r="323" spans="1:14" ht="15" customHeight="1">
      <c r="A323" s="59">
        <v>46185</v>
      </c>
      <c r="B323" s="15">
        <f t="shared" si="74"/>
        <v>1.2916666666666667</v>
      </c>
      <c r="C323" s="10" t="s">
        <v>45</v>
      </c>
      <c r="D323" s="10" t="s">
        <v>22</v>
      </c>
      <c r="E323" s="11">
        <v>10</v>
      </c>
      <c r="F323" s="17">
        <f t="shared" si="72"/>
        <v>50</v>
      </c>
      <c r="G323" s="16"/>
      <c r="H323" s="16"/>
      <c r="I323" s="16"/>
      <c r="J323" s="13"/>
      <c r="K323" s="13"/>
      <c r="L323" s="71" t="str">
        <f t="shared" si="73"/>
        <v/>
      </c>
      <c r="M323" s="29"/>
      <c r="N323" s="30"/>
    </row>
    <row r="324" spans="1:14" ht="15.75" customHeight="1">
      <c r="A324" s="97" t="s">
        <v>193</v>
      </c>
      <c r="B324" s="97"/>
      <c r="C324" s="97"/>
      <c r="D324" s="97"/>
      <c r="E324" s="19">
        <f>SUM(E312:E323)</f>
        <v>280</v>
      </c>
      <c r="F324" s="19">
        <f>SUM(F312:F323)</f>
        <v>1400</v>
      </c>
      <c r="G324" s="18"/>
      <c r="H324" s="18"/>
      <c r="I324" s="18"/>
      <c r="J324" s="18"/>
      <c r="K324" s="18"/>
      <c r="L324" s="72">
        <f>IFERROR(SUM(L312:L323),"")</f>
        <v>4.2361111111111072E-2</v>
      </c>
      <c r="M324" s="19" t="s">
        <v>192</v>
      </c>
      <c r="N324" s="20">
        <f>411220+466620</f>
        <v>877840</v>
      </c>
    </row>
    <row r="325" spans="1:14" ht="18" customHeight="1">
      <c r="A325" s="98" t="s">
        <v>194</v>
      </c>
      <c r="B325" s="98"/>
      <c r="C325" s="98"/>
      <c r="D325" s="98"/>
      <c r="E325" s="22">
        <f>E311+E324</f>
        <v>280</v>
      </c>
      <c r="F325" s="22">
        <f>F311+F324</f>
        <v>1400</v>
      </c>
      <c r="G325" s="21"/>
      <c r="H325" s="21"/>
      <c r="I325" s="21"/>
      <c r="J325" s="21"/>
      <c r="K325" s="21"/>
      <c r="L325" s="73">
        <f>IFERROR(L311+L324,"")</f>
        <v>0.54236111111111107</v>
      </c>
      <c r="M325" s="22" t="s">
        <v>195</v>
      </c>
      <c r="N325" s="31">
        <f>IFERROR(N311+N324,"")</f>
        <v>877840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10</v>
      </c>
      <c r="F326" s="12">
        <f t="shared" ref="F326:F337" si="75">IF(E326="","",E326*5)</f>
        <v>50</v>
      </c>
      <c r="G326" s="10" t="s">
        <v>20</v>
      </c>
      <c r="H326" s="10" t="s">
        <v>23</v>
      </c>
      <c r="I326" s="10" t="s">
        <v>204</v>
      </c>
      <c r="J326" s="13">
        <v>0.43194444444444446</v>
      </c>
      <c r="K326" s="13">
        <v>0.45347222222222222</v>
      </c>
      <c r="L326" s="70">
        <f t="shared" ref="L326:L337" si="76">IFERROR(IF(K326="","",IF(K326&gt;=J326,K326-J326,K326+1-J326)),"")</f>
        <v>2.1527777777777757E-2</v>
      </c>
      <c r="M326" s="29"/>
      <c r="N326" s="30"/>
    </row>
    <row r="327" spans="1:14" ht="15" customHeight="1">
      <c r="A327" s="59">
        <v>46186</v>
      </c>
      <c r="B327" s="15">
        <f t="shared" ref="B327:B337" si="77">B326+TIME(0,60,0)</f>
        <v>0.37499999999999967</v>
      </c>
      <c r="C327" s="10" t="s">
        <v>29</v>
      </c>
      <c r="D327" s="10" t="s">
        <v>22</v>
      </c>
      <c r="E327" s="11">
        <v>30</v>
      </c>
      <c r="F327" s="17">
        <f t="shared" si="75"/>
        <v>150</v>
      </c>
      <c r="G327" s="16" t="s">
        <v>16</v>
      </c>
      <c r="H327" s="16" t="s">
        <v>23</v>
      </c>
      <c r="I327" s="16" t="s">
        <v>32</v>
      </c>
      <c r="J327" s="13">
        <v>0.53472222222222221</v>
      </c>
      <c r="K327" s="13">
        <v>0.5708333333333333</v>
      </c>
      <c r="L327" s="71">
        <f t="shared" si="76"/>
        <v>3.6111111111111094E-2</v>
      </c>
      <c r="M327" s="29"/>
      <c r="N327" s="30"/>
    </row>
    <row r="328" spans="1:14" ht="15" customHeight="1">
      <c r="A328" s="58">
        <v>46186</v>
      </c>
      <c r="B328" s="9">
        <f t="shared" si="77"/>
        <v>0.41666666666666635</v>
      </c>
      <c r="C328" s="10" t="s">
        <v>29</v>
      </c>
      <c r="D328" s="10" t="s">
        <v>22</v>
      </c>
      <c r="E328" s="11">
        <v>30</v>
      </c>
      <c r="F328" s="12">
        <f t="shared" si="75"/>
        <v>150</v>
      </c>
      <c r="G328" s="10" t="s">
        <v>16</v>
      </c>
      <c r="H328" s="10" t="s">
        <v>23</v>
      </c>
      <c r="I328" s="10" t="s">
        <v>64</v>
      </c>
      <c r="J328" s="13">
        <v>0.75694444444444442</v>
      </c>
      <c r="K328" s="13"/>
      <c r="L328" s="70" t="str">
        <f t="shared" si="76"/>
        <v/>
      </c>
      <c r="M328" s="29"/>
      <c r="N328" s="30"/>
    </row>
    <row r="329" spans="1:14" ht="15" customHeight="1">
      <c r="A329" s="59">
        <v>46186</v>
      </c>
      <c r="B329" s="15">
        <f t="shared" si="77"/>
        <v>0.45833333333333304</v>
      </c>
      <c r="C329" s="10" t="s">
        <v>29</v>
      </c>
      <c r="D329" s="10" t="s">
        <v>22</v>
      </c>
      <c r="E329" s="11">
        <v>25</v>
      </c>
      <c r="F329" s="17">
        <f t="shared" si="75"/>
        <v>125</v>
      </c>
      <c r="G329" s="16"/>
      <c r="H329" s="16"/>
      <c r="I329" s="16"/>
      <c r="J329" s="13"/>
      <c r="K329" s="13"/>
      <c r="L329" s="71" t="str">
        <f t="shared" si="76"/>
        <v/>
      </c>
      <c r="M329" s="29"/>
      <c r="N329" s="30"/>
    </row>
    <row r="330" spans="1:14" ht="15" customHeight="1">
      <c r="A330" s="58">
        <v>46186</v>
      </c>
      <c r="B330" s="9">
        <f t="shared" si="77"/>
        <v>0.49999999999999972</v>
      </c>
      <c r="C330" s="10" t="s">
        <v>29</v>
      </c>
      <c r="D330" s="10" t="s">
        <v>22</v>
      </c>
      <c r="E330" s="11">
        <v>25</v>
      </c>
      <c r="F330" s="12">
        <f t="shared" si="75"/>
        <v>125</v>
      </c>
      <c r="G330" s="10"/>
      <c r="H330" s="10"/>
      <c r="I330" s="10"/>
      <c r="J330" s="13"/>
      <c r="K330" s="13"/>
      <c r="L330" s="70" t="str">
        <f t="shared" si="76"/>
        <v/>
      </c>
      <c r="M330" s="29"/>
      <c r="N330" s="30"/>
    </row>
    <row r="331" spans="1:14" ht="15" customHeight="1">
      <c r="A331" s="59">
        <v>46186</v>
      </c>
      <c r="B331" s="15">
        <f t="shared" si="77"/>
        <v>0.54166666666666641</v>
      </c>
      <c r="C331" s="10" t="s">
        <v>29</v>
      </c>
      <c r="D331" s="10" t="s">
        <v>22</v>
      </c>
      <c r="E331" s="11">
        <v>0</v>
      </c>
      <c r="F331" s="17">
        <f t="shared" si="75"/>
        <v>0</v>
      </c>
      <c r="G331" s="16"/>
      <c r="H331" s="16"/>
      <c r="I331" s="16"/>
      <c r="J331" s="13"/>
      <c r="K331" s="13"/>
      <c r="L331" s="71" t="str">
        <f t="shared" si="76"/>
        <v/>
      </c>
      <c r="M331" s="29"/>
      <c r="N331" s="30"/>
    </row>
    <row r="332" spans="1:14" ht="15" customHeight="1">
      <c r="A332" s="58">
        <v>46186</v>
      </c>
      <c r="B332" s="9">
        <f t="shared" si="77"/>
        <v>0.58333333333333304</v>
      </c>
      <c r="C332" s="10" t="s">
        <v>29</v>
      </c>
      <c r="D332" s="10" t="s">
        <v>22</v>
      </c>
      <c r="E332" s="11">
        <v>15</v>
      </c>
      <c r="F332" s="12">
        <f t="shared" si="75"/>
        <v>75</v>
      </c>
      <c r="G332" s="10"/>
      <c r="H332" s="10"/>
      <c r="I332" s="10"/>
      <c r="J332" s="13"/>
      <c r="K332" s="13"/>
      <c r="L332" s="70" t="str">
        <f t="shared" si="76"/>
        <v/>
      </c>
      <c r="M332" s="29"/>
      <c r="N332" s="30"/>
    </row>
    <row r="333" spans="1:14" ht="15" customHeight="1">
      <c r="A333" s="59">
        <v>46186</v>
      </c>
      <c r="B333" s="15">
        <f t="shared" si="77"/>
        <v>0.62499999999999967</v>
      </c>
      <c r="C333" s="10" t="s">
        <v>29</v>
      </c>
      <c r="D333" s="10" t="s">
        <v>22</v>
      </c>
      <c r="E333" s="11">
        <v>25</v>
      </c>
      <c r="F333" s="17">
        <f t="shared" si="75"/>
        <v>125</v>
      </c>
      <c r="G333" s="16"/>
      <c r="H333" s="16"/>
      <c r="I333" s="16"/>
      <c r="J333" s="13"/>
      <c r="K333" s="13"/>
      <c r="L333" s="71" t="str">
        <f t="shared" si="76"/>
        <v/>
      </c>
      <c r="M333" s="29"/>
      <c r="N333" s="30"/>
    </row>
    <row r="334" spans="1:14" ht="15" customHeight="1">
      <c r="A334" s="58">
        <v>46186</v>
      </c>
      <c r="B334" s="9">
        <f t="shared" si="77"/>
        <v>0.6666666666666663</v>
      </c>
      <c r="C334" s="10" t="s">
        <v>29</v>
      </c>
      <c r="D334" s="10" t="s">
        <v>22</v>
      </c>
      <c r="E334" s="11">
        <v>40</v>
      </c>
      <c r="F334" s="12">
        <f t="shared" si="75"/>
        <v>200</v>
      </c>
      <c r="G334" s="10"/>
      <c r="H334" s="10"/>
      <c r="I334" s="10"/>
      <c r="J334" s="13"/>
      <c r="K334" s="13"/>
      <c r="L334" s="70" t="str">
        <f t="shared" si="76"/>
        <v/>
      </c>
      <c r="M334" s="29"/>
      <c r="N334" s="30"/>
    </row>
    <row r="335" spans="1:14" ht="15" customHeight="1">
      <c r="A335" s="59">
        <v>46186</v>
      </c>
      <c r="B335" s="15">
        <f t="shared" si="77"/>
        <v>0.70833333333333293</v>
      </c>
      <c r="C335" s="10" t="s">
        <v>29</v>
      </c>
      <c r="D335" s="10" t="s">
        <v>22</v>
      </c>
      <c r="E335" s="11">
        <v>30</v>
      </c>
      <c r="F335" s="17">
        <f t="shared" si="75"/>
        <v>150</v>
      </c>
      <c r="G335" s="16"/>
      <c r="H335" s="16"/>
      <c r="I335" s="16"/>
      <c r="J335" s="13"/>
      <c r="K335" s="13"/>
      <c r="L335" s="71" t="str">
        <f t="shared" si="76"/>
        <v/>
      </c>
      <c r="M335" s="29"/>
      <c r="N335" s="30"/>
    </row>
    <row r="336" spans="1:14" ht="15" customHeight="1">
      <c r="A336" s="58">
        <v>46186</v>
      </c>
      <c r="B336" s="9">
        <f t="shared" si="77"/>
        <v>0.74999999999999956</v>
      </c>
      <c r="C336" s="10" t="s">
        <v>29</v>
      </c>
      <c r="D336" s="10" t="s">
        <v>22</v>
      </c>
      <c r="E336" s="11">
        <v>25</v>
      </c>
      <c r="F336" s="12">
        <f t="shared" si="75"/>
        <v>125</v>
      </c>
      <c r="G336" s="10"/>
      <c r="H336" s="10"/>
      <c r="I336" s="10"/>
      <c r="J336" s="13"/>
      <c r="K336" s="13"/>
      <c r="L336" s="70" t="str">
        <f t="shared" si="76"/>
        <v/>
      </c>
      <c r="M336" s="29"/>
      <c r="N336" s="30"/>
    </row>
    <row r="337" spans="1:14" ht="15" customHeight="1">
      <c r="A337" s="59">
        <v>46186</v>
      </c>
      <c r="B337" s="15">
        <f t="shared" si="77"/>
        <v>0.79166666666666619</v>
      </c>
      <c r="C337" s="10" t="s">
        <v>29</v>
      </c>
      <c r="D337" s="10" t="s">
        <v>22</v>
      </c>
      <c r="E337" s="11">
        <v>15</v>
      </c>
      <c r="F337" s="17">
        <f t="shared" si="75"/>
        <v>75</v>
      </c>
      <c r="G337" s="16"/>
      <c r="H337" s="16"/>
      <c r="I337" s="16"/>
      <c r="J337" s="13"/>
      <c r="K337" s="13"/>
      <c r="L337" s="71" t="str">
        <f t="shared" si="76"/>
        <v/>
      </c>
      <c r="M337" s="29"/>
      <c r="N337" s="30"/>
    </row>
    <row r="338" spans="1:14" ht="15.75" customHeight="1">
      <c r="A338" s="97" t="s">
        <v>191</v>
      </c>
      <c r="B338" s="97"/>
      <c r="C338" s="97"/>
      <c r="D338" s="97"/>
      <c r="E338" s="19">
        <f>SUM(E326:E337)</f>
        <v>270</v>
      </c>
      <c r="F338" s="19">
        <f>SUM(F326:F337)</f>
        <v>1350</v>
      </c>
      <c r="G338" s="18"/>
      <c r="H338" s="18"/>
      <c r="I338" s="18"/>
      <c r="J338" s="18"/>
      <c r="K338" s="18"/>
      <c r="L338" s="72">
        <f>IFERROR(SUM(L326:L337),"")</f>
        <v>5.7638888888888851E-2</v>
      </c>
      <c r="M338" s="19" t="s">
        <v>192</v>
      </c>
      <c r="N338" s="20">
        <v>1451850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/>
      <c r="E339" s="11">
        <v>0</v>
      </c>
      <c r="F339" s="17">
        <f t="shared" ref="F339:F350" si="78">IF(E339="","",E339*5)</f>
        <v>0</v>
      </c>
      <c r="G339" s="16" t="s">
        <v>18</v>
      </c>
      <c r="H339" s="16" t="s">
        <v>23</v>
      </c>
      <c r="I339" s="16" t="s">
        <v>64</v>
      </c>
      <c r="J339" s="13">
        <v>0.79166666666666663</v>
      </c>
      <c r="K339" s="13">
        <v>0.29166666666666669</v>
      </c>
      <c r="L339" s="71">
        <f t="shared" ref="L339:L350" si="79">IFERROR(IF(K339="","",IF(K339&gt;=J339,K339-J339,K339+1-J339)),"")</f>
        <v>0.50000000000000011</v>
      </c>
      <c r="M339" s="29"/>
      <c r="N339" s="30"/>
    </row>
    <row r="340" spans="1:14" ht="15" customHeight="1">
      <c r="A340" s="58">
        <v>46186</v>
      </c>
      <c r="B340" s="9">
        <f t="shared" ref="B340:B350" si="80">B339+TIME(0,60,0)</f>
        <v>0.87499999999999967</v>
      </c>
      <c r="C340" s="16" t="s">
        <v>21</v>
      </c>
      <c r="D340" s="10"/>
      <c r="E340" s="11">
        <v>0</v>
      </c>
      <c r="F340" s="12">
        <f t="shared" si="78"/>
        <v>0</v>
      </c>
      <c r="G340" s="10"/>
      <c r="H340" s="10"/>
      <c r="I340" s="10"/>
      <c r="J340" s="13"/>
      <c r="K340" s="13"/>
      <c r="L340" s="70" t="str">
        <f t="shared" si="79"/>
        <v/>
      </c>
      <c r="M340" s="29"/>
      <c r="N340" s="30"/>
    </row>
    <row r="341" spans="1:14" ht="15" customHeight="1">
      <c r="A341" s="59">
        <v>46186</v>
      </c>
      <c r="B341" s="15">
        <f t="shared" si="80"/>
        <v>0.9166666666666663</v>
      </c>
      <c r="C341" s="16" t="s">
        <v>21</v>
      </c>
      <c r="D341" s="16"/>
      <c r="E341" s="11">
        <v>0</v>
      </c>
      <c r="F341" s="17">
        <f t="shared" si="78"/>
        <v>0</v>
      </c>
      <c r="G341" s="16"/>
      <c r="H341" s="16"/>
      <c r="I341" s="16"/>
      <c r="J341" s="13"/>
      <c r="K341" s="13"/>
      <c r="L341" s="71" t="str">
        <f t="shared" si="79"/>
        <v/>
      </c>
      <c r="M341" s="29"/>
      <c r="N341" s="30"/>
    </row>
    <row r="342" spans="1:14" ht="15" customHeight="1">
      <c r="A342" s="58">
        <v>46186</v>
      </c>
      <c r="B342" s="9">
        <f t="shared" si="80"/>
        <v>0.95833333333333293</v>
      </c>
      <c r="C342" s="16" t="s">
        <v>21</v>
      </c>
      <c r="D342" s="10"/>
      <c r="E342" s="11">
        <v>0</v>
      </c>
      <c r="F342" s="12">
        <f t="shared" si="78"/>
        <v>0</v>
      </c>
      <c r="G342" s="10"/>
      <c r="H342" s="10"/>
      <c r="I342" s="10"/>
      <c r="J342" s="13"/>
      <c r="K342" s="13"/>
      <c r="L342" s="70" t="str">
        <f t="shared" si="79"/>
        <v/>
      </c>
      <c r="M342" s="29"/>
      <c r="N342" s="30"/>
    </row>
    <row r="343" spans="1:14" ht="15" customHeight="1">
      <c r="A343" s="59">
        <v>46186</v>
      </c>
      <c r="B343" s="15">
        <f t="shared" si="80"/>
        <v>0.99999999999999956</v>
      </c>
      <c r="C343" s="16" t="s">
        <v>21</v>
      </c>
      <c r="D343" s="16"/>
      <c r="E343" s="11">
        <v>0</v>
      </c>
      <c r="F343" s="17">
        <f t="shared" si="78"/>
        <v>0</v>
      </c>
      <c r="G343" s="16"/>
      <c r="H343" s="16"/>
      <c r="I343" s="16"/>
      <c r="J343" s="13"/>
      <c r="K343" s="13"/>
      <c r="L343" s="71" t="str">
        <f t="shared" si="79"/>
        <v/>
      </c>
      <c r="M343" s="29"/>
      <c r="N343" s="30"/>
    </row>
    <row r="344" spans="1:14" ht="15" customHeight="1">
      <c r="A344" s="58">
        <v>46186</v>
      </c>
      <c r="B344" s="9">
        <f t="shared" si="80"/>
        <v>1.0416666666666663</v>
      </c>
      <c r="C344" s="16" t="s">
        <v>21</v>
      </c>
      <c r="D344" s="10"/>
      <c r="E344" s="11">
        <v>0</v>
      </c>
      <c r="F344" s="12">
        <f t="shared" si="78"/>
        <v>0</v>
      </c>
      <c r="G344" s="10"/>
      <c r="H344" s="10"/>
      <c r="I344" s="10"/>
      <c r="J344" s="13"/>
      <c r="K344" s="13"/>
      <c r="L344" s="70" t="str">
        <f t="shared" si="79"/>
        <v/>
      </c>
      <c r="M344" s="29"/>
      <c r="N344" s="30"/>
    </row>
    <row r="345" spans="1:14" ht="15" customHeight="1">
      <c r="A345" s="59">
        <v>46186</v>
      </c>
      <c r="B345" s="15">
        <f t="shared" si="80"/>
        <v>1.083333333333333</v>
      </c>
      <c r="C345" s="16" t="s">
        <v>21</v>
      </c>
      <c r="D345" s="16"/>
      <c r="E345" s="11">
        <v>0</v>
      </c>
      <c r="F345" s="17">
        <f t="shared" si="78"/>
        <v>0</v>
      </c>
      <c r="G345" s="16"/>
      <c r="H345" s="16"/>
      <c r="I345" s="16"/>
      <c r="J345" s="13"/>
      <c r="K345" s="13"/>
      <c r="L345" s="71" t="str">
        <f t="shared" si="79"/>
        <v/>
      </c>
      <c r="M345" s="29"/>
      <c r="N345" s="30"/>
    </row>
    <row r="346" spans="1:14" ht="15" customHeight="1">
      <c r="A346" s="58">
        <v>46186</v>
      </c>
      <c r="B346" s="9">
        <f t="shared" si="80"/>
        <v>1.1249999999999998</v>
      </c>
      <c r="C346" s="16" t="s">
        <v>21</v>
      </c>
      <c r="D346" s="10"/>
      <c r="E346" s="11">
        <v>0</v>
      </c>
      <c r="F346" s="12">
        <f t="shared" si="78"/>
        <v>0</v>
      </c>
      <c r="G346" s="10"/>
      <c r="H346" s="10"/>
      <c r="I346" s="10"/>
      <c r="J346" s="13"/>
      <c r="K346" s="13"/>
      <c r="L346" s="70" t="str">
        <f t="shared" si="79"/>
        <v/>
      </c>
      <c r="M346" s="29"/>
      <c r="N346" s="30"/>
    </row>
    <row r="347" spans="1:14" ht="15" customHeight="1">
      <c r="A347" s="59">
        <v>46186</v>
      </c>
      <c r="B347" s="15">
        <f t="shared" si="80"/>
        <v>1.1666666666666665</v>
      </c>
      <c r="C347" s="16" t="s">
        <v>21</v>
      </c>
      <c r="D347" s="16"/>
      <c r="E347" s="11">
        <v>0</v>
      </c>
      <c r="F347" s="17">
        <f t="shared" si="78"/>
        <v>0</v>
      </c>
      <c r="G347" s="16"/>
      <c r="H347" s="16"/>
      <c r="I347" s="16"/>
      <c r="J347" s="13"/>
      <c r="K347" s="13"/>
      <c r="L347" s="71" t="str">
        <f t="shared" si="79"/>
        <v/>
      </c>
      <c r="M347" s="29"/>
      <c r="N347" s="30"/>
    </row>
    <row r="348" spans="1:14" ht="15" customHeight="1">
      <c r="A348" s="58">
        <v>46186</v>
      </c>
      <c r="B348" s="9">
        <f t="shared" si="80"/>
        <v>1.2083333333333333</v>
      </c>
      <c r="C348" s="16" t="s">
        <v>21</v>
      </c>
      <c r="D348" s="10"/>
      <c r="E348" s="11">
        <v>0</v>
      </c>
      <c r="F348" s="12">
        <f t="shared" si="78"/>
        <v>0</v>
      </c>
      <c r="G348" s="10"/>
      <c r="H348" s="10"/>
      <c r="I348" s="10"/>
      <c r="J348" s="13"/>
      <c r="K348" s="13"/>
      <c r="L348" s="70" t="str">
        <f t="shared" si="79"/>
        <v/>
      </c>
      <c r="M348" s="29"/>
      <c r="N348" s="30"/>
    </row>
    <row r="349" spans="1:14" ht="15" customHeight="1">
      <c r="A349" s="59">
        <v>46186</v>
      </c>
      <c r="B349" s="15">
        <f t="shared" si="80"/>
        <v>1.25</v>
      </c>
      <c r="C349" s="16" t="s">
        <v>21</v>
      </c>
      <c r="D349" s="16"/>
      <c r="E349" s="11">
        <v>0</v>
      </c>
      <c r="F349" s="17">
        <f t="shared" si="78"/>
        <v>0</v>
      </c>
      <c r="G349" s="16"/>
      <c r="H349" s="16"/>
      <c r="I349" s="16"/>
      <c r="J349" s="13"/>
      <c r="K349" s="13"/>
      <c r="L349" s="71" t="str">
        <f t="shared" si="79"/>
        <v/>
      </c>
      <c r="M349" s="29"/>
      <c r="N349" s="30"/>
    </row>
    <row r="350" spans="1:14" ht="15" customHeight="1">
      <c r="A350" s="58">
        <v>46186</v>
      </c>
      <c r="B350" s="9">
        <f t="shared" si="80"/>
        <v>1.2916666666666667</v>
      </c>
      <c r="C350" s="16" t="s">
        <v>21</v>
      </c>
      <c r="D350" s="10"/>
      <c r="E350" s="11">
        <v>0</v>
      </c>
      <c r="F350" s="12">
        <f t="shared" si="78"/>
        <v>0</v>
      </c>
      <c r="G350" s="10"/>
      <c r="H350" s="10"/>
      <c r="I350" s="10"/>
      <c r="J350" s="13"/>
      <c r="K350" s="13"/>
      <c r="L350" s="70" t="str">
        <f t="shared" si="79"/>
        <v/>
      </c>
      <c r="M350" s="29"/>
      <c r="N350" s="30"/>
    </row>
    <row r="351" spans="1:14" ht="15.75" customHeight="1">
      <c r="A351" s="97" t="s">
        <v>193</v>
      </c>
      <c r="B351" s="97"/>
      <c r="C351" s="97"/>
      <c r="D351" s="97"/>
      <c r="E351" s="19">
        <f>SUM(E339:E350)</f>
        <v>0</v>
      </c>
      <c r="F351" s="19">
        <f>SUM(F339:F350)</f>
        <v>0</v>
      </c>
      <c r="G351" s="18"/>
      <c r="H351" s="18"/>
      <c r="I351" s="18"/>
      <c r="J351" s="18"/>
      <c r="K351" s="18"/>
      <c r="L351" s="72">
        <f>IFERROR(SUM(L339:L350),"")</f>
        <v>0.50000000000000011</v>
      </c>
      <c r="M351" s="19" t="s">
        <v>192</v>
      </c>
      <c r="N351" s="20"/>
    </row>
    <row r="352" spans="1:14" ht="18" customHeight="1">
      <c r="A352" s="98" t="s">
        <v>194</v>
      </c>
      <c r="B352" s="98"/>
      <c r="C352" s="98"/>
      <c r="D352" s="98"/>
      <c r="E352" s="22">
        <f>E338+E351</f>
        <v>270</v>
      </c>
      <c r="F352" s="22">
        <f>F338+F351</f>
        <v>1350</v>
      </c>
      <c r="G352" s="21"/>
      <c r="H352" s="21"/>
      <c r="I352" s="21"/>
      <c r="J352" s="21"/>
      <c r="K352" s="21"/>
      <c r="L352" s="73">
        <f>IFERROR(L338+L351,"")</f>
        <v>0.55763888888888902</v>
      </c>
      <c r="M352" s="22" t="s">
        <v>195</v>
      </c>
      <c r="N352" s="31">
        <f>IFERROR(N338+N351,"")</f>
        <v>1451850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/>
      <c r="E353" s="11">
        <v>0</v>
      </c>
      <c r="F353" s="17">
        <f t="shared" ref="F353:F364" si="81">IF(E353="","",E353*5)</f>
        <v>0</v>
      </c>
      <c r="G353" s="16" t="s">
        <v>18</v>
      </c>
      <c r="H353" s="16" t="s">
        <v>138</v>
      </c>
      <c r="I353" s="16" t="s">
        <v>122</v>
      </c>
      <c r="J353" s="13">
        <v>0.29166666666666669</v>
      </c>
      <c r="K353" s="13">
        <v>0.60416666666666663</v>
      </c>
      <c r="L353" s="71">
        <f t="shared" ref="L353:L364" si="82">IFERROR(IF(K353="","",IF(K353&gt;=J353,K353-J353,K353+1-J353)),"")</f>
        <v>0.31249999999999994</v>
      </c>
      <c r="M353" s="29" t="s">
        <v>205</v>
      </c>
      <c r="N353" s="30"/>
    </row>
    <row r="354" spans="1:14" ht="15" customHeight="1">
      <c r="A354" s="58">
        <v>46187</v>
      </c>
      <c r="B354" s="9">
        <f t="shared" ref="B354:B364" si="83">B353+TIME(0,60,0)</f>
        <v>0.37499999999999967</v>
      </c>
      <c r="C354" s="16" t="s">
        <v>29</v>
      </c>
      <c r="D354" s="16"/>
      <c r="E354" s="11">
        <v>0</v>
      </c>
      <c r="F354" s="12">
        <f t="shared" si="81"/>
        <v>0</v>
      </c>
      <c r="G354" s="10"/>
      <c r="H354" s="10"/>
      <c r="I354" s="10"/>
      <c r="J354" s="13"/>
      <c r="K354" s="13"/>
      <c r="L354" s="70" t="str">
        <f t="shared" si="82"/>
        <v/>
      </c>
      <c r="M354" s="29"/>
      <c r="N354" s="30"/>
    </row>
    <row r="355" spans="1:14" ht="15" customHeight="1">
      <c r="A355" s="59">
        <v>46187</v>
      </c>
      <c r="B355" s="15">
        <f t="shared" si="83"/>
        <v>0.41666666666666635</v>
      </c>
      <c r="C355" s="16" t="s">
        <v>29</v>
      </c>
      <c r="D355" s="16"/>
      <c r="E355" s="11">
        <v>0</v>
      </c>
      <c r="F355" s="17">
        <f t="shared" si="81"/>
        <v>0</v>
      </c>
      <c r="G355" s="16"/>
      <c r="H355" s="16"/>
      <c r="I355" s="16"/>
      <c r="J355" s="13"/>
      <c r="K355" s="13"/>
      <c r="L355" s="71" t="str">
        <f t="shared" si="82"/>
        <v/>
      </c>
      <c r="M355" s="29"/>
      <c r="N355" s="30"/>
    </row>
    <row r="356" spans="1:14" ht="15" customHeight="1">
      <c r="A356" s="58">
        <v>46187</v>
      </c>
      <c r="B356" s="9">
        <f t="shared" si="83"/>
        <v>0.45833333333333304</v>
      </c>
      <c r="C356" s="16" t="s">
        <v>29</v>
      </c>
      <c r="D356" s="16"/>
      <c r="E356" s="11">
        <v>0</v>
      </c>
      <c r="F356" s="12">
        <f t="shared" si="81"/>
        <v>0</v>
      </c>
      <c r="G356" s="10"/>
      <c r="H356" s="10"/>
      <c r="I356" s="10"/>
      <c r="J356" s="13"/>
      <c r="K356" s="13"/>
      <c r="L356" s="70" t="str">
        <f t="shared" si="82"/>
        <v/>
      </c>
      <c r="M356" s="29"/>
      <c r="N356" s="30"/>
    </row>
    <row r="357" spans="1:14" ht="15" customHeight="1">
      <c r="A357" s="59">
        <v>46187</v>
      </c>
      <c r="B357" s="15">
        <f t="shared" si="83"/>
        <v>0.49999999999999972</v>
      </c>
      <c r="C357" s="16" t="s">
        <v>29</v>
      </c>
      <c r="D357" s="16"/>
      <c r="E357" s="11">
        <v>0</v>
      </c>
      <c r="F357" s="17">
        <f t="shared" si="81"/>
        <v>0</v>
      </c>
      <c r="G357" s="16"/>
      <c r="H357" s="16"/>
      <c r="I357" s="16"/>
      <c r="J357" s="13"/>
      <c r="K357" s="13"/>
      <c r="L357" s="71" t="str">
        <f t="shared" si="82"/>
        <v/>
      </c>
      <c r="M357" s="29"/>
      <c r="N357" s="30"/>
    </row>
    <row r="358" spans="1:14" ht="15" customHeight="1">
      <c r="A358" s="58">
        <v>46187</v>
      </c>
      <c r="B358" s="9">
        <f t="shared" si="83"/>
        <v>0.54166666666666641</v>
      </c>
      <c r="C358" s="16" t="s">
        <v>29</v>
      </c>
      <c r="D358" s="16"/>
      <c r="E358" s="11">
        <v>0</v>
      </c>
      <c r="F358" s="12">
        <f t="shared" si="81"/>
        <v>0</v>
      </c>
      <c r="G358" s="10"/>
      <c r="H358" s="10"/>
      <c r="I358" s="10"/>
      <c r="J358" s="13"/>
      <c r="K358" s="13"/>
      <c r="L358" s="70" t="str">
        <f t="shared" si="82"/>
        <v/>
      </c>
      <c r="M358" s="29"/>
      <c r="N358" s="30"/>
    </row>
    <row r="359" spans="1:14" ht="15" customHeight="1">
      <c r="A359" s="59">
        <v>46187</v>
      </c>
      <c r="B359" s="15">
        <f t="shared" si="83"/>
        <v>0.58333333333333304</v>
      </c>
      <c r="C359" s="16" t="s">
        <v>29</v>
      </c>
      <c r="D359" s="16" t="s">
        <v>22</v>
      </c>
      <c r="E359" s="11">
        <v>0</v>
      </c>
      <c r="F359" s="17">
        <f t="shared" si="81"/>
        <v>0</v>
      </c>
      <c r="G359" s="16"/>
      <c r="H359" s="16"/>
      <c r="I359" s="16"/>
      <c r="J359" s="13"/>
      <c r="K359" s="13"/>
      <c r="L359" s="71" t="str">
        <f t="shared" si="82"/>
        <v/>
      </c>
      <c r="M359" s="29"/>
      <c r="N359" s="30"/>
    </row>
    <row r="360" spans="1:14" ht="15" customHeight="1">
      <c r="A360" s="58">
        <v>46187</v>
      </c>
      <c r="B360" s="9">
        <f t="shared" si="83"/>
        <v>0.62499999999999967</v>
      </c>
      <c r="C360" s="16" t="s">
        <v>29</v>
      </c>
      <c r="D360" s="16" t="s">
        <v>22</v>
      </c>
      <c r="E360" s="11">
        <v>25</v>
      </c>
      <c r="F360" s="12">
        <f t="shared" si="81"/>
        <v>125</v>
      </c>
      <c r="G360" s="10"/>
      <c r="H360" s="10"/>
      <c r="I360" s="10"/>
      <c r="J360" s="13"/>
      <c r="K360" s="13"/>
      <c r="L360" s="70" t="str">
        <f t="shared" si="82"/>
        <v/>
      </c>
      <c r="M360" s="29"/>
      <c r="N360" s="30"/>
    </row>
    <row r="361" spans="1:14" ht="15" customHeight="1">
      <c r="A361" s="59">
        <v>46187</v>
      </c>
      <c r="B361" s="15">
        <f t="shared" si="83"/>
        <v>0.6666666666666663</v>
      </c>
      <c r="C361" s="16" t="s">
        <v>29</v>
      </c>
      <c r="D361" s="16" t="s">
        <v>22</v>
      </c>
      <c r="E361" s="11">
        <v>22</v>
      </c>
      <c r="F361" s="17">
        <f t="shared" si="81"/>
        <v>110</v>
      </c>
      <c r="G361" s="16"/>
      <c r="H361" s="16"/>
      <c r="I361" s="16"/>
      <c r="J361" s="13"/>
      <c r="K361" s="13"/>
      <c r="L361" s="71" t="str">
        <f t="shared" si="82"/>
        <v/>
      </c>
      <c r="M361" s="29"/>
      <c r="N361" s="30"/>
    </row>
    <row r="362" spans="1:14" ht="15" customHeight="1">
      <c r="A362" s="58">
        <v>46187</v>
      </c>
      <c r="B362" s="9">
        <f t="shared" si="83"/>
        <v>0.70833333333333293</v>
      </c>
      <c r="C362" s="16" t="s">
        <v>29</v>
      </c>
      <c r="D362" s="16" t="s">
        <v>22</v>
      </c>
      <c r="E362" s="11">
        <v>20</v>
      </c>
      <c r="F362" s="12">
        <f t="shared" si="81"/>
        <v>100</v>
      </c>
      <c r="G362" s="10"/>
      <c r="H362" s="10"/>
      <c r="I362" s="10"/>
      <c r="J362" s="13"/>
      <c r="K362" s="13"/>
      <c r="L362" s="70" t="str">
        <f t="shared" si="82"/>
        <v/>
      </c>
      <c r="M362" s="29"/>
      <c r="N362" s="30"/>
    </row>
    <row r="363" spans="1:14" ht="15" customHeight="1">
      <c r="A363" s="59">
        <v>46187</v>
      </c>
      <c r="B363" s="15">
        <f t="shared" si="83"/>
        <v>0.74999999999999956</v>
      </c>
      <c r="C363" s="16" t="s">
        <v>29</v>
      </c>
      <c r="D363" s="16" t="s">
        <v>22</v>
      </c>
      <c r="E363" s="11">
        <v>20</v>
      </c>
      <c r="F363" s="17">
        <f t="shared" si="81"/>
        <v>100</v>
      </c>
      <c r="G363" s="16"/>
      <c r="H363" s="16"/>
      <c r="I363" s="16"/>
      <c r="J363" s="13"/>
      <c r="K363" s="13"/>
      <c r="L363" s="71" t="str">
        <f t="shared" si="82"/>
        <v/>
      </c>
      <c r="M363" s="29"/>
      <c r="N363" s="30"/>
    </row>
    <row r="364" spans="1:14" ht="15" customHeight="1">
      <c r="A364" s="58">
        <v>46187</v>
      </c>
      <c r="B364" s="9">
        <f t="shared" si="83"/>
        <v>0.79166666666666619</v>
      </c>
      <c r="C364" s="16" t="s">
        <v>29</v>
      </c>
      <c r="D364" s="16" t="s">
        <v>22</v>
      </c>
      <c r="E364" s="11">
        <v>20</v>
      </c>
      <c r="F364" s="12">
        <f t="shared" si="81"/>
        <v>100</v>
      </c>
      <c r="G364" s="10"/>
      <c r="H364" s="10"/>
      <c r="I364" s="10"/>
      <c r="J364" s="13"/>
      <c r="K364" s="13"/>
      <c r="L364" s="70" t="str">
        <f t="shared" si="82"/>
        <v/>
      </c>
      <c r="M364" s="29"/>
      <c r="N364" s="30"/>
    </row>
    <row r="365" spans="1:14" ht="15.75" customHeight="1">
      <c r="A365" s="97" t="s">
        <v>191</v>
      </c>
      <c r="B365" s="97"/>
      <c r="C365" s="97"/>
      <c r="D365" s="97"/>
      <c r="E365" s="19">
        <f>SUM(E353:E364)</f>
        <v>107</v>
      </c>
      <c r="F365" s="19">
        <f>SUM(F353:F364)</f>
        <v>535</v>
      </c>
      <c r="G365" s="18"/>
      <c r="H365" s="18"/>
      <c r="I365" s="18"/>
      <c r="J365" s="18"/>
      <c r="K365" s="18"/>
      <c r="L365" s="72">
        <f>IFERROR(SUM(L353:L364),"")</f>
        <v>0.31249999999999994</v>
      </c>
      <c r="M365" s="19" t="s">
        <v>192</v>
      </c>
      <c r="N365" s="20">
        <v>631530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4">IF(E366="","",E366*5)</f>
        <v>0</v>
      </c>
      <c r="G366" s="10" t="s">
        <v>20</v>
      </c>
      <c r="H366" s="10" t="s">
        <v>23</v>
      </c>
      <c r="I366" s="10" t="s">
        <v>117</v>
      </c>
      <c r="J366" s="13">
        <v>0.79166666666666663</v>
      </c>
      <c r="K366" s="13">
        <v>0.83333333333333337</v>
      </c>
      <c r="L366" s="70">
        <f t="shared" ref="L366:L377" si="85">IFERROR(IF(K366="","",IF(K366&gt;=J366,K366-J366,K366+1-J366)),"")</f>
        <v>4.1666666666666741E-2</v>
      </c>
      <c r="M366" s="29" t="s">
        <v>206</v>
      </c>
      <c r="N366" s="30"/>
    </row>
    <row r="367" spans="1:14" ht="15" customHeight="1">
      <c r="A367" s="59">
        <v>46187</v>
      </c>
      <c r="B367" s="15">
        <f t="shared" ref="B367:B377" si="86">B366+TIME(0,60,0)</f>
        <v>0.87499999999999967</v>
      </c>
      <c r="C367" s="10" t="s">
        <v>21</v>
      </c>
      <c r="D367" s="10" t="s">
        <v>22</v>
      </c>
      <c r="E367" s="11">
        <v>11</v>
      </c>
      <c r="F367" s="17">
        <f t="shared" si="84"/>
        <v>55</v>
      </c>
      <c r="G367" s="16" t="s">
        <v>20</v>
      </c>
      <c r="H367" s="16" t="s">
        <v>23</v>
      </c>
      <c r="I367" s="16" t="s">
        <v>126</v>
      </c>
      <c r="J367" s="13">
        <v>0.95833333333333337</v>
      </c>
      <c r="K367" s="13">
        <v>0.97291666666666665</v>
      </c>
      <c r="L367" s="71">
        <f t="shared" si="85"/>
        <v>1.4583333333333282E-2</v>
      </c>
      <c r="M367" s="29" t="s">
        <v>207</v>
      </c>
      <c r="N367" s="30"/>
    </row>
    <row r="368" spans="1:14" ht="15" customHeight="1">
      <c r="A368" s="58">
        <v>46187</v>
      </c>
      <c r="B368" s="9">
        <f t="shared" si="86"/>
        <v>0.9166666666666663</v>
      </c>
      <c r="C368" s="10" t="s">
        <v>21</v>
      </c>
      <c r="D368" s="10" t="s">
        <v>22</v>
      </c>
      <c r="E368" s="11">
        <v>15</v>
      </c>
      <c r="F368" s="12">
        <f t="shared" si="84"/>
        <v>75</v>
      </c>
      <c r="G368" s="10"/>
      <c r="H368" s="10"/>
      <c r="I368" s="10"/>
      <c r="J368" s="13"/>
      <c r="K368" s="13"/>
      <c r="L368" s="70" t="str">
        <f t="shared" si="85"/>
        <v/>
      </c>
      <c r="M368" s="29"/>
      <c r="N368" s="30"/>
    </row>
    <row r="369" spans="1:14" ht="15" customHeight="1">
      <c r="A369" s="59">
        <v>46187</v>
      </c>
      <c r="B369" s="15">
        <f t="shared" si="86"/>
        <v>0.95833333333333293</v>
      </c>
      <c r="C369" s="10" t="s">
        <v>21</v>
      </c>
      <c r="D369" s="10" t="s">
        <v>22</v>
      </c>
      <c r="E369" s="11">
        <v>22</v>
      </c>
      <c r="F369" s="17">
        <f t="shared" si="84"/>
        <v>110</v>
      </c>
      <c r="G369" s="16"/>
      <c r="H369" s="16"/>
      <c r="I369" s="16"/>
      <c r="J369" s="13"/>
      <c r="K369" s="13"/>
      <c r="L369" s="71" t="str">
        <f t="shared" si="85"/>
        <v/>
      </c>
      <c r="M369" s="29"/>
      <c r="N369" s="30"/>
    </row>
    <row r="370" spans="1:14" ht="15" customHeight="1">
      <c r="A370" s="58">
        <v>46187</v>
      </c>
      <c r="B370" s="9">
        <f t="shared" si="86"/>
        <v>0.99999999999999956</v>
      </c>
      <c r="C370" s="10" t="s">
        <v>21</v>
      </c>
      <c r="D370" s="10" t="s">
        <v>22</v>
      </c>
      <c r="E370" s="11">
        <v>10</v>
      </c>
      <c r="F370" s="12">
        <f t="shared" si="84"/>
        <v>50</v>
      </c>
      <c r="G370" s="10"/>
      <c r="H370" s="10"/>
      <c r="I370" s="10"/>
      <c r="J370" s="13"/>
      <c r="K370" s="13"/>
      <c r="L370" s="70" t="str">
        <f t="shared" si="85"/>
        <v/>
      </c>
      <c r="M370" s="29"/>
      <c r="N370" s="30"/>
    </row>
    <row r="371" spans="1:14" ht="15" customHeight="1">
      <c r="A371" s="59">
        <v>46187</v>
      </c>
      <c r="B371" s="15">
        <f t="shared" si="86"/>
        <v>1.0416666666666663</v>
      </c>
      <c r="C371" s="10" t="s">
        <v>21</v>
      </c>
      <c r="D371" s="10" t="s">
        <v>30</v>
      </c>
      <c r="E371" s="11">
        <v>40</v>
      </c>
      <c r="F371" s="17">
        <f t="shared" si="84"/>
        <v>200</v>
      </c>
      <c r="G371" s="16"/>
      <c r="H371" s="16"/>
      <c r="I371" s="16"/>
      <c r="J371" s="13"/>
      <c r="K371" s="13"/>
      <c r="L371" s="71" t="str">
        <f t="shared" si="85"/>
        <v/>
      </c>
      <c r="M371" s="29"/>
      <c r="N371" s="30"/>
    </row>
    <row r="372" spans="1:14" ht="15" customHeight="1">
      <c r="A372" s="58">
        <v>46187</v>
      </c>
      <c r="B372" s="9">
        <f t="shared" si="86"/>
        <v>1.083333333333333</v>
      </c>
      <c r="C372" s="10" t="s">
        <v>21</v>
      </c>
      <c r="D372" s="10" t="s">
        <v>30</v>
      </c>
      <c r="E372" s="11">
        <v>40</v>
      </c>
      <c r="F372" s="12">
        <f t="shared" si="84"/>
        <v>200</v>
      </c>
      <c r="G372" s="10"/>
      <c r="H372" s="10"/>
      <c r="I372" s="10"/>
      <c r="J372" s="13"/>
      <c r="K372" s="13"/>
      <c r="L372" s="70" t="str">
        <f t="shared" si="85"/>
        <v/>
      </c>
      <c r="M372" s="29"/>
      <c r="N372" s="30"/>
    </row>
    <row r="373" spans="1:14" ht="15" customHeight="1">
      <c r="A373" s="59">
        <v>46187</v>
      </c>
      <c r="B373" s="15">
        <f t="shared" si="86"/>
        <v>1.1249999999999998</v>
      </c>
      <c r="C373" s="10" t="s">
        <v>21</v>
      </c>
      <c r="D373" s="10" t="s">
        <v>30</v>
      </c>
      <c r="E373" s="11">
        <v>11</v>
      </c>
      <c r="F373" s="17">
        <f t="shared" si="84"/>
        <v>55</v>
      </c>
      <c r="G373" s="16"/>
      <c r="H373" s="16"/>
      <c r="I373" s="16"/>
      <c r="J373" s="13"/>
      <c r="K373" s="13"/>
      <c r="L373" s="71" t="str">
        <f t="shared" si="85"/>
        <v/>
      </c>
      <c r="M373" s="29"/>
      <c r="N373" s="30"/>
    </row>
    <row r="374" spans="1:14" ht="15" customHeight="1">
      <c r="A374" s="58">
        <v>46187</v>
      </c>
      <c r="B374" s="9">
        <f t="shared" si="86"/>
        <v>1.1666666666666665</v>
      </c>
      <c r="C374" s="10" t="s">
        <v>21</v>
      </c>
      <c r="D374" s="10" t="s">
        <v>30</v>
      </c>
      <c r="E374" s="11">
        <v>39</v>
      </c>
      <c r="F374" s="12">
        <f t="shared" si="84"/>
        <v>195</v>
      </c>
      <c r="G374" s="10"/>
      <c r="H374" s="10"/>
      <c r="I374" s="10"/>
      <c r="J374" s="13"/>
      <c r="K374" s="13"/>
      <c r="L374" s="70" t="str">
        <f t="shared" si="85"/>
        <v/>
      </c>
      <c r="M374" s="29"/>
      <c r="N374" s="30"/>
    </row>
    <row r="375" spans="1:14" ht="15" customHeight="1">
      <c r="A375" s="59">
        <v>46187</v>
      </c>
      <c r="B375" s="15">
        <f t="shared" si="86"/>
        <v>1.2083333333333333</v>
      </c>
      <c r="C375" s="10" t="s">
        <v>21</v>
      </c>
      <c r="D375" s="10" t="s">
        <v>30</v>
      </c>
      <c r="E375" s="11">
        <v>25</v>
      </c>
      <c r="F375" s="17">
        <f t="shared" si="84"/>
        <v>125</v>
      </c>
      <c r="G375" s="16"/>
      <c r="H375" s="16"/>
      <c r="I375" s="16"/>
      <c r="J375" s="13"/>
      <c r="K375" s="13"/>
      <c r="L375" s="71" t="str">
        <f t="shared" si="85"/>
        <v/>
      </c>
      <c r="M375" s="29"/>
      <c r="N375" s="30"/>
    </row>
    <row r="376" spans="1:14" ht="15" customHeight="1">
      <c r="A376" s="58">
        <v>46187</v>
      </c>
      <c r="B376" s="9">
        <f t="shared" si="86"/>
        <v>1.25</v>
      </c>
      <c r="C376" s="10" t="s">
        <v>21</v>
      </c>
      <c r="D376" s="10" t="s">
        <v>30</v>
      </c>
      <c r="E376" s="11">
        <v>35</v>
      </c>
      <c r="F376" s="12">
        <f t="shared" si="84"/>
        <v>175</v>
      </c>
      <c r="G376" s="10"/>
      <c r="H376" s="10"/>
      <c r="I376" s="10"/>
      <c r="J376" s="13"/>
      <c r="K376" s="13"/>
      <c r="L376" s="70" t="str">
        <f t="shared" si="85"/>
        <v/>
      </c>
      <c r="M376" s="29"/>
      <c r="N376" s="30"/>
    </row>
    <row r="377" spans="1:14" ht="15" customHeight="1">
      <c r="A377" s="59">
        <v>46187</v>
      </c>
      <c r="B377" s="15">
        <f t="shared" si="86"/>
        <v>1.2916666666666667</v>
      </c>
      <c r="C377" s="10" t="s">
        <v>21</v>
      </c>
      <c r="D377" s="10" t="s">
        <v>30</v>
      </c>
      <c r="E377" s="11">
        <v>11</v>
      </c>
      <c r="F377" s="17">
        <f t="shared" si="84"/>
        <v>55</v>
      </c>
      <c r="G377" s="16"/>
      <c r="H377" s="16"/>
      <c r="I377" s="16"/>
      <c r="J377" s="13"/>
      <c r="K377" s="13"/>
      <c r="L377" s="71" t="str">
        <f t="shared" si="85"/>
        <v/>
      </c>
      <c r="M377" s="29"/>
      <c r="N377" s="30"/>
    </row>
    <row r="378" spans="1:14" ht="15.75" customHeight="1">
      <c r="A378" s="97" t="s">
        <v>193</v>
      </c>
      <c r="B378" s="97"/>
      <c r="C378" s="97"/>
      <c r="D378" s="97"/>
      <c r="E378" s="19">
        <f>SUM(E366:E377)</f>
        <v>259</v>
      </c>
      <c r="F378" s="19">
        <f>SUM(F366:F377)</f>
        <v>1295</v>
      </c>
      <c r="G378" s="18"/>
      <c r="H378" s="18"/>
      <c r="I378" s="18"/>
      <c r="J378" s="18"/>
      <c r="K378" s="18"/>
      <c r="L378" s="72">
        <f>IFERROR(SUM(L366:L377),"")</f>
        <v>5.6250000000000022E-2</v>
      </c>
      <c r="M378" s="19" t="s">
        <v>192</v>
      </c>
      <c r="N378" s="20">
        <v>1299920</v>
      </c>
    </row>
    <row r="379" spans="1:14" ht="18" customHeight="1">
      <c r="A379" s="98" t="s">
        <v>194</v>
      </c>
      <c r="B379" s="98"/>
      <c r="C379" s="98"/>
      <c r="D379" s="98"/>
      <c r="E379" s="22">
        <f>E365+E378</f>
        <v>366</v>
      </c>
      <c r="F379" s="22">
        <f>F365+F378</f>
        <v>1830</v>
      </c>
      <c r="G379" s="21"/>
      <c r="H379" s="21"/>
      <c r="I379" s="21"/>
      <c r="J379" s="21"/>
      <c r="K379" s="21"/>
      <c r="L379" s="73">
        <f>IFERROR(L365+L378,"")</f>
        <v>0.36874999999999997</v>
      </c>
      <c r="M379" s="22" t="s">
        <v>195</v>
      </c>
      <c r="N379" s="31">
        <f>IFERROR(N365+N378,"")</f>
        <v>1931450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18</v>
      </c>
      <c r="F380" s="12">
        <f t="shared" ref="F380:F391" si="87">IF(E380="","",E380*5)</f>
        <v>90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8">IFERROR(IF(K380="","",IF(K380&gt;=J380,K380-J380,K380+1-J380)),"")</f>
        <v>1.3888888888888895E-2</v>
      </c>
      <c r="M380" s="29"/>
      <c r="N380" s="30"/>
    </row>
    <row r="381" spans="1:14" ht="15" customHeight="1">
      <c r="A381" s="59">
        <v>46188</v>
      </c>
      <c r="B381" s="15">
        <f t="shared" ref="B381:B391" si="89">B380+TIME(0,60,0)</f>
        <v>0.37499999999999967</v>
      </c>
      <c r="C381" s="10" t="s">
        <v>29</v>
      </c>
      <c r="D381" s="10" t="s">
        <v>30</v>
      </c>
      <c r="E381" s="11">
        <v>29</v>
      </c>
      <c r="F381" s="17">
        <f t="shared" si="87"/>
        <v>145</v>
      </c>
      <c r="G381" s="16" t="s">
        <v>20</v>
      </c>
      <c r="H381" s="16" t="s">
        <v>23</v>
      </c>
      <c r="I381" s="16" t="s">
        <v>134</v>
      </c>
      <c r="J381" s="13">
        <v>0.5</v>
      </c>
      <c r="K381" s="13">
        <v>0.54861111111111116</v>
      </c>
      <c r="L381" s="71">
        <f t="shared" si="88"/>
        <v>4.861111111111116E-2</v>
      </c>
      <c r="M381" s="29"/>
      <c r="N381" s="30"/>
    </row>
    <row r="382" spans="1:14" ht="15" customHeight="1">
      <c r="A382" s="58">
        <v>46188</v>
      </c>
      <c r="B382" s="9">
        <f t="shared" si="89"/>
        <v>0.41666666666666635</v>
      </c>
      <c r="C382" s="10" t="s">
        <v>29</v>
      </c>
      <c r="D382" s="10" t="s">
        <v>30</v>
      </c>
      <c r="E382" s="11">
        <v>39</v>
      </c>
      <c r="F382" s="12">
        <f t="shared" si="87"/>
        <v>195</v>
      </c>
      <c r="G382" s="10" t="s">
        <v>18</v>
      </c>
      <c r="H382" s="10" t="s">
        <v>23</v>
      </c>
      <c r="I382" s="10" t="s">
        <v>122</v>
      </c>
      <c r="J382" s="13">
        <v>0.68055555555555558</v>
      </c>
      <c r="K382" s="13">
        <v>0.70625000000000004</v>
      </c>
      <c r="L382" s="70">
        <f t="shared" si="88"/>
        <v>2.5694444444444464E-2</v>
      </c>
      <c r="M382" s="29"/>
      <c r="N382" s="30"/>
    </row>
    <row r="383" spans="1:14" ht="15" customHeight="1">
      <c r="A383" s="59">
        <v>46188</v>
      </c>
      <c r="B383" s="15">
        <f t="shared" si="89"/>
        <v>0.45833333333333304</v>
      </c>
      <c r="C383" s="10" t="s">
        <v>29</v>
      </c>
      <c r="D383" s="10" t="s">
        <v>30</v>
      </c>
      <c r="E383" s="11">
        <v>21</v>
      </c>
      <c r="F383" s="17">
        <f t="shared" si="87"/>
        <v>105</v>
      </c>
      <c r="G383" s="16"/>
      <c r="H383" s="16"/>
      <c r="I383" s="16"/>
      <c r="J383" s="13"/>
      <c r="K383" s="13"/>
      <c r="L383" s="71" t="str">
        <f t="shared" si="88"/>
        <v/>
      </c>
      <c r="M383" s="29"/>
      <c r="N383" s="30"/>
    </row>
    <row r="384" spans="1:14" ht="15" customHeight="1">
      <c r="A384" s="58">
        <v>46188</v>
      </c>
      <c r="B384" s="9">
        <f t="shared" si="89"/>
        <v>0.49999999999999972</v>
      </c>
      <c r="C384" s="10" t="s">
        <v>29</v>
      </c>
      <c r="D384" s="10" t="s">
        <v>30</v>
      </c>
      <c r="E384" s="11">
        <v>31</v>
      </c>
      <c r="F384" s="12">
        <f t="shared" si="87"/>
        <v>155</v>
      </c>
      <c r="G384" s="10"/>
      <c r="H384" s="10"/>
      <c r="I384" s="10"/>
      <c r="J384" s="13"/>
      <c r="K384" s="13"/>
      <c r="L384" s="70" t="str">
        <f t="shared" si="88"/>
        <v/>
      </c>
      <c r="M384" s="29"/>
      <c r="N384" s="30"/>
    </row>
    <row r="385" spans="1:14" ht="15" customHeight="1">
      <c r="A385" s="59">
        <v>46188</v>
      </c>
      <c r="B385" s="15">
        <f t="shared" si="89"/>
        <v>0.54166666666666641</v>
      </c>
      <c r="C385" s="10" t="s">
        <v>29</v>
      </c>
      <c r="D385" s="10" t="s">
        <v>30</v>
      </c>
      <c r="E385" s="11">
        <v>0</v>
      </c>
      <c r="F385" s="17">
        <f t="shared" si="87"/>
        <v>0</v>
      </c>
      <c r="G385" s="16"/>
      <c r="H385" s="16"/>
      <c r="I385" s="16"/>
      <c r="J385" s="13"/>
      <c r="K385" s="13"/>
      <c r="L385" s="71" t="str">
        <f t="shared" si="88"/>
        <v/>
      </c>
      <c r="M385" s="29"/>
      <c r="N385" s="30"/>
    </row>
    <row r="386" spans="1:14" ht="15" customHeight="1">
      <c r="A386" s="58">
        <v>46188</v>
      </c>
      <c r="B386" s="9">
        <f t="shared" si="89"/>
        <v>0.58333333333333304</v>
      </c>
      <c r="C386" s="10" t="s">
        <v>29</v>
      </c>
      <c r="D386" s="10" t="s">
        <v>30</v>
      </c>
      <c r="E386" s="11">
        <v>0</v>
      </c>
      <c r="F386" s="12">
        <f t="shared" si="87"/>
        <v>0</v>
      </c>
      <c r="G386" s="10"/>
      <c r="H386" s="10"/>
      <c r="I386" s="10"/>
      <c r="J386" s="13"/>
      <c r="K386" s="13"/>
      <c r="L386" s="70" t="str">
        <f t="shared" si="88"/>
        <v/>
      </c>
      <c r="M386" s="29"/>
      <c r="N386" s="30"/>
    </row>
    <row r="387" spans="1:14" ht="15" customHeight="1">
      <c r="A387" s="59">
        <v>46188</v>
      </c>
      <c r="B387" s="15">
        <f t="shared" si="89"/>
        <v>0.62499999999999967</v>
      </c>
      <c r="C387" s="10" t="s">
        <v>29</v>
      </c>
      <c r="D387" s="10" t="s">
        <v>30</v>
      </c>
      <c r="E387" s="11">
        <v>31</v>
      </c>
      <c r="F387" s="17">
        <f t="shared" si="87"/>
        <v>155</v>
      </c>
      <c r="G387" s="16"/>
      <c r="H387" s="16"/>
      <c r="I387" s="16"/>
      <c r="J387" s="13"/>
      <c r="K387" s="13"/>
      <c r="L387" s="71" t="str">
        <f t="shared" si="88"/>
        <v/>
      </c>
      <c r="M387" s="29"/>
      <c r="N387" s="30"/>
    </row>
    <row r="388" spans="1:14" ht="15" customHeight="1">
      <c r="A388" s="58">
        <v>46188</v>
      </c>
      <c r="B388" s="9">
        <f t="shared" si="89"/>
        <v>0.6666666666666663</v>
      </c>
      <c r="C388" s="10" t="s">
        <v>29</v>
      </c>
      <c r="D388" s="10" t="s">
        <v>30</v>
      </c>
      <c r="E388" s="11">
        <v>35</v>
      </c>
      <c r="F388" s="12">
        <f t="shared" si="87"/>
        <v>175</v>
      </c>
      <c r="G388" s="10"/>
      <c r="H388" s="10"/>
      <c r="I388" s="10"/>
      <c r="J388" s="13"/>
      <c r="K388" s="13"/>
      <c r="L388" s="70" t="str">
        <f t="shared" si="88"/>
        <v/>
      </c>
      <c r="M388" s="29"/>
      <c r="N388" s="30"/>
    </row>
    <row r="389" spans="1:14" ht="15" customHeight="1">
      <c r="A389" s="59">
        <v>46188</v>
      </c>
      <c r="B389" s="15">
        <f t="shared" si="89"/>
        <v>0.70833333333333293</v>
      </c>
      <c r="C389" s="10" t="s">
        <v>29</v>
      </c>
      <c r="D389" s="10" t="s">
        <v>30</v>
      </c>
      <c r="E389" s="11">
        <v>5</v>
      </c>
      <c r="F389" s="17">
        <f t="shared" si="87"/>
        <v>25</v>
      </c>
      <c r="G389" s="16"/>
      <c r="H389" s="16"/>
      <c r="I389" s="16"/>
      <c r="J389" s="13"/>
      <c r="K389" s="13"/>
      <c r="L389" s="71" t="str">
        <f t="shared" si="88"/>
        <v/>
      </c>
      <c r="M389" s="29"/>
      <c r="N389" s="30"/>
    </row>
    <row r="390" spans="1:14" ht="15" customHeight="1">
      <c r="A390" s="58">
        <v>46188</v>
      </c>
      <c r="B390" s="9">
        <f t="shared" si="89"/>
        <v>0.74999999999999956</v>
      </c>
      <c r="C390" s="10" t="s">
        <v>29</v>
      </c>
      <c r="D390" s="10" t="s">
        <v>30</v>
      </c>
      <c r="E390" s="11">
        <v>40</v>
      </c>
      <c r="F390" s="12">
        <f t="shared" si="87"/>
        <v>200</v>
      </c>
      <c r="G390" s="10"/>
      <c r="H390" s="10"/>
      <c r="I390" s="10"/>
      <c r="J390" s="13"/>
      <c r="K390" s="13"/>
      <c r="L390" s="70" t="str">
        <f t="shared" si="88"/>
        <v/>
      </c>
      <c r="M390" s="29"/>
      <c r="N390" s="30"/>
    </row>
    <row r="391" spans="1:14" ht="15" customHeight="1">
      <c r="A391" s="59">
        <v>46188</v>
      </c>
      <c r="B391" s="15">
        <f t="shared" si="89"/>
        <v>0.79166666666666619</v>
      </c>
      <c r="C391" s="16" t="s">
        <v>29</v>
      </c>
      <c r="D391" s="10" t="s">
        <v>30</v>
      </c>
      <c r="E391" s="11">
        <v>25</v>
      </c>
      <c r="F391" s="17">
        <f t="shared" si="87"/>
        <v>125</v>
      </c>
      <c r="G391" s="16"/>
      <c r="H391" s="16"/>
      <c r="I391" s="16"/>
      <c r="J391" s="13"/>
      <c r="K391" s="13"/>
      <c r="L391" s="71" t="str">
        <f t="shared" si="88"/>
        <v/>
      </c>
      <c r="M391" s="29"/>
      <c r="N391" s="30"/>
    </row>
    <row r="392" spans="1:14" ht="15.75" customHeight="1">
      <c r="A392" s="97" t="s">
        <v>191</v>
      </c>
      <c r="B392" s="97"/>
      <c r="C392" s="97"/>
      <c r="D392" s="97"/>
      <c r="E392" s="19">
        <f>SUM(E380:E391)</f>
        <v>274</v>
      </c>
      <c r="F392" s="19">
        <f>SUM(F380:F391)</f>
        <v>1370</v>
      </c>
      <c r="G392" s="18"/>
      <c r="H392" s="18"/>
      <c r="I392" s="18"/>
      <c r="J392" s="18"/>
      <c r="K392" s="18"/>
      <c r="L392" s="72">
        <f>IFERROR(SUM(L380:L391),"")</f>
        <v>8.819444444444452E-2</v>
      </c>
      <c r="M392" s="19" t="s">
        <v>192</v>
      </c>
      <c r="N392" s="20">
        <v>1723080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25</v>
      </c>
      <c r="F393" s="17">
        <f t="shared" ref="F393:F404" si="90">IF(E393="","",E393*5)</f>
        <v>125</v>
      </c>
      <c r="G393" s="16" t="s">
        <v>20</v>
      </c>
      <c r="H393" s="16" t="s">
        <v>23</v>
      </c>
      <c r="I393" s="16" t="s">
        <v>137</v>
      </c>
      <c r="J393" s="13">
        <v>0.95138888888888884</v>
      </c>
      <c r="K393" s="13">
        <v>0.97222222222222221</v>
      </c>
      <c r="L393" s="71">
        <f t="shared" ref="L393:L404" si="91">IFERROR(IF(K393="","",IF(K393&gt;=J393,K393-J393,K393+1-J393)),"")</f>
        <v>2.083333333333337E-2</v>
      </c>
      <c r="M393" s="29"/>
      <c r="N393" s="30"/>
    </row>
    <row r="394" spans="1:14" ht="15" customHeight="1">
      <c r="A394" s="58">
        <v>46188</v>
      </c>
      <c r="B394" s="9">
        <f t="shared" ref="B394:B404" si="92">B393+TIME(0,60,0)</f>
        <v>0.87499999999999967</v>
      </c>
      <c r="C394" s="16" t="s">
        <v>45</v>
      </c>
      <c r="D394" s="16" t="s">
        <v>30</v>
      </c>
      <c r="E394" s="11">
        <v>30</v>
      </c>
      <c r="F394" s="12">
        <f t="shared" si="90"/>
        <v>150</v>
      </c>
      <c r="G394" s="10" t="s">
        <v>20</v>
      </c>
      <c r="H394" s="10" t="s">
        <v>23</v>
      </c>
      <c r="I394" s="10" t="s">
        <v>137</v>
      </c>
      <c r="J394" s="13">
        <v>3.472222222222222E-3</v>
      </c>
      <c r="K394" s="13">
        <v>1.9444444444444445E-2</v>
      </c>
      <c r="L394" s="70">
        <f t="shared" si="91"/>
        <v>1.5972222222222221E-2</v>
      </c>
      <c r="M394" s="29"/>
      <c r="N394" s="30"/>
    </row>
    <row r="395" spans="1:14" ht="15" customHeight="1">
      <c r="A395" s="59">
        <v>46188</v>
      </c>
      <c r="B395" s="15">
        <f t="shared" si="92"/>
        <v>0.9166666666666663</v>
      </c>
      <c r="C395" s="16" t="s">
        <v>45</v>
      </c>
      <c r="D395" s="16" t="s">
        <v>30</v>
      </c>
      <c r="E395" s="11">
        <v>20</v>
      </c>
      <c r="F395" s="17">
        <f t="shared" si="90"/>
        <v>100</v>
      </c>
      <c r="G395" s="16"/>
      <c r="H395" s="16"/>
      <c r="I395" s="16"/>
      <c r="J395" s="13"/>
      <c r="K395" s="13"/>
      <c r="L395" s="71" t="str">
        <f t="shared" si="91"/>
        <v/>
      </c>
      <c r="M395" s="29"/>
      <c r="N395" s="30"/>
    </row>
    <row r="396" spans="1:14" ht="15" customHeight="1">
      <c r="A396" s="58">
        <v>46188</v>
      </c>
      <c r="B396" s="9">
        <f t="shared" si="92"/>
        <v>0.95833333333333293</v>
      </c>
      <c r="C396" s="16" t="s">
        <v>45</v>
      </c>
      <c r="D396" s="16" t="s">
        <v>30</v>
      </c>
      <c r="E396" s="11">
        <v>25</v>
      </c>
      <c r="F396" s="12">
        <f t="shared" si="90"/>
        <v>125</v>
      </c>
      <c r="G396" s="10"/>
      <c r="H396" s="10"/>
      <c r="I396" s="10"/>
      <c r="J396" s="13"/>
      <c r="K396" s="13"/>
      <c r="L396" s="70" t="str">
        <f t="shared" si="91"/>
        <v/>
      </c>
      <c r="M396" s="29"/>
      <c r="N396" s="30"/>
    </row>
    <row r="397" spans="1:14" ht="15" customHeight="1">
      <c r="A397" s="59">
        <v>46188</v>
      </c>
      <c r="B397" s="15">
        <f t="shared" si="92"/>
        <v>0.99999999999999956</v>
      </c>
      <c r="C397" s="16" t="s">
        <v>45</v>
      </c>
      <c r="D397" s="16" t="s">
        <v>30</v>
      </c>
      <c r="E397" s="11">
        <v>30</v>
      </c>
      <c r="F397" s="17">
        <f t="shared" si="90"/>
        <v>150</v>
      </c>
      <c r="G397" s="16"/>
      <c r="H397" s="16"/>
      <c r="I397" s="16"/>
      <c r="J397" s="13"/>
      <c r="K397" s="13"/>
      <c r="L397" s="71" t="str">
        <f t="shared" si="91"/>
        <v/>
      </c>
      <c r="M397" s="29"/>
      <c r="N397" s="30"/>
    </row>
    <row r="398" spans="1:14" ht="15" customHeight="1">
      <c r="A398" s="58">
        <v>46188</v>
      </c>
      <c r="B398" s="9">
        <f t="shared" si="92"/>
        <v>1.0416666666666663</v>
      </c>
      <c r="C398" s="16" t="s">
        <v>45</v>
      </c>
      <c r="D398" s="16" t="s">
        <v>30</v>
      </c>
      <c r="E398" s="11">
        <v>40</v>
      </c>
      <c r="F398" s="12">
        <f t="shared" si="90"/>
        <v>200</v>
      </c>
      <c r="G398" s="10"/>
      <c r="H398" s="10"/>
      <c r="I398" s="10"/>
      <c r="J398" s="13"/>
      <c r="K398" s="13"/>
      <c r="L398" s="70" t="str">
        <f t="shared" si="91"/>
        <v/>
      </c>
      <c r="M398" s="29"/>
      <c r="N398" s="30"/>
    </row>
    <row r="399" spans="1:14" ht="15" customHeight="1">
      <c r="A399" s="59">
        <v>46188</v>
      </c>
      <c r="B399" s="15">
        <f t="shared" si="92"/>
        <v>1.083333333333333</v>
      </c>
      <c r="C399" s="16" t="s">
        <v>45</v>
      </c>
      <c r="D399" s="16" t="s">
        <v>30</v>
      </c>
      <c r="E399" s="11">
        <v>20</v>
      </c>
      <c r="F399" s="17">
        <f t="shared" si="90"/>
        <v>100</v>
      </c>
      <c r="G399" s="16"/>
      <c r="H399" s="16"/>
      <c r="I399" s="16"/>
      <c r="J399" s="13"/>
      <c r="K399" s="13"/>
      <c r="L399" s="71" t="str">
        <f t="shared" si="91"/>
        <v/>
      </c>
      <c r="M399" s="29"/>
      <c r="N399" s="30"/>
    </row>
    <row r="400" spans="1:14" ht="15" customHeight="1">
      <c r="A400" s="58">
        <v>46188</v>
      </c>
      <c r="B400" s="9">
        <f t="shared" si="92"/>
        <v>1.1249999999999998</v>
      </c>
      <c r="C400" s="16" t="s">
        <v>45</v>
      </c>
      <c r="D400" s="16" t="s">
        <v>30</v>
      </c>
      <c r="E400" s="11">
        <v>15</v>
      </c>
      <c r="F400" s="12">
        <f t="shared" si="90"/>
        <v>75</v>
      </c>
      <c r="G400" s="10"/>
      <c r="H400" s="10"/>
      <c r="I400" s="10"/>
      <c r="J400" s="13"/>
      <c r="K400" s="13"/>
      <c r="L400" s="70" t="str">
        <f t="shared" si="91"/>
        <v/>
      </c>
      <c r="M400" s="29"/>
      <c r="N400" s="30"/>
    </row>
    <row r="401" spans="1:14" ht="15" customHeight="1">
      <c r="A401" s="59">
        <v>46188</v>
      </c>
      <c r="B401" s="15">
        <f t="shared" si="92"/>
        <v>1.1666666666666665</v>
      </c>
      <c r="C401" s="16" t="s">
        <v>45</v>
      </c>
      <c r="D401" s="16" t="s">
        <v>22</v>
      </c>
      <c r="E401" s="11">
        <v>20</v>
      </c>
      <c r="F401" s="17">
        <f t="shared" si="90"/>
        <v>100</v>
      </c>
      <c r="G401" s="16"/>
      <c r="H401" s="16"/>
      <c r="I401" s="16"/>
      <c r="J401" s="13"/>
      <c r="K401" s="13"/>
      <c r="L401" s="71" t="str">
        <f t="shared" si="91"/>
        <v/>
      </c>
      <c r="M401" s="29"/>
      <c r="N401" s="30"/>
    </row>
    <row r="402" spans="1:14" ht="15" customHeight="1">
      <c r="A402" s="58">
        <v>46188</v>
      </c>
      <c r="B402" s="9">
        <f t="shared" si="92"/>
        <v>1.2083333333333333</v>
      </c>
      <c r="C402" s="16" t="s">
        <v>45</v>
      </c>
      <c r="D402" s="16" t="s">
        <v>22</v>
      </c>
      <c r="E402" s="11">
        <v>25</v>
      </c>
      <c r="F402" s="12">
        <f t="shared" si="90"/>
        <v>125</v>
      </c>
      <c r="G402" s="10"/>
      <c r="H402" s="10"/>
      <c r="I402" s="10"/>
      <c r="J402" s="13"/>
      <c r="K402" s="13"/>
      <c r="L402" s="70" t="str">
        <f t="shared" si="91"/>
        <v/>
      </c>
      <c r="M402" s="29"/>
      <c r="N402" s="30"/>
    </row>
    <row r="403" spans="1:14" ht="15" customHeight="1">
      <c r="A403" s="59">
        <v>46188</v>
      </c>
      <c r="B403" s="15">
        <f t="shared" si="92"/>
        <v>1.25</v>
      </c>
      <c r="C403" s="16" t="s">
        <v>45</v>
      </c>
      <c r="D403" s="16" t="s">
        <v>22</v>
      </c>
      <c r="E403" s="11">
        <v>30</v>
      </c>
      <c r="F403" s="17">
        <f t="shared" si="90"/>
        <v>150</v>
      </c>
      <c r="G403" s="16"/>
      <c r="H403" s="16"/>
      <c r="I403" s="16"/>
      <c r="J403" s="13"/>
      <c r="K403" s="13"/>
      <c r="L403" s="71" t="str">
        <f t="shared" si="91"/>
        <v/>
      </c>
      <c r="M403" s="29"/>
      <c r="N403" s="30"/>
    </row>
    <row r="404" spans="1:14" ht="15" customHeight="1">
      <c r="A404" s="58">
        <v>46188</v>
      </c>
      <c r="B404" s="9">
        <f t="shared" si="92"/>
        <v>1.2916666666666667</v>
      </c>
      <c r="C404" s="16" t="s">
        <v>45</v>
      </c>
      <c r="D404" s="16" t="s">
        <v>22</v>
      </c>
      <c r="E404" s="11">
        <v>15</v>
      </c>
      <c r="F404" s="12">
        <f t="shared" si="90"/>
        <v>75</v>
      </c>
      <c r="G404" s="10"/>
      <c r="H404" s="10"/>
      <c r="I404" s="10"/>
      <c r="J404" s="13"/>
      <c r="K404" s="13"/>
      <c r="L404" s="70" t="str">
        <f t="shared" si="91"/>
        <v/>
      </c>
      <c r="M404" s="29"/>
      <c r="N404" s="30"/>
    </row>
    <row r="405" spans="1:14" ht="15.75" customHeight="1">
      <c r="A405" s="97" t="s">
        <v>193</v>
      </c>
      <c r="B405" s="97"/>
      <c r="C405" s="97"/>
      <c r="D405" s="97"/>
      <c r="E405" s="19">
        <f>SUM(E393:E404)</f>
        <v>295</v>
      </c>
      <c r="F405" s="19">
        <f>SUM(F393:F404)</f>
        <v>1475</v>
      </c>
      <c r="G405" s="18"/>
      <c r="H405" s="18"/>
      <c r="I405" s="18"/>
      <c r="J405" s="18"/>
      <c r="K405" s="18"/>
      <c r="L405" s="72">
        <f>IFERROR(SUM(L393:L404),"")</f>
        <v>3.6805555555555591E-2</v>
      </c>
      <c r="M405" s="19" t="s">
        <v>192</v>
      </c>
      <c r="N405" s="20">
        <v>1342790</v>
      </c>
    </row>
    <row r="406" spans="1:14" ht="18" customHeight="1">
      <c r="A406" s="98" t="s">
        <v>194</v>
      </c>
      <c r="B406" s="98"/>
      <c r="C406" s="98"/>
      <c r="D406" s="98"/>
      <c r="E406" s="22">
        <f>E392+E405</f>
        <v>569</v>
      </c>
      <c r="F406" s="22">
        <f>F392+F405</f>
        <v>2845</v>
      </c>
      <c r="G406" s="21"/>
      <c r="H406" s="21"/>
      <c r="I406" s="21"/>
      <c r="J406" s="21"/>
      <c r="K406" s="21"/>
      <c r="L406" s="73">
        <f>IFERROR(L392+L405,"")</f>
        <v>0.12500000000000011</v>
      </c>
      <c r="M406" s="22" t="s">
        <v>195</v>
      </c>
      <c r="N406" s="31">
        <f>IFERROR(N392+N405,"")</f>
        <v>3065870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22</v>
      </c>
      <c r="E407" s="11">
        <v>0</v>
      </c>
      <c r="F407" s="17">
        <f t="shared" ref="F407:F418" si="93">IF(E407="","",E407*5)</f>
        <v>0</v>
      </c>
      <c r="G407" s="16" t="s">
        <v>20</v>
      </c>
      <c r="H407" s="16" t="s">
        <v>23</v>
      </c>
      <c r="I407" s="16" t="s">
        <v>140</v>
      </c>
      <c r="J407" s="13">
        <v>0.29166666666666669</v>
      </c>
      <c r="K407" s="13">
        <v>0.41597222222222224</v>
      </c>
      <c r="L407" s="71">
        <f t="shared" ref="L407:L418" si="94">IFERROR(IF(K407="","",IF(K407&gt;=J407,K407-J407,K407+1-J407)),"")</f>
        <v>0.12430555555555556</v>
      </c>
      <c r="M407" s="29"/>
      <c r="N407" s="30"/>
    </row>
    <row r="408" spans="1:14" ht="15" customHeight="1">
      <c r="A408" s="58">
        <v>46189</v>
      </c>
      <c r="B408" s="9">
        <f t="shared" ref="B408:B418" si="95">B407+TIME(0,60,0)</f>
        <v>0.37499999999999967</v>
      </c>
      <c r="C408" s="16" t="s">
        <v>29</v>
      </c>
      <c r="D408" s="16" t="s">
        <v>22</v>
      </c>
      <c r="E408" s="11">
        <v>0</v>
      </c>
      <c r="F408" s="12">
        <f t="shared" si="93"/>
        <v>0</v>
      </c>
      <c r="G408" s="10" t="s">
        <v>20</v>
      </c>
      <c r="H408" s="10" t="s">
        <v>23</v>
      </c>
      <c r="I408" s="10" t="s">
        <v>126</v>
      </c>
      <c r="J408" s="13">
        <v>0.60347222222222219</v>
      </c>
      <c r="K408" s="13">
        <v>0.61736111111111114</v>
      </c>
      <c r="L408" s="70">
        <f t="shared" si="94"/>
        <v>1.3888888888888951E-2</v>
      </c>
      <c r="M408" s="29"/>
      <c r="N408" s="30"/>
    </row>
    <row r="409" spans="1:14" ht="15" customHeight="1">
      <c r="A409" s="59">
        <v>46189</v>
      </c>
      <c r="B409" s="15">
        <f t="shared" si="95"/>
        <v>0.41666666666666635</v>
      </c>
      <c r="C409" s="16" t="s">
        <v>29</v>
      </c>
      <c r="D409" s="16" t="s">
        <v>22</v>
      </c>
      <c r="E409" s="11">
        <v>0</v>
      </c>
      <c r="F409" s="17">
        <f t="shared" si="93"/>
        <v>0</v>
      </c>
      <c r="G409" s="16" t="s">
        <v>16</v>
      </c>
      <c r="H409" s="16" t="s">
        <v>23</v>
      </c>
      <c r="I409" s="16" t="s">
        <v>208</v>
      </c>
      <c r="J409" s="13">
        <v>0.71527777777777779</v>
      </c>
      <c r="K409" s="13">
        <v>0.72013888888888888</v>
      </c>
      <c r="L409" s="71">
        <f t="shared" si="94"/>
        <v>4.8611111111110938E-3</v>
      </c>
      <c r="M409" s="29"/>
      <c r="N409" s="30"/>
    </row>
    <row r="410" spans="1:14" ht="15" customHeight="1">
      <c r="A410" s="58">
        <v>46189</v>
      </c>
      <c r="B410" s="9">
        <f t="shared" si="95"/>
        <v>0.45833333333333304</v>
      </c>
      <c r="C410" s="16" t="s">
        <v>29</v>
      </c>
      <c r="D410" s="16" t="s">
        <v>22</v>
      </c>
      <c r="E410" s="11">
        <v>40</v>
      </c>
      <c r="F410" s="12">
        <f t="shared" si="93"/>
        <v>200</v>
      </c>
      <c r="G410" s="10"/>
      <c r="H410" s="10"/>
      <c r="I410" s="10"/>
      <c r="J410" s="13"/>
      <c r="K410" s="13"/>
      <c r="L410" s="70" t="str">
        <f t="shared" si="94"/>
        <v/>
      </c>
      <c r="M410" s="29"/>
      <c r="N410" s="30"/>
    </row>
    <row r="411" spans="1:14" ht="15" customHeight="1">
      <c r="A411" s="59">
        <v>46189</v>
      </c>
      <c r="B411" s="15">
        <f t="shared" si="95"/>
        <v>0.49999999999999972</v>
      </c>
      <c r="C411" s="16" t="s">
        <v>29</v>
      </c>
      <c r="D411" s="16" t="s">
        <v>22</v>
      </c>
      <c r="E411" s="11">
        <v>9</v>
      </c>
      <c r="F411" s="17">
        <f t="shared" si="93"/>
        <v>45</v>
      </c>
      <c r="G411" s="16"/>
      <c r="H411" s="16"/>
      <c r="I411" s="16"/>
      <c r="J411" s="13"/>
      <c r="K411" s="13"/>
      <c r="L411" s="71" t="str">
        <f t="shared" si="94"/>
        <v/>
      </c>
      <c r="M411" s="29"/>
      <c r="N411" s="30"/>
    </row>
    <row r="412" spans="1:14" ht="15" customHeight="1">
      <c r="A412" s="58">
        <v>46189</v>
      </c>
      <c r="B412" s="9">
        <f t="shared" si="95"/>
        <v>0.54166666666666641</v>
      </c>
      <c r="C412" s="16" t="s">
        <v>29</v>
      </c>
      <c r="D412" s="16" t="s">
        <v>22</v>
      </c>
      <c r="E412" s="11">
        <v>30</v>
      </c>
      <c r="F412" s="12">
        <f t="shared" si="93"/>
        <v>150</v>
      </c>
      <c r="G412" s="10"/>
      <c r="H412" s="10"/>
      <c r="I412" s="10"/>
      <c r="J412" s="13"/>
      <c r="K412" s="13"/>
      <c r="L412" s="70" t="str">
        <f t="shared" si="94"/>
        <v/>
      </c>
      <c r="M412" s="29"/>
      <c r="N412" s="30"/>
    </row>
    <row r="413" spans="1:14" ht="15" customHeight="1">
      <c r="A413" s="59">
        <v>46189</v>
      </c>
      <c r="B413" s="15">
        <f t="shared" si="95"/>
        <v>0.58333333333333304</v>
      </c>
      <c r="C413" s="16" t="s">
        <v>29</v>
      </c>
      <c r="D413" s="16" t="s">
        <v>22</v>
      </c>
      <c r="E413" s="11">
        <v>30</v>
      </c>
      <c r="F413" s="17">
        <f t="shared" si="93"/>
        <v>150</v>
      </c>
      <c r="G413" s="16"/>
      <c r="H413" s="16"/>
      <c r="I413" s="16"/>
      <c r="J413" s="13"/>
      <c r="K413" s="13"/>
      <c r="L413" s="71" t="str">
        <f t="shared" si="94"/>
        <v/>
      </c>
      <c r="M413" s="29"/>
      <c r="N413" s="30"/>
    </row>
    <row r="414" spans="1:14" ht="15" customHeight="1">
      <c r="A414" s="58">
        <v>46189</v>
      </c>
      <c r="B414" s="9">
        <f t="shared" si="95"/>
        <v>0.62499999999999967</v>
      </c>
      <c r="C414" s="16" t="s">
        <v>29</v>
      </c>
      <c r="D414" s="16" t="s">
        <v>22</v>
      </c>
      <c r="E414" s="11">
        <v>25</v>
      </c>
      <c r="F414" s="12">
        <f t="shared" si="93"/>
        <v>125</v>
      </c>
      <c r="G414" s="10"/>
      <c r="H414" s="10"/>
      <c r="I414" s="10"/>
      <c r="J414" s="13"/>
      <c r="K414" s="13"/>
      <c r="L414" s="70" t="str">
        <f t="shared" si="94"/>
        <v/>
      </c>
      <c r="M414" s="29"/>
      <c r="N414" s="30"/>
    </row>
    <row r="415" spans="1:14" ht="15" customHeight="1">
      <c r="A415" s="59">
        <v>46189</v>
      </c>
      <c r="B415" s="15">
        <f t="shared" si="95"/>
        <v>0.6666666666666663</v>
      </c>
      <c r="C415" s="16" t="s">
        <v>29</v>
      </c>
      <c r="D415" s="16" t="s">
        <v>22</v>
      </c>
      <c r="E415" s="11">
        <v>26</v>
      </c>
      <c r="F415" s="17">
        <f t="shared" si="93"/>
        <v>130</v>
      </c>
      <c r="G415" s="16"/>
      <c r="H415" s="16"/>
      <c r="I415" s="16"/>
      <c r="J415" s="13"/>
      <c r="K415" s="13"/>
      <c r="L415" s="71" t="str">
        <f t="shared" si="94"/>
        <v/>
      </c>
      <c r="M415" s="29"/>
      <c r="N415" s="30"/>
    </row>
    <row r="416" spans="1:14" ht="15" customHeight="1">
      <c r="A416" s="58">
        <v>46189</v>
      </c>
      <c r="B416" s="9">
        <f t="shared" si="95"/>
        <v>0.70833333333333293</v>
      </c>
      <c r="C416" s="16" t="s">
        <v>29</v>
      </c>
      <c r="D416" s="16" t="s">
        <v>22</v>
      </c>
      <c r="E416" s="11">
        <v>30</v>
      </c>
      <c r="F416" s="12">
        <f t="shared" si="93"/>
        <v>150</v>
      </c>
      <c r="G416" s="10"/>
      <c r="H416" s="10"/>
      <c r="I416" s="10"/>
      <c r="J416" s="13"/>
      <c r="K416" s="13"/>
      <c r="L416" s="70" t="str">
        <f t="shared" si="94"/>
        <v/>
      </c>
      <c r="M416" s="29"/>
      <c r="N416" s="30"/>
    </row>
    <row r="417" spans="1:14" ht="15" customHeight="1">
      <c r="A417" s="59">
        <v>46189</v>
      </c>
      <c r="B417" s="15">
        <f t="shared" si="95"/>
        <v>0.74999999999999956</v>
      </c>
      <c r="C417" s="16" t="s">
        <v>29</v>
      </c>
      <c r="D417" s="16" t="s">
        <v>22</v>
      </c>
      <c r="E417" s="11">
        <v>30</v>
      </c>
      <c r="F417" s="17">
        <f t="shared" si="93"/>
        <v>150</v>
      </c>
      <c r="G417" s="16"/>
      <c r="H417" s="16"/>
      <c r="I417" s="16"/>
      <c r="J417" s="13"/>
      <c r="K417" s="13"/>
      <c r="L417" s="71" t="str">
        <f t="shared" si="94"/>
        <v/>
      </c>
      <c r="M417" s="29"/>
      <c r="N417" s="30"/>
    </row>
    <row r="418" spans="1:14" ht="15" customHeight="1">
      <c r="A418" s="58">
        <v>46189</v>
      </c>
      <c r="B418" s="9">
        <f t="shared" si="95"/>
        <v>0.79166666666666619</v>
      </c>
      <c r="C418" s="16" t="s">
        <v>29</v>
      </c>
      <c r="D418" s="16" t="s">
        <v>22</v>
      </c>
      <c r="E418" s="11">
        <v>30</v>
      </c>
      <c r="F418" s="12">
        <f t="shared" si="93"/>
        <v>150</v>
      </c>
      <c r="G418" s="10"/>
      <c r="H418" s="10"/>
      <c r="I418" s="10"/>
      <c r="J418" s="13"/>
      <c r="K418" s="13"/>
      <c r="L418" s="70" t="str">
        <f t="shared" si="94"/>
        <v/>
      </c>
      <c r="M418" s="29"/>
      <c r="N418" s="30"/>
    </row>
    <row r="419" spans="1:14" ht="15.75" customHeight="1">
      <c r="A419" s="97" t="s">
        <v>191</v>
      </c>
      <c r="B419" s="97"/>
      <c r="C419" s="97"/>
      <c r="D419" s="97"/>
      <c r="E419" s="19">
        <f>SUM(E407:E418)</f>
        <v>250</v>
      </c>
      <c r="F419" s="19">
        <f>SUM(F407:F418)</f>
        <v>1250</v>
      </c>
      <c r="G419" s="18"/>
      <c r="H419" s="18"/>
      <c r="I419" s="18"/>
      <c r="J419" s="18"/>
      <c r="K419" s="18"/>
      <c r="L419" s="72">
        <f>IFERROR(SUM(L407:L418),"")</f>
        <v>0.1430555555555556</v>
      </c>
      <c r="M419" s="19" t="s">
        <v>192</v>
      </c>
      <c r="N419" s="20">
        <v>1218660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30</v>
      </c>
      <c r="F420" s="12">
        <f t="shared" ref="F420:F431" si="96">IF(E420="","",E420*5)</f>
        <v>150</v>
      </c>
      <c r="G420" s="10" t="s">
        <v>20</v>
      </c>
      <c r="H420" s="10" t="s">
        <v>23</v>
      </c>
      <c r="I420" s="10" t="s">
        <v>137</v>
      </c>
      <c r="J420" s="13">
        <v>0.93402777777777779</v>
      </c>
      <c r="K420" s="13">
        <v>0.96319444444444446</v>
      </c>
      <c r="L420" s="70">
        <f t="shared" ref="L420:L431" si="97">IFERROR(IF(K420="","",IF(K420&gt;=J420,K420-J420,K420+1-J420)),"")</f>
        <v>2.9166666666666674E-2</v>
      </c>
      <c r="M420" s="29"/>
      <c r="N420" s="30"/>
    </row>
    <row r="421" spans="1:14" ht="15" customHeight="1">
      <c r="A421" s="59">
        <v>46189</v>
      </c>
      <c r="B421" s="15">
        <f t="shared" ref="B421:B431" si="98">B420+TIME(0,60,0)</f>
        <v>0.87499999999999967</v>
      </c>
      <c r="C421" s="10" t="s">
        <v>21</v>
      </c>
      <c r="D421" s="10" t="s">
        <v>30</v>
      </c>
      <c r="E421" s="11">
        <v>26</v>
      </c>
      <c r="F421" s="17">
        <f t="shared" si="96"/>
        <v>130</v>
      </c>
      <c r="G421" s="10" t="s">
        <v>20</v>
      </c>
      <c r="H421" s="10" t="s">
        <v>23</v>
      </c>
      <c r="I421" s="10" t="s">
        <v>137</v>
      </c>
      <c r="J421" s="13">
        <v>0.14583333333333334</v>
      </c>
      <c r="K421" s="13">
        <v>0.29166666666666669</v>
      </c>
      <c r="L421" s="71">
        <f t="shared" si="97"/>
        <v>0.14583333333333334</v>
      </c>
      <c r="M421" s="29" t="s">
        <v>209</v>
      </c>
      <c r="N421" s="30"/>
    </row>
    <row r="422" spans="1:14" ht="15" customHeight="1">
      <c r="A422" s="58">
        <v>46189</v>
      </c>
      <c r="B422" s="9">
        <f t="shared" si="98"/>
        <v>0.9166666666666663</v>
      </c>
      <c r="C422" s="10" t="s">
        <v>21</v>
      </c>
      <c r="D422" s="10" t="s">
        <v>30</v>
      </c>
      <c r="E422" s="11">
        <v>15</v>
      </c>
      <c r="F422" s="12">
        <f t="shared" si="96"/>
        <v>75</v>
      </c>
      <c r="G422" s="10"/>
      <c r="H422" s="10"/>
      <c r="I422" s="10"/>
      <c r="J422" s="13"/>
      <c r="K422" s="13"/>
      <c r="L422" s="70" t="str">
        <f t="shared" si="97"/>
        <v/>
      </c>
      <c r="M422" s="29"/>
      <c r="N422" s="30"/>
    </row>
    <row r="423" spans="1:14" ht="15" customHeight="1">
      <c r="A423" s="59">
        <v>46189</v>
      </c>
      <c r="B423" s="15">
        <f t="shared" si="98"/>
        <v>0.95833333333333293</v>
      </c>
      <c r="C423" s="10" t="s">
        <v>21</v>
      </c>
      <c r="D423" s="10" t="s">
        <v>30</v>
      </c>
      <c r="E423" s="11">
        <v>13</v>
      </c>
      <c r="F423" s="17">
        <f t="shared" si="96"/>
        <v>65</v>
      </c>
      <c r="G423" s="16"/>
      <c r="H423" s="16"/>
      <c r="I423" s="16"/>
      <c r="J423" s="13"/>
      <c r="K423" s="13"/>
      <c r="L423" s="71" t="str">
        <f t="shared" si="97"/>
        <v/>
      </c>
      <c r="M423" s="29"/>
      <c r="N423" s="30"/>
    </row>
    <row r="424" spans="1:14" ht="15" customHeight="1">
      <c r="A424" s="58">
        <v>46189</v>
      </c>
      <c r="B424" s="9">
        <f t="shared" si="98"/>
        <v>0.99999999999999956</v>
      </c>
      <c r="C424" s="10" t="s">
        <v>21</v>
      </c>
      <c r="D424" s="10" t="s">
        <v>30</v>
      </c>
      <c r="E424" s="11">
        <v>28</v>
      </c>
      <c r="F424" s="12">
        <f t="shared" si="96"/>
        <v>140</v>
      </c>
      <c r="G424" s="10"/>
      <c r="H424" s="10"/>
      <c r="I424" s="10"/>
      <c r="J424" s="13"/>
      <c r="K424" s="13"/>
      <c r="L424" s="70" t="str">
        <f t="shared" si="97"/>
        <v/>
      </c>
      <c r="M424" s="29"/>
      <c r="N424" s="30"/>
    </row>
    <row r="425" spans="1:14" ht="15" customHeight="1">
      <c r="A425" s="59">
        <v>46189</v>
      </c>
      <c r="B425" s="15">
        <f t="shared" si="98"/>
        <v>1.0416666666666663</v>
      </c>
      <c r="C425" s="10" t="s">
        <v>21</v>
      </c>
      <c r="D425" s="10" t="s">
        <v>30</v>
      </c>
      <c r="E425" s="11">
        <v>30</v>
      </c>
      <c r="F425" s="17">
        <f t="shared" si="96"/>
        <v>150</v>
      </c>
      <c r="G425" s="16"/>
      <c r="H425" s="16"/>
      <c r="I425" s="16"/>
      <c r="J425" s="13"/>
      <c r="K425" s="13"/>
      <c r="L425" s="71" t="str">
        <f t="shared" si="97"/>
        <v/>
      </c>
      <c r="M425" s="29"/>
      <c r="N425" s="30"/>
    </row>
    <row r="426" spans="1:14" ht="15" customHeight="1">
      <c r="A426" s="58">
        <v>46189</v>
      </c>
      <c r="B426" s="9">
        <f t="shared" si="98"/>
        <v>1.083333333333333</v>
      </c>
      <c r="C426" s="10" t="s">
        <v>21</v>
      </c>
      <c r="D426" s="10" t="s">
        <v>30</v>
      </c>
      <c r="E426" s="11">
        <v>25</v>
      </c>
      <c r="F426" s="12">
        <f t="shared" si="96"/>
        <v>125</v>
      </c>
      <c r="G426" s="10"/>
      <c r="H426" s="10"/>
      <c r="I426" s="10"/>
      <c r="J426" s="13"/>
      <c r="K426" s="13"/>
      <c r="L426" s="70" t="str">
        <f t="shared" si="97"/>
        <v/>
      </c>
      <c r="M426" s="29"/>
      <c r="N426" s="30"/>
    </row>
    <row r="427" spans="1:14" ht="15" customHeight="1">
      <c r="A427" s="59">
        <v>46189</v>
      </c>
      <c r="B427" s="15">
        <f t="shared" si="98"/>
        <v>1.1249999999999998</v>
      </c>
      <c r="C427" s="10" t="s">
        <v>21</v>
      </c>
      <c r="D427" s="10" t="s">
        <v>30</v>
      </c>
      <c r="E427" s="11">
        <v>30</v>
      </c>
      <c r="F427" s="17">
        <f t="shared" si="96"/>
        <v>150</v>
      </c>
      <c r="G427" s="16"/>
      <c r="H427" s="16"/>
      <c r="I427" s="16"/>
      <c r="J427" s="13"/>
      <c r="K427" s="13"/>
      <c r="L427" s="71" t="str">
        <f t="shared" si="97"/>
        <v/>
      </c>
      <c r="M427" s="29"/>
      <c r="N427" s="30"/>
    </row>
    <row r="428" spans="1:14" ht="15" customHeight="1">
      <c r="A428" s="58">
        <v>46189</v>
      </c>
      <c r="B428" s="9">
        <f t="shared" si="98"/>
        <v>1.1666666666666665</v>
      </c>
      <c r="C428" s="10" t="s">
        <v>21</v>
      </c>
      <c r="D428" s="10" t="s">
        <v>30</v>
      </c>
      <c r="E428" s="11">
        <v>10</v>
      </c>
      <c r="F428" s="12">
        <f t="shared" si="96"/>
        <v>50</v>
      </c>
      <c r="G428" s="10"/>
      <c r="H428" s="10"/>
      <c r="I428" s="10"/>
      <c r="J428" s="13"/>
      <c r="K428" s="13"/>
      <c r="L428" s="70" t="str">
        <f t="shared" si="97"/>
        <v/>
      </c>
      <c r="M428" s="29"/>
      <c r="N428" s="30"/>
    </row>
    <row r="429" spans="1:14" ht="15" customHeight="1">
      <c r="A429" s="59">
        <v>46189</v>
      </c>
      <c r="B429" s="15">
        <f t="shared" si="98"/>
        <v>1.2083333333333333</v>
      </c>
      <c r="C429" s="10" t="s">
        <v>21</v>
      </c>
      <c r="D429" s="10" t="s">
        <v>30</v>
      </c>
      <c r="E429" s="11">
        <v>0</v>
      </c>
      <c r="F429" s="17">
        <f t="shared" si="96"/>
        <v>0</v>
      </c>
      <c r="G429" s="16"/>
      <c r="H429" s="16"/>
      <c r="I429" s="16"/>
      <c r="J429" s="13"/>
      <c r="K429" s="13"/>
      <c r="L429" s="71" t="str">
        <f t="shared" si="97"/>
        <v/>
      </c>
      <c r="M429" s="29"/>
      <c r="N429" s="30"/>
    </row>
    <row r="430" spans="1:14" ht="15" customHeight="1">
      <c r="A430" s="58">
        <v>46189</v>
      </c>
      <c r="B430" s="9">
        <f t="shared" si="98"/>
        <v>1.25</v>
      </c>
      <c r="C430" s="10" t="s">
        <v>21</v>
      </c>
      <c r="D430" s="10" t="s">
        <v>30</v>
      </c>
      <c r="E430" s="11">
        <v>0</v>
      </c>
      <c r="F430" s="12">
        <f t="shared" si="96"/>
        <v>0</v>
      </c>
      <c r="G430" s="10"/>
      <c r="H430" s="10"/>
      <c r="I430" s="10"/>
      <c r="J430" s="13"/>
      <c r="K430" s="13"/>
      <c r="L430" s="70" t="str">
        <f t="shared" si="97"/>
        <v/>
      </c>
      <c r="M430" s="29"/>
      <c r="N430" s="30"/>
    </row>
    <row r="431" spans="1:14" ht="15" customHeight="1">
      <c r="A431" s="59">
        <v>46189</v>
      </c>
      <c r="B431" s="15">
        <f t="shared" si="98"/>
        <v>1.2916666666666667</v>
      </c>
      <c r="C431" s="10" t="s">
        <v>21</v>
      </c>
      <c r="D431" s="10" t="s">
        <v>30</v>
      </c>
      <c r="E431" s="11">
        <v>0</v>
      </c>
      <c r="F431" s="17">
        <f t="shared" si="96"/>
        <v>0</v>
      </c>
      <c r="G431" s="16"/>
      <c r="H431" s="16"/>
      <c r="I431" s="16"/>
      <c r="J431" s="13"/>
      <c r="K431" s="13"/>
      <c r="L431" s="71" t="str">
        <f t="shared" si="97"/>
        <v/>
      </c>
      <c r="M431" s="29"/>
      <c r="N431" s="30"/>
    </row>
    <row r="432" spans="1:14" ht="15.75" customHeight="1">
      <c r="A432" s="97" t="s">
        <v>193</v>
      </c>
      <c r="B432" s="97"/>
      <c r="C432" s="97"/>
      <c r="D432" s="97"/>
      <c r="E432" s="19">
        <f>SUM(E420:E431)</f>
        <v>207</v>
      </c>
      <c r="F432" s="19">
        <f>SUM(F420:F431)</f>
        <v>1035</v>
      </c>
      <c r="G432" s="18"/>
      <c r="H432" s="18"/>
      <c r="I432" s="18"/>
      <c r="J432" s="18"/>
      <c r="K432" s="18"/>
      <c r="L432" s="72">
        <f>IFERROR(SUM(L420:L431),"")</f>
        <v>0.17500000000000002</v>
      </c>
      <c r="M432" s="19" t="s">
        <v>192</v>
      </c>
      <c r="N432" s="20">
        <v>963120</v>
      </c>
    </row>
    <row r="433" spans="1:14" ht="18" customHeight="1">
      <c r="A433" s="98" t="s">
        <v>194</v>
      </c>
      <c r="B433" s="98"/>
      <c r="C433" s="98"/>
      <c r="D433" s="98"/>
      <c r="E433" s="22">
        <f>E419+E432</f>
        <v>457</v>
      </c>
      <c r="F433" s="22">
        <f>F419+F432</f>
        <v>2285</v>
      </c>
      <c r="G433" s="21"/>
      <c r="H433" s="21"/>
      <c r="I433" s="21"/>
      <c r="J433" s="21"/>
      <c r="K433" s="21"/>
      <c r="L433" s="73">
        <f>IFERROR(L419+L432,"")</f>
        <v>0.31805555555555565</v>
      </c>
      <c r="M433" s="22" t="s">
        <v>195</v>
      </c>
      <c r="N433" s="31">
        <f>IFERROR(N419+N432,"")</f>
        <v>2181780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40</v>
      </c>
      <c r="F434" s="12">
        <f t="shared" ref="F434:F445" si="99">IF(E434="","",E434*5)</f>
        <v>200</v>
      </c>
      <c r="G434" s="10" t="s">
        <v>19</v>
      </c>
      <c r="H434" s="10" t="s">
        <v>23</v>
      </c>
      <c r="I434" s="10" t="s">
        <v>88</v>
      </c>
      <c r="J434" s="13">
        <v>0.6020833333333333</v>
      </c>
      <c r="K434" s="13">
        <v>0.68402777777777779</v>
      </c>
      <c r="L434" s="70">
        <f t="shared" ref="L434:L445" si="100">IFERROR(IF(K434="","",IF(K434&gt;=J434,K434-J434,K434+1-J434)),"")</f>
        <v>8.1944444444444486E-2</v>
      </c>
      <c r="M434" s="29"/>
      <c r="N434" s="30"/>
    </row>
    <row r="435" spans="1:14" ht="15" customHeight="1">
      <c r="A435" s="59">
        <v>46190</v>
      </c>
      <c r="B435" s="15">
        <f t="shared" ref="B435:B445" si="101">B434+TIME(0,60,0)</f>
        <v>0.37499999999999967</v>
      </c>
      <c r="C435" s="10" t="s">
        <v>29</v>
      </c>
      <c r="D435" s="10" t="s">
        <v>30</v>
      </c>
      <c r="E435" s="11">
        <v>25</v>
      </c>
      <c r="F435" s="17">
        <f t="shared" si="99"/>
        <v>125</v>
      </c>
      <c r="G435" s="16"/>
      <c r="H435" s="16"/>
      <c r="I435" s="16"/>
      <c r="J435" s="13"/>
      <c r="K435" s="13"/>
      <c r="L435" s="71" t="str">
        <f t="shared" si="100"/>
        <v/>
      </c>
      <c r="M435" s="29"/>
      <c r="N435" s="30"/>
    </row>
    <row r="436" spans="1:14" ht="15" customHeight="1">
      <c r="A436" s="58">
        <v>46190</v>
      </c>
      <c r="B436" s="9">
        <f t="shared" si="101"/>
        <v>0.41666666666666635</v>
      </c>
      <c r="C436" s="10" t="s">
        <v>29</v>
      </c>
      <c r="D436" s="10" t="s">
        <v>30</v>
      </c>
      <c r="E436" s="11">
        <v>35</v>
      </c>
      <c r="F436" s="12">
        <f t="shared" si="99"/>
        <v>175</v>
      </c>
      <c r="G436" s="10"/>
      <c r="H436" s="10"/>
      <c r="I436" s="10"/>
      <c r="J436" s="13"/>
      <c r="K436" s="13"/>
      <c r="L436" s="70" t="str">
        <f t="shared" si="100"/>
        <v/>
      </c>
      <c r="M436" s="29"/>
      <c r="N436" s="30"/>
    </row>
    <row r="437" spans="1:14" ht="15" customHeight="1">
      <c r="A437" s="59">
        <v>46190</v>
      </c>
      <c r="B437" s="15">
        <f t="shared" si="101"/>
        <v>0.45833333333333304</v>
      </c>
      <c r="C437" s="10" t="s">
        <v>29</v>
      </c>
      <c r="D437" s="10" t="s">
        <v>30</v>
      </c>
      <c r="E437" s="11">
        <v>25</v>
      </c>
      <c r="F437" s="17">
        <f t="shared" si="99"/>
        <v>125</v>
      </c>
      <c r="G437" s="16"/>
      <c r="H437" s="16"/>
      <c r="I437" s="16"/>
      <c r="J437" s="13"/>
      <c r="K437" s="13"/>
      <c r="L437" s="71" t="str">
        <f t="shared" si="100"/>
        <v/>
      </c>
      <c r="M437" s="29"/>
      <c r="N437" s="30"/>
    </row>
    <row r="438" spans="1:14" ht="15" customHeight="1">
      <c r="A438" s="58">
        <v>46190</v>
      </c>
      <c r="B438" s="9">
        <f t="shared" si="101"/>
        <v>0.49999999999999972</v>
      </c>
      <c r="C438" s="10" t="s">
        <v>29</v>
      </c>
      <c r="D438" s="10" t="s">
        <v>30</v>
      </c>
      <c r="E438" s="11">
        <v>25</v>
      </c>
      <c r="F438" s="12">
        <f t="shared" si="99"/>
        <v>125</v>
      </c>
      <c r="G438" s="10"/>
      <c r="H438" s="10"/>
      <c r="I438" s="10"/>
      <c r="J438" s="13"/>
      <c r="K438" s="13"/>
      <c r="L438" s="70" t="str">
        <f t="shared" si="100"/>
        <v/>
      </c>
      <c r="M438" s="29"/>
      <c r="N438" s="30"/>
    </row>
    <row r="439" spans="1:14" ht="15" customHeight="1">
      <c r="A439" s="59">
        <v>46190</v>
      </c>
      <c r="B439" s="15">
        <f t="shared" si="101"/>
        <v>0.54166666666666641</v>
      </c>
      <c r="C439" s="10" t="s">
        <v>29</v>
      </c>
      <c r="D439" s="10" t="s">
        <v>30</v>
      </c>
      <c r="E439" s="11">
        <v>35</v>
      </c>
      <c r="F439" s="17">
        <f t="shared" si="99"/>
        <v>175</v>
      </c>
      <c r="G439" s="16"/>
      <c r="H439" s="16"/>
      <c r="I439" s="16"/>
      <c r="J439" s="13"/>
      <c r="K439" s="13"/>
      <c r="L439" s="71" t="str">
        <f t="shared" si="100"/>
        <v/>
      </c>
      <c r="M439" s="29"/>
      <c r="N439" s="30"/>
    </row>
    <row r="440" spans="1:14" ht="15" customHeight="1">
      <c r="A440" s="58">
        <v>46190</v>
      </c>
      <c r="B440" s="9">
        <f t="shared" si="101"/>
        <v>0.58333333333333304</v>
      </c>
      <c r="C440" s="10" t="s">
        <v>29</v>
      </c>
      <c r="D440" s="10" t="s">
        <v>30</v>
      </c>
      <c r="E440" s="11">
        <v>25</v>
      </c>
      <c r="F440" s="12">
        <f t="shared" si="99"/>
        <v>125</v>
      </c>
      <c r="G440" s="10"/>
      <c r="H440" s="10"/>
      <c r="I440" s="10"/>
      <c r="J440" s="13"/>
      <c r="K440" s="13"/>
      <c r="L440" s="70" t="str">
        <f t="shared" si="100"/>
        <v/>
      </c>
      <c r="M440" s="29"/>
      <c r="N440" s="30"/>
    </row>
    <row r="441" spans="1:14" ht="15" customHeight="1">
      <c r="A441" s="59">
        <v>46190</v>
      </c>
      <c r="B441" s="15">
        <f t="shared" si="101"/>
        <v>0.62499999999999967</v>
      </c>
      <c r="C441" s="10" t="s">
        <v>29</v>
      </c>
      <c r="D441" s="10" t="s">
        <v>30</v>
      </c>
      <c r="E441" s="11">
        <v>10</v>
      </c>
      <c r="F441" s="17">
        <f t="shared" si="99"/>
        <v>50</v>
      </c>
      <c r="G441" s="16"/>
      <c r="H441" s="16"/>
      <c r="I441" s="16"/>
      <c r="J441" s="13"/>
      <c r="K441" s="13"/>
      <c r="L441" s="71" t="str">
        <f t="shared" si="100"/>
        <v/>
      </c>
      <c r="M441" s="29"/>
      <c r="N441" s="30"/>
    </row>
    <row r="442" spans="1:14" ht="15" customHeight="1">
      <c r="A442" s="58">
        <v>46190</v>
      </c>
      <c r="B442" s="9">
        <f t="shared" si="101"/>
        <v>0.6666666666666663</v>
      </c>
      <c r="C442" s="10" t="s">
        <v>29</v>
      </c>
      <c r="D442" s="10" t="s">
        <v>30</v>
      </c>
      <c r="E442" s="11">
        <v>0</v>
      </c>
      <c r="F442" s="12">
        <f t="shared" si="99"/>
        <v>0</v>
      </c>
      <c r="G442" s="10"/>
      <c r="H442" s="10"/>
      <c r="I442" s="10"/>
      <c r="J442" s="13"/>
      <c r="K442" s="13"/>
      <c r="L442" s="70" t="str">
        <f t="shared" si="100"/>
        <v/>
      </c>
      <c r="M442" s="29"/>
      <c r="N442" s="30"/>
    </row>
    <row r="443" spans="1:14" ht="15" customHeight="1">
      <c r="A443" s="59">
        <v>46190</v>
      </c>
      <c r="B443" s="15">
        <f t="shared" si="101"/>
        <v>0.70833333333333293</v>
      </c>
      <c r="C443" s="10" t="s">
        <v>29</v>
      </c>
      <c r="D443" s="10" t="s">
        <v>30</v>
      </c>
      <c r="E443" s="11">
        <v>20</v>
      </c>
      <c r="F443" s="17">
        <f t="shared" si="99"/>
        <v>100</v>
      </c>
      <c r="G443" s="16"/>
      <c r="H443" s="16"/>
      <c r="I443" s="16"/>
      <c r="J443" s="13"/>
      <c r="K443" s="13"/>
      <c r="L443" s="71" t="str">
        <f t="shared" si="100"/>
        <v/>
      </c>
      <c r="M443" s="29"/>
      <c r="N443" s="30"/>
    </row>
    <row r="444" spans="1:14" ht="15" customHeight="1">
      <c r="A444" s="58">
        <v>46190</v>
      </c>
      <c r="B444" s="9">
        <f t="shared" si="101"/>
        <v>0.74999999999999956</v>
      </c>
      <c r="C444" s="10" t="s">
        <v>29</v>
      </c>
      <c r="D444" s="10" t="s">
        <v>30</v>
      </c>
      <c r="E444" s="11">
        <v>20</v>
      </c>
      <c r="F444" s="12">
        <f t="shared" si="99"/>
        <v>100</v>
      </c>
      <c r="G444" s="10"/>
      <c r="H444" s="10"/>
      <c r="I444" s="10"/>
      <c r="J444" s="13"/>
      <c r="K444" s="13"/>
      <c r="L444" s="70" t="str">
        <f t="shared" si="100"/>
        <v/>
      </c>
      <c r="M444" s="29"/>
      <c r="N444" s="30"/>
    </row>
    <row r="445" spans="1:14" ht="15" customHeight="1">
      <c r="A445" s="59">
        <v>46190</v>
      </c>
      <c r="B445" s="15">
        <f t="shared" si="101"/>
        <v>0.79166666666666619</v>
      </c>
      <c r="C445" s="10" t="s">
        <v>29</v>
      </c>
      <c r="D445" s="10" t="s">
        <v>30</v>
      </c>
      <c r="E445" s="11">
        <v>20</v>
      </c>
      <c r="F445" s="17">
        <f t="shared" si="99"/>
        <v>100</v>
      </c>
      <c r="G445" s="16"/>
      <c r="H445" s="16"/>
      <c r="I445" s="16"/>
      <c r="J445" s="13"/>
      <c r="K445" s="13"/>
      <c r="L445" s="71" t="str">
        <f t="shared" si="100"/>
        <v/>
      </c>
      <c r="M445" s="29"/>
      <c r="N445" s="30"/>
    </row>
    <row r="446" spans="1:14" ht="15.75" customHeight="1">
      <c r="A446" s="82" t="s">
        <v>191</v>
      </c>
      <c r="B446" s="82"/>
      <c r="C446" s="82"/>
      <c r="D446" s="82"/>
      <c r="E446" s="19">
        <f>SUM(E434:E445)</f>
        <v>280</v>
      </c>
      <c r="F446" s="19">
        <f>SUM(F434:F445)</f>
        <v>1400</v>
      </c>
      <c r="G446" s="18"/>
      <c r="H446" s="18"/>
      <c r="I446" s="18"/>
      <c r="J446" s="18"/>
      <c r="K446" s="18"/>
      <c r="L446" s="72">
        <f>IFERROR(SUM(L434:L445),"")</f>
        <v>8.1944444444444486E-2</v>
      </c>
      <c r="M446" s="19" t="s">
        <v>192</v>
      </c>
      <c r="N446" s="20">
        <v>1779640</v>
      </c>
    </row>
    <row r="447" spans="1:14" ht="15" customHeight="1">
      <c r="A447" s="59">
        <v>46190</v>
      </c>
      <c r="B447" s="15">
        <v>0.83333333333333304</v>
      </c>
      <c r="C447" s="10" t="s">
        <v>21</v>
      </c>
      <c r="D447" s="16" t="s">
        <v>30</v>
      </c>
      <c r="E447" s="11">
        <v>27</v>
      </c>
      <c r="F447" s="17">
        <f t="shared" ref="F447:F458" si="102">IF(E447="","",E447*5)</f>
        <v>135</v>
      </c>
      <c r="G447" s="16" t="s">
        <v>20</v>
      </c>
      <c r="H447" s="16" t="s">
        <v>23</v>
      </c>
      <c r="I447" s="16" t="s">
        <v>137</v>
      </c>
      <c r="J447" s="13">
        <v>0.84375</v>
      </c>
      <c r="K447" s="13">
        <v>0.85972222222222228</v>
      </c>
      <c r="L447" s="71">
        <f t="shared" ref="L447:L458" si="103">IFERROR(IF(K447="","",IF(K447&gt;=J447,K447-J447,K447+1-J447)),"")</f>
        <v>1.5972222222222276E-2</v>
      </c>
      <c r="M447" s="29"/>
      <c r="N447" s="30"/>
    </row>
    <row r="448" spans="1:14" ht="15" customHeight="1">
      <c r="A448" s="58">
        <v>46190</v>
      </c>
      <c r="B448" s="9">
        <f t="shared" ref="B448:B458" si="104">B447+TIME(0,60,0)</f>
        <v>0.87499999999999967</v>
      </c>
      <c r="C448" s="10" t="s">
        <v>21</v>
      </c>
      <c r="D448" s="16" t="s">
        <v>30</v>
      </c>
      <c r="E448" s="11">
        <v>13</v>
      </c>
      <c r="F448" s="12">
        <f t="shared" si="102"/>
        <v>65</v>
      </c>
      <c r="G448" s="10" t="s">
        <v>18</v>
      </c>
      <c r="H448" s="10" t="s">
        <v>23</v>
      </c>
      <c r="I448" s="10" t="s">
        <v>60</v>
      </c>
      <c r="J448" s="13">
        <v>0.92361111111111116</v>
      </c>
      <c r="K448" s="13">
        <v>23</v>
      </c>
      <c r="L448" s="70">
        <f t="shared" si="103"/>
        <v>22.076388888888889</v>
      </c>
      <c r="M448" s="29"/>
      <c r="N448" s="30"/>
    </row>
    <row r="449" spans="1:14" ht="15" customHeight="1">
      <c r="A449" s="59">
        <v>46190</v>
      </c>
      <c r="B449" s="15">
        <f t="shared" si="104"/>
        <v>0.9166666666666663</v>
      </c>
      <c r="C449" s="10" t="s">
        <v>21</v>
      </c>
      <c r="D449" s="16" t="s">
        <v>30</v>
      </c>
      <c r="E449" s="11">
        <v>5</v>
      </c>
      <c r="F449" s="17">
        <f t="shared" si="102"/>
        <v>25</v>
      </c>
      <c r="G449" s="16" t="s">
        <v>17</v>
      </c>
      <c r="H449" s="16"/>
      <c r="I449" s="16" t="s">
        <v>25</v>
      </c>
      <c r="J449" s="13">
        <v>0</v>
      </c>
      <c r="K449" s="13">
        <v>3.8194444444444448E-2</v>
      </c>
      <c r="L449" s="71">
        <f t="shared" si="103"/>
        <v>3.8194444444444448E-2</v>
      </c>
      <c r="M449" s="29"/>
      <c r="N449" s="30"/>
    </row>
    <row r="450" spans="1:14" ht="15" customHeight="1">
      <c r="A450" s="58">
        <v>46190</v>
      </c>
      <c r="B450" s="9">
        <f t="shared" si="104"/>
        <v>0.95833333333333293</v>
      </c>
      <c r="C450" s="10" t="s">
        <v>21</v>
      </c>
      <c r="D450" s="16" t="s">
        <v>30</v>
      </c>
      <c r="E450" s="11">
        <v>0</v>
      </c>
      <c r="F450" s="12">
        <f t="shared" si="102"/>
        <v>0</v>
      </c>
      <c r="G450" s="10" t="s">
        <v>20</v>
      </c>
      <c r="H450" s="10" t="s">
        <v>23</v>
      </c>
      <c r="I450" s="10" t="s">
        <v>137</v>
      </c>
      <c r="J450" s="13">
        <v>4.5138888888888888E-2</v>
      </c>
      <c r="K450" s="13">
        <v>7.013888888888889E-2</v>
      </c>
      <c r="L450" s="70">
        <f t="shared" si="103"/>
        <v>2.5000000000000001E-2</v>
      </c>
      <c r="M450" s="29"/>
      <c r="N450" s="30"/>
    </row>
    <row r="451" spans="1:14" ht="15" customHeight="1">
      <c r="A451" s="59">
        <v>46190</v>
      </c>
      <c r="B451" s="15">
        <f t="shared" si="104"/>
        <v>0.99999999999999956</v>
      </c>
      <c r="C451" s="10" t="s">
        <v>21</v>
      </c>
      <c r="D451" s="16" t="s">
        <v>30</v>
      </c>
      <c r="E451" s="11">
        <v>20</v>
      </c>
      <c r="F451" s="17">
        <f t="shared" si="102"/>
        <v>100</v>
      </c>
      <c r="G451" s="16"/>
      <c r="H451" s="16"/>
      <c r="I451" s="16"/>
      <c r="J451" s="13"/>
      <c r="K451" s="13"/>
      <c r="L451" s="71" t="str">
        <f t="shared" si="103"/>
        <v/>
      </c>
      <c r="M451" s="29"/>
      <c r="N451" s="30"/>
    </row>
    <row r="452" spans="1:14" ht="15" customHeight="1">
      <c r="A452" s="58">
        <v>46190</v>
      </c>
      <c r="B452" s="9">
        <f t="shared" si="104"/>
        <v>1.0416666666666663</v>
      </c>
      <c r="C452" s="10" t="s">
        <v>21</v>
      </c>
      <c r="D452" s="16" t="s">
        <v>30</v>
      </c>
      <c r="E452" s="11">
        <v>25</v>
      </c>
      <c r="F452" s="12">
        <f t="shared" si="102"/>
        <v>125</v>
      </c>
      <c r="G452" s="10"/>
      <c r="H452" s="10"/>
      <c r="I452" s="10"/>
      <c r="J452" s="13"/>
      <c r="K452" s="13"/>
      <c r="L452" s="70" t="str">
        <f t="shared" si="103"/>
        <v/>
      </c>
      <c r="M452" s="29"/>
      <c r="N452" s="30"/>
    </row>
    <row r="453" spans="1:14" ht="15" customHeight="1">
      <c r="A453" s="59">
        <v>46190</v>
      </c>
      <c r="B453" s="15">
        <f t="shared" si="104"/>
        <v>1.083333333333333</v>
      </c>
      <c r="C453" s="10" t="s">
        <v>21</v>
      </c>
      <c r="D453" s="16" t="s">
        <v>30</v>
      </c>
      <c r="E453" s="11">
        <v>10</v>
      </c>
      <c r="F453" s="17">
        <f t="shared" si="102"/>
        <v>50</v>
      </c>
      <c r="G453" s="16"/>
      <c r="H453" s="16"/>
      <c r="I453" s="16"/>
      <c r="J453" s="13"/>
      <c r="K453" s="13"/>
      <c r="L453" s="71" t="str">
        <f t="shared" si="103"/>
        <v/>
      </c>
      <c r="M453" s="29"/>
      <c r="N453" s="30"/>
    </row>
    <row r="454" spans="1:14" ht="15" customHeight="1">
      <c r="A454" s="58">
        <v>46190</v>
      </c>
      <c r="B454" s="9">
        <f t="shared" si="104"/>
        <v>1.1249999999999998</v>
      </c>
      <c r="C454" s="10" t="s">
        <v>21</v>
      </c>
      <c r="D454" s="16" t="s">
        <v>30</v>
      </c>
      <c r="E454" s="11">
        <v>29</v>
      </c>
      <c r="F454" s="12">
        <f t="shared" si="102"/>
        <v>145</v>
      </c>
      <c r="G454" s="10"/>
      <c r="H454" s="10"/>
      <c r="I454" s="10"/>
      <c r="J454" s="13"/>
      <c r="K454" s="13"/>
      <c r="L454" s="70" t="str">
        <f t="shared" si="103"/>
        <v/>
      </c>
      <c r="M454" s="29"/>
      <c r="N454" s="30"/>
    </row>
    <row r="455" spans="1:14" ht="15" customHeight="1">
      <c r="A455" s="59">
        <v>46190</v>
      </c>
      <c r="B455" s="15">
        <f t="shared" si="104"/>
        <v>1.1666666666666665</v>
      </c>
      <c r="C455" s="10" t="s">
        <v>21</v>
      </c>
      <c r="D455" s="16" t="s">
        <v>30</v>
      </c>
      <c r="E455" s="11">
        <v>21</v>
      </c>
      <c r="F455" s="17">
        <f t="shared" si="102"/>
        <v>105</v>
      </c>
      <c r="G455" s="16"/>
      <c r="H455" s="16"/>
      <c r="I455" s="16"/>
      <c r="J455" s="13"/>
      <c r="K455" s="13"/>
      <c r="L455" s="71" t="str">
        <f t="shared" si="103"/>
        <v/>
      </c>
      <c r="M455" s="29"/>
      <c r="N455" s="30"/>
    </row>
    <row r="456" spans="1:14" ht="15" customHeight="1">
      <c r="A456" s="58">
        <v>46190</v>
      </c>
      <c r="B456" s="9">
        <f t="shared" si="104"/>
        <v>1.2083333333333333</v>
      </c>
      <c r="C456" s="10" t="s">
        <v>21</v>
      </c>
      <c r="D456" s="16" t="s">
        <v>30</v>
      </c>
      <c r="E456" s="11">
        <v>16</v>
      </c>
      <c r="F456" s="12">
        <f t="shared" si="102"/>
        <v>80</v>
      </c>
      <c r="G456" s="10"/>
      <c r="H456" s="10"/>
      <c r="I456" s="10"/>
      <c r="J456" s="13"/>
      <c r="K456" s="13"/>
      <c r="L456" s="70" t="str">
        <f t="shared" si="103"/>
        <v/>
      </c>
      <c r="M456" s="29"/>
      <c r="N456" s="30"/>
    </row>
    <row r="457" spans="1:14" ht="15" customHeight="1">
      <c r="A457" s="59">
        <v>46190</v>
      </c>
      <c r="B457" s="15">
        <f t="shared" si="104"/>
        <v>1.25</v>
      </c>
      <c r="C457" s="10" t="s">
        <v>21</v>
      </c>
      <c r="D457" s="16" t="s">
        <v>30</v>
      </c>
      <c r="E457" s="11">
        <v>20</v>
      </c>
      <c r="F457" s="17">
        <f t="shared" si="102"/>
        <v>100</v>
      </c>
      <c r="G457" s="16"/>
      <c r="H457" s="16"/>
      <c r="I457" s="16"/>
      <c r="J457" s="13"/>
      <c r="K457" s="13"/>
      <c r="L457" s="71" t="str">
        <f t="shared" si="103"/>
        <v/>
      </c>
      <c r="M457" s="29"/>
      <c r="N457" s="30"/>
    </row>
    <row r="458" spans="1:14" ht="15" customHeight="1">
      <c r="A458" s="58">
        <v>46190</v>
      </c>
      <c r="B458" s="9">
        <f t="shared" si="104"/>
        <v>1.2916666666666667</v>
      </c>
      <c r="C458" s="10" t="s">
        <v>21</v>
      </c>
      <c r="D458" s="16" t="s">
        <v>30</v>
      </c>
      <c r="E458" s="11">
        <v>21</v>
      </c>
      <c r="F458" s="12">
        <f t="shared" si="102"/>
        <v>105</v>
      </c>
      <c r="G458" s="10"/>
      <c r="H458" s="10"/>
      <c r="I458" s="10"/>
      <c r="J458" s="13"/>
      <c r="K458" s="13"/>
      <c r="L458" s="70" t="str">
        <f t="shared" si="103"/>
        <v/>
      </c>
      <c r="M458" s="29"/>
      <c r="N458" s="30"/>
    </row>
    <row r="459" spans="1:14" ht="15.75" customHeight="1">
      <c r="A459" s="97" t="s">
        <v>193</v>
      </c>
      <c r="B459" s="97"/>
      <c r="C459" s="97"/>
      <c r="D459" s="97"/>
      <c r="E459" s="19">
        <f>SUM(E447:E458)</f>
        <v>207</v>
      </c>
      <c r="F459" s="19">
        <f>SUM(F447:F458)</f>
        <v>1035</v>
      </c>
      <c r="G459" s="18"/>
      <c r="H459" s="18"/>
      <c r="I459" s="18"/>
      <c r="J459" s="18"/>
      <c r="K459" s="18"/>
      <c r="L459" s="72">
        <f>IFERROR(SUM(L447:L458),"")</f>
        <v>22.155555555555551</v>
      </c>
      <c r="M459" s="19" t="s">
        <v>192</v>
      </c>
      <c r="N459" s="20">
        <v>534910</v>
      </c>
    </row>
    <row r="460" spans="1:14" ht="18" customHeight="1">
      <c r="A460" s="98" t="s">
        <v>194</v>
      </c>
      <c r="B460" s="98"/>
      <c r="C460" s="98"/>
      <c r="D460" s="98"/>
      <c r="E460" s="22">
        <f>E446+E459</f>
        <v>487</v>
      </c>
      <c r="F460" s="22">
        <f>F446+F459</f>
        <v>2435</v>
      </c>
      <c r="G460" s="21"/>
      <c r="H460" s="21"/>
      <c r="I460" s="21"/>
      <c r="J460" s="21"/>
      <c r="K460" s="21"/>
      <c r="L460" s="73">
        <f>IFERROR(L446+L459,"")</f>
        <v>22.237499999999997</v>
      </c>
      <c r="M460" s="22" t="s">
        <v>195</v>
      </c>
      <c r="N460" s="31">
        <f>IFERROR(N446+N459,"")</f>
        <v>2314550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0</v>
      </c>
      <c r="F461" s="17">
        <f t="shared" ref="F461:F472" si="105">IF(E461="","",E461*5)</f>
        <v>0</v>
      </c>
      <c r="G461" s="16" t="s">
        <v>18</v>
      </c>
      <c r="H461" s="16" t="s">
        <v>23</v>
      </c>
      <c r="I461" s="16" t="s">
        <v>210</v>
      </c>
      <c r="J461" s="13">
        <v>0.29166666666666669</v>
      </c>
      <c r="K461" s="13">
        <v>0.33333333333333331</v>
      </c>
      <c r="L461" s="71">
        <f t="shared" ref="L461:L472" si="106">IFERROR(IF(K461="","",IF(K461&gt;=J461,K461-J461,K461+1-J461)),"")</f>
        <v>4.166666666666663E-2</v>
      </c>
      <c r="M461" s="29"/>
      <c r="N461" s="30"/>
    </row>
    <row r="462" spans="1:14" ht="15" customHeight="1">
      <c r="A462" s="58">
        <v>46191</v>
      </c>
      <c r="B462" s="9">
        <f t="shared" ref="B462:B472" si="107">B461+TIME(0,60,0)</f>
        <v>0.37499999999999967</v>
      </c>
      <c r="C462" s="16" t="s">
        <v>29</v>
      </c>
      <c r="D462" s="16" t="s">
        <v>30</v>
      </c>
      <c r="E462" s="11">
        <v>5</v>
      </c>
      <c r="F462" s="12">
        <f t="shared" si="105"/>
        <v>25</v>
      </c>
      <c r="G462" s="10" t="s">
        <v>20</v>
      </c>
      <c r="H462" s="10" t="s">
        <v>23</v>
      </c>
      <c r="I462" s="10" t="s">
        <v>134</v>
      </c>
      <c r="J462" s="13">
        <v>0.45833333333333331</v>
      </c>
      <c r="K462" s="13">
        <v>0.51388888888888884</v>
      </c>
      <c r="L462" s="70">
        <f t="shared" si="106"/>
        <v>5.5555555555555525E-2</v>
      </c>
      <c r="M462" s="29"/>
      <c r="N462" s="30"/>
    </row>
    <row r="463" spans="1:14" ht="15" customHeight="1">
      <c r="A463" s="59">
        <v>46191</v>
      </c>
      <c r="B463" s="15">
        <f t="shared" si="107"/>
        <v>0.41666666666666635</v>
      </c>
      <c r="C463" s="16" t="s">
        <v>29</v>
      </c>
      <c r="D463" s="16" t="s">
        <v>30</v>
      </c>
      <c r="E463" s="11">
        <v>35</v>
      </c>
      <c r="F463" s="17">
        <f t="shared" si="105"/>
        <v>175</v>
      </c>
      <c r="G463" s="16"/>
      <c r="H463" s="16"/>
      <c r="I463" s="16"/>
      <c r="J463" s="13"/>
      <c r="K463" s="13"/>
      <c r="L463" s="86" t="str">
        <f>IFERROR(IF(K463="","",IF(K463&gt;=J463,K463-J463,K463+1-J463)),"")</f>
        <v/>
      </c>
      <c r="M463" s="85" t="s">
        <v>211</v>
      </c>
      <c r="N463" s="30"/>
    </row>
    <row r="464" spans="1:14" ht="15" customHeight="1">
      <c r="A464" s="58">
        <v>46191</v>
      </c>
      <c r="B464" s="9">
        <f t="shared" si="107"/>
        <v>0.45833333333333304</v>
      </c>
      <c r="C464" s="16" t="s">
        <v>29</v>
      </c>
      <c r="D464" s="16" t="s">
        <v>30</v>
      </c>
      <c r="E464" s="11">
        <v>30</v>
      </c>
      <c r="F464" s="12">
        <f t="shared" si="105"/>
        <v>150</v>
      </c>
      <c r="G464" s="10"/>
      <c r="H464" s="10"/>
      <c r="I464" s="10"/>
      <c r="J464" s="13"/>
      <c r="K464" s="13"/>
      <c r="L464" s="70" t="str">
        <f t="shared" si="106"/>
        <v/>
      </c>
      <c r="M464" s="29"/>
      <c r="N464" s="30"/>
    </row>
    <row r="465" spans="1:14" ht="15" customHeight="1">
      <c r="A465" s="59">
        <v>46191</v>
      </c>
      <c r="B465" s="15">
        <f t="shared" si="107"/>
        <v>0.49999999999999972</v>
      </c>
      <c r="C465" s="16" t="s">
        <v>29</v>
      </c>
      <c r="D465" s="16" t="s">
        <v>30</v>
      </c>
      <c r="E465" s="11">
        <v>0</v>
      </c>
      <c r="F465" s="17">
        <f t="shared" si="105"/>
        <v>0</v>
      </c>
      <c r="G465" s="16"/>
      <c r="H465" s="16"/>
      <c r="I465" s="16"/>
      <c r="J465" s="13"/>
      <c r="K465" s="13"/>
      <c r="L465" s="71" t="str">
        <f t="shared" si="106"/>
        <v/>
      </c>
      <c r="M465" s="84"/>
      <c r="N465" s="30"/>
    </row>
    <row r="466" spans="1:14" ht="15" customHeight="1">
      <c r="A466" s="58">
        <v>46191</v>
      </c>
      <c r="B466" s="9">
        <f t="shared" si="107"/>
        <v>0.54166666666666641</v>
      </c>
      <c r="C466" s="16" t="s">
        <v>29</v>
      </c>
      <c r="D466" s="16" t="s">
        <v>30</v>
      </c>
      <c r="E466" s="11">
        <v>21</v>
      </c>
      <c r="F466" s="12">
        <f t="shared" si="105"/>
        <v>105</v>
      </c>
      <c r="G466" s="10"/>
      <c r="H466" s="10"/>
      <c r="I466" s="10"/>
      <c r="J466" s="13"/>
      <c r="K466" s="13"/>
      <c r="L466" s="70" t="str">
        <f t="shared" si="106"/>
        <v/>
      </c>
      <c r="M466" s="84"/>
      <c r="N466" s="30"/>
    </row>
    <row r="467" spans="1:14" ht="15" customHeight="1">
      <c r="A467" s="59">
        <v>46191</v>
      </c>
      <c r="B467" s="15">
        <f t="shared" si="107"/>
        <v>0.58333333333333304</v>
      </c>
      <c r="C467" s="16" t="s">
        <v>29</v>
      </c>
      <c r="D467" s="16" t="s">
        <v>30</v>
      </c>
      <c r="E467" s="11">
        <v>16</v>
      </c>
      <c r="F467" s="17">
        <f t="shared" si="105"/>
        <v>80</v>
      </c>
      <c r="G467" s="16"/>
      <c r="H467" s="16"/>
      <c r="I467" s="16"/>
      <c r="J467" s="13"/>
      <c r="K467" s="13"/>
      <c r="L467" s="71" t="str">
        <f t="shared" si="106"/>
        <v/>
      </c>
      <c r="M467" s="29"/>
      <c r="N467" s="30"/>
    </row>
    <row r="468" spans="1:14" ht="15" customHeight="1">
      <c r="A468" s="58">
        <v>46191</v>
      </c>
      <c r="B468" s="9">
        <f t="shared" si="107"/>
        <v>0.62499999999999967</v>
      </c>
      <c r="C468" s="16" t="s">
        <v>29</v>
      </c>
      <c r="D468" s="16" t="s">
        <v>30</v>
      </c>
      <c r="E468" s="11">
        <v>26</v>
      </c>
      <c r="F468" s="12">
        <f t="shared" si="105"/>
        <v>130</v>
      </c>
      <c r="G468" s="10"/>
      <c r="H468" s="10"/>
      <c r="I468" s="10"/>
      <c r="J468" s="13"/>
      <c r="K468" s="13"/>
      <c r="L468" s="70" t="str">
        <f t="shared" si="106"/>
        <v/>
      </c>
      <c r="M468" s="29"/>
      <c r="N468" s="30"/>
    </row>
    <row r="469" spans="1:14" ht="15" customHeight="1">
      <c r="A469" s="59">
        <v>46191</v>
      </c>
      <c r="B469" s="15">
        <f t="shared" si="107"/>
        <v>0.6666666666666663</v>
      </c>
      <c r="C469" s="16" t="s">
        <v>29</v>
      </c>
      <c r="D469" s="16" t="s">
        <v>30</v>
      </c>
      <c r="E469" s="11">
        <v>6</v>
      </c>
      <c r="F469" s="17">
        <f t="shared" si="105"/>
        <v>30</v>
      </c>
      <c r="G469" s="16"/>
      <c r="H469" s="16"/>
      <c r="I469" s="16"/>
      <c r="J469" s="13"/>
      <c r="K469" s="13"/>
      <c r="L469" s="71" t="str">
        <f t="shared" si="106"/>
        <v/>
      </c>
      <c r="M469" s="29"/>
      <c r="N469" s="30"/>
    </row>
    <row r="470" spans="1:14" ht="15" customHeight="1">
      <c r="A470" s="58">
        <v>46191</v>
      </c>
      <c r="B470" s="9">
        <f t="shared" si="107"/>
        <v>0.70833333333333293</v>
      </c>
      <c r="C470" s="16" t="s">
        <v>29</v>
      </c>
      <c r="D470" s="16" t="s">
        <v>30</v>
      </c>
      <c r="E470" s="11">
        <v>11</v>
      </c>
      <c r="F470" s="12">
        <f t="shared" si="105"/>
        <v>55</v>
      </c>
      <c r="G470" s="10"/>
      <c r="H470" s="10"/>
      <c r="I470" s="10"/>
      <c r="J470" s="13"/>
      <c r="K470" s="13"/>
      <c r="L470" s="70" t="str">
        <f t="shared" si="106"/>
        <v/>
      </c>
      <c r="M470" s="29"/>
      <c r="N470" s="30"/>
    </row>
    <row r="471" spans="1:14" ht="15" customHeight="1">
      <c r="A471" s="59">
        <v>46191</v>
      </c>
      <c r="B471" s="15">
        <f t="shared" si="107"/>
        <v>0.74999999999999956</v>
      </c>
      <c r="C471" s="16" t="s">
        <v>29</v>
      </c>
      <c r="D471" s="16" t="s">
        <v>30</v>
      </c>
      <c r="E471" s="11">
        <v>10</v>
      </c>
      <c r="F471" s="17">
        <f t="shared" si="105"/>
        <v>50</v>
      </c>
      <c r="G471" s="16"/>
      <c r="H471" s="16"/>
      <c r="I471" s="16"/>
      <c r="J471" s="13"/>
      <c r="K471" s="13"/>
      <c r="L471" s="71" t="str">
        <f t="shared" si="106"/>
        <v/>
      </c>
      <c r="M471" s="29"/>
      <c r="N471" s="30"/>
    </row>
    <row r="472" spans="1:14" ht="15" customHeight="1">
      <c r="A472" s="58">
        <v>46191</v>
      </c>
      <c r="B472" s="9">
        <f t="shared" si="107"/>
        <v>0.79166666666666619</v>
      </c>
      <c r="C472" s="16" t="s">
        <v>29</v>
      </c>
      <c r="D472" s="16" t="s">
        <v>30</v>
      </c>
      <c r="E472" s="11">
        <v>12</v>
      </c>
      <c r="F472" s="12">
        <f t="shared" si="105"/>
        <v>60</v>
      </c>
      <c r="G472" s="10"/>
      <c r="H472" s="10"/>
      <c r="I472" s="10"/>
      <c r="J472" s="13"/>
      <c r="K472" s="13"/>
      <c r="L472" s="70" t="str">
        <f t="shared" si="106"/>
        <v/>
      </c>
      <c r="M472" s="29"/>
      <c r="N472" s="30"/>
    </row>
    <row r="473" spans="1:14" ht="15.75" customHeight="1">
      <c r="A473" s="97" t="s">
        <v>191</v>
      </c>
      <c r="B473" s="97"/>
      <c r="C473" s="97"/>
      <c r="D473" s="97"/>
      <c r="E473" s="19">
        <f>SUM(E461:E472)</f>
        <v>172</v>
      </c>
      <c r="F473" s="19">
        <f>SUM(F461:F472)</f>
        <v>860</v>
      </c>
      <c r="G473" s="18"/>
      <c r="H473" s="18"/>
      <c r="I473" s="18"/>
      <c r="J473" s="18"/>
      <c r="K473" s="18"/>
      <c r="L473" s="72">
        <f>IFERROR(SUM(L461:L472),"")</f>
        <v>9.7222222222222154E-2</v>
      </c>
      <c r="M473" s="19" t="s">
        <v>192</v>
      </c>
      <c r="N473" s="20">
        <v>505740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30</v>
      </c>
      <c r="F474" s="12">
        <f t="shared" ref="F474:F485" si="108">IF(E474="","",E474*5)</f>
        <v>150</v>
      </c>
      <c r="G474" s="10" t="s">
        <v>19</v>
      </c>
      <c r="H474" s="10" t="s">
        <v>23</v>
      </c>
      <c r="I474" s="10" t="s">
        <v>67</v>
      </c>
      <c r="J474" s="13">
        <v>0.86458333333333337</v>
      </c>
      <c r="K474" s="13">
        <v>0.92013888888888884</v>
      </c>
      <c r="L474" s="70">
        <f t="shared" ref="L474:L485" si="109">IFERROR(IF(K474="","",IF(K474&gt;=J474,K474-J474,K474+1-J474)),"")</f>
        <v>5.5555555555555469E-2</v>
      </c>
      <c r="M474" s="29"/>
      <c r="N474" s="30"/>
    </row>
    <row r="475" spans="1:14" ht="15" customHeight="1">
      <c r="A475" s="59">
        <v>46191</v>
      </c>
      <c r="B475" s="15">
        <f t="shared" ref="B475:B485" si="110">B474+TIME(0,60,0)</f>
        <v>0.87499999999999967</v>
      </c>
      <c r="C475" s="10" t="s">
        <v>21</v>
      </c>
      <c r="D475" s="10" t="s">
        <v>30</v>
      </c>
      <c r="E475" s="11">
        <v>4</v>
      </c>
      <c r="F475" s="17">
        <f t="shared" si="108"/>
        <v>20</v>
      </c>
      <c r="G475" s="16"/>
      <c r="H475" s="16"/>
      <c r="I475" s="16"/>
      <c r="J475" s="13"/>
      <c r="K475" s="13"/>
      <c r="L475" s="71" t="str">
        <f t="shared" si="109"/>
        <v/>
      </c>
      <c r="M475" s="29"/>
      <c r="N475" s="30"/>
    </row>
    <row r="476" spans="1:14" ht="15" customHeight="1">
      <c r="A476" s="58">
        <v>46191</v>
      </c>
      <c r="B476" s="9">
        <f t="shared" si="110"/>
        <v>0.9166666666666663</v>
      </c>
      <c r="C476" s="10" t="s">
        <v>21</v>
      </c>
      <c r="D476" s="10" t="s">
        <v>30</v>
      </c>
      <c r="E476" s="11">
        <v>0</v>
      </c>
      <c r="F476" s="12">
        <f t="shared" si="108"/>
        <v>0</v>
      </c>
      <c r="G476" s="10"/>
      <c r="H476" s="10"/>
      <c r="I476" s="10"/>
      <c r="J476" s="13"/>
      <c r="K476" s="13"/>
      <c r="L476" s="70" t="str">
        <f t="shared" si="109"/>
        <v/>
      </c>
      <c r="M476" s="29"/>
      <c r="N476" s="30"/>
    </row>
    <row r="477" spans="1:14" ht="15" customHeight="1">
      <c r="A477" s="59">
        <v>46191</v>
      </c>
      <c r="B477" s="15">
        <f t="shared" si="110"/>
        <v>0.95833333333333293</v>
      </c>
      <c r="C477" s="10" t="s">
        <v>21</v>
      </c>
      <c r="D477" s="10" t="s">
        <v>30</v>
      </c>
      <c r="E477" s="11">
        <v>19</v>
      </c>
      <c r="F477" s="17">
        <f t="shared" si="108"/>
        <v>95</v>
      </c>
      <c r="G477" s="16"/>
      <c r="H477" s="16"/>
      <c r="I477" s="16"/>
      <c r="J477" s="13"/>
      <c r="K477" s="13"/>
      <c r="L477" s="71" t="str">
        <f t="shared" si="109"/>
        <v/>
      </c>
      <c r="M477" s="29"/>
      <c r="N477" s="30"/>
    </row>
    <row r="478" spans="1:14" ht="15" customHeight="1">
      <c r="A478" s="58">
        <v>46191</v>
      </c>
      <c r="B478" s="9">
        <f t="shared" si="110"/>
        <v>0.99999999999999956</v>
      </c>
      <c r="C478" s="10" t="s">
        <v>21</v>
      </c>
      <c r="D478" s="10" t="s">
        <v>30</v>
      </c>
      <c r="E478" s="11">
        <v>13</v>
      </c>
      <c r="F478" s="12">
        <f t="shared" si="108"/>
        <v>65</v>
      </c>
      <c r="G478" s="10"/>
      <c r="H478" s="10"/>
      <c r="I478" s="10"/>
      <c r="J478" s="13"/>
      <c r="K478" s="13"/>
      <c r="L478" s="70" t="str">
        <f t="shared" si="109"/>
        <v/>
      </c>
      <c r="M478" s="29"/>
      <c r="N478" s="30"/>
    </row>
    <row r="479" spans="1:14" ht="15" customHeight="1">
      <c r="A479" s="59">
        <v>46191</v>
      </c>
      <c r="B479" s="15">
        <f t="shared" si="110"/>
        <v>1.0416666666666663</v>
      </c>
      <c r="C479" s="10" t="s">
        <v>21</v>
      </c>
      <c r="D479" s="10" t="s">
        <v>30</v>
      </c>
      <c r="E479" s="11">
        <v>20</v>
      </c>
      <c r="F479" s="17">
        <f t="shared" si="108"/>
        <v>100</v>
      </c>
      <c r="G479" s="16"/>
      <c r="H479" s="16"/>
      <c r="I479" s="16"/>
      <c r="J479" s="13"/>
      <c r="K479" s="13"/>
      <c r="L479" s="71" t="str">
        <f t="shared" si="109"/>
        <v/>
      </c>
      <c r="M479" s="29"/>
      <c r="N479" s="30"/>
    </row>
    <row r="480" spans="1:14" ht="15" customHeight="1">
      <c r="A480" s="58">
        <v>46191</v>
      </c>
      <c r="B480" s="9">
        <f t="shared" si="110"/>
        <v>1.083333333333333</v>
      </c>
      <c r="C480" s="10" t="s">
        <v>21</v>
      </c>
      <c r="D480" s="10" t="s">
        <v>30</v>
      </c>
      <c r="E480" s="11">
        <v>23</v>
      </c>
      <c r="F480" s="12">
        <f t="shared" si="108"/>
        <v>115</v>
      </c>
      <c r="G480" s="10"/>
      <c r="H480" s="10"/>
      <c r="I480" s="10"/>
      <c r="J480" s="13"/>
      <c r="K480" s="13"/>
      <c r="L480" s="70" t="str">
        <f t="shared" si="109"/>
        <v/>
      </c>
      <c r="M480" s="29"/>
      <c r="N480" s="30"/>
    </row>
    <row r="481" spans="1:14" ht="15" customHeight="1">
      <c r="A481" s="59">
        <v>46191</v>
      </c>
      <c r="B481" s="15">
        <f t="shared" si="110"/>
        <v>1.1249999999999998</v>
      </c>
      <c r="C481" s="10" t="s">
        <v>21</v>
      </c>
      <c r="D481" s="10" t="s">
        <v>30</v>
      </c>
      <c r="E481" s="11">
        <v>22</v>
      </c>
      <c r="F481" s="17">
        <f t="shared" si="108"/>
        <v>110</v>
      </c>
      <c r="G481" s="16"/>
      <c r="H481" s="16"/>
      <c r="I481" s="16"/>
      <c r="J481" s="13"/>
      <c r="K481" s="13"/>
      <c r="L481" s="71" t="str">
        <f t="shared" si="109"/>
        <v/>
      </c>
      <c r="M481" s="29"/>
      <c r="N481" s="30"/>
    </row>
    <row r="482" spans="1:14" ht="15" customHeight="1">
      <c r="A482" s="58">
        <v>46191</v>
      </c>
      <c r="B482" s="9">
        <f t="shared" si="110"/>
        <v>1.1666666666666665</v>
      </c>
      <c r="C482" s="10" t="s">
        <v>21</v>
      </c>
      <c r="D482" s="10" t="s">
        <v>30</v>
      </c>
      <c r="E482" s="11">
        <v>20</v>
      </c>
      <c r="F482" s="12">
        <f t="shared" si="108"/>
        <v>100</v>
      </c>
      <c r="G482" s="10"/>
      <c r="H482" s="10"/>
      <c r="I482" s="10"/>
      <c r="J482" s="13"/>
      <c r="K482" s="13"/>
      <c r="L482" s="70" t="str">
        <f t="shared" si="109"/>
        <v/>
      </c>
      <c r="M482" s="29"/>
      <c r="N482" s="30"/>
    </row>
    <row r="483" spans="1:14" ht="15" customHeight="1">
      <c r="A483" s="59">
        <v>46191</v>
      </c>
      <c r="B483" s="15">
        <f t="shared" si="110"/>
        <v>1.2083333333333333</v>
      </c>
      <c r="C483" s="10" t="s">
        <v>21</v>
      </c>
      <c r="D483" s="10" t="s">
        <v>30</v>
      </c>
      <c r="E483" s="11">
        <v>17</v>
      </c>
      <c r="F483" s="17">
        <f t="shared" si="108"/>
        <v>85</v>
      </c>
      <c r="G483" s="16"/>
      <c r="H483" s="16"/>
      <c r="I483" s="16"/>
      <c r="J483" s="13"/>
      <c r="K483" s="13"/>
      <c r="L483" s="71" t="str">
        <f t="shared" si="109"/>
        <v/>
      </c>
      <c r="M483" s="29"/>
      <c r="N483" s="30"/>
    </row>
    <row r="484" spans="1:14" ht="15" customHeight="1">
      <c r="A484" s="58">
        <v>46191</v>
      </c>
      <c r="B484" s="9">
        <f t="shared" si="110"/>
        <v>1.25</v>
      </c>
      <c r="C484" s="10" t="s">
        <v>21</v>
      </c>
      <c r="D484" s="10" t="s">
        <v>30</v>
      </c>
      <c r="E484" s="11">
        <v>12</v>
      </c>
      <c r="F484" s="12">
        <f t="shared" si="108"/>
        <v>60</v>
      </c>
      <c r="G484" s="10"/>
      <c r="H484" s="10"/>
      <c r="I484" s="10"/>
      <c r="J484" s="13"/>
      <c r="K484" s="13"/>
      <c r="L484" s="70" t="str">
        <f t="shared" si="109"/>
        <v/>
      </c>
      <c r="M484" s="29"/>
      <c r="N484" s="30"/>
    </row>
    <row r="485" spans="1:14" ht="15" customHeight="1">
      <c r="A485" s="59">
        <v>46191</v>
      </c>
      <c r="B485" s="15">
        <f t="shared" si="110"/>
        <v>1.2916666666666667</v>
      </c>
      <c r="C485" s="10" t="s">
        <v>21</v>
      </c>
      <c r="D485" s="10" t="s">
        <v>30</v>
      </c>
      <c r="E485" s="11">
        <v>10</v>
      </c>
      <c r="F485" s="17">
        <f t="shared" si="108"/>
        <v>50</v>
      </c>
      <c r="G485" s="16"/>
      <c r="H485" s="16"/>
      <c r="I485" s="16"/>
      <c r="J485" s="13"/>
      <c r="K485" s="13"/>
      <c r="L485" s="71" t="str">
        <f t="shared" si="109"/>
        <v/>
      </c>
      <c r="M485" s="29"/>
      <c r="N485" s="30"/>
    </row>
    <row r="486" spans="1:14" ht="15.75" customHeight="1">
      <c r="A486" s="97" t="s">
        <v>193</v>
      </c>
      <c r="B486" s="97"/>
      <c r="C486" s="97"/>
      <c r="D486" s="97"/>
      <c r="E486" s="19">
        <f>SUM(E474:E485)</f>
        <v>190</v>
      </c>
      <c r="F486" s="19">
        <f>SUM(F474:F485)</f>
        <v>950</v>
      </c>
      <c r="G486" s="18"/>
      <c r="H486" s="18"/>
      <c r="I486" s="18"/>
      <c r="J486" s="18"/>
      <c r="K486" s="18"/>
      <c r="L486" s="72">
        <f>IFERROR(SUM(L474:L485),"")</f>
        <v>5.5555555555555469E-2</v>
      </c>
      <c r="M486" s="19" t="s">
        <v>192</v>
      </c>
      <c r="N486" s="20">
        <v>557170</v>
      </c>
    </row>
    <row r="487" spans="1:14" ht="18" customHeight="1">
      <c r="A487" s="98" t="s">
        <v>194</v>
      </c>
      <c r="B487" s="98"/>
      <c r="C487" s="98"/>
      <c r="D487" s="98"/>
      <c r="E487" s="22">
        <f>E473+E486</f>
        <v>362</v>
      </c>
      <c r="F487" s="22">
        <f>F473+F486</f>
        <v>1810</v>
      </c>
      <c r="G487" s="21"/>
      <c r="H487" s="21"/>
      <c r="I487" s="21"/>
      <c r="J487" s="21"/>
      <c r="K487" s="21"/>
      <c r="L487" s="73">
        <f>IFERROR(L473+L486,"")</f>
        <v>0.15277777777777762</v>
      </c>
      <c r="M487" s="22" t="s">
        <v>195</v>
      </c>
      <c r="N487" s="31">
        <f>IFERROR(N473+N486,"")</f>
        <v>1062910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35</v>
      </c>
      <c r="F488" s="12">
        <f t="shared" ref="F488:F499" si="111">IF(E488="","",E488*5)</f>
        <v>175</v>
      </c>
      <c r="G488" s="10" t="s">
        <v>18</v>
      </c>
      <c r="H488" s="10" t="s">
        <v>23</v>
      </c>
      <c r="I488" s="10" t="s">
        <v>122</v>
      </c>
      <c r="J488" s="13">
        <v>0.375</v>
      </c>
      <c r="K488" s="13">
        <v>0.60416666666666663</v>
      </c>
      <c r="L488" s="70">
        <f t="shared" ref="L488:L499" si="112">IFERROR(IF(K488="","",IF(K488&gt;=J488,K488-J488,K488+1-J488)),"")</f>
        <v>0.22916666666666663</v>
      </c>
      <c r="M488" s="29"/>
      <c r="N488" s="30"/>
    </row>
    <row r="489" spans="1:14" ht="15" customHeight="1">
      <c r="A489" s="59">
        <v>46192</v>
      </c>
      <c r="B489" s="15">
        <f t="shared" ref="B489:B499" si="113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 t="shared" si="111"/>
        <v>0</v>
      </c>
      <c r="G489" s="16"/>
      <c r="H489" s="16"/>
      <c r="I489" s="16"/>
      <c r="J489" s="13"/>
      <c r="K489" s="13"/>
      <c r="L489" s="71" t="str">
        <f t="shared" si="112"/>
        <v/>
      </c>
      <c r="M489" s="29"/>
      <c r="N489" s="30"/>
    </row>
    <row r="490" spans="1:14" ht="15" customHeight="1">
      <c r="A490" s="58">
        <v>46192</v>
      </c>
      <c r="B490" s="9">
        <f t="shared" si="113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1"/>
        <v>0</v>
      </c>
      <c r="G490" s="10"/>
      <c r="H490" s="10"/>
      <c r="I490" s="10"/>
      <c r="J490" s="13"/>
      <c r="K490" s="13"/>
      <c r="L490" s="70" t="str">
        <f t="shared" si="112"/>
        <v/>
      </c>
      <c r="M490" s="29"/>
      <c r="N490" s="30"/>
    </row>
    <row r="491" spans="1:14" ht="15" customHeight="1">
      <c r="A491" s="59">
        <v>46192</v>
      </c>
      <c r="B491" s="15">
        <f t="shared" si="113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1"/>
        <v>0</v>
      </c>
      <c r="G491" s="16"/>
      <c r="H491" s="16"/>
      <c r="I491" s="16"/>
      <c r="J491" s="13"/>
      <c r="K491" s="13"/>
      <c r="L491" s="71" t="str">
        <f t="shared" si="112"/>
        <v/>
      </c>
      <c r="M491" s="29"/>
      <c r="N491" s="30"/>
    </row>
    <row r="492" spans="1:14" ht="15" customHeight="1">
      <c r="A492" s="58">
        <v>46192</v>
      </c>
      <c r="B492" s="9">
        <f t="shared" si="113"/>
        <v>0.49999999999999972</v>
      </c>
      <c r="C492" s="10" t="s">
        <v>45</v>
      </c>
      <c r="D492" s="10" t="s">
        <v>30</v>
      </c>
      <c r="E492" s="11">
        <v>15</v>
      </c>
      <c r="F492" s="12">
        <f t="shared" si="111"/>
        <v>75</v>
      </c>
      <c r="G492" s="10"/>
      <c r="H492" s="10"/>
      <c r="I492" s="10"/>
      <c r="J492" s="13"/>
      <c r="K492" s="13"/>
      <c r="L492" s="70" t="str">
        <f t="shared" si="112"/>
        <v/>
      </c>
      <c r="M492" s="29"/>
      <c r="N492" s="30"/>
    </row>
    <row r="493" spans="1:14" ht="15" customHeight="1">
      <c r="A493" s="59">
        <v>46192</v>
      </c>
      <c r="B493" s="15">
        <f t="shared" si="113"/>
        <v>0.54166666666666641</v>
      </c>
      <c r="C493" s="10" t="s">
        <v>45</v>
      </c>
      <c r="D493" s="10" t="s">
        <v>30</v>
      </c>
      <c r="E493" s="11">
        <v>0</v>
      </c>
      <c r="F493" s="17">
        <f t="shared" si="111"/>
        <v>0</v>
      </c>
      <c r="G493" s="16"/>
      <c r="H493" s="16"/>
      <c r="I493" s="16"/>
      <c r="J493" s="13"/>
      <c r="K493" s="13"/>
      <c r="L493" s="71" t="str">
        <f t="shared" si="112"/>
        <v/>
      </c>
      <c r="M493" s="29"/>
      <c r="N493" s="30"/>
    </row>
    <row r="494" spans="1:14" ht="15" customHeight="1">
      <c r="A494" s="58">
        <v>46192</v>
      </c>
      <c r="B494" s="9">
        <f t="shared" si="113"/>
        <v>0.58333333333333304</v>
      </c>
      <c r="C494" s="10" t="s">
        <v>45</v>
      </c>
      <c r="D494" s="10" t="s">
        <v>30</v>
      </c>
      <c r="E494" s="11">
        <v>0</v>
      </c>
      <c r="F494" s="12">
        <f t="shared" si="111"/>
        <v>0</v>
      </c>
      <c r="G494" s="10"/>
      <c r="H494" s="10"/>
      <c r="I494" s="10"/>
      <c r="J494" s="13"/>
      <c r="K494" s="13"/>
      <c r="L494" s="70" t="str">
        <f t="shared" si="112"/>
        <v/>
      </c>
      <c r="M494" s="29"/>
      <c r="N494" s="30"/>
    </row>
    <row r="495" spans="1:14" ht="15" customHeight="1">
      <c r="A495" s="59">
        <v>46192</v>
      </c>
      <c r="B495" s="15">
        <f t="shared" si="113"/>
        <v>0.62499999999999967</v>
      </c>
      <c r="C495" s="10" t="s">
        <v>45</v>
      </c>
      <c r="D495" s="10" t="s">
        <v>30</v>
      </c>
      <c r="E495" s="11">
        <v>15</v>
      </c>
      <c r="F495" s="17"/>
      <c r="G495" s="16"/>
      <c r="H495" s="16"/>
      <c r="I495" s="16"/>
      <c r="J495" s="13"/>
      <c r="K495" s="13"/>
      <c r="L495" s="71" t="str">
        <f t="shared" si="112"/>
        <v/>
      </c>
      <c r="M495" s="29"/>
      <c r="N495" s="30"/>
    </row>
    <row r="496" spans="1:14" ht="15" customHeight="1">
      <c r="A496" s="58">
        <v>46192</v>
      </c>
      <c r="B496" s="9">
        <f t="shared" si="113"/>
        <v>0.6666666666666663</v>
      </c>
      <c r="C496" s="10" t="s">
        <v>45</v>
      </c>
      <c r="D496" s="10" t="s">
        <v>30</v>
      </c>
      <c r="E496" s="11">
        <v>35</v>
      </c>
      <c r="F496" s="12">
        <f t="shared" si="111"/>
        <v>175</v>
      </c>
      <c r="G496" s="10"/>
      <c r="H496" s="10"/>
      <c r="I496" s="10"/>
      <c r="J496" s="13"/>
      <c r="K496" s="13"/>
      <c r="L496" s="70" t="str">
        <f t="shared" si="112"/>
        <v/>
      </c>
      <c r="M496" s="29"/>
      <c r="N496" s="30"/>
    </row>
    <row r="497" spans="1:14" ht="15" customHeight="1">
      <c r="A497" s="59">
        <v>46192</v>
      </c>
      <c r="B497" s="15">
        <f t="shared" si="113"/>
        <v>0.70833333333333293</v>
      </c>
      <c r="C497" s="10" t="s">
        <v>45</v>
      </c>
      <c r="D497" s="10" t="s">
        <v>30</v>
      </c>
      <c r="E497" s="11">
        <v>45</v>
      </c>
      <c r="F497" s="17">
        <f t="shared" si="111"/>
        <v>225</v>
      </c>
      <c r="G497" s="16"/>
      <c r="H497" s="16"/>
      <c r="I497" s="16"/>
      <c r="J497" s="13"/>
      <c r="K497" s="13"/>
      <c r="L497" s="71" t="str">
        <f t="shared" si="112"/>
        <v/>
      </c>
      <c r="M497" s="29"/>
      <c r="N497" s="30"/>
    </row>
    <row r="498" spans="1:14" ht="15" customHeight="1">
      <c r="A498" s="58">
        <v>46192</v>
      </c>
      <c r="B498" s="9">
        <f t="shared" si="113"/>
        <v>0.74999999999999956</v>
      </c>
      <c r="C498" s="10" t="s">
        <v>45</v>
      </c>
      <c r="D498" s="10" t="s">
        <v>30</v>
      </c>
      <c r="E498" s="11">
        <v>8</v>
      </c>
      <c r="F498" s="12">
        <f t="shared" si="111"/>
        <v>40</v>
      </c>
      <c r="G498" s="10"/>
      <c r="H498" s="10"/>
      <c r="I498" s="10"/>
      <c r="J498" s="13"/>
      <c r="K498" s="13"/>
      <c r="L498" s="70" t="str">
        <f t="shared" si="112"/>
        <v/>
      </c>
      <c r="M498" s="29"/>
      <c r="N498" s="30"/>
    </row>
    <row r="499" spans="1:14" ht="15" customHeight="1">
      <c r="A499" s="59">
        <v>46192</v>
      </c>
      <c r="B499" s="15">
        <f t="shared" si="113"/>
        <v>0.79166666666666619</v>
      </c>
      <c r="C499" s="10" t="s">
        <v>45</v>
      </c>
      <c r="D499" s="10" t="s">
        <v>30</v>
      </c>
      <c r="E499" s="11"/>
      <c r="F499" s="17" t="str">
        <f t="shared" si="111"/>
        <v/>
      </c>
      <c r="G499" s="16"/>
      <c r="H499" s="16"/>
      <c r="I499" s="16"/>
      <c r="J499" s="13"/>
      <c r="K499" s="13"/>
      <c r="L499" s="71" t="str">
        <f t="shared" si="112"/>
        <v/>
      </c>
      <c r="M499" s="29"/>
      <c r="N499" s="30"/>
    </row>
    <row r="500" spans="1:14" ht="15.75" customHeight="1">
      <c r="A500" s="97" t="s">
        <v>191</v>
      </c>
      <c r="B500" s="97"/>
      <c r="C500" s="97"/>
      <c r="D500" s="97"/>
      <c r="E500" s="19">
        <f>SUM(E488:E499)</f>
        <v>153</v>
      </c>
      <c r="F500" s="19">
        <f>SUM(F488:F499)</f>
        <v>690</v>
      </c>
      <c r="G500" s="18"/>
      <c r="H500" s="18"/>
      <c r="I500" s="18"/>
      <c r="J500" s="18"/>
      <c r="K500" s="18"/>
      <c r="L500" s="72">
        <f>IFERROR(SUM(L488:L499),"")</f>
        <v>0.22916666666666663</v>
      </c>
      <c r="M500" s="19" t="s">
        <v>192</v>
      </c>
      <c r="N500" s="20">
        <v>866460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17</v>
      </c>
      <c r="F501" s="17">
        <f t="shared" ref="F501:F512" si="114">IF(E501="","",E501*5)</f>
        <v>85</v>
      </c>
      <c r="G501" s="16" t="s">
        <v>18</v>
      </c>
      <c r="H501" s="16" t="s">
        <v>23</v>
      </c>
      <c r="I501" s="16" t="s">
        <v>122</v>
      </c>
      <c r="J501" s="13">
        <v>0.19444444444444445</v>
      </c>
      <c r="K501" s="13"/>
      <c r="L501" s="71" t="str">
        <f t="shared" ref="L501:L512" si="115">IFERROR(IF(K501="","",IF(K501&gt;=J501,K501-J501,K501+1-J501)),"")</f>
        <v/>
      </c>
      <c r="M501" s="29" t="s">
        <v>212</v>
      </c>
      <c r="N501" s="30"/>
    </row>
    <row r="502" spans="1:14" ht="15" customHeight="1">
      <c r="A502" s="58">
        <v>46192</v>
      </c>
      <c r="B502" s="9">
        <f t="shared" ref="B502:B512" si="116">B501+TIME(0,60,0)</f>
        <v>0.87499999999999967</v>
      </c>
      <c r="C502" s="16" t="s">
        <v>21</v>
      </c>
      <c r="D502" s="16" t="s">
        <v>30</v>
      </c>
      <c r="E502" s="11">
        <v>7</v>
      </c>
      <c r="F502" s="12">
        <f t="shared" si="114"/>
        <v>35</v>
      </c>
      <c r="G502" s="10"/>
      <c r="H502" s="10"/>
      <c r="I502" s="10"/>
      <c r="J502" s="13"/>
      <c r="K502" s="13"/>
      <c r="L502" s="70" t="str">
        <f t="shared" si="115"/>
        <v/>
      </c>
      <c r="M502" s="29"/>
      <c r="N502" s="30"/>
    </row>
    <row r="503" spans="1:14" ht="15" customHeight="1">
      <c r="A503" s="59">
        <v>46192</v>
      </c>
      <c r="B503" s="15">
        <f t="shared" si="116"/>
        <v>0.9166666666666663</v>
      </c>
      <c r="C503" s="16" t="s">
        <v>21</v>
      </c>
      <c r="D503" s="16" t="s">
        <v>30</v>
      </c>
      <c r="E503" s="11">
        <v>14</v>
      </c>
      <c r="F503" s="17">
        <f t="shared" si="114"/>
        <v>70</v>
      </c>
      <c r="G503" s="16"/>
      <c r="H503" s="16"/>
      <c r="I503" s="16"/>
      <c r="J503" s="13"/>
      <c r="K503" s="13"/>
      <c r="L503" s="71" t="str">
        <f t="shared" si="115"/>
        <v/>
      </c>
      <c r="M503" s="29"/>
      <c r="N503" s="30"/>
    </row>
    <row r="504" spans="1:14" ht="15" customHeight="1">
      <c r="A504" s="58">
        <v>46192</v>
      </c>
      <c r="B504" s="9">
        <f t="shared" si="116"/>
        <v>0.95833333333333293</v>
      </c>
      <c r="C504" s="16" t="s">
        <v>21</v>
      </c>
      <c r="D504" s="16" t="s">
        <v>30</v>
      </c>
      <c r="E504" s="11">
        <v>15</v>
      </c>
      <c r="F504" s="12">
        <f t="shared" si="114"/>
        <v>75</v>
      </c>
      <c r="G504" s="10"/>
      <c r="H504" s="10"/>
      <c r="I504" s="10"/>
      <c r="J504" s="13"/>
      <c r="K504" s="13"/>
      <c r="L504" s="70" t="str">
        <f t="shared" si="115"/>
        <v/>
      </c>
      <c r="M504" s="29"/>
      <c r="N504" s="30"/>
    </row>
    <row r="505" spans="1:14" ht="15" customHeight="1">
      <c r="A505" s="59">
        <v>46192</v>
      </c>
      <c r="B505" s="15">
        <f t="shared" si="116"/>
        <v>0.99999999999999956</v>
      </c>
      <c r="C505" s="16" t="s">
        <v>21</v>
      </c>
      <c r="D505" s="16" t="s">
        <v>30</v>
      </c>
      <c r="E505" s="11">
        <v>40</v>
      </c>
      <c r="F505" s="17">
        <f t="shared" si="114"/>
        <v>200</v>
      </c>
      <c r="G505" s="16"/>
      <c r="H505" s="16"/>
      <c r="I505" s="16"/>
      <c r="J505" s="13"/>
      <c r="K505" s="13"/>
      <c r="L505" s="71" t="str">
        <f t="shared" si="115"/>
        <v/>
      </c>
      <c r="M505" s="29"/>
      <c r="N505" s="30"/>
    </row>
    <row r="506" spans="1:14" ht="15" customHeight="1">
      <c r="A506" s="58">
        <v>46192</v>
      </c>
      <c r="B506" s="9">
        <f t="shared" si="116"/>
        <v>1.0416666666666663</v>
      </c>
      <c r="C506" s="16" t="s">
        <v>21</v>
      </c>
      <c r="D506" s="16" t="s">
        <v>30</v>
      </c>
      <c r="E506" s="11">
        <v>40</v>
      </c>
      <c r="F506" s="12">
        <f t="shared" si="114"/>
        <v>200</v>
      </c>
      <c r="G506" s="10"/>
      <c r="H506" s="10"/>
      <c r="I506" s="10"/>
      <c r="J506" s="13"/>
      <c r="K506" s="13"/>
      <c r="L506" s="70" t="str">
        <f t="shared" si="115"/>
        <v/>
      </c>
      <c r="M506" s="29"/>
      <c r="N506" s="30"/>
    </row>
    <row r="507" spans="1:14" ht="15" customHeight="1">
      <c r="A507" s="59">
        <v>46192</v>
      </c>
      <c r="B507" s="15">
        <f t="shared" si="116"/>
        <v>1.083333333333333</v>
      </c>
      <c r="C507" s="16" t="s">
        <v>21</v>
      </c>
      <c r="D507" s="16" t="s">
        <v>30</v>
      </c>
      <c r="E507" s="11">
        <v>10</v>
      </c>
      <c r="F507" s="17">
        <f t="shared" si="114"/>
        <v>50</v>
      </c>
      <c r="G507" s="16"/>
      <c r="H507" s="16"/>
      <c r="I507" s="16"/>
      <c r="J507" s="13"/>
      <c r="K507" s="13"/>
      <c r="L507" s="71" t="str">
        <f t="shared" si="115"/>
        <v/>
      </c>
      <c r="M507" s="29"/>
      <c r="N507" s="30"/>
    </row>
    <row r="508" spans="1:14" ht="15" customHeight="1">
      <c r="A508" s="58">
        <v>46192</v>
      </c>
      <c r="B508" s="9">
        <f t="shared" si="116"/>
        <v>1.1249999999999998</v>
      </c>
      <c r="C508" s="16" t="s">
        <v>21</v>
      </c>
      <c r="D508" s="16" t="s">
        <v>30</v>
      </c>
      <c r="E508" s="11">
        <v>30</v>
      </c>
      <c r="F508" s="12">
        <f t="shared" si="114"/>
        <v>150</v>
      </c>
      <c r="G508" s="10"/>
      <c r="H508" s="10"/>
      <c r="I508" s="10"/>
      <c r="J508" s="13"/>
      <c r="K508" s="13"/>
      <c r="L508" s="70" t="str">
        <f t="shared" si="115"/>
        <v/>
      </c>
      <c r="M508" s="29"/>
      <c r="N508" s="30"/>
    </row>
    <row r="509" spans="1:14" ht="15" customHeight="1">
      <c r="A509" s="59">
        <v>46192</v>
      </c>
      <c r="B509" s="15">
        <f t="shared" si="116"/>
        <v>1.1666666666666665</v>
      </c>
      <c r="C509" s="16" t="s">
        <v>21</v>
      </c>
      <c r="D509" s="16" t="s">
        <v>30</v>
      </c>
      <c r="E509" s="11">
        <v>10</v>
      </c>
      <c r="F509" s="17">
        <f t="shared" si="114"/>
        <v>50</v>
      </c>
      <c r="G509" s="16"/>
      <c r="H509" s="16"/>
      <c r="I509" s="16"/>
      <c r="J509" s="13"/>
      <c r="K509" s="13"/>
      <c r="L509" s="71" t="str">
        <f t="shared" si="115"/>
        <v/>
      </c>
      <c r="M509" s="29"/>
      <c r="N509" s="30"/>
    </row>
    <row r="510" spans="1:14" ht="15" customHeight="1">
      <c r="A510" s="58">
        <v>46192</v>
      </c>
      <c r="B510" s="9">
        <f t="shared" si="116"/>
        <v>1.2083333333333333</v>
      </c>
      <c r="C510" s="16" t="s">
        <v>21</v>
      </c>
      <c r="D510" s="16" t="s">
        <v>30</v>
      </c>
      <c r="E510" s="11">
        <v>10</v>
      </c>
      <c r="F510" s="12">
        <f t="shared" si="114"/>
        <v>50</v>
      </c>
      <c r="G510" s="10"/>
      <c r="H510" s="10"/>
      <c r="I510" s="10"/>
      <c r="J510" s="13"/>
      <c r="K510" s="13"/>
      <c r="L510" s="70" t="str">
        <f t="shared" si="115"/>
        <v/>
      </c>
      <c r="M510" s="29"/>
      <c r="N510" s="30"/>
    </row>
    <row r="511" spans="1:14" ht="15" customHeight="1">
      <c r="A511" s="59">
        <v>46192</v>
      </c>
      <c r="B511" s="15">
        <f t="shared" si="116"/>
        <v>1.25</v>
      </c>
      <c r="C511" s="16" t="s">
        <v>21</v>
      </c>
      <c r="D511" s="16" t="s">
        <v>30</v>
      </c>
      <c r="E511" s="11">
        <v>30</v>
      </c>
      <c r="F511" s="17">
        <f t="shared" si="114"/>
        <v>150</v>
      </c>
      <c r="G511" s="16"/>
      <c r="H511" s="16"/>
      <c r="I511" s="16"/>
      <c r="J511" s="13"/>
      <c r="K511" s="13"/>
      <c r="L511" s="71" t="str">
        <f t="shared" si="115"/>
        <v/>
      </c>
      <c r="M511" s="29"/>
      <c r="N511" s="30"/>
    </row>
    <row r="512" spans="1:14" ht="15" customHeight="1">
      <c r="A512" s="58">
        <v>46192</v>
      </c>
      <c r="B512" s="9">
        <f t="shared" si="116"/>
        <v>1.2916666666666667</v>
      </c>
      <c r="C512" s="16" t="s">
        <v>21</v>
      </c>
      <c r="D512" s="16" t="s">
        <v>30</v>
      </c>
      <c r="E512" s="11">
        <v>10</v>
      </c>
      <c r="F512" s="12">
        <f t="shared" si="114"/>
        <v>50</v>
      </c>
      <c r="G512" s="10"/>
      <c r="H512" s="10"/>
      <c r="I512" s="10"/>
      <c r="J512" s="13"/>
      <c r="K512" s="13"/>
      <c r="L512" s="70" t="str">
        <f t="shared" si="115"/>
        <v/>
      </c>
      <c r="M512" s="29"/>
      <c r="N512" s="30"/>
    </row>
    <row r="513" spans="1:14" ht="15.75" customHeight="1">
      <c r="A513" s="97" t="s">
        <v>193</v>
      </c>
      <c r="B513" s="97"/>
      <c r="C513" s="97"/>
      <c r="D513" s="97"/>
      <c r="E513" s="19">
        <f>SUM(E501:E512)</f>
        <v>233</v>
      </c>
      <c r="F513" s="19">
        <f>SUM(F501:F512)</f>
        <v>1165</v>
      </c>
      <c r="G513" s="18"/>
      <c r="H513" s="18"/>
      <c r="I513" s="18"/>
      <c r="J513" s="18"/>
      <c r="K513" s="18"/>
      <c r="L513" s="72">
        <f>IFERROR(SUM(L501:L512),"")</f>
        <v>0</v>
      </c>
      <c r="M513" s="19" t="s">
        <v>192</v>
      </c>
      <c r="N513" s="20">
        <v>701090</v>
      </c>
    </row>
    <row r="514" spans="1:14" ht="18" customHeight="1">
      <c r="A514" s="98" t="s">
        <v>194</v>
      </c>
      <c r="B514" s="98"/>
      <c r="C514" s="98"/>
      <c r="D514" s="98"/>
      <c r="E514" s="22">
        <f>E500+E513</f>
        <v>386</v>
      </c>
      <c r="F514" s="22">
        <f>F500+F513</f>
        <v>1855</v>
      </c>
      <c r="G514" s="21"/>
      <c r="H514" s="21"/>
      <c r="I514" s="21"/>
      <c r="J514" s="21"/>
      <c r="K514" s="21"/>
      <c r="L514" s="73">
        <f>IFERROR(L500+L513,"")</f>
        <v>0.22916666666666663</v>
      </c>
      <c r="M514" s="22" t="s">
        <v>195</v>
      </c>
      <c r="N514" s="31">
        <f>IFERROR(N500+N513,"")</f>
        <v>1567550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7">IF(E515="","",E515*5)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0.375</v>
      </c>
      <c r="L515" s="71">
        <f t="shared" ref="L515:L526" si="118">IFERROR(IF(K515="","",IF(K515&gt;=J515,K515-J515,K515+1-J515)),"")</f>
        <v>8.3333333333333315E-2</v>
      </c>
      <c r="M515" s="29" t="s">
        <v>213</v>
      </c>
      <c r="N515" s="30"/>
    </row>
    <row r="516" spans="1:14" ht="15" customHeight="1">
      <c r="A516" s="58">
        <v>46193</v>
      </c>
      <c r="B516" s="9">
        <f t="shared" ref="B516:B526" si="119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7"/>
        <v>0</v>
      </c>
      <c r="G516" s="10"/>
      <c r="H516" s="10" t="s">
        <v>19</v>
      </c>
      <c r="I516" s="10"/>
      <c r="J516" s="13"/>
      <c r="K516" s="13"/>
      <c r="L516" s="70" t="str">
        <f t="shared" si="118"/>
        <v/>
      </c>
      <c r="M516" s="29" t="s">
        <v>213</v>
      </c>
      <c r="N516" s="30"/>
    </row>
    <row r="517" spans="1:14" ht="15" customHeight="1">
      <c r="A517" s="59">
        <v>46193</v>
      </c>
      <c r="B517" s="15">
        <f t="shared" si="119"/>
        <v>0.41666666666666635</v>
      </c>
      <c r="C517" s="16" t="s">
        <v>45</v>
      </c>
      <c r="D517" s="16" t="s">
        <v>30</v>
      </c>
      <c r="E517" s="11">
        <v>45</v>
      </c>
      <c r="F517" s="17">
        <f t="shared" si="117"/>
        <v>225</v>
      </c>
      <c r="G517" s="16" t="s">
        <v>19</v>
      </c>
      <c r="H517" s="16"/>
      <c r="I517" s="16"/>
      <c r="J517" s="13">
        <v>0.54722222222222228</v>
      </c>
      <c r="K517" s="13">
        <v>0.69930555555555551</v>
      </c>
      <c r="L517" s="71">
        <f t="shared" si="118"/>
        <v>0.15208333333333324</v>
      </c>
      <c r="M517" s="29" t="s">
        <v>214</v>
      </c>
      <c r="N517" s="30"/>
    </row>
    <row r="518" spans="1:14" ht="15" customHeight="1">
      <c r="A518" s="58">
        <v>46193</v>
      </c>
      <c r="B518" s="9">
        <f t="shared" si="119"/>
        <v>0.45833333333333304</v>
      </c>
      <c r="C518" s="76" t="s">
        <v>45</v>
      </c>
      <c r="D518" s="76" t="s">
        <v>30</v>
      </c>
      <c r="E518" s="11">
        <v>45</v>
      </c>
      <c r="F518" s="12">
        <f t="shared" si="117"/>
        <v>225</v>
      </c>
      <c r="G518" s="10"/>
      <c r="H518" s="10"/>
      <c r="I518" s="10"/>
      <c r="J518" s="13"/>
      <c r="K518" s="13"/>
      <c r="L518" s="70" t="str">
        <f t="shared" si="118"/>
        <v/>
      </c>
      <c r="M518" s="29"/>
      <c r="N518" s="30"/>
    </row>
    <row r="519" spans="1:14" ht="15" customHeight="1">
      <c r="A519" s="59">
        <v>46193</v>
      </c>
      <c r="B519" s="15">
        <f t="shared" si="119"/>
        <v>0.49999999999999972</v>
      </c>
      <c r="C519" s="16" t="s">
        <v>45</v>
      </c>
      <c r="D519" s="16" t="s">
        <v>30</v>
      </c>
      <c r="E519" s="11">
        <v>25</v>
      </c>
      <c r="F519" s="17">
        <f t="shared" si="117"/>
        <v>125</v>
      </c>
      <c r="G519" s="16"/>
      <c r="H519" s="16"/>
      <c r="I519" s="16"/>
      <c r="J519" s="13"/>
      <c r="K519" s="13"/>
      <c r="L519" s="71" t="str">
        <f t="shared" si="118"/>
        <v/>
      </c>
      <c r="M519" s="29"/>
      <c r="N519" s="30"/>
    </row>
    <row r="520" spans="1:14" ht="15" customHeight="1">
      <c r="A520" s="58">
        <v>46193</v>
      </c>
      <c r="B520" s="9">
        <f t="shared" si="119"/>
        <v>0.54166666666666641</v>
      </c>
      <c r="C520" s="76" t="s">
        <v>45</v>
      </c>
      <c r="D520" s="76" t="s">
        <v>30</v>
      </c>
      <c r="E520" s="11">
        <v>20</v>
      </c>
      <c r="F520" s="12">
        <f t="shared" si="117"/>
        <v>100</v>
      </c>
      <c r="G520" s="10"/>
      <c r="H520" s="10"/>
      <c r="I520" s="10"/>
      <c r="J520" s="13"/>
      <c r="K520" s="13"/>
      <c r="L520" s="70" t="str">
        <f t="shared" si="118"/>
        <v/>
      </c>
      <c r="M520" s="29"/>
      <c r="N520" s="30"/>
    </row>
    <row r="521" spans="1:14" ht="15" customHeight="1">
      <c r="A521" s="59">
        <v>46193</v>
      </c>
      <c r="B521" s="15">
        <f t="shared" si="119"/>
        <v>0.58333333333333304</v>
      </c>
      <c r="C521" s="16" t="s">
        <v>45</v>
      </c>
      <c r="D521" s="16" t="s">
        <v>30</v>
      </c>
      <c r="E521" s="11">
        <v>0</v>
      </c>
      <c r="F521" s="17">
        <f t="shared" si="117"/>
        <v>0</v>
      </c>
      <c r="G521" s="16"/>
      <c r="H521" s="16"/>
      <c r="I521" s="16"/>
      <c r="J521" s="13"/>
      <c r="K521" s="13"/>
      <c r="L521" s="71" t="str">
        <f t="shared" si="118"/>
        <v/>
      </c>
      <c r="M521" s="29"/>
      <c r="N521" s="30"/>
    </row>
    <row r="522" spans="1:14" ht="15" customHeight="1">
      <c r="A522" s="58">
        <v>46193</v>
      </c>
      <c r="B522" s="9">
        <f t="shared" si="119"/>
        <v>0.62499999999999967</v>
      </c>
      <c r="C522" s="76" t="s">
        <v>45</v>
      </c>
      <c r="D522" s="76" t="s">
        <v>30</v>
      </c>
      <c r="E522" s="11">
        <v>0</v>
      </c>
      <c r="F522" s="12">
        <f t="shared" si="117"/>
        <v>0</v>
      </c>
      <c r="G522" s="10"/>
      <c r="H522" s="10"/>
      <c r="I522" s="10"/>
      <c r="J522" s="13"/>
      <c r="K522" s="13"/>
      <c r="L522" s="70" t="str">
        <f t="shared" si="118"/>
        <v/>
      </c>
      <c r="M522" s="29"/>
      <c r="N522" s="30"/>
    </row>
    <row r="523" spans="1:14" ht="15" customHeight="1">
      <c r="A523" s="59">
        <v>46193</v>
      </c>
      <c r="B523" s="15">
        <f t="shared" si="119"/>
        <v>0.6666666666666663</v>
      </c>
      <c r="C523" s="16" t="s">
        <v>45</v>
      </c>
      <c r="D523" s="16" t="s">
        <v>30</v>
      </c>
      <c r="E523" s="11">
        <v>0</v>
      </c>
      <c r="F523" s="17">
        <f t="shared" si="117"/>
        <v>0</v>
      </c>
      <c r="G523" s="16"/>
      <c r="H523" s="16"/>
      <c r="I523" s="16"/>
      <c r="J523" s="13"/>
      <c r="K523" s="13"/>
      <c r="L523" s="71" t="str">
        <f t="shared" si="118"/>
        <v/>
      </c>
      <c r="M523" s="29"/>
      <c r="N523" s="30"/>
    </row>
    <row r="524" spans="1:14" ht="15" customHeight="1">
      <c r="A524" s="58">
        <v>46193</v>
      </c>
      <c r="B524" s="9">
        <f t="shared" si="119"/>
        <v>0.70833333333333293</v>
      </c>
      <c r="C524" s="76" t="s">
        <v>45</v>
      </c>
      <c r="D524" s="76" t="s">
        <v>30</v>
      </c>
      <c r="E524" s="11">
        <v>10</v>
      </c>
      <c r="F524" s="12">
        <f t="shared" si="117"/>
        <v>50</v>
      </c>
      <c r="G524" s="10"/>
      <c r="H524" s="10"/>
      <c r="I524" s="10"/>
      <c r="J524" s="13"/>
      <c r="K524" s="13"/>
      <c r="L524" s="70" t="str">
        <f t="shared" si="118"/>
        <v/>
      </c>
      <c r="M524" s="29"/>
      <c r="N524" s="30"/>
    </row>
    <row r="525" spans="1:14" ht="15" customHeight="1">
      <c r="A525" s="59">
        <v>46193</v>
      </c>
      <c r="B525" s="15">
        <f t="shared" si="119"/>
        <v>0.74999999999999956</v>
      </c>
      <c r="C525" s="16" t="s">
        <v>45</v>
      </c>
      <c r="D525" s="16" t="s">
        <v>30</v>
      </c>
      <c r="E525" s="11">
        <v>20</v>
      </c>
      <c r="F525" s="17">
        <f t="shared" si="117"/>
        <v>100</v>
      </c>
      <c r="G525" s="16"/>
      <c r="H525" s="16"/>
      <c r="I525" s="16"/>
      <c r="J525" s="13"/>
      <c r="K525" s="13"/>
      <c r="L525" s="71" t="str">
        <f t="shared" si="118"/>
        <v/>
      </c>
      <c r="M525" s="29"/>
      <c r="N525" s="30"/>
    </row>
    <row r="526" spans="1:14" ht="15" customHeight="1">
      <c r="A526" s="58">
        <v>46193</v>
      </c>
      <c r="B526" s="9">
        <f t="shared" si="119"/>
        <v>0.79166666666666619</v>
      </c>
      <c r="C526" s="76" t="s">
        <v>45</v>
      </c>
      <c r="D526" s="76" t="s">
        <v>30</v>
      </c>
      <c r="E526" s="11">
        <v>11</v>
      </c>
      <c r="F526" s="12">
        <f t="shared" si="117"/>
        <v>55</v>
      </c>
      <c r="G526" s="10"/>
      <c r="H526" s="10"/>
      <c r="I526" s="10"/>
      <c r="J526" s="13"/>
      <c r="K526" s="13"/>
      <c r="L526" s="70" t="str">
        <f t="shared" si="118"/>
        <v/>
      </c>
      <c r="M526" s="29"/>
      <c r="N526" s="30"/>
    </row>
    <row r="527" spans="1:14" ht="15.75" customHeight="1">
      <c r="A527" s="97" t="s">
        <v>191</v>
      </c>
      <c r="B527" s="97"/>
      <c r="C527" s="97"/>
      <c r="D527" s="97"/>
      <c r="E527" s="19">
        <f>SUM(E515:E526)</f>
        <v>176</v>
      </c>
      <c r="F527" s="19">
        <f>SUM(F515:F526)</f>
        <v>880</v>
      </c>
      <c r="G527" s="18"/>
      <c r="H527" s="18"/>
      <c r="I527" s="18"/>
      <c r="J527" s="18"/>
      <c r="K527" s="18"/>
      <c r="L527" s="72">
        <f>IFERROR(SUM(L515:L526),"")</f>
        <v>0.23541666666666655</v>
      </c>
      <c r="M527" s="19" t="s">
        <v>192</v>
      </c>
      <c r="N527" s="20">
        <v>880000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21</v>
      </c>
      <c r="F528" s="12">
        <f t="shared" ref="F528:F539" si="120">IF(E528="","",E528*5)</f>
        <v>105</v>
      </c>
      <c r="G528" s="10"/>
      <c r="H528" s="10"/>
      <c r="I528" s="10"/>
      <c r="J528" s="13"/>
      <c r="K528" s="13"/>
      <c r="L528" s="70" t="str">
        <f t="shared" ref="L528:L539" si="121">IFERROR(IF(K528="","",IF(K528&gt;=J528,K528-J528,K528+1-J528)),"")</f>
        <v/>
      </c>
      <c r="M528" s="29"/>
      <c r="N528" s="30"/>
    </row>
    <row r="529" spans="1:14" ht="15" customHeight="1">
      <c r="A529" s="59">
        <v>46193</v>
      </c>
      <c r="B529" s="15">
        <f t="shared" ref="B529:B539" si="122">B528+TIME(0,60,0)</f>
        <v>0.87499999999999967</v>
      </c>
      <c r="C529" s="10" t="s">
        <v>29</v>
      </c>
      <c r="D529" s="10" t="s">
        <v>30</v>
      </c>
      <c r="E529" s="11">
        <v>31</v>
      </c>
      <c r="F529" s="17">
        <f t="shared" si="120"/>
        <v>155</v>
      </c>
      <c r="G529" s="16"/>
      <c r="H529" s="16"/>
      <c r="I529" s="16"/>
      <c r="J529" s="13"/>
      <c r="K529" s="13"/>
      <c r="L529" s="71" t="str">
        <f t="shared" si="121"/>
        <v/>
      </c>
      <c r="M529" s="29"/>
      <c r="N529" s="30"/>
    </row>
    <row r="530" spans="1:14" ht="15" customHeight="1">
      <c r="A530" s="58">
        <v>46193</v>
      </c>
      <c r="B530" s="9">
        <f t="shared" si="122"/>
        <v>0.9166666666666663</v>
      </c>
      <c r="C530" s="10" t="s">
        <v>29</v>
      </c>
      <c r="D530" s="10" t="s">
        <v>30</v>
      </c>
      <c r="E530" s="11">
        <v>18</v>
      </c>
      <c r="F530" s="12">
        <f t="shared" si="120"/>
        <v>90</v>
      </c>
      <c r="G530" s="10"/>
      <c r="H530" s="10"/>
      <c r="I530" s="10"/>
      <c r="J530" s="13"/>
      <c r="K530" s="13"/>
      <c r="L530" s="70" t="str">
        <f t="shared" si="121"/>
        <v/>
      </c>
      <c r="M530" s="29"/>
      <c r="N530" s="30"/>
    </row>
    <row r="531" spans="1:14" ht="15" customHeight="1">
      <c r="A531" s="59">
        <v>46193</v>
      </c>
      <c r="B531" s="15">
        <f t="shared" si="122"/>
        <v>0.95833333333333293</v>
      </c>
      <c r="C531" s="10" t="s">
        <v>29</v>
      </c>
      <c r="D531" s="10" t="s">
        <v>30</v>
      </c>
      <c r="E531" s="11">
        <v>29</v>
      </c>
      <c r="F531" s="17">
        <f t="shared" si="120"/>
        <v>145</v>
      </c>
      <c r="G531" s="16"/>
      <c r="H531" s="16"/>
      <c r="I531" s="16"/>
      <c r="J531" s="13"/>
      <c r="K531" s="13"/>
      <c r="L531" s="71" t="str">
        <f t="shared" si="121"/>
        <v/>
      </c>
      <c r="M531" s="29"/>
      <c r="N531" s="30"/>
    </row>
    <row r="532" spans="1:14" ht="15" customHeight="1">
      <c r="A532" s="58">
        <v>46193</v>
      </c>
      <c r="B532" s="9">
        <f t="shared" si="122"/>
        <v>0.99999999999999956</v>
      </c>
      <c r="C532" s="10" t="s">
        <v>29</v>
      </c>
      <c r="D532" s="10" t="s">
        <v>30</v>
      </c>
      <c r="E532" s="11">
        <v>27</v>
      </c>
      <c r="F532" s="12">
        <f t="shared" si="120"/>
        <v>135</v>
      </c>
      <c r="G532" s="10"/>
      <c r="H532" s="10"/>
      <c r="I532" s="10"/>
      <c r="J532" s="13"/>
      <c r="K532" s="13"/>
      <c r="L532" s="70" t="str">
        <f t="shared" si="121"/>
        <v/>
      </c>
      <c r="M532" s="29"/>
      <c r="N532" s="30"/>
    </row>
    <row r="533" spans="1:14" ht="15" customHeight="1">
      <c r="A533" s="59">
        <v>46193</v>
      </c>
      <c r="B533" s="15">
        <f t="shared" si="122"/>
        <v>1.0416666666666663</v>
      </c>
      <c r="C533" s="10" t="s">
        <v>29</v>
      </c>
      <c r="D533" s="10" t="s">
        <v>30</v>
      </c>
      <c r="E533" s="11">
        <v>30</v>
      </c>
      <c r="F533" s="17">
        <f t="shared" si="120"/>
        <v>150</v>
      </c>
      <c r="G533" s="16"/>
      <c r="H533" s="16"/>
      <c r="I533" s="16"/>
      <c r="J533" s="13"/>
      <c r="K533" s="13"/>
      <c r="L533" s="71" t="str">
        <f t="shared" si="121"/>
        <v/>
      </c>
      <c r="M533" s="29"/>
      <c r="N533" s="30"/>
    </row>
    <row r="534" spans="1:14" ht="15" customHeight="1">
      <c r="A534" s="58">
        <v>46193</v>
      </c>
      <c r="B534" s="9">
        <f t="shared" si="122"/>
        <v>1.083333333333333</v>
      </c>
      <c r="C534" s="10" t="s">
        <v>29</v>
      </c>
      <c r="D534" s="10" t="s">
        <v>30</v>
      </c>
      <c r="E534" s="11">
        <v>31</v>
      </c>
      <c r="F534" s="12">
        <f t="shared" si="120"/>
        <v>155</v>
      </c>
      <c r="G534" s="10"/>
      <c r="H534" s="10"/>
      <c r="I534" s="10"/>
      <c r="J534" s="13"/>
      <c r="K534" s="13"/>
      <c r="L534" s="70" t="str">
        <f t="shared" si="121"/>
        <v/>
      </c>
      <c r="M534" s="29"/>
      <c r="N534" s="30"/>
    </row>
    <row r="535" spans="1:14" ht="15" customHeight="1">
      <c r="A535" s="59">
        <v>46193</v>
      </c>
      <c r="B535" s="15">
        <f t="shared" si="122"/>
        <v>1.1249999999999998</v>
      </c>
      <c r="C535" s="10" t="s">
        <v>29</v>
      </c>
      <c r="D535" s="10" t="s">
        <v>30</v>
      </c>
      <c r="E535" s="11">
        <v>30</v>
      </c>
      <c r="F535" s="17">
        <f t="shared" si="120"/>
        <v>150</v>
      </c>
      <c r="G535" s="16"/>
      <c r="H535" s="16"/>
      <c r="I535" s="16"/>
      <c r="J535" s="13"/>
      <c r="K535" s="13"/>
      <c r="L535" s="71" t="str">
        <f t="shared" si="121"/>
        <v/>
      </c>
      <c r="M535" s="29"/>
      <c r="N535" s="30"/>
    </row>
    <row r="536" spans="1:14" ht="15" customHeight="1">
      <c r="A536" s="58">
        <v>46193</v>
      </c>
      <c r="B536" s="9">
        <f t="shared" si="122"/>
        <v>1.1666666666666665</v>
      </c>
      <c r="C536" s="10" t="s">
        <v>29</v>
      </c>
      <c r="D536" s="10" t="s">
        <v>30</v>
      </c>
      <c r="E536" s="11">
        <v>24</v>
      </c>
      <c r="F536" s="12">
        <f t="shared" si="120"/>
        <v>120</v>
      </c>
      <c r="G536" s="10"/>
      <c r="H536" s="10"/>
      <c r="I536" s="10"/>
      <c r="J536" s="13"/>
      <c r="K536" s="13"/>
      <c r="L536" s="70" t="str">
        <f t="shared" si="121"/>
        <v/>
      </c>
      <c r="M536" s="29"/>
      <c r="N536" s="30"/>
    </row>
    <row r="537" spans="1:14" ht="15" customHeight="1">
      <c r="A537" s="59">
        <v>46193</v>
      </c>
      <c r="B537" s="15">
        <f t="shared" si="122"/>
        <v>1.2083333333333333</v>
      </c>
      <c r="C537" s="10" t="s">
        <v>29</v>
      </c>
      <c r="D537" s="10" t="s">
        <v>30</v>
      </c>
      <c r="E537" s="11">
        <v>20</v>
      </c>
      <c r="F537" s="17">
        <f t="shared" si="120"/>
        <v>100</v>
      </c>
      <c r="G537" s="16"/>
      <c r="H537" s="16"/>
      <c r="I537" s="16"/>
      <c r="J537" s="13"/>
      <c r="K537" s="13"/>
      <c r="L537" s="71" t="str">
        <f t="shared" si="121"/>
        <v/>
      </c>
      <c r="M537" s="29"/>
      <c r="N537" s="30"/>
    </row>
    <row r="538" spans="1:14" ht="15" customHeight="1">
      <c r="A538" s="58">
        <v>46193</v>
      </c>
      <c r="B538" s="9">
        <f t="shared" si="122"/>
        <v>1.25</v>
      </c>
      <c r="C538" s="10" t="s">
        <v>29</v>
      </c>
      <c r="D538" s="10" t="s">
        <v>30</v>
      </c>
      <c r="E538" s="11">
        <v>40</v>
      </c>
      <c r="F538" s="12">
        <f t="shared" si="120"/>
        <v>200</v>
      </c>
      <c r="G538" s="10"/>
      <c r="H538" s="10"/>
      <c r="I538" s="10"/>
      <c r="J538" s="13"/>
      <c r="K538" s="13"/>
      <c r="L538" s="70" t="str">
        <f t="shared" si="121"/>
        <v/>
      </c>
      <c r="M538" s="29"/>
      <c r="N538" s="30"/>
    </row>
    <row r="539" spans="1:14" ht="15" customHeight="1">
      <c r="A539" s="59">
        <v>46193</v>
      </c>
      <c r="B539" s="15">
        <f t="shared" si="122"/>
        <v>1.2916666666666667</v>
      </c>
      <c r="C539" s="10" t="s">
        <v>29</v>
      </c>
      <c r="D539" s="10" t="s">
        <v>30</v>
      </c>
      <c r="E539" s="11">
        <v>10</v>
      </c>
      <c r="F539" s="17">
        <f t="shared" si="120"/>
        <v>50</v>
      </c>
      <c r="G539" s="16"/>
      <c r="H539" s="16"/>
      <c r="I539" s="16"/>
      <c r="J539" s="13"/>
      <c r="K539" s="13"/>
      <c r="L539" s="71" t="str">
        <f t="shared" si="121"/>
        <v/>
      </c>
      <c r="M539" s="29"/>
      <c r="N539" s="30"/>
    </row>
    <row r="540" spans="1:14" ht="15.75" customHeight="1">
      <c r="A540" s="97" t="s">
        <v>193</v>
      </c>
      <c r="B540" s="97"/>
      <c r="C540" s="97"/>
      <c r="D540" s="97"/>
      <c r="E540" s="19">
        <f>SUM(E528:E539)</f>
        <v>311</v>
      </c>
      <c r="F540" s="19">
        <f>SUM(F528:F539)</f>
        <v>1555</v>
      </c>
      <c r="G540" s="18"/>
      <c r="H540" s="18"/>
      <c r="I540" s="18"/>
      <c r="J540" s="18"/>
      <c r="K540" s="18"/>
      <c r="L540" s="72">
        <f>IFERROR(SUM(L528:L539),"")</f>
        <v>0</v>
      </c>
      <c r="M540" s="19" t="s">
        <v>192</v>
      </c>
      <c r="N540" s="20">
        <v>915770</v>
      </c>
    </row>
    <row r="541" spans="1:14" ht="18" customHeight="1">
      <c r="A541" s="98" t="s">
        <v>194</v>
      </c>
      <c r="B541" s="98"/>
      <c r="C541" s="98"/>
      <c r="D541" s="98"/>
      <c r="E541" s="22">
        <f>E527+E540</f>
        <v>487</v>
      </c>
      <c r="F541" s="22">
        <f>F527+F540</f>
        <v>2435</v>
      </c>
      <c r="G541" s="21"/>
      <c r="H541" s="21"/>
      <c r="I541" s="21"/>
      <c r="J541" s="21"/>
      <c r="K541" s="21"/>
      <c r="L541" s="73">
        <f>IFERROR(L527+L540,"")</f>
        <v>0.23541666666666655</v>
      </c>
      <c r="M541" s="22" t="s">
        <v>195</v>
      </c>
      <c r="N541" s="31">
        <f>IFERROR(N527+N540,"")</f>
        <v>1795770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28</v>
      </c>
      <c r="F542" s="12">
        <f t="shared" ref="F542:F553" si="123">IF(E542="","",E542*5)</f>
        <v>140</v>
      </c>
      <c r="G542" s="10" t="s">
        <v>18</v>
      </c>
      <c r="H542" s="10"/>
      <c r="I542" s="10"/>
      <c r="J542" s="13">
        <v>0.35416666666666669</v>
      </c>
      <c r="K542" s="13">
        <v>0.37638888888888888</v>
      </c>
      <c r="L542" s="70">
        <f t="shared" ref="L542:L553" si="124">IFERROR(IF(K542="","",IF(K542&gt;=J542,K542-J542,K542+1-J542)),"")</f>
        <v>2.2222222222222199E-2</v>
      </c>
      <c r="M542" s="29" t="s">
        <v>215</v>
      </c>
      <c r="N542" s="30"/>
    </row>
    <row r="543" spans="1:14" ht="15" customHeight="1">
      <c r="A543" s="59">
        <v>46194</v>
      </c>
      <c r="B543" s="15">
        <f t="shared" ref="B543:B553" si="125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3"/>
        <v>25</v>
      </c>
      <c r="G543" s="16" t="s">
        <v>18</v>
      </c>
      <c r="H543" s="16"/>
      <c r="I543" s="16"/>
      <c r="J543" s="13">
        <v>0.49791666666666667</v>
      </c>
      <c r="K543" s="13">
        <v>0.50624999999999998</v>
      </c>
      <c r="L543" s="71">
        <f t="shared" si="124"/>
        <v>8.3333333333333037E-3</v>
      </c>
      <c r="M543" s="29" t="s">
        <v>216</v>
      </c>
      <c r="N543" s="30"/>
    </row>
    <row r="544" spans="1:14" ht="15" customHeight="1">
      <c r="A544" s="58">
        <v>46194</v>
      </c>
      <c r="B544" s="9">
        <f t="shared" si="125"/>
        <v>0.41666666666666635</v>
      </c>
      <c r="C544" s="10" t="s">
        <v>45</v>
      </c>
      <c r="D544" s="10" t="s">
        <v>30</v>
      </c>
      <c r="E544" s="11">
        <v>35</v>
      </c>
      <c r="F544" s="12">
        <f t="shared" si="123"/>
        <v>175</v>
      </c>
      <c r="G544" s="10" t="s">
        <v>19</v>
      </c>
      <c r="H544" s="10"/>
      <c r="I544" s="10"/>
      <c r="J544" s="13">
        <v>0.65277777777777779</v>
      </c>
      <c r="K544" s="13">
        <v>0.69097222222222221</v>
      </c>
      <c r="L544" s="70">
        <f t="shared" si="124"/>
        <v>3.819444444444442E-2</v>
      </c>
      <c r="M544" s="29" t="s">
        <v>217</v>
      </c>
      <c r="N544" s="30"/>
    </row>
    <row r="545" spans="1:14" ht="15" customHeight="1">
      <c r="A545" s="59">
        <v>46194</v>
      </c>
      <c r="B545" s="15">
        <f t="shared" si="125"/>
        <v>0.45833333333333304</v>
      </c>
      <c r="C545" s="10" t="s">
        <v>45</v>
      </c>
      <c r="D545" s="10" t="s">
        <v>30</v>
      </c>
      <c r="E545" s="11">
        <v>30</v>
      </c>
      <c r="F545" s="17">
        <f t="shared" si="123"/>
        <v>150</v>
      </c>
      <c r="G545" s="16"/>
      <c r="H545" s="16"/>
      <c r="I545" s="16"/>
      <c r="J545" s="13"/>
      <c r="K545" s="13"/>
      <c r="L545" s="71" t="str">
        <f t="shared" si="124"/>
        <v/>
      </c>
      <c r="M545" s="29"/>
      <c r="N545" s="30"/>
    </row>
    <row r="546" spans="1:14" ht="15" customHeight="1">
      <c r="A546" s="58">
        <v>46194</v>
      </c>
      <c r="B546" s="9">
        <f t="shared" si="125"/>
        <v>0.49999999999999972</v>
      </c>
      <c r="C546" s="10" t="s">
        <v>45</v>
      </c>
      <c r="D546" s="10" t="s">
        <v>30</v>
      </c>
      <c r="E546" s="11">
        <v>20</v>
      </c>
      <c r="F546" s="12">
        <f t="shared" si="123"/>
        <v>100</v>
      </c>
      <c r="G546" s="10"/>
      <c r="H546" s="10"/>
      <c r="I546" s="10"/>
      <c r="J546" s="13"/>
      <c r="K546" s="13"/>
      <c r="L546" s="70" t="str">
        <f t="shared" si="124"/>
        <v/>
      </c>
      <c r="M546" s="29"/>
      <c r="N546" s="30"/>
    </row>
    <row r="547" spans="1:14" ht="15" customHeight="1">
      <c r="A547" s="59">
        <v>46194</v>
      </c>
      <c r="B547" s="15">
        <f t="shared" si="125"/>
        <v>0.54166666666666641</v>
      </c>
      <c r="C547" s="10" t="s">
        <v>45</v>
      </c>
      <c r="D547" s="10" t="s">
        <v>30</v>
      </c>
      <c r="E547" s="11">
        <v>28</v>
      </c>
      <c r="F547" s="17">
        <f t="shared" si="123"/>
        <v>140</v>
      </c>
      <c r="G547" s="16"/>
      <c r="H547" s="16"/>
      <c r="I547" s="16"/>
      <c r="J547" s="13"/>
      <c r="K547" s="13"/>
      <c r="L547" s="71" t="str">
        <f t="shared" si="124"/>
        <v/>
      </c>
      <c r="M547" s="29"/>
      <c r="N547" s="30"/>
    </row>
    <row r="548" spans="1:14" ht="15" customHeight="1">
      <c r="A548" s="58">
        <v>46194</v>
      </c>
      <c r="B548" s="9">
        <f t="shared" si="125"/>
        <v>0.58333333333333304</v>
      </c>
      <c r="C548" s="10" t="s">
        <v>45</v>
      </c>
      <c r="D548" s="10" t="s">
        <v>30</v>
      </c>
      <c r="E548" s="11">
        <v>20</v>
      </c>
      <c r="F548" s="12">
        <f t="shared" si="123"/>
        <v>100</v>
      </c>
      <c r="G548" s="10"/>
      <c r="H548" s="10"/>
      <c r="I548" s="10"/>
      <c r="J548" s="13"/>
      <c r="K548" s="13"/>
      <c r="L548" s="70" t="str">
        <f t="shared" si="124"/>
        <v/>
      </c>
      <c r="M548" s="29"/>
      <c r="N548" s="30"/>
    </row>
    <row r="549" spans="1:14" ht="15" customHeight="1">
      <c r="A549" s="59">
        <v>46194</v>
      </c>
      <c r="B549" s="15">
        <f t="shared" si="125"/>
        <v>0.62499999999999967</v>
      </c>
      <c r="C549" s="10" t="s">
        <v>45</v>
      </c>
      <c r="D549" s="10" t="s">
        <v>30</v>
      </c>
      <c r="E549" s="11">
        <v>25</v>
      </c>
      <c r="F549" s="17">
        <f t="shared" si="123"/>
        <v>125</v>
      </c>
      <c r="G549" s="16"/>
      <c r="H549" s="16"/>
      <c r="I549" s="16"/>
      <c r="J549" s="13"/>
      <c r="K549" s="13"/>
      <c r="L549" s="71" t="str">
        <f t="shared" si="124"/>
        <v/>
      </c>
      <c r="M549" s="29"/>
      <c r="N549" s="30"/>
    </row>
    <row r="550" spans="1:14" ht="15" customHeight="1">
      <c r="A550" s="58">
        <v>46194</v>
      </c>
      <c r="B550" s="9">
        <f t="shared" si="125"/>
        <v>0.6666666666666663</v>
      </c>
      <c r="C550" s="10" t="s">
        <v>45</v>
      </c>
      <c r="D550" s="10" t="s">
        <v>30</v>
      </c>
      <c r="E550" s="11">
        <v>19</v>
      </c>
      <c r="F550" s="12">
        <f t="shared" si="123"/>
        <v>95</v>
      </c>
      <c r="G550" s="10"/>
      <c r="H550" s="10"/>
      <c r="I550" s="10"/>
      <c r="J550" s="13"/>
      <c r="K550" s="13"/>
      <c r="L550" s="70" t="str">
        <f t="shared" si="124"/>
        <v/>
      </c>
      <c r="M550" s="29"/>
      <c r="N550" s="30"/>
    </row>
    <row r="551" spans="1:14" ht="15" customHeight="1">
      <c r="A551" s="59">
        <v>46194</v>
      </c>
      <c r="B551" s="15">
        <f t="shared" si="125"/>
        <v>0.70833333333333293</v>
      </c>
      <c r="C551" s="10" t="s">
        <v>45</v>
      </c>
      <c r="D551" s="10" t="s">
        <v>30</v>
      </c>
      <c r="E551" s="11">
        <v>20</v>
      </c>
      <c r="F551" s="17">
        <f t="shared" si="123"/>
        <v>100</v>
      </c>
      <c r="G551" s="16"/>
      <c r="H551" s="16"/>
      <c r="I551" s="16"/>
      <c r="J551" s="13"/>
      <c r="K551" s="13"/>
      <c r="L551" s="71" t="str">
        <f t="shared" si="124"/>
        <v/>
      </c>
      <c r="M551" s="29"/>
      <c r="N551" s="30"/>
    </row>
    <row r="552" spans="1:14" ht="15" customHeight="1">
      <c r="A552" s="58">
        <v>46194</v>
      </c>
      <c r="B552" s="9">
        <f t="shared" si="125"/>
        <v>0.74999999999999956</v>
      </c>
      <c r="C552" s="10" t="s">
        <v>45</v>
      </c>
      <c r="D552" s="10" t="s">
        <v>30</v>
      </c>
      <c r="E552" s="11">
        <v>35</v>
      </c>
      <c r="F552" s="12">
        <f t="shared" si="123"/>
        <v>175</v>
      </c>
      <c r="G552" s="10"/>
      <c r="H552" s="10"/>
      <c r="I552" s="10"/>
      <c r="J552" s="13"/>
      <c r="K552" s="13"/>
      <c r="L552" s="70" t="str">
        <f t="shared" si="124"/>
        <v/>
      </c>
      <c r="M552" s="29"/>
      <c r="N552" s="30"/>
    </row>
    <row r="553" spans="1:14" ht="15" customHeight="1">
      <c r="A553" s="59">
        <v>46194</v>
      </c>
      <c r="B553" s="15">
        <f t="shared" si="125"/>
        <v>0.79166666666666619</v>
      </c>
      <c r="C553" s="10" t="s">
        <v>45</v>
      </c>
      <c r="D553" s="10" t="s">
        <v>30</v>
      </c>
      <c r="E553" s="11">
        <v>0</v>
      </c>
      <c r="F553" s="17">
        <f t="shared" si="123"/>
        <v>0</v>
      </c>
      <c r="G553" s="16"/>
      <c r="H553" s="16"/>
      <c r="I553" s="16"/>
      <c r="J553" s="13"/>
      <c r="K553" s="13"/>
      <c r="L553" s="71" t="str">
        <f t="shared" si="124"/>
        <v/>
      </c>
      <c r="M553" s="29"/>
      <c r="N553" s="30"/>
    </row>
    <row r="554" spans="1:14" ht="15.75" customHeight="1">
      <c r="A554" s="97" t="s">
        <v>191</v>
      </c>
      <c r="B554" s="97"/>
      <c r="C554" s="97"/>
      <c r="D554" s="97"/>
      <c r="E554" s="19">
        <f>SUM(E542:E553)</f>
        <v>265</v>
      </c>
      <c r="F554" s="19">
        <f>SUM(F542:F553)</f>
        <v>1325</v>
      </c>
      <c r="G554" s="18"/>
      <c r="H554" s="18"/>
      <c r="I554" s="18"/>
      <c r="J554" s="18"/>
      <c r="K554" s="18"/>
      <c r="L554" s="72">
        <f>IFERROR(SUM(L542:L553),"")</f>
        <v>6.8749999999999922E-2</v>
      </c>
      <c r="M554" s="19" t="s">
        <v>192</v>
      </c>
      <c r="N554" s="20">
        <v>1522750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23</v>
      </c>
      <c r="F555" s="17">
        <f t="shared" ref="F555:F566" si="126">IF(E555="","",E555*5)</f>
        <v>115</v>
      </c>
      <c r="G555" s="16" t="s">
        <v>20</v>
      </c>
      <c r="H555" s="16" t="s">
        <v>23</v>
      </c>
      <c r="I555" s="16" t="s">
        <v>153</v>
      </c>
      <c r="J555" s="13">
        <v>9.7222222222222224E-2</v>
      </c>
      <c r="K555" s="13">
        <v>0.29166666666666669</v>
      </c>
      <c r="L555" s="71">
        <f t="shared" ref="L555:L566" si="127">IFERROR(IF(K555="","",IF(K555&gt;=J555,K555-J555,K555+1-J555)),"")</f>
        <v>0.19444444444444448</v>
      </c>
      <c r="M555" s="29"/>
      <c r="N555" s="30"/>
    </row>
    <row r="556" spans="1:14" ht="15" customHeight="1">
      <c r="A556" s="58">
        <v>46194</v>
      </c>
      <c r="B556" s="9">
        <f t="shared" ref="B556:B566" si="128">B555+TIME(0,60,0)</f>
        <v>0.87499999999999967</v>
      </c>
      <c r="C556" s="16" t="s">
        <v>29</v>
      </c>
      <c r="D556" s="16" t="s">
        <v>30</v>
      </c>
      <c r="E556" s="11">
        <v>20</v>
      </c>
      <c r="F556" s="12">
        <f t="shared" si="126"/>
        <v>100</v>
      </c>
      <c r="G556" s="10"/>
      <c r="H556" s="10"/>
      <c r="I556" s="10"/>
      <c r="J556" s="13"/>
      <c r="K556" s="13"/>
      <c r="L556" s="70" t="str">
        <f t="shared" si="127"/>
        <v/>
      </c>
      <c r="M556" s="29"/>
      <c r="N556" s="30"/>
    </row>
    <row r="557" spans="1:14" ht="15" customHeight="1">
      <c r="A557" s="59">
        <v>46194</v>
      </c>
      <c r="B557" s="15">
        <f t="shared" si="128"/>
        <v>0.9166666666666663</v>
      </c>
      <c r="C557" s="16" t="s">
        <v>29</v>
      </c>
      <c r="D557" s="16" t="s">
        <v>30</v>
      </c>
      <c r="E557" s="11">
        <v>26</v>
      </c>
      <c r="F557" s="17">
        <f t="shared" si="126"/>
        <v>130</v>
      </c>
      <c r="G557" s="16"/>
      <c r="H557" s="16"/>
      <c r="I557" s="16"/>
      <c r="J557" s="13"/>
      <c r="K557" s="13"/>
      <c r="L557" s="71" t="str">
        <f t="shared" si="127"/>
        <v/>
      </c>
      <c r="M557" s="29"/>
      <c r="N557" s="30"/>
    </row>
    <row r="558" spans="1:14" ht="15" customHeight="1">
      <c r="A558" s="58">
        <v>46194</v>
      </c>
      <c r="B558" s="9">
        <f t="shared" si="128"/>
        <v>0.95833333333333293</v>
      </c>
      <c r="C558" s="16" t="s">
        <v>29</v>
      </c>
      <c r="D558" s="16" t="s">
        <v>30</v>
      </c>
      <c r="E558" s="11">
        <v>23</v>
      </c>
      <c r="F558" s="12">
        <f t="shared" si="126"/>
        <v>115</v>
      </c>
      <c r="G558" s="10"/>
      <c r="H558" s="10"/>
      <c r="I558" s="10"/>
      <c r="J558" s="13"/>
      <c r="K558" s="13"/>
      <c r="L558" s="70" t="str">
        <f t="shared" si="127"/>
        <v/>
      </c>
      <c r="M558" s="29"/>
      <c r="N558" s="30"/>
    </row>
    <row r="559" spans="1:14" ht="15" customHeight="1">
      <c r="A559" s="59">
        <v>46194</v>
      </c>
      <c r="B559" s="15">
        <f t="shared" si="128"/>
        <v>0.99999999999999956</v>
      </c>
      <c r="C559" s="16" t="s">
        <v>29</v>
      </c>
      <c r="D559" s="16" t="s">
        <v>30</v>
      </c>
      <c r="E559" s="11">
        <v>15</v>
      </c>
      <c r="F559" s="17">
        <f t="shared" si="126"/>
        <v>75</v>
      </c>
      <c r="G559" s="16"/>
      <c r="H559" s="16"/>
      <c r="I559" s="16"/>
      <c r="J559" s="13"/>
      <c r="K559" s="13"/>
      <c r="L559" s="71" t="str">
        <f t="shared" si="127"/>
        <v/>
      </c>
      <c r="M559" s="29"/>
      <c r="N559" s="30"/>
    </row>
    <row r="560" spans="1:14" ht="15" customHeight="1">
      <c r="A560" s="58">
        <v>46194</v>
      </c>
      <c r="B560" s="9">
        <f t="shared" si="128"/>
        <v>1.0416666666666663</v>
      </c>
      <c r="C560" s="16" t="s">
        <v>29</v>
      </c>
      <c r="D560" s="16" t="s">
        <v>22</v>
      </c>
      <c r="E560" s="11">
        <v>41</v>
      </c>
      <c r="F560" s="12">
        <f t="shared" si="126"/>
        <v>205</v>
      </c>
      <c r="G560" s="10"/>
      <c r="H560" s="10"/>
      <c r="I560" s="10"/>
      <c r="J560" s="13"/>
      <c r="K560" s="13"/>
      <c r="L560" s="70" t="str">
        <f t="shared" si="127"/>
        <v/>
      </c>
      <c r="M560" s="29"/>
      <c r="N560" s="30"/>
    </row>
    <row r="561" spans="1:14" ht="15" customHeight="1">
      <c r="A561" s="59">
        <v>46194</v>
      </c>
      <c r="B561" s="15">
        <f t="shared" si="128"/>
        <v>1.083333333333333</v>
      </c>
      <c r="C561" s="16" t="s">
        <v>29</v>
      </c>
      <c r="D561" s="16" t="s">
        <v>22</v>
      </c>
      <c r="E561" s="11">
        <v>30</v>
      </c>
      <c r="F561" s="17">
        <f t="shared" si="126"/>
        <v>150</v>
      </c>
      <c r="G561" s="16"/>
      <c r="H561" s="16"/>
      <c r="I561" s="16"/>
      <c r="J561" s="13"/>
      <c r="K561" s="13"/>
      <c r="L561" s="71" t="str">
        <f t="shared" si="127"/>
        <v/>
      </c>
      <c r="M561" s="29"/>
      <c r="N561" s="30"/>
    </row>
    <row r="562" spans="1:14" ht="15" customHeight="1">
      <c r="A562" s="58">
        <v>46194</v>
      </c>
      <c r="B562" s="9">
        <f t="shared" si="128"/>
        <v>1.1249999999999998</v>
      </c>
      <c r="C562" s="16" t="s">
        <v>29</v>
      </c>
      <c r="D562" s="16" t="s">
        <v>22</v>
      </c>
      <c r="E562" s="11">
        <v>0</v>
      </c>
      <c r="F562" s="12">
        <f t="shared" si="126"/>
        <v>0</v>
      </c>
      <c r="G562" s="10"/>
      <c r="H562" s="10"/>
      <c r="I562" s="10"/>
      <c r="J562" s="13"/>
      <c r="K562" s="13"/>
      <c r="L562" s="70" t="str">
        <f t="shared" si="127"/>
        <v/>
      </c>
      <c r="M562" s="29"/>
      <c r="N562" s="30"/>
    </row>
    <row r="563" spans="1:14" ht="15" customHeight="1">
      <c r="A563" s="59">
        <v>46194</v>
      </c>
      <c r="B563" s="15">
        <f t="shared" si="128"/>
        <v>1.1666666666666665</v>
      </c>
      <c r="C563" s="16" t="s">
        <v>29</v>
      </c>
      <c r="D563" s="16" t="s">
        <v>22</v>
      </c>
      <c r="E563" s="11">
        <v>0</v>
      </c>
      <c r="F563" s="17">
        <f t="shared" si="126"/>
        <v>0</v>
      </c>
      <c r="G563" s="16"/>
      <c r="H563" s="16"/>
      <c r="I563" s="16"/>
      <c r="J563" s="13"/>
      <c r="K563" s="13"/>
      <c r="L563" s="71" t="str">
        <f t="shared" si="127"/>
        <v/>
      </c>
      <c r="M563" s="29"/>
      <c r="N563" s="30"/>
    </row>
    <row r="564" spans="1:14" ht="15" customHeight="1">
      <c r="A564" s="58">
        <v>46194</v>
      </c>
      <c r="B564" s="9">
        <f t="shared" si="128"/>
        <v>1.2083333333333333</v>
      </c>
      <c r="C564" s="16" t="s">
        <v>29</v>
      </c>
      <c r="D564" s="16" t="s">
        <v>22</v>
      </c>
      <c r="E564" s="11">
        <v>0</v>
      </c>
      <c r="F564" s="12">
        <f t="shared" si="126"/>
        <v>0</v>
      </c>
      <c r="G564" s="10"/>
      <c r="H564" s="10"/>
      <c r="I564" s="10"/>
      <c r="J564" s="13"/>
      <c r="K564" s="13"/>
      <c r="L564" s="70" t="str">
        <f t="shared" si="127"/>
        <v/>
      </c>
      <c r="M564" s="29"/>
      <c r="N564" s="30"/>
    </row>
    <row r="565" spans="1:14" ht="15" customHeight="1">
      <c r="A565" s="59">
        <v>46194</v>
      </c>
      <c r="B565" s="15">
        <f t="shared" si="128"/>
        <v>1.25</v>
      </c>
      <c r="C565" s="16" t="s">
        <v>29</v>
      </c>
      <c r="D565" s="16" t="s">
        <v>22</v>
      </c>
      <c r="E565" s="11">
        <v>0</v>
      </c>
      <c r="F565" s="17">
        <f t="shared" si="126"/>
        <v>0</v>
      </c>
      <c r="G565" s="16"/>
      <c r="H565" s="16"/>
      <c r="I565" s="16"/>
      <c r="J565" s="13"/>
      <c r="K565" s="13"/>
      <c r="L565" s="71" t="str">
        <f t="shared" si="127"/>
        <v/>
      </c>
      <c r="M565" s="29"/>
      <c r="N565" s="30"/>
    </row>
    <row r="566" spans="1:14" ht="15" customHeight="1">
      <c r="A566" s="58">
        <v>46194</v>
      </c>
      <c r="B566" s="9">
        <f t="shared" si="128"/>
        <v>1.2916666666666667</v>
      </c>
      <c r="C566" s="16" t="s">
        <v>29</v>
      </c>
      <c r="D566" s="16" t="s">
        <v>22</v>
      </c>
      <c r="E566" s="11">
        <v>0</v>
      </c>
      <c r="F566" s="12">
        <f t="shared" si="126"/>
        <v>0</v>
      </c>
      <c r="G566" s="10"/>
      <c r="H566" s="10"/>
      <c r="I566" s="10"/>
      <c r="J566" s="13"/>
      <c r="K566" s="13"/>
      <c r="L566" s="70" t="str">
        <f t="shared" si="127"/>
        <v/>
      </c>
      <c r="M566" s="29"/>
      <c r="N566" s="30"/>
    </row>
    <row r="567" spans="1:14" ht="15.75" customHeight="1">
      <c r="A567" s="97" t="s">
        <v>193</v>
      </c>
      <c r="B567" s="97"/>
      <c r="C567" s="97"/>
      <c r="D567" s="97"/>
      <c r="E567" s="19">
        <f>SUM(E555:E566)</f>
        <v>178</v>
      </c>
      <c r="F567" s="19">
        <f>SUM(F555:F566)</f>
        <v>890</v>
      </c>
      <c r="G567" s="18"/>
      <c r="H567" s="18"/>
      <c r="I567" s="18"/>
      <c r="J567" s="18"/>
      <c r="K567" s="18"/>
      <c r="L567" s="72">
        <f>IFERROR(SUM(L555:L566),"")</f>
        <v>0.19444444444444448</v>
      </c>
      <c r="M567" s="19" t="s">
        <v>192</v>
      </c>
      <c r="N567" s="20">
        <v>636740</v>
      </c>
    </row>
    <row r="568" spans="1:14" ht="18" customHeight="1">
      <c r="A568" s="98" t="s">
        <v>194</v>
      </c>
      <c r="B568" s="98"/>
      <c r="C568" s="98"/>
      <c r="D568" s="98"/>
      <c r="E568" s="22">
        <f>E554+E567</f>
        <v>443</v>
      </c>
      <c r="F568" s="22">
        <f>F554+F567</f>
        <v>2215</v>
      </c>
      <c r="G568" s="21"/>
      <c r="H568" s="21"/>
      <c r="I568" s="21"/>
      <c r="J568" s="21"/>
      <c r="K568" s="21"/>
      <c r="L568" s="73">
        <f>IFERROR(L554+L567,"")</f>
        <v>0.2631944444444444</v>
      </c>
      <c r="M568" s="22" t="s">
        <v>195</v>
      </c>
      <c r="N568" s="31">
        <f>IFERROR(N554+N567,"")</f>
        <v>2159490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9">IF(E569="","",E569*5)</f>
        <v>0</v>
      </c>
      <c r="G569" s="16" t="s">
        <v>20</v>
      </c>
      <c r="H569" s="16" t="s">
        <v>23</v>
      </c>
      <c r="I569" s="16" t="s">
        <v>153</v>
      </c>
      <c r="J569" s="13">
        <v>0.29166666666666669</v>
      </c>
      <c r="K569" s="13">
        <v>0.33333333333333331</v>
      </c>
      <c r="L569" s="71">
        <f t="shared" ref="L569:L580" si="130">IFERROR(IF(K569="","",IF(K569&gt;=J569,K569-J569,K569+1-J569)),"")</f>
        <v>4.166666666666663E-2</v>
      </c>
      <c r="M569" s="29" t="s">
        <v>218</v>
      </c>
      <c r="N569" s="30"/>
    </row>
    <row r="570" spans="1:14" ht="15" customHeight="1">
      <c r="A570" s="58">
        <v>46195</v>
      </c>
      <c r="B570" s="9">
        <f t="shared" ref="B570:B580" si="131">B569+TIME(0,60,0)</f>
        <v>0.37499999999999967</v>
      </c>
      <c r="C570" s="16" t="s">
        <v>45</v>
      </c>
      <c r="D570" s="16" t="s">
        <v>30</v>
      </c>
      <c r="E570" s="11">
        <v>35</v>
      </c>
      <c r="F570" s="12">
        <f t="shared" si="129"/>
        <v>175</v>
      </c>
      <c r="G570" s="10" t="s">
        <v>20</v>
      </c>
      <c r="H570" s="10" t="s">
        <v>23</v>
      </c>
      <c r="I570" s="10" t="s">
        <v>99</v>
      </c>
      <c r="J570" s="13">
        <v>0.66666666666666663</v>
      </c>
      <c r="K570" s="13">
        <v>0.75694444444444442</v>
      </c>
      <c r="L570" s="70">
        <f t="shared" si="130"/>
        <v>9.027777777777779E-2</v>
      </c>
      <c r="M570" s="29" t="s">
        <v>219</v>
      </c>
      <c r="N570" s="30"/>
    </row>
    <row r="571" spans="1:14" ht="15" customHeight="1">
      <c r="A571" s="59">
        <v>46195</v>
      </c>
      <c r="B571" s="15">
        <f t="shared" si="131"/>
        <v>0.41666666666666635</v>
      </c>
      <c r="C571" s="16" t="s">
        <v>45</v>
      </c>
      <c r="D571" s="16" t="s">
        <v>30</v>
      </c>
      <c r="E571" s="11">
        <v>15</v>
      </c>
      <c r="F571" s="17">
        <f t="shared" si="129"/>
        <v>75</v>
      </c>
      <c r="G571" s="16"/>
      <c r="H571" s="16"/>
      <c r="I571" s="16"/>
      <c r="J571" s="13"/>
      <c r="K571" s="13"/>
      <c r="L571" s="71" t="str">
        <f t="shared" si="130"/>
        <v/>
      </c>
      <c r="M571" s="29"/>
      <c r="N571" s="30"/>
    </row>
    <row r="572" spans="1:14" ht="15" customHeight="1">
      <c r="A572" s="58">
        <v>46195</v>
      </c>
      <c r="B572" s="9">
        <f t="shared" si="131"/>
        <v>0.45833333333333304</v>
      </c>
      <c r="C572" s="16" t="s">
        <v>45</v>
      </c>
      <c r="D572" s="16" t="s">
        <v>30</v>
      </c>
      <c r="E572" s="11">
        <v>20</v>
      </c>
      <c r="F572" s="12">
        <f t="shared" si="129"/>
        <v>100</v>
      </c>
      <c r="G572" s="10"/>
      <c r="H572" s="10"/>
      <c r="I572" s="10"/>
      <c r="J572" s="13"/>
      <c r="K572" s="13"/>
      <c r="L572" s="70" t="str">
        <f t="shared" si="130"/>
        <v/>
      </c>
      <c r="M572" s="29"/>
      <c r="N572" s="30"/>
    </row>
    <row r="573" spans="1:14" ht="15" customHeight="1">
      <c r="A573" s="59">
        <v>46195</v>
      </c>
      <c r="B573" s="15">
        <f t="shared" si="131"/>
        <v>0.49999999999999972</v>
      </c>
      <c r="C573" s="16" t="s">
        <v>45</v>
      </c>
      <c r="D573" s="16" t="s">
        <v>30</v>
      </c>
      <c r="E573" s="11">
        <v>26</v>
      </c>
      <c r="F573" s="17">
        <f t="shared" si="129"/>
        <v>130</v>
      </c>
      <c r="G573" s="16"/>
      <c r="H573" s="16"/>
      <c r="I573" s="16"/>
      <c r="J573" s="13"/>
      <c r="K573" s="13"/>
      <c r="L573" s="71" t="str">
        <f t="shared" si="130"/>
        <v/>
      </c>
      <c r="M573" s="29"/>
      <c r="N573" s="30"/>
    </row>
    <row r="574" spans="1:14" ht="15" customHeight="1">
      <c r="A574" s="58">
        <v>46195</v>
      </c>
      <c r="B574" s="9">
        <f t="shared" si="131"/>
        <v>0.54166666666666641</v>
      </c>
      <c r="C574" s="16" t="s">
        <v>45</v>
      </c>
      <c r="D574" s="16" t="s">
        <v>30</v>
      </c>
      <c r="E574" s="11">
        <v>30</v>
      </c>
      <c r="F574" s="12">
        <f t="shared" si="129"/>
        <v>150</v>
      </c>
      <c r="G574" s="10"/>
      <c r="H574" s="10"/>
      <c r="I574" s="10"/>
      <c r="J574" s="13"/>
      <c r="K574" s="13"/>
      <c r="L574" s="70" t="str">
        <f t="shared" si="130"/>
        <v/>
      </c>
      <c r="M574" s="29"/>
      <c r="N574" s="30"/>
    </row>
    <row r="575" spans="1:14" ht="15" customHeight="1">
      <c r="A575" s="59">
        <v>46195</v>
      </c>
      <c r="B575" s="15">
        <f t="shared" si="131"/>
        <v>0.58333333333333304</v>
      </c>
      <c r="C575" s="16" t="s">
        <v>45</v>
      </c>
      <c r="D575" s="16" t="s">
        <v>30</v>
      </c>
      <c r="E575" s="11">
        <v>30</v>
      </c>
      <c r="F575" s="17">
        <f t="shared" si="129"/>
        <v>150</v>
      </c>
      <c r="G575" s="16"/>
      <c r="H575" s="16"/>
      <c r="I575" s="16"/>
      <c r="J575" s="13"/>
      <c r="K575" s="13"/>
      <c r="L575" s="71" t="str">
        <f t="shared" si="130"/>
        <v/>
      </c>
      <c r="M575" s="29"/>
      <c r="N575" s="30"/>
    </row>
    <row r="576" spans="1:14" ht="15" customHeight="1">
      <c r="A576" s="58">
        <v>46195</v>
      </c>
      <c r="B576" s="9">
        <f t="shared" si="131"/>
        <v>0.62499999999999967</v>
      </c>
      <c r="C576" s="16" t="s">
        <v>45</v>
      </c>
      <c r="D576" s="16" t="s">
        <v>30</v>
      </c>
      <c r="E576" s="11">
        <v>25</v>
      </c>
      <c r="F576" s="12">
        <f t="shared" si="129"/>
        <v>125</v>
      </c>
      <c r="G576" s="10"/>
      <c r="H576" s="10"/>
      <c r="I576" s="10"/>
      <c r="J576" s="13"/>
      <c r="K576" s="13"/>
      <c r="L576" s="70" t="str">
        <f t="shared" si="130"/>
        <v/>
      </c>
      <c r="M576" s="29"/>
      <c r="N576" s="30"/>
    </row>
    <row r="577" spans="1:14" ht="15" customHeight="1">
      <c r="A577" s="59">
        <v>46195</v>
      </c>
      <c r="B577" s="15">
        <f t="shared" si="131"/>
        <v>0.6666666666666663</v>
      </c>
      <c r="C577" s="16" t="s">
        <v>45</v>
      </c>
      <c r="D577" s="16" t="s">
        <v>30</v>
      </c>
      <c r="E577" s="11">
        <v>28</v>
      </c>
      <c r="F577" s="17">
        <f t="shared" si="129"/>
        <v>140</v>
      </c>
      <c r="G577" s="16"/>
      <c r="H577" s="16"/>
      <c r="I577" s="16"/>
      <c r="J577" s="13"/>
      <c r="K577" s="13"/>
      <c r="L577" s="71" t="str">
        <f t="shared" si="130"/>
        <v/>
      </c>
      <c r="M577" s="29"/>
      <c r="N577" s="30"/>
    </row>
    <row r="578" spans="1:14" ht="15" customHeight="1">
      <c r="A578" s="58">
        <v>46195</v>
      </c>
      <c r="B578" s="9">
        <f t="shared" si="131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9"/>
        <v>0</v>
      </c>
      <c r="G578" s="10"/>
      <c r="H578" s="10"/>
      <c r="I578" s="10"/>
      <c r="J578" s="13"/>
      <c r="K578" s="13"/>
      <c r="L578" s="70" t="str">
        <f t="shared" si="130"/>
        <v/>
      </c>
      <c r="M578" s="29"/>
      <c r="N578" s="30"/>
    </row>
    <row r="579" spans="1:14" ht="15" customHeight="1">
      <c r="A579" s="59">
        <v>46195</v>
      </c>
      <c r="B579" s="15">
        <f t="shared" si="131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30"/>
        <v/>
      </c>
      <c r="M579" s="29"/>
      <c r="N579" s="30"/>
    </row>
    <row r="580" spans="1:14" ht="15" customHeight="1">
      <c r="A580" s="58">
        <v>46195</v>
      </c>
      <c r="B580" s="9">
        <f t="shared" si="131"/>
        <v>0.79166666666666619</v>
      </c>
      <c r="C580" s="16" t="s">
        <v>45</v>
      </c>
      <c r="D580" s="16" t="s">
        <v>30</v>
      </c>
      <c r="E580" s="11">
        <v>12</v>
      </c>
      <c r="F580" s="12">
        <f t="shared" si="129"/>
        <v>60</v>
      </c>
      <c r="G580" s="10"/>
      <c r="H580" s="10"/>
      <c r="I580" s="10"/>
      <c r="J580" s="13"/>
      <c r="K580" s="13"/>
      <c r="L580" s="70" t="str">
        <f t="shared" si="130"/>
        <v/>
      </c>
      <c r="M580" s="29"/>
      <c r="N580" s="30"/>
    </row>
    <row r="581" spans="1:14" ht="15.75" customHeight="1">
      <c r="A581" s="97" t="s">
        <v>191</v>
      </c>
      <c r="B581" s="97"/>
      <c r="C581" s="97"/>
      <c r="D581" s="97"/>
      <c r="E581" s="19">
        <f>SUM(E569:E580)</f>
        <v>221</v>
      </c>
      <c r="F581" s="19">
        <f>SUM(F569:F580)</f>
        <v>1105</v>
      </c>
      <c r="G581" s="18"/>
      <c r="H581" s="18"/>
      <c r="I581" s="18"/>
      <c r="J581" s="18"/>
      <c r="K581" s="18"/>
      <c r="L581" s="72">
        <f>IFERROR(SUM(L569:L580),"")</f>
        <v>0.13194444444444442</v>
      </c>
      <c r="M581" s="19" t="s">
        <v>192</v>
      </c>
      <c r="N581" s="20">
        <v>1192180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32">IF(E582="","",E582*5)</f>
        <v>0</v>
      </c>
      <c r="G582" s="10"/>
      <c r="H582" s="10"/>
      <c r="I582" s="10"/>
      <c r="J582" s="13"/>
      <c r="K582" s="13"/>
      <c r="L582" s="70" t="str">
        <f t="shared" ref="L582:L593" si="133">IFERROR(IF(K582="","",IF(K582&gt;=J582,K582-J582,K582+1-J582)),"")</f>
        <v/>
      </c>
      <c r="M582" s="29"/>
      <c r="N582" s="30"/>
    </row>
    <row r="583" spans="1:14" ht="15" customHeight="1">
      <c r="A583" s="59">
        <v>46195</v>
      </c>
      <c r="B583" s="15">
        <f t="shared" ref="B583:B593" si="134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32"/>
        <v>0</v>
      </c>
      <c r="G583" s="16"/>
      <c r="H583" s="16"/>
      <c r="I583" s="16"/>
      <c r="J583" s="13"/>
      <c r="K583" s="13"/>
      <c r="L583" s="71" t="str">
        <f t="shared" si="133"/>
        <v/>
      </c>
      <c r="M583" s="29"/>
      <c r="N583" s="30"/>
    </row>
    <row r="584" spans="1:14" ht="15" customHeight="1">
      <c r="A584" s="58">
        <v>46195</v>
      </c>
      <c r="B584" s="9">
        <f t="shared" si="134"/>
        <v>0.9166666666666663</v>
      </c>
      <c r="C584" s="10" t="s">
        <v>29</v>
      </c>
      <c r="D584" s="10" t="s">
        <v>30</v>
      </c>
      <c r="E584" s="11">
        <v>11</v>
      </c>
      <c r="F584" s="12">
        <f t="shared" si="132"/>
        <v>55</v>
      </c>
      <c r="G584" s="10"/>
      <c r="H584" s="10"/>
      <c r="I584" s="10"/>
      <c r="J584" s="13"/>
      <c r="K584" s="13"/>
      <c r="L584" s="70" t="str">
        <f t="shared" si="133"/>
        <v/>
      </c>
      <c r="M584" s="29"/>
      <c r="N584" s="30"/>
    </row>
    <row r="585" spans="1:14" ht="15" customHeight="1">
      <c r="A585" s="59">
        <v>46195</v>
      </c>
      <c r="B585" s="15">
        <f t="shared" si="134"/>
        <v>0.95833333333333293</v>
      </c>
      <c r="C585" s="10" t="s">
        <v>29</v>
      </c>
      <c r="D585" s="10" t="s">
        <v>30</v>
      </c>
      <c r="E585" s="11">
        <v>40</v>
      </c>
      <c r="F585" s="17">
        <f t="shared" si="132"/>
        <v>200</v>
      </c>
      <c r="G585" s="16"/>
      <c r="H585" s="16"/>
      <c r="I585" s="16"/>
      <c r="J585" s="13"/>
      <c r="K585" s="13"/>
      <c r="L585" s="71" t="str">
        <f t="shared" si="133"/>
        <v/>
      </c>
      <c r="M585" s="29"/>
      <c r="N585" s="30"/>
    </row>
    <row r="586" spans="1:14" ht="15" customHeight="1">
      <c r="A586" s="58">
        <v>46195</v>
      </c>
      <c r="B586" s="9">
        <f t="shared" si="134"/>
        <v>0.99999999999999956</v>
      </c>
      <c r="C586" s="10" t="s">
        <v>29</v>
      </c>
      <c r="D586" s="10" t="s">
        <v>30</v>
      </c>
      <c r="E586" s="11">
        <v>25</v>
      </c>
      <c r="F586" s="12">
        <f t="shared" si="132"/>
        <v>125</v>
      </c>
      <c r="G586" s="10"/>
      <c r="H586" s="10"/>
      <c r="I586" s="10"/>
      <c r="J586" s="13"/>
      <c r="K586" s="13"/>
      <c r="L586" s="70" t="str">
        <f t="shared" si="133"/>
        <v/>
      </c>
      <c r="M586" s="29"/>
      <c r="N586" s="30"/>
    </row>
    <row r="587" spans="1:14" ht="15" customHeight="1">
      <c r="A587" s="59">
        <v>46195</v>
      </c>
      <c r="B587" s="15">
        <f t="shared" si="134"/>
        <v>1.0416666666666663</v>
      </c>
      <c r="C587" s="10" t="s">
        <v>29</v>
      </c>
      <c r="D587" s="10" t="s">
        <v>30</v>
      </c>
      <c r="E587" s="11">
        <v>0</v>
      </c>
      <c r="F587" s="17">
        <f t="shared" si="132"/>
        <v>0</v>
      </c>
      <c r="G587" s="16" t="s">
        <v>20</v>
      </c>
      <c r="H587" s="16" t="s">
        <v>23</v>
      </c>
      <c r="I587" s="16" t="s">
        <v>137</v>
      </c>
      <c r="J587" s="13">
        <v>1.3888888888888888E-2</v>
      </c>
      <c r="K587" s="13">
        <v>6.25E-2</v>
      </c>
      <c r="L587" s="71">
        <f t="shared" si="133"/>
        <v>4.8611111111111112E-2</v>
      </c>
      <c r="M587" s="29"/>
      <c r="N587" s="30"/>
    </row>
    <row r="588" spans="1:14" ht="15" customHeight="1">
      <c r="A588" s="58">
        <v>46195</v>
      </c>
      <c r="B588" s="9">
        <f t="shared" si="134"/>
        <v>1.083333333333333</v>
      </c>
      <c r="C588" s="10" t="s">
        <v>29</v>
      </c>
      <c r="D588" s="10" t="s">
        <v>30</v>
      </c>
      <c r="E588" s="11">
        <v>22</v>
      </c>
      <c r="F588" s="12">
        <f t="shared" si="132"/>
        <v>110</v>
      </c>
      <c r="G588" s="10" t="s">
        <v>20</v>
      </c>
      <c r="H588" s="10" t="s">
        <v>23</v>
      </c>
      <c r="I588" s="10" t="s">
        <v>126</v>
      </c>
      <c r="J588" s="13">
        <v>0.11388888888888889</v>
      </c>
      <c r="K588" s="13">
        <v>0.22916666666666666</v>
      </c>
      <c r="L588" s="70">
        <f t="shared" si="133"/>
        <v>0.11527777777777777</v>
      </c>
      <c r="M588" s="29" t="s">
        <v>220</v>
      </c>
      <c r="N588" s="30"/>
    </row>
    <row r="589" spans="1:14" ht="15" customHeight="1">
      <c r="A589" s="59">
        <v>46195</v>
      </c>
      <c r="B589" s="15">
        <f t="shared" si="134"/>
        <v>1.1249999999999998</v>
      </c>
      <c r="C589" s="10" t="s">
        <v>29</v>
      </c>
      <c r="D589" s="10" t="s">
        <v>30</v>
      </c>
      <c r="E589" s="11">
        <v>16</v>
      </c>
      <c r="F589" s="17">
        <f t="shared" si="132"/>
        <v>80</v>
      </c>
      <c r="G589" s="16"/>
      <c r="H589" s="16"/>
      <c r="I589" s="16"/>
      <c r="J589" s="13"/>
      <c r="K589" s="13"/>
      <c r="L589" s="71" t="str">
        <f t="shared" si="133"/>
        <v/>
      </c>
      <c r="M589" s="29"/>
      <c r="N589" s="30"/>
    </row>
    <row r="590" spans="1:14" ht="15" customHeight="1">
      <c r="A590" s="58">
        <v>46195</v>
      </c>
      <c r="B590" s="9">
        <f t="shared" si="134"/>
        <v>1.1666666666666665</v>
      </c>
      <c r="C590" s="10" t="s">
        <v>29</v>
      </c>
      <c r="D590" s="10" t="s">
        <v>30</v>
      </c>
      <c r="E590" s="11">
        <v>0</v>
      </c>
      <c r="F590" s="12">
        <f t="shared" si="132"/>
        <v>0</v>
      </c>
      <c r="G590" s="10"/>
      <c r="H590" s="10"/>
      <c r="I590" s="10"/>
      <c r="J590" s="13"/>
      <c r="K590" s="13"/>
      <c r="L590" s="70" t="str">
        <f t="shared" si="133"/>
        <v/>
      </c>
      <c r="M590" s="29"/>
      <c r="N590" s="30"/>
    </row>
    <row r="591" spans="1:14" ht="15" customHeight="1">
      <c r="A591" s="59">
        <v>46195</v>
      </c>
      <c r="B591" s="15">
        <f t="shared" si="134"/>
        <v>1.2083333333333333</v>
      </c>
      <c r="C591" s="10" t="s">
        <v>29</v>
      </c>
      <c r="D591" s="10" t="s">
        <v>30</v>
      </c>
      <c r="E591" s="11">
        <v>0</v>
      </c>
      <c r="F591" s="17">
        <f t="shared" si="132"/>
        <v>0</v>
      </c>
      <c r="G591" s="16"/>
      <c r="H591" s="16"/>
      <c r="I591" s="16"/>
      <c r="J591" s="13"/>
      <c r="K591" s="13"/>
      <c r="L591" s="71" t="str">
        <f t="shared" si="133"/>
        <v/>
      </c>
      <c r="M591" s="29"/>
      <c r="N591" s="30"/>
    </row>
    <row r="592" spans="1:14" ht="15" customHeight="1">
      <c r="A592" s="58">
        <v>46195</v>
      </c>
      <c r="B592" s="9">
        <f t="shared" si="134"/>
        <v>1.25</v>
      </c>
      <c r="C592" s="10" t="s">
        <v>29</v>
      </c>
      <c r="D592" s="10" t="s">
        <v>30</v>
      </c>
      <c r="E592" s="11">
        <v>0</v>
      </c>
      <c r="F592" s="12">
        <f t="shared" si="132"/>
        <v>0</v>
      </c>
      <c r="G592" s="10"/>
      <c r="H592" s="10"/>
      <c r="I592" s="10"/>
      <c r="J592" s="13"/>
      <c r="K592" s="13"/>
      <c r="L592" s="70" t="str">
        <f t="shared" si="133"/>
        <v/>
      </c>
      <c r="M592" s="29"/>
      <c r="N592" s="30"/>
    </row>
    <row r="593" spans="1:14" ht="15" customHeight="1">
      <c r="A593" s="59">
        <v>46195</v>
      </c>
      <c r="B593" s="15">
        <f t="shared" si="134"/>
        <v>1.2916666666666667</v>
      </c>
      <c r="C593" s="10" t="s">
        <v>29</v>
      </c>
      <c r="D593" s="10" t="s">
        <v>30</v>
      </c>
      <c r="E593" s="11">
        <v>0</v>
      </c>
      <c r="F593" s="17">
        <f t="shared" si="132"/>
        <v>0</v>
      </c>
      <c r="G593" s="16"/>
      <c r="H593" s="16"/>
      <c r="I593" s="16"/>
      <c r="J593" s="13"/>
      <c r="K593" s="13"/>
      <c r="L593" s="71" t="str">
        <f t="shared" si="133"/>
        <v/>
      </c>
      <c r="M593" s="29"/>
      <c r="N593" s="30"/>
    </row>
    <row r="594" spans="1:14" ht="15.75" customHeight="1">
      <c r="A594" s="97" t="s">
        <v>193</v>
      </c>
      <c r="B594" s="97"/>
      <c r="C594" s="97"/>
      <c r="D594" s="97"/>
      <c r="E594" s="19">
        <f>SUM(E582:E593)</f>
        <v>114</v>
      </c>
      <c r="F594" s="19">
        <f>SUM(F582:F593)</f>
        <v>570</v>
      </c>
      <c r="G594" s="18"/>
      <c r="H594" s="18"/>
      <c r="I594" s="18"/>
      <c r="J594" s="18"/>
      <c r="K594" s="18"/>
      <c r="L594" s="72">
        <f>IFERROR(SUM(L582:L593),"")</f>
        <v>0.16388888888888889</v>
      </c>
      <c r="M594" s="19" t="s">
        <v>192</v>
      </c>
      <c r="N594" s="20">
        <v>394820</v>
      </c>
    </row>
    <row r="595" spans="1:14" ht="18" customHeight="1">
      <c r="A595" s="98" t="s">
        <v>194</v>
      </c>
      <c r="B595" s="98"/>
      <c r="C595" s="98"/>
      <c r="D595" s="98"/>
      <c r="E595" s="22">
        <f>E581+E594</f>
        <v>335</v>
      </c>
      <c r="F595" s="22">
        <f>F581+F594</f>
        <v>1675</v>
      </c>
      <c r="G595" s="21"/>
      <c r="H595" s="21"/>
      <c r="I595" s="21"/>
      <c r="J595" s="21"/>
      <c r="K595" s="21"/>
      <c r="L595" s="73">
        <f>IFERROR(L581+L594,"")</f>
        <v>0.29583333333333328</v>
      </c>
      <c r="M595" s="22" t="s">
        <v>195</v>
      </c>
      <c r="N595" s="31">
        <f>IFERROR(N581+N594,"")</f>
        <v>1587000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5">IF(E596="","",E596*5)</f>
        <v>0</v>
      </c>
      <c r="G596" s="10" t="s">
        <v>19</v>
      </c>
      <c r="H596" s="10" t="s">
        <v>23</v>
      </c>
      <c r="I596" s="10" t="s">
        <v>102</v>
      </c>
      <c r="J596" s="13">
        <v>0.29166666666666669</v>
      </c>
      <c r="K596" s="13">
        <v>0.54166666666666663</v>
      </c>
      <c r="L596" s="70">
        <f t="shared" ref="L596:L607" si="136">IFERROR(IF(K596="","",IF(K596&gt;=J596,K596-J596,K596+1-J596)),"")</f>
        <v>0.24999999999999994</v>
      </c>
      <c r="M596" s="29" t="s">
        <v>221</v>
      </c>
      <c r="N596" s="30"/>
    </row>
    <row r="597" spans="1:14" ht="15" customHeight="1">
      <c r="A597" s="59">
        <v>46196</v>
      </c>
      <c r="B597" s="15">
        <f t="shared" ref="B597:B607" si="137">B596+TIME(0,60,0)</f>
        <v>0.37499999999999967</v>
      </c>
      <c r="C597" s="10" t="s">
        <v>45</v>
      </c>
      <c r="D597" s="10" t="s">
        <v>30</v>
      </c>
      <c r="E597" s="11">
        <v>0</v>
      </c>
      <c r="F597" s="17">
        <f t="shared" si="135"/>
        <v>0</v>
      </c>
      <c r="G597" s="16" t="s">
        <v>20</v>
      </c>
      <c r="H597" s="16" t="s">
        <v>23</v>
      </c>
      <c r="I597" s="16" t="s">
        <v>126</v>
      </c>
      <c r="J597" s="13">
        <v>0.55208333333333337</v>
      </c>
      <c r="K597" s="13">
        <v>0.59722222222222221</v>
      </c>
      <c r="L597" s="71">
        <f t="shared" si="136"/>
        <v>4.513888888888884E-2</v>
      </c>
      <c r="M597" s="29" t="s">
        <v>222</v>
      </c>
      <c r="N597" s="30"/>
    </row>
    <row r="598" spans="1:14" ht="15" customHeight="1">
      <c r="A598" s="58">
        <v>46196</v>
      </c>
      <c r="B598" s="9">
        <f t="shared" si="137"/>
        <v>0.41666666666666635</v>
      </c>
      <c r="C598" s="10" t="s">
        <v>45</v>
      </c>
      <c r="D598" s="10" t="s">
        <v>30</v>
      </c>
      <c r="E598" s="11">
        <v>0</v>
      </c>
      <c r="F598" s="12">
        <f t="shared" si="135"/>
        <v>0</v>
      </c>
      <c r="G598" s="10" t="s">
        <v>20</v>
      </c>
      <c r="H598" s="10" t="s">
        <v>23</v>
      </c>
      <c r="I598" s="10" t="s">
        <v>126</v>
      </c>
      <c r="J598" s="13">
        <v>0.6020833333333333</v>
      </c>
      <c r="K598" s="13">
        <v>0.6479166666666667</v>
      </c>
      <c r="L598" s="70">
        <f t="shared" si="136"/>
        <v>4.5833333333333393E-2</v>
      </c>
      <c r="M598" s="29" t="s">
        <v>222</v>
      </c>
      <c r="N598" s="30"/>
    </row>
    <row r="599" spans="1:14" ht="15" customHeight="1">
      <c r="A599" s="59">
        <v>46196</v>
      </c>
      <c r="B599" s="15">
        <f t="shared" si="137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5"/>
        <v>0</v>
      </c>
      <c r="G599" s="16" t="s">
        <v>18</v>
      </c>
      <c r="H599" s="16" t="s">
        <v>23</v>
      </c>
      <c r="I599" s="16" t="s">
        <v>158</v>
      </c>
      <c r="J599" s="13">
        <v>0.67361111111111116</v>
      </c>
      <c r="K599" s="13">
        <v>0.70833333333333337</v>
      </c>
      <c r="L599" s="71">
        <f t="shared" si="136"/>
        <v>3.472222222222221E-2</v>
      </c>
      <c r="M599" s="29" t="s">
        <v>223</v>
      </c>
      <c r="N599" s="30"/>
    </row>
    <row r="600" spans="1:14" ht="15" customHeight="1">
      <c r="A600" s="58">
        <v>46196</v>
      </c>
      <c r="B600" s="9">
        <f t="shared" si="137"/>
        <v>0.49999999999999972</v>
      </c>
      <c r="C600" s="10" t="s">
        <v>45</v>
      </c>
      <c r="D600" s="10" t="s">
        <v>30</v>
      </c>
      <c r="E600" s="11">
        <v>0</v>
      </c>
      <c r="F600" s="12">
        <f t="shared" si="135"/>
        <v>0</v>
      </c>
      <c r="G600" s="10"/>
      <c r="H600" s="10"/>
      <c r="I600" s="10"/>
      <c r="J600" s="13"/>
      <c r="K600" s="13"/>
      <c r="L600" s="70" t="str">
        <f t="shared" si="136"/>
        <v/>
      </c>
      <c r="M600" s="29"/>
      <c r="N600" s="30"/>
    </row>
    <row r="601" spans="1:14" ht="15" customHeight="1">
      <c r="A601" s="59">
        <v>46196</v>
      </c>
      <c r="B601" s="15">
        <f t="shared" si="137"/>
        <v>0.54166666666666641</v>
      </c>
      <c r="C601" s="10" t="s">
        <v>45</v>
      </c>
      <c r="D601" s="10" t="s">
        <v>30</v>
      </c>
      <c r="E601" s="11">
        <v>0</v>
      </c>
      <c r="F601" s="17">
        <f t="shared" si="135"/>
        <v>0</v>
      </c>
      <c r="G601" s="16"/>
      <c r="H601" s="16"/>
      <c r="I601" s="16"/>
      <c r="J601" s="13"/>
      <c r="K601" s="13"/>
      <c r="L601" s="71" t="str">
        <f t="shared" si="136"/>
        <v/>
      </c>
      <c r="M601" s="29"/>
      <c r="N601" s="30"/>
    </row>
    <row r="602" spans="1:14" ht="15" customHeight="1">
      <c r="A602" s="58">
        <v>46196</v>
      </c>
      <c r="B602" s="9">
        <f t="shared" si="137"/>
        <v>0.58333333333333304</v>
      </c>
      <c r="C602" s="10" t="s">
        <v>45</v>
      </c>
      <c r="D602" s="10" t="s">
        <v>30</v>
      </c>
      <c r="E602" s="11">
        <v>0</v>
      </c>
      <c r="F602" s="12">
        <f t="shared" si="135"/>
        <v>0</v>
      </c>
      <c r="G602" s="10"/>
      <c r="H602" s="10"/>
      <c r="I602" s="10"/>
      <c r="J602" s="13"/>
      <c r="K602" s="13"/>
      <c r="L602" s="70" t="str">
        <f t="shared" si="136"/>
        <v/>
      </c>
      <c r="M602" s="29"/>
      <c r="N602" s="30"/>
    </row>
    <row r="603" spans="1:14" ht="15" customHeight="1">
      <c r="A603" s="59">
        <v>46196</v>
      </c>
      <c r="B603" s="15">
        <f t="shared" si="137"/>
        <v>0.62499999999999967</v>
      </c>
      <c r="C603" s="10" t="s">
        <v>45</v>
      </c>
      <c r="D603" s="10" t="s">
        <v>30</v>
      </c>
      <c r="E603" s="11">
        <v>0</v>
      </c>
      <c r="F603" s="17">
        <f t="shared" si="135"/>
        <v>0</v>
      </c>
      <c r="G603" s="16"/>
      <c r="H603" s="16"/>
      <c r="I603" s="16"/>
      <c r="J603" s="13"/>
      <c r="K603" s="13"/>
      <c r="L603" s="71" t="str">
        <f t="shared" si="136"/>
        <v/>
      </c>
      <c r="M603" s="29"/>
      <c r="N603" s="30"/>
    </row>
    <row r="604" spans="1:14" ht="15" customHeight="1">
      <c r="A604" s="58">
        <v>46196</v>
      </c>
      <c r="B604" s="9">
        <f t="shared" si="137"/>
        <v>0.6666666666666663</v>
      </c>
      <c r="C604" s="10" t="s">
        <v>45</v>
      </c>
      <c r="D604" s="10" t="s">
        <v>30</v>
      </c>
      <c r="E604" s="11">
        <v>10</v>
      </c>
      <c r="F604" s="12">
        <f t="shared" si="135"/>
        <v>50</v>
      </c>
      <c r="G604" s="10"/>
      <c r="H604" s="10"/>
      <c r="I604" s="10"/>
      <c r="J604" s="13"/>
      <c r="K604" s="13"/>
      <c r="L604" s="70" t="str">
        <f t="shared" si="136"/>
        <v/>
      </c>
      <c r="M604" s="29"/>
      <c r="N604" s="30"/>
    </row>
    <row r="605" spans="1:14" ht="15" customHeight="1">
      <c r="A605" s="59">
        <v>46196</v>
      </c>
      <c r="B605" s="15">
        <f t="shared" si="137"/>
        <v>0.70833333333333293</v>
      </c>
      <c r="C605" s="10" t="s">
        <v>45</v>
      </c>
      <c r="D605" s="10" t="s">
        <v>30</v>
      </c>
      <c r="E605" s="11">
        <v>0</v>
      </c>
      <c r="F605" s="17">
        <f t="shared" si="135"/>
        <v>0</v>
      </c>
      <c r="G605" s="16"/>
      <c r="H605" s="16"/>
      <c r="I605" s="16"/>
      <c r="J605" s="13"/>
      <c r="K605" s="13"/>
      <c r="L605" s="71" t="str">
        <f t="shared" si="136"/>
        <v/>
      </c>
      <c r="M605" s="29"/>
      <c r="N605" s="30"/>
    </row>
    <row r="606" spans="1:14" ht="15" customHeight="1">
      <c r="A606" s="58">
        <v>46196</v>
      </c>
      <c r="B606" s="9">
        <f t="shared" si="137"/>
        <v>0.74999999999999956</v>
      </c>
      <c r="C606" s="10" t="s">
        <v>45</v>
      </c>
      <c r="D606" s="10" t="s">
        <v>30</v>
      </c>
      <c r="E606" s="11">
        <v>37</v>
      </c>
      <c r="F606" s="12">
        <f t="shared" si="135"/>
        <v>185</v>
      </c>
      <c r="G606" s="10"/>
      <c r="H606" s="10"/>
      <c r="I606" s="10"/>
      <c r="J606" s="13"/>
      <c r="K606" s="13"/>
      <c r="L606" s="70" t="str">
        <f t="shared" si="136"/>
        <v/>
      </c>
      <c r="M606" s="29"/>
      <c r="N606" s="30"/>
    </row>
    <row r="607" spans="1:14" ht="15" customHeight="1">
      <c r="A607" s="59">
        <v>46196</v>
      </c>
      <c r="B607" s="15">
        <f t="shared" si="137"/>
        <v>0.79166666666666619</v>
      </c>
      <c r="C607" s="10" t="s">
        <v>45</v>
      </c>
      <c r="D607" s="10" t="s">
        <v>30</v>
      </c>
      <c r="E607" s="11">
        <v>11</v>
      </c>
      <c r="F607" s="17">
        <f t="shared" si="135"/>
        <v>55</v>
      </c>
      <c r="G607" s="16"/>
      <c r="H607" s="16"/>
      <c r="I607" s="16"/>
      <c r="J607" s="13"/>
      <c r="K607" s="13"/>
      <c r="L607" s="71" t="str">
        <f t="shared" si="136"/>
        <v/>
      </c>
      <c r="M607" s="29"/>
      <c r="N607" s="30"/>
    </row>
    <row r="608" spans="1:14" ht="15.75" customHeight="1">
      <c r="A608" s="97" t="s">
        <v>191</v>
      </c>
      <c r="B608" s="97"/>
      <c r="C608" s="97"/>
      <c r="D608" s="97"/>
      <c r="E608" s="19">
        <f>SUM(E596:E607)</f>
        <v>58</v>
      </c>
      <c r="F608" s="19">
        <f>SUM(F596:F607)</f>
        <v>290</v>
      </c>
      <c r="G608" s="18"/>
      <c r="H608" s="18"/>
      <c r="I608" s="18"/>
      <c r="J608" s="18"/>
      <c r="K608" s="18"/>
      <c r="L608" s="72">
        <f>IFERROR(SUM(L596:L607),"")</f>
        <v>0.37569444444444439</v>
      </c>
      <c r="M608" s="19" t="s">
        <v>192</v>
      </c>
      <c r="N608" s="20">
        <v>205400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0</v>
      </c>
      <c r="F609" s="17">
        <f t="shared" ref="F609:F620" si="138">IF(E609="","",E609*5)</f>
        <v>0</v>
      </c>
      <c r="G609" s="16" t="s">
        <v>18</v>
      </c>
      <c r="H609" s="16" t="s">
        <v>23</v>
      </c>
      <c r="I609" s="16" t="s">
        <v>224</v>
      </c>
      <c r="J609" s="13">
        <v>0.79166666666666663</v>
      </c>
      <c r="K609" s="13">
        <v>0.83819444444444446</v>
      </c>
      <c r="L609" s="71">
        <f t="shared" ref="L609:L620" si="139">IFERROR(IF(K609="","",IF(K609&gt;=J609,K609-J609,K609+1-J609)),"")</f>
        <v>4.6527777777777835E-2</v>
      </c>
      <c r="M609" s="29"/>
      <c r="N609" s="30"/>
    </row>
    <row r="610" spans="1:14" ht="15" customHeight="1">
      <c r="A610" s="58">
        <v>46196</v>
      </c>
      <c r="B610" s="9">
        <f t="shared" ref="B610:B620" si="140">B609+TIME(0,60,0)</f>
        <v>0.87499999999999967</v>
      </c>
      <c r="C610" s="16" t="s">
        <v>29</v>
      </c>
      <c r="D610" s="16" t="s">
        <v>30</v>
      </c>
      <c r="E610" s="11">
        <v>5</v>
      </c>
      <c r="F610" s="12">
        <f t="shared" si="138"/>
        <v>25</v>
      </c>
      <c r="G610" s="10" t="s">
        <v>18</v>
      </c>
      <c r="H610" s="10" t="s">
        <v>23</v>
      </c>
      <c r="I610" s="10" t="s">
        <v>175</v>
      </c>
      <c r="J610" s="13">
        <v>0.84722222222222221</v>
      </c>
      <c r="K610" s="13">
        <v>0.93055555555555558</v>
      </c>
      <c r="L610" s="70">
        <f t="shared" si="139"/>
        <v>8.333333333333337E-2</v>
      </c>
      <c r="M610" s="29"/>
      <c r="N610" s="30"/>
    </row>
    <row r="611" spans="1:14" ht="15" customHeight="1">
      <c r="A611" s="59">
        <v>46196</v>
      </c>
      <c r="B611" s="15">
        <f t="shared" si="140"/>
        <v>0.9166666666666663</v>
      </c>
      <c r="C611" s="16" t="s">
        <v>29</v>
      </c>
      <c r="D611" s="16" t="s">
        <v>30</v>
      </c>
      <c r="E611" s="11">
        <v>0</v>
      </c>
      <c r="F611" s="17">
        <f t="shared" si="138"/>
        <v>0</v>
      </c>
      <c r="G611" s="16" t="s">
        <v>18</v>
      </c>
      <c r="H611" s="16" t="s">
        <v>23</v>
      </c>
      <c r="I611" s="16" t="s">
        <v>122</v>
      </c>
      <c r="J611" s="13">
        <v>9.0277777777777776E-2</v>
      </c>
      <c r="K611" s="13">
        <v>0.14583333333333334</v>
      </c>
      <c r="L611" s="71">
        <f t="shared" si="139"/>
        <v>5.5555555555555566E-2</v>
      </c>
      <c r="M611" s="29"/>
      <c r="N611" s="30"/>
    </row>
    <row r="612" spans="1:14" ht="15" customHeight="1">
      <c r="A612" s="58">
        <v>46196</v>
      </c>
      <c r="B612" s="9">
        <f t="shared" si="140"/>
        <v>0.95833333333333293</v>
      </c>
      <c r="C612" s="16" t="s">
        <v>29</v>
      </c>
      <c r="D612" s="16" t="s">
        <v>30</v>
      </c>
      <c r="E612" s="11">
        <v>20</v>
      </c>
      <c r="F612" s="12">
        <f t="shared" si="138"/>
        <v>100</v>
      </c>
      <c r="G612" s="10"/>
      <c r="H612" s="10"/>
      <c r="I612" s="10"/>
      <c r="J612" s="13"/>
      <c r="K612" s="13"/>
      <c r="L612" s="70" t="str">
        <f t="shared" si="139"/>
        <v/>
      </c>
      <c r="M612" s="29"/>
      <c r="N612" s="30"/>
    </row>
    <row r="613" spans="1:14" ht="15" customHeight="1">
      <c r="A613" s="59">
        <v>46196</v>
      </c>
      <c r="B613" s="15">
        <f t="shared" si="140"/>
        <v>0.99999999999999956</v>
      </c>
      <c r="C613" s="16" t="s">
        <v>29</v>
      </c>
      <c r="D613" s="16" t="s">
        <v>30</v>
      </c>
      <c r="E613" s="11">
        <v>37</v>
      </c>
      <c r="F613" s="17">
        <f t="shared" si="138"/>
        <v>185</v>
      </c>
      <c r="G613" s="16"/>
      <c r="H613" s="16"/>
      <c r="I613" s="16"/>
      <c r="J613" s="13"/>
      <c r="K613" s="13"/>
      <c r="L613" s="71" t="str">
        <f t="shared" si="139"/>
        <v/>
      </c>
      <c r="M613" s="29"/>
      <c r="N613" s="30"/>
    </row>
    <row r="614" spans="1:14" ht="15" customHeight="1">
      <c r="A614" s="58">
        <v>46196</v>
      </c>
      <c r="B614" s="9">
        <f t="shared" si="140"/>
        <v>1.0416666666666663</v>
      </c>
      <c r="C614" s="16" t="s">
        <v>29</v>
      </c>
      <c r="D614" s="16" t="s">
        <v>30</v>
      </c>
      <c r="E614" s="11">
        <v>28</v>
      </c>
      <c r="F614" s="12">
        <f t="shared" si="138"/>
        <v>140</v>
      </c>
      <c r="G614" s="10"/>
      <c r="H614" s="10"/>
      <c r="I614" s="10"/>
      <c r="J614" s="13"/>
      <c r="K614" s="13"/>
      <c r="L614" s="70" t="str">
        <f t="shared" si="139"/>
        <v/>
      </c>
      <c r="M614" s="29"/>
      <c r="N614" s="30"/>
    </row>
    <row r="615" spans="1:14" ht="15" customHeight="1">
      <c r="A615" s="59">
        <v>46196</v>
      </c>
      <c r="B615" s="15">
        <f t="shared" si="140"/>
        <v>1.083333333333333</v>
      </c>
      <c r="C615" s="16" t="s">
        <v>29</v>
      </c>
      <c r="D615" s="16" t="s">
        <v>30</v>
      </c>
      <c r="E615" s="11">
        <v>26</v>
      </c>
      <c r="F615" s="17">
        <f t="shared" si="138"/>
        <v>130</v>
      </c>
      <c r="G615" s="16"/>
      <c r="H615" s="16"/>
      <c r="I615" s="16"/>
      <c r="J615" s="13"/>
      <c r="K615" s="13"/>
      <c r="L615" s="71" t="str">
        <f t="shared" si="139"/>
        <v/>
      </c>
      <c r="M615" s="29"/>
      <c r="N615" s="30"/>
    </row>
    <row r="616" spans="1:14" ht="15" customHeight="1">
      <c r="A616" s="58">
        <v>46196</v>
      </c>
      <c r="B616" s="9">
        <f t="shared" si="140"/>
        <v>1.1249999999999998</v>
      </c>
      <c r="C616" s="16" t="s">
        <v>29</v>
      </c>
      <c r="D616" s="16" t="s">
        <v>30</v>
      </c>
      <c r="E616" s="11">
        <v>0</v>
      </c>
      <c r="F616" s="12">
        <f t="shared" si="138"/>
        <v>0</v>
      </c>
      <c r="G616" s="10"/>
      <c r="H616" s="10"/>
      <c r="I616" s="10"/>
      <c r="J616" s="13"/>
      <c r="K616" s="13"/>
      <c r="L616" s="70" t="str">
        <f t="shared" si="139"/>
        <v/>
      </c>
      <c r="M616" s="29"/>
      <c r="N616" s="30"/>
    </row>
    <row r="617" spans="1:14" ht="15" customHeight="1">
      <c r="A617" s="59">
        <v>46196</v>
      </c>
      <c r="B617" s="15">
        <f t="shared" si="140"/>
        <v>1.1666666666666665</v>
      </c>
      <c r="C617" s="16" t="s">
        <v>29</v>
      </c>
      <c r="D617" s="16" t="s">
        <v>30</v>
      </c>
      <c r="E617" s="11">
        <v>16</v>
      </c>
      <c r="F617" s="17">
        <f t="shared" si="138"/>
        <v>80</v>
      </c>
      <c r="G617" s="16"/>
      <c r="H617" s="16"/>
      <c r="I617" s="16"/>
      <c r="J617" s="13"/>
      <c r="K617" s="13"/>
      <c r="L617" s="71" t="str">
        <f t="shared" si="139"/>
        <v/>
      </c>
      <c r="M617" s="29"/>
      <c r="N617" s="30"/>
    </row>
    <row r="618" spans="1:14" ht="15" customHeight="1">
      <c r="A618" s="58">
        <v>46196</v>
      </c>
      <c r="B618" s="9">
        <f t="shared" si="140"/>
        <v>1.2083333333333333</v>
      </c>
      <c r="C618" s="16" t="s">
        <v>29</v>
      </c>
      <c r="D618" s="16" t="s">
        <v>30</v>
      </c>
      <c r="E618" s="11">
        <v>46</v>
      </c>
      <c r="F618" s="12">
        <f t="shared" si="138"/>
        <v>230</v>
      </c>
      <c r="G618" s="10"/>
      <c r="H618" s="10"/>
      <c r="I618" s="10"/>
      <c r="J618" s="13"/>
      <c r="K618" s="13"/>
      <c r="L618" s="70" t="str">
        <f t="shared" si="139"/>
        <v/>
      </c>
      <c r="M618" s="29"/>
      <c r="N618" s="30"/>
    </row>
    <row r="619" spans="1:14" ht="15" customHeight="1">
      <c r="A619" s="59">
        <v>46196</v>
      </c>
      <c r="B619" s="15">
        <f t="shared" si="140"/>
        <v>1.25</v>
      </c>
      <c r="C619" s="16" t="s">
        <v>29</v>
      </c>
      <c r="D619" s="16" t="s">
        <v>30</v>
      </c>
      <c r="E619" s="11">
        <v>17</v>
      </c>
      <c r="F619" s="17">
        <f t="shared" si="138"/>
        <v>85</v>
      </c>
      <c r="G619" s="16"/>
      <c r="H619" s="16"/>
      <c r="I619" s="16"/>
      <c r="J619" s="13"/>
      <c r="K619" s="13"/>
      <c r="L619" s="71" t="str">
        <f t="shared" si="139"/>
        <v/>
      </c>
      <c r="M619" s="29"/>
      <c r="N619" s="30"/>
    </row>
    <row r="620" spans="1:14" ht="15" customHeight="1">
      <c r="A620" s="58">
        <v>46196</v>
      </c>
      <c r="B620" s="9">
        <f t="shared" si="140"/>
        <v>1.2916666666666667</v>
      </c>
      <c r="C620" s="16" t="s">
        <v>29</v>
      </c>
      <c r="D620" s="16" t="s">
        <v>30</v>
      </c>
      <c r="E620" s="11">
        <v>10</v>
      </c>
      <c r="F620" s="12">
        <f t="shared" si="138"/>
        <v>50</v>
      </c>
      <c r="G620" s="10"/>
      <c r="H620" s="10"/>
      <c r="I620" s="10"/>
      <c r="J620" s="13"/>
      <c r="K620" s="13"/>
      <c r="L620" s="70" t="str">
        <f t="shared" si="139"/>
        <v/>
      </c>
      <c r="M620" s="29"/>
      <c r="N620" s="30"/>
    </row>
    <row r="621" spans="1:14" ht="15.75" customHeight="1">
      <c r="A621" s="97" t="s">
        <v>193</v>
      </c>
      <c r="B621" s="97"/>
      <c r="C621" s="97"/>
      <c r="D621" s="97"/>
      <c r="E621" s="19">
        <f>SUM(E609:E620)</f>
        <v>205</v>
      </c>
      <c r="F621" s="19">
        <f>SUM(F609:F620)</f>
        <v>1025</v>
      </c>
      <c r="G621" s="18"/>
      <c r="H621" s="18"/>
      <c r="I621" s="18"/>
      <c r="J621" s="18"/>
      <c r="K621" s="18"/>
      <c r="L621" s="72">
        <f>IFERROR(SUM(L609:L620),"")</f>
        <v>0.18541666666666679</v>
      </c>
      <c r="M621" s="19" t="s">
        <v>192</v>
      </c>
      <c r="N621" s="20">
        <v>587370</v>
      </c>
    </row>
    <row r="622" spans="1:14" ht="18" customHeight="1">
      <c r="A622" s="98" t="s">
        <v>194</v>
      </c>
      <c r="B622" s="98"/>
      <c r="C622" s="98"/>
      <c r="D622" s="98"/>
      <c r="E622" s="22">
        <f>E608+E621</f>
        <v>263</v>
      </c>
      <c r="F622" s="22">
        <f>F608+F621</f>
        <v>1315</v>
      </c>
      <c r="G622" s="21"/>
      <c r="H622" s="21"/>
      <c r="I622" s="21"/>
      <c r="J622" s="21"/>
      <c r="K622" s="21"/>
      <c r="L622" s="73">
        <f>IFERROR(L608+L621,"")</f>
        <v>0.56111111111111112</v>
      </c>
      <c r="M622" s="22" t="s">
        <v>195</v>
      </c>
      <c r="N622" s="31">
        <f>IFERROR(N608+N621,"")</f>
        <v>792770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0</v>
      </c>
      <c r="F623" s="17">
        <f t="shared" ref="F623:F634" si="141">IF(E623="","",E623*5)</f>
        <v>0</v>
      </c>
      <c r="G623" s="16" t="s">
        <v>18</v>
      </c>
      <c r="H623" s="16" t="s">
        <v>23</v>
      </c>
      <c r="I623" s="16" t="s">
        <v>176</v>
      </c>
      <c r="J623" s="13">
        <v>0.29166666666666669</v>
      </c>
      <c r="K623" s="13">
        <v>0.41666666666666669</v>
      </c>
      <c r="L623" s="71">
        <f t="shared" ref="L623:L634" si="142">IFERROR(IF(K623="","",IF(K623&gt;=J623,K623-J623,K623+1-J623)),"")</f>
        <v>0.125</v>
      </c>
      <c r="M623" s="29"/>
      <c r="N623" s="30"/>
    </row>
    <row r="624" spans="1:14" ht="15" customHeight="1">
      <c r="A624" s="58">
        <v>46197</v>
      </c>
      <c r="B624" s="9">
        <f t="shared" ref="B624:B634" si="143">B623+TIME(0,60,0)</f>
        <v>0.37499999999999967</v>
      </c>
      <c r="C624" s="16" t="s">
        <v>45</v>
      </c>
      <c r="D624" s="16" t="s">
        <v>30</v>
      </c>
      <c r="E624" s="11">
        <v>0</v>
      </c>
      <c r="F624" s="12">
        <f t="shared" si="141"/>
        <v>0</v>
      </c>
      <c r="G624" s="10" t="s">
        <v>20</v>
      </c>
      <c r="H624" s="10" t="s">
        <v>23</v>
      </c>
      <c r="I624" s="10" t="s">
        <v>165</v>
      </c>
      <c r="J624" s="13">
        <v>0.4375</v>
      </c>
      <c r="K624" s="13">
        <v>0.48055555555555557</v>
      </c>
      <c r="L624" s="70">
        <f t="shared" si="142"/>
        <v>4.3055555555555569E-2</v>
      </c>
      <c r="M624" s="29"/>
      <c r="N624" s="30"/>
    </row>
    <row r="625" spans="1:14" ht="15" customHeight="1">
      <c r="A625" s="59">
        <v>46197</v>
      </c>
      <c r="B625" s="15">
        <f t="shared" si="143"/>
        <v>0.41666666666666635</v>
      </c>
      <c r="C625" s="16" t="s">
        <v>45</v>
      </c>
      <c r="D625" s="16" t="s">
        <v>30</v>
      </c>
      <c r="E625" s="11">
        <v>0</v>
      </c>
      <c r="F625" s="17">
        <f t="shared" si="141"/>
        <v>0</v>
      </c>
      <c r="G625" s="16" t="s">
        <v>18</v>
      </c>
      <c r="H625" s="16" t="s">
        <v>23</v>
      </c>
      <c r="I625" s="16" t="s">
        <v>148</v>
      </c>
      <c r="J625" s="13">
        <v>0.77361111111111114</v>
      </c>
      <c r="K625" s="13"/>
      <c r="L625" s="71" t="str">
        <f t="shared" si="142"/>
        <v/>
      </c>
      <c r="M625" s="29"/>
      <c r="N625" s="30"/>
    </row>
    <row r="626" spans="1:14" ht="15" customHeight="1">
      <c r="A626" s="58">
        <v>46197</v>
      </c>
      <c r="B626" s="9">
        <f t="shared" si="143"/>
        <v>0.45833333333333304</v>
      </c>
      <c r="C626" s="16" t="s">
        <v>45</v>
      </c>
      <c r="D626" s="16" t="s">
        <v>30</v>
      </c>
      <c r="E626" s="11">
        <v>0</v>
      </c>
      <c r="F626" s="12">
        <f t="shared" si="141"/>
        <v>0</v>
      </c>
      <c r="G626" s="10"/>
      <c r="H626" s="10"/>
      <c r="I626" s="10"/>
      <c r="J626" s="13"/>
      <c r="K626" s="13"/>
      <c r="L626" s="70" t="str">
        <f t="shared" si="142"/>
        <v/>
      </c>
      <c r="M626" s="29"/>
      <c r="N626" s="30"/>
    </row>
    <row r="627" spans="1:14" ht="15" customHeight="1">
      <c r="A627" s="59">
        <v>46197</v>
      </c>
      <c r="B627" s="15">
        <f t="shared" si="143"/>
        <v>0.49999999999999972</v>
      </c>
      <c r="C627" s="16" t="s">
        <v>45</v>
      </c>
      <c r="D627" s="16" t="s">
        <v>30</v>
      </c>
      <c r="E627" s="11">
        <v>45</v>
      </c>
      <c r="F627" s="17">
        <f t="shared" si="141"/>
        <v>225</v>
      </c>
      <c r="G627" s="16"/>
      <c r="H627" s="16"/>
      <c r="I627" s="16"/>
      <c r="J627" s="13"/>
      <c r="K627" s="13"/>
      <c r="L627" s="71" t="str">
        <f t="shared" si="142"/>
        <v/>
      </c>
      <c r="M627" s="29"/>
      <c r="N627" s="30"/>
    </row>
    <row r="628" spans="1:14" ht="15" customHeight="1">
      <c r="A628" s="58">
        <v>46197</v>
      </c>
      <c r="B628" s="9">
        <f t="shared" si="143"/>
        <v>0.54166666666666641</v>
      </c>
      <c r="C628" s="16" t="s">
        <v>45</v>
      </c>
      <c r="D628" s="16" t="s">
        <v>30</v>
      </c>
      <c r="E628" s="11">
        <v>30</v>
      </c>
      <c r="F628" s="12">
        <f t="shared" si="141"/>
        <v>150</v>
      </c>
      <c r="G628" s="10"/>
      <c r="H628" s="10"/>
      <c r="I628" s="10"/>
      <c r="J628" s="13"/>
      <c r="K628" s="13"/>
      <c r="L628" s="70" t="str">
        <f t="shared" si="142"/>
        <v/>
      </c>
      <c r="M628" s="29"/>
      <c r="N628" s="30"/>
    </row>
    <row r="629" spans="1:14" ht="15" customHeight="1">
      <c r="A629" s="59">
        <v>46197</v>
      </c>
      <c r="B629" s="15">
        <f t="shared" si="143"/>
        <v>0.58333333333333304</v>
      </c>
      <c r="C629" s="16" t="s">
        <v>45</v>
      </c>
      <c r="D629" s="16" t="s">
        <v>30</v>
      </c>
      <c r="E629" s="11">
        <v>32</v>
      </c>
      <c r="F629" s="17">
        <f t="shared" si="141"/>
        <v>160</v>
      </c>
      <c r="G629" s="16"/>
      <c r="H629" s="16"/>
      <c r="I629" s="16"/>
      <c r="J629" s="13"/>
      <c r="K629" s="13"/>
      <c r="L629" s="71" t="str">
        <f t="shared" si="142"/>
        <v/>
      </c>
      <c r="M629" s="29"/>
      <c r="N629" s="30"/>
    </row>
    <row r="630" spans="1:14" ht="15" customHeight="1">
      <c r="A630" s="58">
        <v>46197</v>
      </c>
      <c r="B630" s="9">
        <f t="shared" si="143"/>
        <v>0.62499999999999967</v>
      </c>
      <c r="C630" s="16" t="s">
        <v>45</v>
      </c>
      <c r="D630" s="16" t="s">
        <v>30</v>
      </c>
      <c r="E630" s="11">
        <v>40</v>
      </c>
      <c r="F630" s="12">
        <f t="shared" si="141"/>
        <v>200</v>
      </c>
      <c r="G630" s="10"/>
      <c r="H630" s="10"/>
      <c r="I630" s="10"/>
      <c r="J630" s="13"/>
      <c r="K630" s="13"/>
      <c r="L630" s="70" t="str">
        <f t="shared" si="142"/>
        <v/>
      </c>
      <c r="M630" s="29"/>
      <c r="N630" s="30"/>
    </row>
    <row r="631" spans="1:14" ht="15" customHeight="1">
      <c r="A631" s="59">
        <v>46197</v>
      </c>
      <c r="B631" s="15">
        <f t="shared" si="143"/>
        <v>0.6666666666666663</v>
      </c>
      <c r="C631" s="16" t="s">
        <v>45</v>
      </c>
      <c r="D631" s="16" t="s">
        <v>30</v>
      </c>
      <c r="E631" s="11">
        <v>25</v>
      </c>
      <c r="F631" s="17">
        <f t="shared" si="141"/>
        <v>125</v>
      </c>
      <c r="G631" s="16"/>
      <c r="H631" s="16"/>
      <c r="I631" s="16"/>
      <c r="J631" s="13"/>
      <c r="K631" s="13"/>
      <c r="L631" s="71" t="str">
        <f t="shared" si="142"/>
        <v/>
      </c>
      <c r="M631" s="29"/>
      <c r="N631" s="30"/>
    </row>
    <row r="632" spans="1:14" ht="15" customHeight="1">
      <c r="A632" s="58">
        <v>46197</v>
      </c>
      <c r="B632" s="9">
        <f t="shared" si="143"/>
        <v>0.70833333333333293</v>
      </c>
      <c r="C632" s="16" t="s">
        <v>45</v>
      </c>
      <c r="D632" s="16" t="s">
        <v>30</v>
      </c>
      <c r="E632" s="11">
        <v>25</v>
      </c>
      <c r="F632" s="12">
        <f t="shared" si="141"/>
        <v>125</v>
      </c>
      <c r="G632" s="10"/>
      <c r="H632" s="10"/>
      <c r="I632" s="10"/>
      <c r="J632" s="13"/>
      <c r="K632" s="13"/>
      <c r="L632" s="70" t="str">
        <f t="shared" si="142"/>
        <v/>
      </c>
      <c r="M632" s="29"/>
      <c r="N632" s="30"/>
    </row>
    <row r="633" spans="1:14" ht="15" customHeight="1">
      <c r="A633" s="59">
        <v>46197</v>
      </c>
      <c r="B633" s="15">
        <f t="shared" si="143"/>
        <v>0.74999999999999956</v>
      </c>
      <c r="C633" s="16" t="s">
        <v>45</v>
      </c>
      <c r="D633" s="16" t="s">
        <v>30</v>
      </c>
      <c r="E633" s="11">
        <v>25</v>
      </c>
      <c r="F633" s="17">
        <f t="shared" si="141"/>
        <v>125</v>
      </c>
      <c r="G633" s="16"/>
      <c r="H633" s="16"/>
      <c r="I633" s="16"/>
      <c r="J633" s="13"/>
      <c r="K633" s="13"/>
      <c r="L633" s="71" t="str">
        <f t="shared" si="142"/>
        <v/>
      </c>
      <c r="M633" s="29"/>
      <c r="N633" s="30"/>
    </row>
    <row r="634" spans="1:14" ht="15" customHeight="1">
      <c r="A634" s="58">
        <v>46197</v>
      </c>
      <c r="B634" s="9">
        <f t="shared" si="143"/>
        <v>0.79166666666666619</v>
      </c>
      <c r="C634" s="16" t="s">
        <v>45</v>
      </c>
      <c r="D634" s="16" t="s">
        <v>30</v>
      </c>
      <c r="E634" s="11">
        <v>10</v>
      </c>
      <c r="F634" s="12">
        <f t="shared" si="141"/>
        <v>50</v>
      </c>
      <c r="G634" s="10"/>
      <c r="H634" s="10"/>
      <c r="I634" s="10"/>
      <c r="J634" s="13"/>
      <c r="K634" s="13"/>
      <c r="L634" s="70" t="str">
        <f t="shared" si="142"/>
        <v/>
      </c>
      <c r="M634" s="29"/>
      <c r="N634" s="30"/>
    </row>
    <row r="635" spans="1:14" ht="15.75" customHeight="1">
      <c r="A635" s="97" t="s">
        <v>191</v>
      </c>
      <c r="B635" s="97"/>
      <c r="C635" s="97"/>
      <c r="D635" s="97"/>
      <c r="E635" s="19">
        <f>SUM(E623:E634)</f>
        <v>232</v>
      </c>
      <c r="F635" s="19">
        <f>SUM(F623:F634)</f>
        <v>1160</v>
      </c>
      <c r="G635" s="18"/>
      <c r="H635" s="18"/>
      <c r="I635" s="18"/>
      <c r="J635" s="18"/>
      <c r="K635" s="18"/>
      <c r="L635" s="72">
        <f>IFERROR(SUM(L623:L634),"")</f>
        <v>0.16805555555555557</v>
      </c>
      <c r="M635" s="19" t="s">
        <v>192</v>
      </c>
      <c r="N635" s="20">
        <v>1126320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4">IF(E636="","",E636*5)</f>
        <v>0</v>
      </c>
      <c r="G636" s="10" t="s">
        <v>19</v>
      </c>
      <c r="H636" s="10" t="s">
        <v>23</v>
      </c>
      <c r="I636" s="10" t="s">
        <v>50</v>
      </c>
      <c r="J636" s="13">
        <v>0.79166666666666663</v>
      </c>
      <c r="K636" s="13">
        <v>0.85277777777777775</v>
      </c>
      <c r="L636" s="70">
        <f t="shared" ref="L636:L647" si="145">IFERROR(IF(K636="","",IF(K636&gt;=J636,K636-J636,K636+1-J636)),"")</f>
        <v>6.1111111111111116E-2</v>
      </c>
      <c r="M636" s="29"/>
      <c r="N636" s="30"/>
    </row>
    <row r="637" spans="1:14" ht="15" customHeight="1">
      <c r="A637" s="59">
        <v>46197</v>
      </c>
      <c r="B637" s="15">
        <f t="shared" ref="B637:B647" si="146">B636+TIME(0,60,0)</f>
        <v>0.87499999999999967</v>
      </c>
      <c r="C637" s="10" t="s">
        <v>29</v>
      </c>
      <c r="D637" s="10" t="s">
        <v>30</v>
      </c>
      <c r="E637" s="11">
        <v>19</v>
      </c>
      <c r="F637" s="17">
        <f t="shared" si="144"/>
        <v>95</v>
      </c>
      <c r="G637" s="16" t="s">
        <v>18</v>
      </c>
      <c r="H637" s="16" t="s">
        <v>23</v>
      </c>
      <c r="I637" s="16" t="s">
        <v>122</v>
      </c>
      <c r="J637" s="13">
        <v>0.9506944444444444</v>
      </c>
      <c r="K637" s="13">
        <v>1.5972222222222221E-2</v>
      </c>
      <c r="L637" s="71">
        <f t="shared" si="145"/>
        <v>6.5277777777777879E-2</v>
      </c>
      <c r="M637" s="29"/>
      <c r="N637" s="30"/>
    </row>
    <row r="638" spans="1:14" ht="15" customHeight="1">
      <c r="A638" s="58">
        <v>46197</v>
      </c>
      <c r="B638" s="9">
        <f t="shared" si="146"/>
        <v>0.9166666666666663</v>
      </c>
      <c r="C638" s="10" t="s">
        <v>29</v>
      </c>
      <c r="D638" s="10" t="s">
        <v>30</v>
      </c>
      <c r="E638" s="11">
        <v>20</v>
      </c>
      <c r="F638" s="12">
        <f t="shared" si="144"/>
        <v>100</v>
      </c>
      <c r="G638" s="10" t="s">
        <v>18</v>
      </c>
      <c r="H638" s="10" t="s">
        <v>23</v>
      </c>
      <c r="I638" s="10" t="s">
        <v>122</v>
      </c>
      <c r="J638" s="13">
        <v>5.486111111111111E-2</v>
      </c>
      <c r="K638" s="13">
        <v>7.2916666666666671E-2</v>
      </c>
      <c r="L638" s="70">
        <f t="shared" si="145"/>
        <v>1.8055555555555561E-2</v>
      </c>
      <c r="M638" s="29" t="s">
        <v>225</v>
      </c>
      <c r="N638" s="30"/>
    </row>
    <row r="639" spans="1:14" ht="15" customHeight="1">
      <c r="A639" s="59">
        <v>46197</v>
      </c>
      <c r="B639" s="15">
        <f t="shared" si="146"/>
        <v>0.95833333333333293</v>
      </c>
      <c r="C639" s="10" t="s">
        <v>29</v>
      </c>
      <c r="D639" s="10" t="s">
        <v>30</v>
      </c>
      <c r="E639" s="11">
        <v>30</v>
      </c>
      <c r="F639" s="17">
        <f t="shared" si="144"/>
        <v>150</v>
      </c>
      <c r="G639" s="16" t="s">
        <v>18</v>
      </c>
      <c r="H639" s="16" t="s">
        <v>23</v>
      </c>
      <c r="I639" s="16" t="s">
        <v>158</v>
      </c>
      <c r="J639" s="13">
        <v>0.18055555555555555</v>
      </c>
      <c r="K639" s="13">
        <v>0.2013888888888889</v>
      </c>
      <c r="L639" s="71">
        <f t="shared" si="145"/>
        <v>2.0833333333333343E-2</v>
      </c>
      <c r="M639" s="29"/>
      <c r="N639" s="30"/>
    </row>
    <row r="640" spans="1:14" ht="15" customHeight="1">
      <c r="A640" s="58">
        <v>46197</v>
      </c>
      <c r="B640" s="9">
        <f t="shared" si="146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4"/>
        <v>0</v>
      </c>
      <c r="G640" s="10" t="s">
        <v>19</v>
      </c>
      <c r="H640" s="10" t="s">
        <v>23</v>
      </c>
      <c r="I640" s="10" t="s">
        <v>50</v>
      </c>
      <c r="J640" s="13">
        <v>0.27708333333333335</v>
      </c>
      <c r="K640" s="13"/>
      <c r="L640" s="70" t="str">
        <f t="shared" si="145"/>
        <v/>
      </c>
      <c r="M640" s="29"/>
      <c r="N640" s="30"/>
    </row>
    <row r="641" spans="1:14" ht="15" customHeight="1">
      <c r="A641" s="59">
        <v>46197</v>
      </c>
      <c r="B641" s="15">
        <f t="shared" si="146"/>
        <v>1.0416666666666663</v>
      </c>
      <c r="C641" s="10" t="s">
        <v>29</v>
      </c>
      <c r="D641" s="10" t="s">
        <v>30</v>
      </c>
      <c r="E641" s="11">
        <v>40</v>
      </c>
      <c r="F641" s="17">
        <f t="shared" si="144"/>
        <v>200</v>
      </c>
      <c r="G641" s="16"/>
      <c r="H641" s="16"/>
      <c r="I641" s="16"/>
      <c r="J641" s="13"/>
      <c r="K641" s="13"/>
      <c r="L641" s="71" t="str">
        <f t="shared" si="145"/>
        <v/>
      </c>
      <c r="M641" s="29"/>
      <c r="N641" s="30"/>
    </row>
    <row r="642" spans="1:14" ht="15" customHeight="1">
      <c r="A642" s="58">
        <v>46197</v>
      </c>
      <c r="B642" s="9">
        <f t="shared" si="146"/>
        <v>1.083333333333333</v>
      </c>
      <c r="C642" s="10" t="s">
        <v>29</v>
      </c>
      <c r="D642" s="10" t="s">
        <v>30</v>
      </c>
      <c r="E642" s="11">
        <v>26</v>
      </c>
      <c r="F642" s="12">
        <f t="shared" si="144"/>
        <v>130</v>
      </c>
      <c r="G642" s="10"/>
      <c r="H642" s="10"/>
      <c r="I642" s="10"/>
      <c r="J642" s="13"/>
      <c r="K642" s="13"/>
      <c r="L642" s="70" t="str">
        <f t="shared" si="145"/>
        <v/>
      </c>
      <c r="M642" s="29"/>
      <c r="N642" s="30"/>
    </row>
    <row r="643" spans="1:14" ht="15" customHeight="1">
      <c r="A643" s="59">
        <v>46197</v>
      </c>
      <c r="B643" s="15">
        <f t="shared" si="146"/>
        <v>1.1249999999999998</v>
      </c>
      <c r="C643" s="10" t="s">
        <v>29</v>
      </c>
      <c r="D643" s="10" t="s">
        <v>30</v>
      </c>
      <c r="E643" s="11">
        <v>29</v>
      </c>
      <c r="F643" s="17">
        <f t="shared" si="144"/>
        <v>145</v>
      </c>
      <c r="G643" s="16"/>
      <c r="H643" s="16"/>
      <c r="I643" s="16"/>
      <c r="J643" s="13"/>
      <c r="K643" s="13"/>
      <c r="L643" s="71" t="str">
        <f t="shared" si="145"/>
        <v/>
      </c>
      <c r="M643" s="29"/>
      <c r="N643" s="30"/>
    </row>
    <row r="644" spans="1:14" ht="15" customHeight="1">
      <c r="A644" s="58">
        <v>46197</v>
      </c>
      <c r="B644" s="9">
        <f t="shared" si="146"/>
        <v>1.1666666666666665</v>
      </c>
      <c r="C644" s="10" t="s">
        <v>29</v>
      </c>
      <c r="D644" s="10" t="s">
        <v>30</v>
      </c>
      <c r="E644" s="11">
        <v>11</v>
      </c>
      <c r="F644" s="12">
        <f t="shared" si="144"/>
        <v>55</v>
      </c>
      <c r="G644" s="10"/>
      <c r="H644" s="10"/>
      <c r="I644" s="10"/>
      <c r="J644" s="13"/>
      <c r="K644" s="13"/>
      <c r="L644" s="70" t="str">
        <f t="shared" si="145"/>
        <v/>
      </c>
      <c r="M644" s="29"/>
      <c r="N644" s="30"/>
    </row>
    <row r="645" spans="1:14" ht="15" customHeight="1">
      <c r="A645" s="59">
        <v>46197</v>
      </c>
      <c r="B645" s="15">
        <f t="shared" si="146"/>
        <v>1.2083333333333333</v>
      </c>
      <c r="C645" s="10" t="s">
        <v>29</v>
      </c>
      <c r="D645" s="10" t="s">
        <v>30</v>
      </c>
      <c r="E645" s="11">
        <v>5</v>
      </c>
      <c r="F645" s="17">
        <f t="shared" si="144"/>
        <v>25</v>
      </c>
      <c r="G645" s="16"/>
      <c r="H645" s="16"/>
      <c r="I645" s="16"/>
      <c r="J645" s="13"/>
      <c r="K645" s="13"/>
      <c r="L645" s="71" t="str">
        <f t="shared" si="145"/>
        <v/>
      </c>
      <c r="M645" s="29"/>
      <c r="N645" s="30"/>
    </row>
    <row r="646" spans="1:14" ht="15" customHeight="1">
      <c r="A646" s="58">
        <v>46197</v>
      </c>
      <c r="B646" s="9">
        <f t="shared" si="146"/>
        <v>1.25</v>
      </c>
      <c r="C646" s="10" t="s">
        <v>29</v>
      </c>
      <c r="D646" s="10" t="s">
        <v>22</v>
      </c>
      <c r="E646" s="11">
        <v>29</v>
      </c>
      <c r="F646" s="12">
        <f t="shared" si="144"/>
        <v>145</v>
      </c>
      <c r="G646" s="10"/>
      <c r="H646" s="10"/>
      <c r="I646" s="10"/>
      <c r="J646" s="13"/>
      <c r="K646" s="13"/>
      <c r="L646" s="70" t="str">
        <f t="shared" si="145"/>
        <v/>
      </c>
      <c r="M646" s="29"/>
      <c r="N646" s="30"/>
    </row>
    <row r="647" spans="1:14" ht="15" customHeight="1">
      <c r="A647" s="59">
        <v>46197</v>
      </c>
      <c r="B647" s="15">
        <f t="shared" si="146"/>
        <v>1.2916666666666667</v>
      </c>
      <c r="C647" s="10" t="s">
        <v>29</v>
      </c>
      <c r="D647" s="10" t="s">
        <v>22</v>
      </c>
      <c r="E647" s="11">
        <v>0</v>
      </c>
      <c r="F647" s="17">
        <f t="shared" si="144"/>
        <v>0</v>
      </c>
      <c r="G647" s="16"/>
      <c r="H647" s="16"/>
      <c r="I647" s="16"/>
      <c r="J647" s="13"/>
      <c r="K647" s="13"/>
      <c r="L647" s="71" t="str">
        <f t="shared" si="145"/>
        <v/>
      </c>
      <c r="M647" s="29"/>
      <c r="N647" s="30"/>
    </row>
    <row r="648" spans="1:14" ht="15.75" customHeight="1">
      <c r="A648" s="97" t="s">
        <v>193</v>
      </c>
      <c r="B648" s="97"/>
      <c r="C648" s="97"/>
      <c r="D648" s="97"/>
      <c r="E648" s="19">
        <f>SUM(E636:E647)</f>
        <v>209</v>
      </c>
      <c r="F648" s="19">
        <f>SUM(F636:F647)</f>
        <v>1045</v>
      </c>
      <c r="G648" s="18"/>
      <c r="H648" s="18"/>
      <c r="I648" s="18"/>
      <c r="J648" s="18"/>
      <c r="K648" s="18"/>
      <c r="L648" s="72">
        <f>IFERROR(SUM(L636:L647),"")</f>
        <v>0.16527777777777788</v>
      </c>
      <c r="M648" s="19" t="s">
        <v>192</v>
      </c>
      <c r="N648" s="20">
        <v>635110</v>
      </c>
    </row>
    <row r="649" spans="1:14" ht="18" customHeight="1">
      <c r="A649" s="98" t="s">
        <v>194</v>
      </c>
      <c r="B649" s="98"/>
      <c r="C649" s="98"/>
      <c r="D649" s="98"/>
      <c r="E649" s="22">
        <f>E635+E648</f>
        <v>441</v>
      </c>
      <c r="F649" s="22">
        <f>F635+F648</f>
        <v>2205</v>
      </c>
      <c r="G649" s="21"/>
      <c r="H649" s="21"/>
      <c r="I649" s="21"/>
      <c r="J649" s="21"/>
      <c r="K649" s="21"/>
      <c r="L649" s="73">
        <f>IFERROR(L635+L648,"")</f>
        <v>0.33333333333333348</v>
      </c>
      <c r="M649" s="22" t="s">
        <v>195</v>
      </c>
      <c r="N649" s="31">
        <f>IFERROR(N635+N648,"")</f>
        <v>1761430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7">IF(E650="","",E650*5)</f>
        <v>0</v>
      </c>
      <c r="G650" s="10" t="s">
        <v>19</v>
      </c>
      <c r="H650" s="10" t="s">
        <v>23</v>
      </c>
      <c r="I650" s="10" t="s">
        <v>50</v>
      </c>
      <c r="J650" s="13">
        <v>0.29166666666666669</v>
      </c>
      <c r="K650" s="13">
        <v>0.33333333333333331</v>
      </c>
      <c r="L650" s="70">
        <f t="shared" ref="L650:L661" si="148">IFERROR(IF(K650="","",IF(K650&gt;=J650,K650-J650,K650+1-J650)),"")</f>
        <v>4.166666666666663E-2</v>
      </c>
      <c r="M650" s="29"/>
      <c r="N650" s="30"/>
    </row>
    <row r="651" spans="1:14" ht="15" customHeight="1">
      <c r="A651" s="59">
        <v>46198</v>
      </c>
      <c r="B651" s="15">
        <f t="shared" ref="B651:B661" si="149">B650+TIME(0,60,0)</f>
        <v>0.37499999999999967</v>
      </c>
      <c r="C651" s="10" t="s">
        <v>45</v>
      </c>
      <c r="D651" s="10" t="s">
        <v>22</v>
      </c>
      <c r="E651" s="11">
        <v>25</v>
      </c>
      <c r="F651" s="17">
        <f t="shared" si="147"/>
        <v>125</v>
      </c>
      <c r="G651" s="16" t="s">
        <v>20</v>
      </c>
      <c r="H651" s="16" t="s">
        <v>23</v>
      </c>
      <c r="I651" s="16" t="s">
        <v>126</v>
      </c>
      <c r="J651" s="13">
        <v>0.375</v>
      </c>
      <c r="K651" s="13">
        <v>0.38541666666666669</v>
      </c>
      <c r="L651" s="71">
        <f t="shared" si="148"/>
        <v>1.0416666666666685E-2</v>
      </c>
      <c r="M651" s="29"/>
      <c r="N651" s="30"/>
    </row>
    <row r="652" spans="1:14" ht="15" customHeight="1">
      <c r="A652" s="58">
        <v>46198</v>
      </c>
      <c r="B652" s="9">
        <f t="shared" si="149"/>
        <v>0.41666666666666635</v>
      </c>
      <c r="C652" s="10" t="s">
        <v>45</v>
      </c>
      <c r="D652" s="10" t="s">
        <v>22</v>
      </c>
      <c r="E652" s="11">
        <v>25</v>
      </c>
      <c r="F652" s="12">
        <f t="shared" si="147"/>
        <v>125</v>
      </c>
      <c r="G652" s="16"/>
      <c r="H652" s="16"/>
      <c r="I652" s="16"/>
      <c r="J652" s="13"/>
      <c r="K652" s="13"/>
      <c r="L652" s="70" t="str">
        <f t="shared" si="148"/>
        <v/>
      </c>
      <c r="M652" s="29"/>
      <c r="N652" s="30"/>
    </row>
    <row r="653" spans="1:14" ht="15" customHeight="1">
      <c r="A653" s="59">
        <v>46198</v>
      </c>
      <c r="B653" s="15">
        <f t="shared" si="149"/>
        <v>0.45833333333333304</v>
      </c>
      <c r="C653" s="10" t="s">
        <v>45</v>
      </c>
      <c r="D653" s="10" t="s">
        <v>22</v>
      </c>
      <c r="E653" s="11">
        <v>35</v>
      </c>
      <c r="F653" s="17">
        <f t="shared" si="147"/>
        <v>175</v>
      </c>
      <c r="G653" s="16"/>
      <c r="H653" s="16"/>
      <c r="I653" s="16"/>
      <c r="J653" s="13"/>
      <c r="K653" s="13"/>
      <c r="L653" s="71" t="str">
        <f t="shared" si="148"/>
        <v/>
      </c>
      <c r="M653" s="29"/>
      <c r="N653" s="30"/>
    </row>
    <row r="654" spans="1:14" ht="15" customHeight="1">
      <c r="A654" s="58">
        <v>46198</v>
      </c>
      <c r="B654" s="9">
        <f t="shared" si="149"/>
        <v>0.49999999999999972</v>
      </c>
      <c r="C654" s="10" t="s">
        <v>45</v>
      </c>
      <c r="D654" s="10" t="s">
        <v>22</v>
      </c>
      <c r="E654" s="11">
        <v>25</v>
      </c>
      <c r="F654" s="12">
        <f t="shared" si="147"/>
        <v>125</v>
      </c>
      <c r="G654" s="10"/>
      <c r="H654" s="10"/>
      <c r="I654" s="10"/>
      <c r="J654" s="13"/>
      <c r="K654" s="13"/>
      <c r="L654" s="70" t="str">
        <f t="shared" si="148"/>
        <v/>
      </c>
      <c r="M654" s="29"/>
      <c r="N654" s="30"/>
    </row>
    <row r="655" spans="1:14" ht="15" customHeight="1">
      <c r="A655" s="59">
        <v>46198</v>
      </c>
      <c r="B655" s="15">
        <f t="shared" si="149"/>
        <v>0.54166666666666641</v>
      </c>
      <c r="C655" s="10" t="s">
        <v>45</v>
      </c>
      <c r="D655" s="10" t="s">
        <v>22</v>
      </c>
      <c r="E655" s="11">
        <v>22</v>
      </c>
      <c r="F655" s="17">
        <f t="shared" si="147"/>
        <v>110</v>
      </c>
      <c r="G655" s="16"/>
      <c r="H655" s="16"/>
      <c r="I655" s="16"/>
      <c r="J655" s="13"/>
      <c r="K655" s="13"/>
      <c r="L655" s="71" t="str">
        <f t="shared" si="148"/>
        <v/>
      </c>
      <c r="M655" s="29"/>
      <c r="N655" s="30"/>
    </row>
    <row r="656" spans="1:14" ht="15" customHeight="1">
      <c r="A656" s="58">
        <v>46198</v>
      </c>
      <c r="B656" s="9">
        <f t="shared" si="149"/>
        <v>0.58333333333333304</v>
      </c>
      <c r="C656" s="10" t="s">
        <v>45</v>
      </c>
      <c r="D656" s="10" t="s">
        <v>22</v>
      </c>
      <c r="E656" s="11">
        <v>35</v>
      </c>
      <c r="F656" s="12">
        <f t="shared" si="147"/>
        <v>175</v>
      </c>
      <c r="G656" s="10"/>
      <c r="H656" s="10"/>
      <c r="I656" s="10"/>
      <c r="J656" s="13"/>
      <c r="K656" s="13"/>
      <c r="L656" s="70" t="str">
        <f t="shared" si="148"/>
        <v/>
      </c>
      <c r="M656" s="29"/>
      <c r="N656" s="30"/>
    </row>
    <row r="657" spans="1:14" ht="15" customHeight="1">
      <c r="A657" s="59">
        <v>46198</v>
      </c>
      <c r="B657" s="15">
        <f t="shared" si="149"/>
        <v>0.62499999999999967</v>
      </c>
      <c r="C657" s="10" t="s">
        <v>45</v>
      </c>
      <c r="D657" s="10" t="s">
        <v>22</v>
      </c>
      <c r="E657" s="11">
        <v>20</v>
      </c>
      <c r="F657" s="17">
        <f t="shared" si="147"/>
        <v>100</v>
      </c>
      <c r="G657" s="16"/>
      <c r="H657" s="16"/>
      <c r="I657" s="16"/>
      <c r="J657" s="13"/>
      <c r="K657" s="13"/>
      <c r="L657" s="71" t="str">
        <f t="shared" si="148"/>
        <v/>
      </c>
      <c r="M657" s="29"/>
      <c r="N657" s="30"/>
    </row>
    <row r="658" spans="1:14" ht="15" customHeight="1">
      <c r="A658" s="58">
        <v>46198</v>
      </c>
      <c r="B658" s="9">
        <f t="shared" si="149"/>
        <v>0.6666666666666663</v>
      </c>
      <c r="C658" s="10" t="s">
        <v>45</v>
      </c>
      <c r="D658" s="10" t="s">
        <v>22</v>
      </c>
      <c r="E658" s="11">
        <v>25</v>
      </c>
      <c r="F658" s="12">
        <f t="shared" si="147"/>
        <v>125</v>
      </c>
      <c r="G658" s="10"/>
      <c r="H658" s="10"/>
      <c r="I658" s="10"/>
      <c r="J658" s="13"/>
      <c r="K658" s="13"/>
      <c r="L658" s="70" t="str">
        <f t="shared" si="148"/>
        <v/>
      </c>
      <c r="M658" s="29"/>
      <c r="N658" s="30"/>
    </row>
    <row r="659" spans="1:14" ht="15" customHeight="1">
      <c r="A659" s="59">
        <v>46198</v>
      </c>
      <c r="B659" s="15">
        <f t="shared" si="149"/>
        <v>0.70833333333333293</v>
      </c>
      <c r="C659" s="10" t="s">
        <v>45</v>
      </c>
      <c r="D659" s="10" t="s">
        <v>22</v>
      </c>
      <c r="E659" s="11">
        <v>40</v>
      </c>
      <c r="F659" s="17">
        <f t="shared" si="147"/>
        <v>200</v>
      </c>
      <c r="G659" s="16"/>
      <c r="H659" s="16"/>
      <c r="I659" s="16"/>
      <c r="J659" s="13"/>
      <c r="K659" s="13"/>
      <c r="L659" s="71" t="str">
        <f t="shared" si="148"/>
        <v/>
      </c>
      <c r="M659" s="29"/>
      <c r="N659" s="30"/>
    </row>
    <row r="660" spans="1:14" ht="15" customHeight="1">
      <c r="A660" s="58">
        <v>46198</v>
      </c>
      <c r="B660" s="9">
        <f t="shared" si="149"/>
        <v>0.74999999999999956</v>
      </c>
      <c r="C660" s="10" t="s">
        <v>45</v>
      </c>
      <c r="D660" s="10" t="s">
        <v>22</v>
      </c>
      <c r="E660" s="11">
        <v>23</v>
      </c>
      <c r="F660" s="12">
        <f t="shared" si="147"/>
        <v>115</v>
      </c>
      <c r="G660" s="10"/>
      <c r="H660" s="10"/>
      <c r="I660" s="10"/>
      <c r="J660" s="13"/>
      <c r="K660" s="13"/>
      <c r="L660" s="70" t="str">
        <f t="shared" si="148"/>
        <v/>
      </c>
      <c r="M660" s="29"/>
      <c r="N660" s="30"/>
    </row>
    <row r="661" spans="1:14" ht="15" customHeight="1">
      <c r="A661" s="59">
        <v>46198</v>
      </c>
      <c r="B661" s="15">
        <f t="shared" si="149"/>
        <v>0.79166666666666619</v>
      </c>
      <c r="C661" s="10" t="s">
        <v>45</v>
      </c>
      <c r="D661" s="10" t="s">
        <v>22</v>
      </c>
      <c r="E661" s="11">
        <v>15</v>
      </c>
      <c r="F661" s="17">
        <f t="shared" si="147"/>
        <v>75</v>
      </c>
      <c r="G661" s="16"/>
      <c r="H661" s="16"/>
      <c r="I661" s="16"/>
      <c r="J661" s="13"/>
      <c r="K661" s="13"/>
      <c r="L661" s="71" t="str">
        <f t="shared" si="148"/>
        <v/>
      </c>
      <c r="M661" s="29"/>
      <c r="N661" s="30"/>
    </row>
    <row r="662" spans="1:14" ht="15.75" customHeight="1">
      <c r="A662" s="97" t="s">
        <v>191</v>
      </c>
      <c r="B662" s="97"/>
      <c r="C662" s="97"/>
      <c r="D662" s="97"/>
      <c r="E662" s="19">
        <f>SUM(E650:E661)</f>
        <v>290</v>
      </c>
      <c r="F662" s="19">
        <f>SUM(F650:F661)</f>
        <v>1450</v>
      </c>
      <c r="G662" s="18"/>
      <c r="H662" s="18"/>
      <c r="I662" s="18"/>
      <c r="J662" s="18"/>
      <c r="K662" s="18"/>
      <c r="L662" s="72">
        <f>IFERROR(SUM(L650:L661),"")</f>
        <v>5.2083333333333315E-2</v>
      </c>
      <c r="M662" s="19" t="s">
        <v>192</v>
      </c>
      <c r="N662" s="20">
        <v>1483220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65</v>
      </c>
      <c r="F663" s="17">
        <f t="shared" ref="F663:F674" si="150">IF(E663="","",E663*5)</f>
        <v>325</v>
      </c>
      <c r="G663" s="16"/>
      <c r="H663" s="16"/>
      <c r="I663" s="16"/>
      <c r="J663" s="13"/>
      <c r="K663" s="13"/>
      <c r="L663" s="71" t="str">
        <f t="shared" ref="L663:L674" si="151">IFERROR(IF(K663="","",IF(K663&gt;=J663,K663-J663,K663+1-J663)),"")</f>
        <v/>
      </c>
      <c r="M663" s="29"/>
      <c r="N663" s="30"/>
    </row>
    <row r="664" spans="1:14" ht="15" customHeight="1">
      <c r="A664" s="58">
        <v>46198</v>
      </c>
      <c r="B664" s="9">
        <f t="shared" ref="B664:B674" si="152">B663+TIME(0,60,0)</f>
        <v>0.87499999999999967</v>
      </c>
      <c r="C664" s="16" t="s">
        <v>29</v>
      </c>
      <c r="D664" s="16" t="s">
        <v>22</v>
      </c>
      <c r="E664" s="11">
        <v>18</v>
      </c>
      <c r="F664" s="12">
        <f t="shared" si="150"/>
        <v>90</v>
      </c>
      <c r="G664" s="10"/>
      <c r="H664" s="10"/>
      <c r="I664" s="10"/>
      <c r="J664" s="13"/>
      <c r="K664" s="13"/>
      <c r="L664" s="70" t="str">
        <f t="shared" si="151"/>
        <v/>
      </c>
      <c r="M664" s="29"/>
      <c r="N664" s="30"/>
    </row>
    <row r="665" spans="1:14" ht="15" customHeight="1">
      <c r="A665" s="59">
        <v>46198</v>
      </c>
      <c r="B665" s="15">
        <f t="shared" si="152"/>
        <v>0.9166666666666663</v>
      </c>
      <c r="C665" s="16" t="s">
        <v>29</v>
      </c>
      <c r="D665" s="16" t="s">
        <v>22</v>
      </c>
      <c r="E665" s="11">
        <v>26</v>
      </c>
      <c r="F665" s="17">
        <f t="shared" si="150"/>
        <v>130</v>
      </c>
      <c r="G665" s="16"/>
      <c r="H665" s="16"/>
      <c r="I665" s="16"/>
      <c r="J665" s="13"/>
      <c r="K665" s="13"/>
      <c r="L665" s="71" t="str">
        <f t="shared" si="151"/>
        <v/>
      </c>
      <c r="M665" s="29"/>
      <c r="N665" s="30"/>
    </row>
    <row r="666" spans="1:14" ht="15" customHeight="1">
      <c r="A666" s="58">
        <v>46198</v>
      </c>
      <c r="B666" s="9">
        <f t="shared" si="152"/>
        <v>0.95833333333333293</v>
      </c>
      <c r="C666" s="16" t="s">
        <v>29</v>
      </c>
      <c r="D666" s="16" t="s">
        <v>22</v>
      </c>
      <c r="E666" s="11">
        <v>33</v>
      </c>
      <c r="F666" s="12">
        <f t="shared" si="150"/>
        <v>165</v>
      </c>
      <c r="G666" s="10"/>
      <c r="H666" s="10"/>
      <c r="I666" s="10"/>
      <c r="J666" s="13"/>
      <c r="K666" s="13"/>
      <c r="L666" s="70" t="str">
        <f t="shared" si="151"/>
        <v/>
      </c>
      <c r="M666" s="29"/>
      <c r="N666" s="30"/>
    </row>
    <row r="667" spans="1:14" ht="15" customHeight="1">
      <c r="A667" s="59">
        <v>46198</v>
      </c>
      <c r="B667" s="15">
        <f t="shared" si="152"/>
        <v>0.99999999999999956</v>
      </c>
      <c r="C667" s="16" t="s">
        <v>29</v>
      </c>
      <c r="D667" s="16" t="s">
        <v>22</v>
      </c>
      <c r="E667" s="11">
        <v>40</v>
      </c>
      <c r="F667" s="17">
        <f t="shared" si="150"/>
        <v>200</v>
      </c>
      <c r="G667" s="16"/>
      <c r="H667" s="16"/>
      <c r="I667" s="16"/>
      <c r="J667" s="13"/>
      <c r="K667" s="13"/>
      <c r="L667" s="71" t="str">
        <f t="shared" si="151"/>
        <v/>
      </c>
      <c r="M667" s="29"/>
      <c r="N667" s="30"/>
    </row>
    <row r="668" spans="1:14" ht="15" customHeight="1">
      <c r="A668" s="58">
        <v>46198</v>
      </c>
      <c r="B668" s="9">
        <f t="shared" si="152"/>
        <v>1.0416666666666663</v>
      </c>
      <c r="C668" s="16" t="s">
        <v>29</v>
      </c>
      <c r="D668" s="16" t="s">
        <v>22</v>
      </c>
      <c r="E668" s="11">
        <v>41</v>
      </c>
      <c r="F668" s="12">
        <f t="shared" si="150"/>
        <v>205</v>
      </c>
      <c r="G668" s="10"/>
      <c r="H668" s="10"/>
      <c r="I668" s="10"/>
      <c r="J668" s="13"/>
      <c r="K668" s="13"/>
      <c r="L668" s="70" t="str">
        <f t="shared" si="151"/>
        <v/>
      </c>
      <c r="M668" s="29"/>
      <c r="N668" s="30"/>
    </row>
    <row r="669" spans="1:14" ht="15" customHeight="1">
      <c r="A669" s="59">
        <v>46198</v>
      </c>
      <c r="B669" s="15">
        <f t="shared" si="152"/>
        <v>1.083333333333333</v>
      </c>
      <c r="C669" s="16" t="s">
        <v>29</v>
      </c>
      <c r="D669" s="16" t="s">
        <v>22</v>
      </c>
      <c r="E669" s="11">
        <v>28</v>
      </c>
      <c r="F669" s="17">
        <f t="shared" si="150"/>
        <v>140</v>
      </c>
      <c r="G669" s="16"/>
      <c r="H669" s="16"/>
      <c r="I669" s="16"/>
      <c r="J669" s="13"/>
      <c r="K669" s="13"/>
      <c r="L669" s="71" t="str">
        <f t="shared" si="151"/>
        <v/>
      </c>
      <c r="M669" s="29"/>
      <c r="N669" s="30"/>
    </row>
    <row r="670" spans="1:14" ht="15" customHeight="1">
      <c r="A670" s="58">
        <v>46198</v>
      </c>
      <c r="B670" s="9">
        <f t="shared" si="152"/>
        <v>1.1249999999999998</v>
      </c>
      <c r="C670" s="16" t="s">
        <v>29</v>
      </c>
      <c r="D670" s="16" t="s">
        <v>22</v>
      </c>
      <c r="E670" s="11">
        <v>16</v>
      </c>
      <c r="F670" s="12">
        <f t="shared" si="150"/>
        <v>80</v>
      </c>
      <c r="G670" s="10"/>
      <c r="H670" s="10"/>
      <c r="I670" s="10"/>
      <c r="J670" s="13"/>
      <c r="K670" s="13"/>
      <c r="L670" s="70" t="str">
        <f t="shared" si="151"/>
        <v/>
      </c>
      <c r="M670" s="29"/>
      <c r="N670" s="30"/>
    </row>
    <row r="671" spans="1:14" ht="15" customHeight="1">
      <c r="A671" s="59">
        <v>46198</v>
      </c>
      <c r="B671" s="15">
        <f t="shared" si="152"/>
        <v>1.1666666666666665</v>
      </c>
      <c r="C671" s="16" t="s">
        <v>29</v>
      </c>
      <c r="D671" s="16" t="s">
        <v>22</v>
      </c>
      <c r="E671" s="11">
        <v>26</v>
      </c>
      <c r="F671" s="17">
        <f t="shared" si="150"/>
        <v>130</v>
      </c>
      <c r="G671" s="16"/>
      <c r="H671" s="16"/>
      <c r="I671" s="16"/>
      <c r="J671" s="13"/>
      <c r="K671" s="13"/>
      <c r="L671" s="71" t="str">
        <f t="shared" si="151"/>
        <v/>
      </c>
      <c r="M671" s="29"/>
      <c r="N671" s="30"/>
    </row>
    <row r="672" spans="1:14" ht="15" customHeight="1">
      <c r="A672" s="58">
        <v>46198</v>
      </c>
      <c r="B672" s="9">
        <f t="shared" si="152"/>
        <v>1.2083333333333333</v>
      </c>
      <c r="C672" s="16" t="s">
        <v>29</v>
      </c>
      <c r="D672" s="16" t="s">
        <v>22</v>
      </c>
      <c r="E672" s="11">
        <v>32</v>
      </c>
      <c r="F672" s="12">
        <f t="shared" si="150"/>
        <v>160</v>
      </c>
      <c r="G672" s="10"/>
      <c r="H672" s="10"/>
      <c r="I672" s="10"/>
      <c r="J672" s="13"/>
      <c r="K672" s="13"/>
      <c r="L672" s="70" t="str">
        <f t="shared" si="151"/>
        <v/>
      </c>
      <c r="M672" s="29"/>
      <c r="N672" s="30"/>
    </row>
    <row r="673" spans="1:14" ht="15" customHeight="1">
      <c r="A673" s="59">
        <v>46198</v>
      </c>
      <c r="B673" s="15">
        <f t="shared" si="152"/>
        <v>1.25</v>
      </c>
      <c r="C673" s="16" t="s">
        <v>29</v>
      </c>
      <c r="D673" s="16" t="s">
        <v>22</v>
      </c>
      <c r="E673" s="11">
        <v>31</v>
      </c>
      <c r="F673" s="17">
        <f t="shared" si="150"/>
        <v>155</v>
      </c>
      <c r="G673" s="16"/>
      <c r="H673" s="16"/>
      <c r="I673" s="16"/>
      <c r="J673" s="13"/>
      <c r="K673" s="13"/>
      <c r="L673" s="71" t="str">
        <f t="shared" si="151"/>
        <v/>
      </c>
      <c r="M673" s="29"/>
      <c r="N673" s="30"/>
    </row>
    <row r="674" spans="1:14" ht="15" customHeight="1">
      <c r="A674" s="58">
        <v>46198</v>
      </c>
      <c r="B674" s="9">
        <f t="shared" si="152"/>
        <v>1.2916666666666667</v>
      </c>
      <c r="C674" s="16" t="s">
        <v>29</v>
      </c>
      <c r="D674" s="16" t="s">
        <v>22</v>
      </c>
      <c r="E674" s="11">
        <v>15</v>
      </c>
      <c r="F674" s="12">
        <f t="shared" si="150"/>
        <v>75</v>
      </c>
      <c r="G674" s="10"/>
      <c r="H674" s="10"/>
      <c r="I674" s="10"/>
      <c r="J674" s="13"/>
      <c r="K674" s="13"/>
      <c r="L674" s="70" t="str">
        <f t="shared" si="151"/>
        <v/>
      </c>
      <c r="M674" s="29"/>
      <c r="N674" s="30"/>
    </row>
    <row r="675" spans="1:14" ht="15.75" customHeight="1">
      <c r="A675" s="97" t="s">
        <v>193</v>
      </c>
      <c r="B675" s="97"/>
      <c r="C675" s="97"/>
      <c r="D675" s="97"/>
      <c r="E675" s="19">
        <f>SUM(E663:E674)</f>
        <v>371</v>
      </c>
      <c r="F675" s="19">
        <f>SUM(F663:F674)</f>
        <v>1855</v>
      </c>
      <c r="G675" s="18"/>
      <c r="H675" s="18"/>
      <c r="I675" s="18"/>
      <c r="J675" s="18"/>
      <c r="K675" s="18"/>
      <c r="L675" s="72">
        <f>IFERROR(SUM(L663:L674),"")</f>
        <v>0</v>
      </c>
      <c r="M675" s="19" t="s">
        <v>192</v>
      </c>
      <c r="N675" s="20">
        <v>1608610</v>
      </c>
    </row>
    <row r="676" spans="1:14" ht="18" customHeight="1">
      <c r="A676" s="98" t="s">
        <v>194</v>
      </c>
      <c r="B676" s="98"/>
      <c r="C676" s="98"/>
      <c r="D676" s="98"/>
      <c r="E676" s="22">
        <f>E662+E675</f>
        <v>661</v>
      </c>
      <c r="F676" s="22">
        <f>F662+F675</f>
        <v>3305</v>
      </c>
      <c r="G676" s="21"/>
      <c r="H676" s="21"/>
      <c r="I676" s="21"/>
      <c r="J676" s="21"/>
      <c r="K676" s="21"/>
      <c r="L676" s="73">
        <f>IFERROR(L662+L675,"")</f>
        <v>5.2083333333333315E-2</v>
      </c>
      <c r="M676" s="22" t="s">
        <v>195</v>
      </c>
      <c r="N676" s="31">
        <f>IFERROR(N662+N675,"")</f>
        <v>3091830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/>
      <c r="E677" s="11">
        <v>0</v>
      </c>
      <c r="F677" s="17">
        <f t="shared" ref="F677:F688" si="153">IF(E677="","",E677*5)</f>
        <v>0</v>
      </c>
      <c r="G677" s="16" t="s">
        <v>18</v>
      </c>
      <c r="H677" s="16" t="s">
        <v>23</v>
      </c>
      <c r="I677" s="16" t="s">
        <v>176</v>
      </c>
      <c r="J677" s="13">
        <v>0.29166666666666669</v>
      </c>
      <c r="K677" s="13">
        <v>0.35972222222222222</v>
      </c>
      <c r="L677" s="71">
        <f t="shared" ref="L677:L688" si="154">IFERROR(IF(K677="","",IF(K677&gt;=J677,K677-J677,K677+1-J677)),"")</f>
        <v>6.8055555555555536E-2</v>
      </c>
      <c r="M677" s="29"/>
      <c r="N677" s="30"/>
    </row>
    <row r="678" spans="1:14" ht="15" customHeight="1">
      <c r="A678" s="58">
        <v>46199</v>
      </c>
      <c r="B678" s="9">
        <f t="shared" ref="B678:B688" si="155">B677+TIME(0,60,0)</f>
        <v>0.37499999999999967</v>
      </c>
      <c r="C678" s="16" t="s">
        <v>21</v>
      </c>
      <c r="D678" s="16" t="s">
        <v>30</v>
      </c>
      <c r="E678" s="11">
        <v>10</v>
      </c>
      <c r="F678" s="12">
        <f t="shared" si="153"/>
        <v>50</v>
      </c>
      <c r="G678" s="10" t="s">
        <v>18</v>
      </c>
      <c r="H678" s="10" t="s">
        <v>23</v>
      </c>
      <c r="I678" s="10" t="s">
        <v>178</v>
      </c>
      <c r="J678" s="13">
        <v>0.60972222222222228</v>
      </c>
      <c r="K678" s="13">
        <v>0.66805555555555551</v>
      </c>
      <c r="L678" s="70">
        <f t="shared" si="154"/>
        <v>5.8333333333333237E-2</v>
      </c>
      <c r="M678" s="29" t="s">
        <v>226</v>
      </c>
      <c r="N678" s="30"/>
    </row>
    <row r="679" spans="1:14" ht="15" customHeight="1">
      <c r="A679" s="59">
        <v>46199</v>
      </c>
      <c r="B679" s="15">
        <f t="shared" si="155"/>
        <v>0.41666666666666635</v>
      </c>
      <c r="C679" s="16" t="s">
        <v>21</v>
      </c>
      <c r="D679" s="16" t="s">
        <v>30</v>
      </c>
      <c r="E679" s="11">
        <v>30</v>
      </c>
      <c r="F679" s="17">
        <f t="shared" si="153"/>
        <v>150</v>
      </c>
      <c r="G679" s="16" t="s">
        <v>19</v>
      </c>
      <c r="H679" s="16" t="s">
        <v>23</v>
      </c>
      <c r="I679" s="16" t="s">
        <v>102</v>
      </c>
      <c r="J679" s="13">
        <v>0.72569444444444442</v>
      </c>
      <c r="K679" s="13">
        <v>0.75972222222222219</v>
      </c>
      <c r="L679" s="71">
        <f t="shared" si="154"/>
        <v>3.4027777777777768E-2</v>
      </c>
      <c r="M679" s="29" t="s">
        <v>227</v>
      </c>
      <c r="N679" s="30"/>
    </row>
    <row r="680" spans="1:14" ht="15" customHeight="1">
      <c r="A680" s="58">
        <v>46199</v>
      </c>
      <c r="B680" s="9">
        <f t="shared" si="155"/>
        <v>0.45833333333333304</v>
      </c>
      <c r="C680" s="16" t="s">
        <v>21</v>
      </c>
      <c r="D680" s="16" t="s">
        <v>30</v>
      </c>
      <c r="E680" s="11">
        <v>35</v>
      </c>
      <c r="F680" s="12">
        <f t="shared" si="153"/>
        <v>175</v>
      </c>
      <c r="G680" s="10"/>
      <c r="H680" s="10"/>
      <c r="I680" s="10"/>
      <c r="J680" s="13"/>
      <c r="K680" s="13"/>
      <c r="L680" s="70" t="str">
        <f t="shared" si="154"/>
        <v/>
      </c>
      <c r="M680" s="29"/>
      <c r="N680" s="30"/>
    </row>
    <row r="681" spans="1:14" ht="15" customHeight="1">
      <c r="A681" s="59">
        <v>46199</v>
      </c>
      <c r="B681" s="15">
        <f t="shared" si="155"/>
        <v>0.49999999999999972</v>
      </c>
      <c r="C681" s="16" t="s">
        <v>21</v>
      </c>
      <c r="D681" s="16" t="s">
        <v>30</v>
      </c>
      <c r="E681" s="11">
        <v>10</v>
      </c>
      <c r="F681" s="17">
        <f t="shared" si="153"/>
        <v>50</v>
      </c>
      <c r="G681" s="16"/>
      <c r="H681" s="16"/>
      <c r="I681" s="16"/>
      <c r="J681" s="13"/>
      <c r="K681" s="13"/>
      <c r="L681" s="71" t="str">
        <f t="shared" si="154"/>
        <v/>
      </c>
      <c r="M681" s="29"/>
      <c r="N681" s="30"/>
    </row>
    <row r="682" spans="1:14" ht="15" customHeight="1">
      <c r="A682" s="58">
        <v>46199</v>
      </c>
      <c r="B682" s="9">
        <f t="shared" si="155"/>
        <v>0.54166666666666641</v>
      </c>
      <c r="C682" s="16" t="s">
        <v>21</v>
      </c>
      <c r="D682" s="16" t="s">
        <v>30</v>
      </c>
      <c r="E682" s="11">
        <v>20</v>
      </c>
      <c r="F682" s="12">
        <f t="shared" si="153"/>
        <v>100</v>
      </c>
      <c r="G682" s="10"/>
      <c r="H682" s="10"/>
      <c r="I682" s="10"/>
      <c r="J682" s="13"/>
      <c r="K682" s="13"/>
      <c r="L682" s="70" t="str">
        <f t="shared" si="154"/>
        <v/>
      </c>
      <c r="M682" s="29"/>
      <c r="N682" s="30"/>
    </row>
    <row r="683" spans="1:14" ht="15" customHeight="1">
      <c r="A683" s="59">
        <v>46199</v>
      </c>
      <c r="B683" s="15">
        <f t="shared" si="155"/>
        <v>0.58333333333333304</v>
      </c>
      <c r="C683" s="16" t="s">
        <v>21</v>
      </c>
      <c r="D683" s="16" t="s">
        <v>30</v>
      </c>
      <c r="E683" s="11">
        <v>40</v>
      </c>
      <c r="F683" s="17">
        <f t="shared" si="153"/>
        <v>200</v>
      </c>
      <c r="G683" s="16"/>
      <c r="H683" s="16"/>
      <c r="I683" s="16"/>
      <c r="J683" s="13"/>
      <c r="K683" s="13"/>
      <c r="L683" s="71" t="str">
        <f t="shared" si="154"/>
        <v/>
      </c>
      <c r="M683" s="29"/>
      <c r="N683" s="30"/>
    </row>
    <row r="684" spans="1:14" ht="15" customHeight="1">
      <c r="A684" s="58">
        <v>46199</v>
      </c>
      <c r="B684" s="9">
        <f t="shared" si="155"/>
        <v>0.62499999999999967</v>
      </c>
      <c r="C684" s="16" t="s">
        <v>21</v>
      </c>
      <c r="D684" s="16" t="s">
        <v>30</v>
      </c>
      <c r="E684" s="11">
        <v>37</v>
      </c>
      <c r="F684" s="12">
        <f t="shared" si="153"/>
        <v>185</v>
      </c>
      <c r="G684" s="10"/>
      <c r="H684" s="10"/>
      <c r="I684" s="10"/>
      <c r="J684" s="13"/>
      <c r="K684" s="13"/>
      <c r="L684" s="70" t="str">
        <f t="shared" si="154"/>
        <v/>
      </c>
      <c r="M684" s="29"/>
      <c r="N684" s="30"/>
    </row>
    <row r="685" spans="1:14" ht="15" customHeight="1">
      <c r="A685" s="59">
        <v>46199</v>
      </c>
      <c r="B685" s="15">
        <f t="shared" si="155"/>
        <v>0.6666666666666663</v>
      </c>
      <c r="C685" s="16" t="s">
        <v>21</v>
      </c>
      <c r="D685" s="16" t="s">
        <v>30</v>
      </c>
      <c r="E685" s="11">
        <v>0</v>
      </c>
      <c r="F685" s="17">
        <f t="shared" si="153"/>
        <v>0</v>
      </c>
      <c r="G685" s="16"/>
      <c r="H685" s="16"/>
      <c r="I685" s="16"/>
      <c r="J685" s="13"/>
      <c r="K685" s="13"/>
      <c r="L685" s="71" t="str">
        <f t="shared" si="154"/>
        <v/>
      </c>
      <c r="M685" s="29"/>
      <c r="N685" s="30"/>
    </row>
    <row r="686" spans="1:14" ht="15" customHeight="1">
      <c r="A686" s="58">
        <v>46199</v>
      </c>
      <c r="B686" s="9">
        <f t="shared" si="155"/>
        <v>0.70833333333333293</v>
      </c>
      <c r="C686" s="16" t="s">
        <v>21</v>
      </c>
      <c r="D686" s="16" t="s">
        <v>30</v>
      </c>
      <c r="E686" s="11">
        <v>20</v>
      </c>
      <c r="F686" s="12">
        <f t="shared" si="153"/>
        <v>100</v>
      </c>
      <c r="G686" s="10"/>
      <c r="H686" s="10"/>
      <c r="I686" s="10"/>
      <c r="J686" s="13"/>
      <c r="K686" s="13"/>
      <c r="L686" s="70" t="str">
        <f t="shared" si="154"/>
        <v/>
      </c>
      <c r="M686" s="29"/>
      <c r="N686" s="30"/>
    </row>
    <row r="687" spans="1:14" ht="15" customHeight="1">
      <c r="A687" s="59">
        <v>46199</v>
      </c>
      <c r="B687" s="15">
        <f t="shared" si="155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3"/>
        <v>50</v>
      </c>
      <c r="G687" s="16"/>
      <c r="H687" s="16"/>
      <c r="I687" s="16"/>
      <c r="J687" s="13"/>
      <c r="K687" s="13"/>
      <c r="L687" s="71" t="str">
        <f t="shared" si="154"/>
        <v/>
      </c>
      <c r="M687" s="29"/>
      <c r="N687" s="30"/>
    </row>
    <row r="688" spans="1:14" ht="15" customHeight="1">
      <c r="A688" s="58">
        <v>46199</v>
      </c>
      <c r="B688" s="9">
        <f t="shared" si="155"/>
        <v>0.79166666666666619</v>
      </c>
      <c r="C688" s="16" t="s">
        <v>21</v>
      </c>
      <c r="D688" s="16" t="s">
        <v>30</v>
      </c>
      <c r="E688" s="11">
        <v>0</v>
      </c>
      <c r="F688" s="12">
        <f t="shared" si="153"/>
        <v>0</v>
      </c>
      <c r="G688" s="10"/>
      <c r="H688" s="10"/>
      <c r="I688" s="10"/>
      <c r="J688" s="13"/>
      <c r="K688" s="13"/>
      <c r="L688" s="70" t="str">
        <f t="shared" si="154"/>
        <v/>
      </c>
      <c r="M688" s="29"/>
      <c r="N688" s="30"/>
    </row>
    <row r="689" spans="1:14" ht="15.75" customHeight="1">
      <c r="A689" s="97" t="s">
        <v>191</v>
      </c>
      <c r="B689" s="97"/>
      <c r="C689" s="97"/>
      <c r="D689" s="97"/>
      <c r="E689" s="19">
        <f>SUM(E677:E688)</f>
        <v>212</v>
      </c>
      <c r="F689" s="19">
        <f>SUM(F677:F688)</f>
        <v>1060</v>
      </c>
      <c r="G689" s="18"/>
      <c r="H689" s="18"/>
      <c r="I689" s="18"/>
      <c r="J689" s="18"/>
      <c r="K689" s="18"/>
      <c r="L689" s="72">
        <f>IFERROR(SUM(L677:L688),"")</f>
        <v>0.16041666666666654</v>
      </c>
      <c r="M689" s="19" t="s">
        <v>192</v>
      </c>
      <c r="N689" s="20">
        <v>1123040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24</v>
      </c>
      <c r="F690" s="12">
        <f t="shared" ref="F690:F701" si="156">IF(E690="","",E690*5)</f>
        <v>120</v>
      </c>
      <c r="G690" s="10" t="s">
        <v>20</v>
      </c>
      <c r="H690" s="10" t="s">
        <v>23</v>
      </c>
      <c r="I690" s="10" t="s">
        <v>129</v>
      </c>
      <c r="J690" s="13">
        <v>0.15486111111111112</v>
      </c>
      <c r="K690" s="13">
        <v>0.18680555555555556</v>
      </c>
      <c r="L690" s="70">
        <f t="shared" ref="L690:L701" si="157">IFERROR(IF(K690="","",IF(K690&gt;=J690,K690-J690,K690+1-J690)),"")</f>
        <v>3.1944444444444442E-2</v>
      </c>
      <c r="M690" s="29"/>
      <c r="N690" s="30"/>
    </row>
    <row r="691" spans="1:14" ht="15" customHeight="1">
      <c r="A691" s="59">
        <v>46199</v>
      </c>
      <c r="B691" s="15">
        <f t="shared" ref="B691:B701" si="158">B690+TIME(0,60,0)</f>
        <v>0.87499999999999967</v>
      </c>
      <c r="C691" s="10" t="s">
        <v>29</v>
      </c>
      <c r="D691" s="10" t="s">
        <v>22</v>
      </c>
      <c r="E691" s="11">
        <v>13</v>
      </c>
      <c r="F691" s="17">
        <f t="shared" si="156"/>
        <v>65</v>
      </c>
      <c r="G691" s="16"/>
      <c r="H691" s="16"/>
      <c r="I691" s="16"/>
      <c r="J691" s="13"/>
      <c r="K691" s="13"/>
      <c r="L691" s="71" t="str">
        <f t="shared" si="157"/>
        <v/>
      </c>
      <c r="M691" s="29"/>
      <c r="N691" s="30"/>
    </row>
    <row r="692" spans="1:14" ht="15" customHeight="1">
      <c r="A692" s="58">
        <v>46199</v>
      </c>
      <c r="B692" s="9">
        <f t="shared" si="158"/>
        <v>0.9166666666666663</v>
      </c>
      <c r="C692" s="10" t="s">
        <v>29</v>
      </c>
      <c r="D692" s="10" t="s">
        <v>22</v>
      </c>
      <c r="E692" s="11">
        <v>19</v>
      </c>
      <c r="F692" s="12">
        <f t="shared" si="156"/>
        <v>95</v>
      </c>
      <c r="G692" s="10"/>
      <c r="H692" s="10"/>
      <c r="I692" s="10"/>
      <c r="J692" s="13"/>
      <c r="K692" s="13"/>
      <c r="L692" s="70" t="str">
        <f t="shared" si="157"/>
        <v/>
      </c>
      <c r="M692" s="29"/>
      <c r="N692" s="30"/>
    </row>
    <row r="693" spans="1:14" ht="15" customHeight="1">
      <c r="A693" s="59">
        <v>46199</v>
      </c>
      <c r="B693" s="15">
        <f t="shared" si="158"/>
        <v>0.95833333333333293</v>
      </c>
      <c r="C693" s="10" t="s">
        <v>29</v>
      </c>
      <c r="D693" s="10" t="s">
        <v>22</v>
      </c>
      <c r="E693" s="11">
        <v>28</v>
      </c>
      <c r="F693" s="17">
        <f t="shared" si="156"/>
        <v>140</v>
      </c>
      <c r="G693" s="16"/>
      <c r="H693" s="16"/>
      <c r="I693" s="16"/>
      <c r="J693" s="13"/>
      <c r="K693" s="13"/>
      <c r="L693" s="71" t="str">
        <f t="shared" si="157"/>
        <v/>
      </c>
      <c r="M693" s="29"/>
      <c r="N693" s="30"/>
    </row>
    <row r="694" spans="1:14" ht="15" customHeight="1">
      <c r="A694" s="58">
        <v>46199</v>
      </c>
      <c r="B694" s="9">
        <f t="shared" si="158"/>
        <v>0.99999999999999956</v>
      </c>
      <c r="C694" s="10" t="s">
        <v>29</v>
      </c>
      <c r="D694" s="10" t="s">
        <v>22</v>
      </c>
      <c r="E694" s="11">
        <v>10</v>
      </c>
      <c r="F694" s="12">
        <f t="shared" si="156"/>
        <v>50</v>
      </c>
      <c r="G694" s="10"/>
      <c r="H694" s="10"/>
      <c r="I694" s="10"/>
      <c r="J694" s="13"/>
      <c r="K694" s="13"/>
      <c r="L694" s="70" t="str">
        <f t="shared" si="157"/>
        <v/>
      </c>
      <c r="M694" s="29"/>
      <c r="N694" s="30"/>
    </row>
    <row r="695" spans="1:14" ht="15" customHeight="1">
      <c r="A695" s="59">
        <v>46199</v>
      </c>
      <c r="B695" s="15">
        <f t="shared" si="158"/>
        <v>1.0416666666666663</v>
      </c>
      <c r="C695" s="10" t="s">
        <v>29</v>
      </c>
      <c r="D695" s="10" t="s">
        <v>22</v>
      </c>
      <c r="E695" s="11">
        <v>25</v>
      </c>
      <c r="F695" s="17">
        <f t="shared" si="156"/>
        <v>125</v>
      </c>
      <c r="G695" s="16"/>
      <c r="H695" s="16"/>
      <c r="I695" s="16"/>
      <c r="J695" s="13"/>
      <c r="K695" s="13"/>
      <c r="L695" s="71" t="str">
        <f t="shared" si="157"/>
        <v/>
      </c>
      <c r="M695" s="29"/>
      <c r="N695" s="30"/>
    </row>
    <row r="696" spans="1:14" ht="15" customHeight="1">
      <c r="A696" s="58">
        <v>46199</v>
      </c>
      <c r="B696" s="9">
        <f t="shared" si="158"/>
        <v>1.083333333333333</v>
      </c>
      <c r="C696" s="10" t="s">
        <v>29</v>
      </c>
      <c r="D696" s="10" t="s">
        <v>22</v>
      </c>
      <c r="E696" s="11">
        <v>30</v>
      </c>
      <c r="F696" s="12">
        <f t="shared" si="156"/>
        <v>150</v>
      </c>
      <c r="G696" s="10"/>
      <c r="H696" s="10"/>
      <c r="I696" s="10"/>
      <c r="J696" s="13"/>
      <c r="K696" s="13"/>
      <c r="L696" s="70" t="str">
        <f t="shared" si="157"/>
        <v/>
      </c>
      <c r="M696" s="29"/>
      <c r="N696" s="30"/>
    </row>
    <row r="697" spans="1:14" ht="15" customHeight="1">
      <c r="A697" s="59">
        <v>46199</v>
      </c>
      <c r="B697" s="15">
        <f t="shared" si="158"/>
        <v>1.1249999999999998</v>
      </c>
      <c r="C697" s="10" t="s">
        <v>29</v>
      </c>
      <c r="D697" s="10" t="s">
        <v>22</v>
      </c>
      <c r="E697" s="11">
        <v>45</v>
      </c>
      <c r="F697" s="17">
        <f t="shared" si="156"/>
        <v>225</v>
      </c>
      <c r="G697" s="16"/>
      <c r="H697" s="16"/>
      <c r="I697" s="16"/>
      <c r="J697" s="13"/>
      <c r="K697" s="13"/>
      <c r="L697" s="71" t="str">
        <f t="shared" si="157"/>
        <v/>
      </c>
      <c r="M697" s="29"/>
      <c r="N697" s="30"/>
    </row>
    <row r="698" spans="1:14" ht="15" customHeight="1">
      <c r="A698" s="58">
        <v>46199</v>
      </c>
      <c r="B698" s="9">
        <f t="shared" si="158"/>
        <v>1.1666666666666665</v>
      </c>
      <c r="C698" s="10" t="s">
        <v>29</v>
      </c>
      <c r="D698" s="10" t="s">
        <v>22</v>
      </c>
      <c r="E698" s="11">
        <v>0</v>
      </c>
      <c r="F698" s="12">
        <f t="shared" si="156"/>
        <v>0</v>
      </c>
      <c r="G698" s="10"/>
      <c r="H698" s="10"/>
      <c r="I698" s="10"/>
      <c r="J698" s="13"/>
      <c r="K698" s="13"/>
      <c r="L698" s="70" t="str">
        <f t="shared" si="157"/>
        <v/>
      </c>
      <c r="M698" s="29"/>
      <c r="N698" s="30"/>
    </row>
    <row r="699" spans="1:14" ht="15" customHeight="1">
      <c r="A699" s="59">
        <v>46199</v>
      </c>
      <c r="B699" s="15">
        <f t="shared" si="158"/>
        <v>1.2083333333333333</v>
      </c>
      <c r="C699" s="10" t="s">
        <v>29</v>
      </c>
      <c r="D699" s="10" t="s">
        <v>22</v>
      </c>
      <c r="E699" s="11">
        <v>15</v>
      </c>
      <c r="F699" s="17">
        <f t="shared" si="156"/>
        <v>75</v>
      </c>
      <c r="G699" s="16"/>
      <c r="H699" s="16"/>
      <c r="I699" s="16"/>
      <c r="J699" s="13"/>
      <c r="K699" s="13"/>
      <c r="L699" s="71" t="str">
        <f t="shared" si="157"/>
        <v/>
      </c>
      <c r="M699" s="29"/>
      <c r="N699" s="30"/>
    </row>
    <row r="700" spans="1:14" ht="15" customHeight="1">
      <c r="A700" s="58">
        <v>46199</v>
      </c>
      <c r="B700" s="9">
        <f t="shared" si="158"/>
        <v>1.25</v>
      </c>
      <c r="C700" s="10" t="s">
        <v>29</v>
      </c>
      <c r="D700" s="10" t="s">
        <v>22</v>
      </c>
      <c r="E700" s="11">
        <v>35</v>
      </c>
      <c r="F700" s="12">
        <f t="shared" si="156"/>
        <v>175</v>
      </c>
      <c r="G700" s="10"/>
      <c r="H700" s="10"/>
      <c r="I700" s="10"/>
      <c r="J700" s="13"/>
      <c r="K700" s="13"/>
      <c r="L700" s="70" t="str">
        <f t="shared" si="157"/>
        <v/>
      </c>
      <c r="M700" s="29"/>
      <c r="N700" s="30"/>
    </row>
    <row r="701" spans="1:14" ht="15" customHeight="1">
      <c r="A701" s="59">
        <v>46199</v>
      </c>
      <c r="B701" s="15">
        <f t="shared" si="158"/>
        <v>1.2916666666666667</v>
      </c>
      <c r="C701" s="10" t="s">
        <v>29</v>
      </c>
      <c r="D701" s="10" t="s">
        <v>22</v>
      </c>
      <c r="E701" s="11">
        <v>9</v>
      </c>
      <c r="F701" s="17">
        <f t="shared" si="156"/>
        <v>45</v>
      </c>
      <c r="G701" s="16"/>
      <c r="H701" s="16"/>
      <c r="I701" s="16"/>
      <c r="J701" s="13"/>
      <c r="K701" s="13"/>
      <c r="L701" s="71" t="str">
        <f t="shared" si="157"/>
        <v/>
      </c>
      <c r="M701" s="29"/>
      <c r="N701" s="30"/>
    </row>
    <row r="702" spans="1:14" ht="15.75" customHeight="1">
      <c r="A702" s="97" t="s">
        <v>193</v>
      </c>
      <c r="B702" s="97"/>
      <c r="C702" s="97"/>
      <c r="D702" s="97"/>
      <c r="E702" s="19">
        <f>SUM(E690:E701)</f>
        <v>253</v>
      </c>
      <c r="F702" s="19">
        <f>SUM(F690:F701)</f>
        <v>1265</v>
      </c>
      <c r="G702" s="18"/>
      <c r="H702" s="18"/>
      <c r="I702" s="18"/>
      <c r="J702" s="18"/>
      <c r="K702" s="18"/>
      <c r="L702" s="72">
        <f>IFERROR(SUM(L690:L701),"")</f>
        <v>3.1944444444444442E-2</v>
      </c>
      <c r="M702" s="19" t="s">
        <v>192</v>
      </c>
      <c r="N702" s="20">
        <f>316300+609860</f>
        <v>926160</v>
      </c>
    </row>
    <row r="703" spans="1:14" ht="18" customHeight="1">
      <c r="A703" s="98" t="s">
        <v>194</v>
      </c>
      <c r="B703" s="98"/>
      <c r="C703" s="98"/>
      <c r="D703" s="98"/>
      <c r="E703" s="22">
        <f>E689+E702</f>
        <v>465</v>
      </c>
      <c r="F703" s="22">
        <f>F689+F702</f>
        <v>2325</v>
      </c>
      <c r="G703" s="21"/>
      <c r="H703" s="21"/>
      <c r="I703" s="21"/>
      <c r="J703" s="21"/>
      <c r="K703" s="21"/>
      <c r="L703" s="73">
        <f>IFERROR(L689+L702,"")</f>
        <v>0.19236111111111098</v>
      </c>
      <c r="M703" s="22" t="s">
        <v>195</v>
      </c>
      <c r="N703" s="31">
        <f>IFERROR(N689+N702,"")</f>
        <v>2049200</v>
      </c>
    </row>
    <row r="704" spans="1:14" ht="15" customHeight="1">
      <c r="A704" s="58">
        <v>46200</v>
      </c>
      <c r="B704" s="9">
        <v>0.33333333333333331</v>
      </c>
      <c r="C704" s="10" t="s">
        <v>21</v>
      </c>
      <c r="D704" s="10" t="s">
        <v>30</v>
      </c>
      <c r="E704" s="11">
        <v>0</v>
      </c>
      <c r="F704" s="12">
        <f t="shared" ref="F704:F715" si="159">IF(E704="","",E704*5)</f>
        <v>0</v>
      </c>
      <c r="G704" s="10" t="s">
        <v>19</v>
      </c>
      <c r="H704" s="10" t="s">
        <v>23</v>
      </c>
      <c r="I704" s="10" t="s">
        <v>67</v>
      </c>
      <c r="J704" s="13">
        <v>0.29166666666666669</v>
      </c>
      <c r="K704" s="13">
        <v>0.33333333333333331</v>
      </c>
      <c r="L704" s="70">
        <f t="shared" ref="L704:L715" si="160">IFERROR(IF(K704="","",IF(K704&gt;=J704,K704-J704,K704+1-J704)),"")</f>
        <v>4.166666666666663E-2</v>
      </c>
      <c r="M704" s="29" t="s">
        <v>228</v>
      </c>
      <c r="N704" s="30"/>
    </row>
    <row r="705" spans="1:14" ht="15" customHeight="1">
      <c r="A705" s="59">
        <v>46200</v>
      </c>
      <c r="B705" s="15">
        <f t="shared" ref="B705:B715" si="161">B704+TIME(0,60,0)</f>
        <v>0.375</v>
      </c>
      <c r="C705" s="10" t="s">
        <v>21</v>
      </c>
      <c r="D705" s="10" t="s">
        <v>30</v>
      </c>
      <c r="E705" s="11">
        <v>35</v>
      </c>
      <c r="F705" s="17">
        <f t="shared" si="159"/>
        <v>175</v>
      </c>
      <c r="G705" s="16" t="s">
        <v>19</v>
      </c>
      <c r="H705" s="16" t="s">
        <v>23</v>
      </c>
      <c r="I705" s="16" t="s">
        <v>67</v>
      </c>
      <c r="J705" s="13">
        <v>0.4861111111111111</v>
      </c>
      <c r="K705" s="13">
        <v>0.53680555555555554</v>
      </c>
      <c r="L705" s="71">
        <f t="shared" si="160"/>
        <v>5.0694444444444431E-2</v>
      </c>
      <c r="M705" s="29"/>
      <c r="N705" s="30"/>
    </row>
    <row r="706" spans="1:14" ht="15" customHeight="1">
      <c r="A706" s="58">
        <v>46200</v>
      </c>
      <c r="B706" s="9">
        <f t="shared" si="161"/>
        <v>0.41666666666666669</v>
      </c>
      <c r="C706" s="10" t="s">
        <v>21</v>
      </c>
      <c r="D706" s="10" t="s">
        <v>30</v>
      </c>
      <c r="E706" s="11">
        <v>20</v>
      </c>
      <c r="F706" s="12">
        <f t="shared" si="159"/>
        <v>100</v>
      </c>
      <c r="G706" s="10" t="s">
        <v>18</v>
      </c>
      <c r="H706" s="10" t="s">
        <v>23</v>
      </c>
      <c r="I706" s="10" t="s">
        <v>122</v>
      </c>
      <c r="J706" s="13">
        <v>0.56597222222222221</v>
      </c>
      <c r="K706" s="13">
        <v>0.72499999999999998</v>
      </c>
      <c r="L706" s="70">
        <f t="shared" si="160"/>
        <v>0.15902777777777777</v>
      </c>
      <c r="M706" s="29" t="s">
        <v>229</v>
      </c>
      <c r="N706" s="30"/>
    </row>
    <row r="707" spans="1:14" ht="15" customHeight="1">
      <c r="A707" s="59">
        <v>46200</v>
      </c>
      <c r="B707" s="15">
        <f t="shared" si="161"/>
        <v>0.45833333333333337</v>
      </c>
      <c r="C707" s="10" t="s">
        <v>21</v>
      </c>
      <c r="D707" s="10" t="s">
        <v>30</v>
      </c>
      <c r="E707" s="11">
        <v>25</v>
      </c>
      <c r="F707" s="17">
        <f t="shared" si="159"/>
        <v>125</v>
      </c>
      <c r="G707" s="16"/>
      <c r="H707" s="16"/>
      <c r="I707" s="16"/>
      <c r="J707" s="13"/>
      <c r="K707" s="13"/>
      <c r="L707" s="71" t="str">
        <f t="shared" si="160"/>
        <v/>
      </c>
      <c r="M707" s="29"/>
      <c r="N707" s="30"/>
    </row>
    <row r="708" spans="1:14" ht="15" customHeight="1">
      <c r="A708" s="58">
        <v>46200</v>
      </c>
      <c r="B708" s="9">
        <f t="shared" si="161"/>
        <v>0.5</v>
      </c>
      <c r="C708" s="10" t="s">
        <v>21</v>
      </c>
      <c r="D708" s="10" t="s">
        <v>30</v>
      </c>
      <c r="E708" s="11">
        <v>0</v>
      </c>
      <c r="F708" s="12">
        <f t="shared" si="159"/>
        <v>0</v>
      </c>
      <c r="G708" s="10"/>
      <c r="H708" s="10"/>
      <c r="I708" s="10"/>
      <c r="J708" s="13"/>
      <c r="K708" s="13"/>
      <c r="L708" s="70" t="str">
        <f t="shared" si="160"/>
        <v/>
      </c>
      <c r="M708" s="29"/>
      <c r="N708" s="30"/>
    </row>
    <row r="709" spans="1:14" ht="15" customHeight="1">
      <c r="A709" s="59">
        <v>46200</v>
      </c>
      <c r="B709" s="15">
        <f t="shared" si="161"/>
        <v>0.54166666666666663</v>
      </c>
      <c r="C709" s="10" t="s">
        <v>21</v>
      </c>
      <c r="D709" s="10" t="s">
        <v>30</v>
      </c>
      <c r="E709" s="11">
        <v>0</v>
      </c>
      <c r="F709" s="17">
        <f t="shared" si="159"/>
        <v>0</v>
      </c>
      <c r="G709" s="16"/>
      <c r="H709" s="16"/>
      <c r="I709" s="16"/>
      <c r="J709" s="13"/>
      <c r="K709" s="13"/>
      <c r="L709" s="71" t="str">
        <f t="shared" si="160"/>
        <v/>
      </c>
      <c r="M709" s="29"/>
      <c r="N709" s="30"/>
    </row>
    <row r="710" spans="1:14" ht="15" customHeight="1">
      <c r="A710" s="58">
        <v>46200</v>
      </c>
      <c r="B710" s="9">
        <f t="shared" si="161"/>
        <v>0.58333333333333326</v>
      </c>
      <c r="C710" s="10" t="s">
        <v>21</v>
      </c>
      <c r="D710" s="10" t="s">
        <v>30</v>
      </c>
      <c r="E710" s="11">
        <v>13</v>
      </c>
      <c r="F710" s="12">
        <f t="shared" si="159"/>
        <v>65</v>
      </c>
      <c r="G710" s="10"/>
      <c r="H710" s="10"/>
      <c r="I710" s="10"/>
      <c r="J710" s="13"/>
      <c r="K710" s="13"/>
      <c r="L710" s="70" t="str">
        <f t="shared" si="160"/>
        <v/>
      </c>
      <c r="M710" s="29"/>
      <c r="N710" s="30"/>
    </row>
    <row r="711" spans="1:14" ht="15" customHeight="1">
      <c r="A711" s="59">
        <v>46200</v>
      </c>
      <c r="B711" s="15">
        <f t="shared" si="161"/>
        <v>0.62499999999999989</v>
      </c>
      <c r="C711" s="10" t="s">
        <v>21</v>
      </c>
      <c r="D711" s="10" t="s">
        <v>30</v>
      </c>
      <c r="E711" s="11">
        <v>0</v>
      </c>
      <c r="F711" s="17">
        <f t="shared" si="159"/>
        <v>0</v>
      </c>
      <c r="G711" s="16"/>
      <c r="H711" s="16"/>
      <c r="I711" s="16"/>
      <c r="J711" s="13"/>
      <c r="K711" s="13"/>
      <c r="L711" s="71" t="str">
        <f t="shared" si="160"/>
        <v/>
      </c>
      <c r="M711" s="29"/>
      <c r="N711" s="30"/>
    </row>
    <row r="712" spans="1:14" ht="15" customHeight="1">
      <c r="A712" s="58">
        <v>46200</v>
      </c>
      <c r="B712" s="9">
        <f t="shared" si="161"/>
        <v>0.66666666666666652</v>
      </c>
      <c r="C712" s="10" t="s">
        <v>21</v>
      </c>
      <c r="D712" s="10" t="s">
        <v>30</v>
      </c>
      <c r="E712" s="11">
        <v>0</v>
      </c>
      <c r="F712" s="12">
        <f t="shared" si="159"/>
        <v>0</v>
      </c>
      <c r="G712" s="10"/>
      <c r="H712" s="10"/>
      <c r="I712" s="10"/>
      <c r="J712" s="13"/>
      <c r="K712" s="13"/>
      <c r="L712" s="70" t="str">
        <f t="shared" si="160"/>
        <v/>
      </c>
      <c r="M712" s="29"/>
      <c r="N712" s="30"/>
    </row>
    <row r="713" spans="1:14" ht="15" customHeight="1">
      <c r="A713" s="59">
        <v>46200</v>
      </c>
      <c r="B713" s="15">
        <f t="shared" si="161"/>
        <v>0.70833333333333315</v>
      </c>
      <c r="C713" s="10" t="s">
        <v>21</v>
      </c>
      <c r="D713" s="10" t="s">
        <v>30</v>
      </c>
      <c r="E713" s="11">
        <v>0</v>
      </c>
      <c r="F713" s="17">
        <f t="shared" si="159"/>
        <v>0</v>
      </c>
      <c r="G713" s="16"/>
      <c r="H713" s="16"/>
      <c r="I713" s="16"/>
      <c r="J713" s="13"/>
      <c r="K713" s="13"/>
      <c r="L713" s="71" t="str">
        <f t="shared" si="160"/>
        <v/>
      </c>
      <c r="M713" s="29"/>
      <c r="N713" s="30"/>
    </row>
    <row r="714" spans="1:14" ht="15" customHeight="1">
      <c r="A714" s="58">
        <v>46200</v>
      </c>
      <c r="B714" s="9">
        <f t="shared" si="161"/>
        <v>0.74999999999999978</v>
      </c>
      <c r="C714" s="10" t="s">
        <v>21</v>
      </c>
      <c r="D714" s="10" t="s">
        <v>30</v>
      </c>
      <c r="E714" s="11">
        <v>11</v>
      </c>
      <c r="F714" s="12">
        <f t="shared" si="159"/>
        <v>55</v>
      </c>
      <c r="G714" s="10"/>
      <c r="H714" s="10"/>
      <c r="I714" s="10"/>
      <c r="J714" s="13"/>
      <c r="K714" s="13"/>
      <c r="L714" s="70" t="str">
        <f t="shared" si="160"/>
        <v/>
      </c>
      <c r="M714" s="29"/>
      <c r="N714" s="30"/>
    </row>
    <row r="715" spans="1:14" ht="15" customHeight="1">
      <c r="A715" s="59">
        <v>46200</v>
      </c>
      <c r="B715" s="15">
        <f t="shared" si="161"/>
        <v>0.79166666666666641</v>
      </c>
      <c r="C715" s="10" t="s">
        <v>21</v>
      </c>
      <c r="D715" s="10" t="s">
        <v>30</v>
      </c>
      <c r="E715" s="11">
        <v>13</v>
      </c>
      <c r="F715" s="17">
        <f t="shared" si="159"/>
        <v>65</v>
      </c>
      <c r="G715" s="16"/>
      <c r="H715" s="16"/>
      <c r="I715" s="16"/>
      <c r="J715" s="13"/>
      <c r="K715" s="13"/>
      <c r="L715" s="71" t="str">
        <f t="shared" si="160"/>
        <v/>
      </c>
      <c r="M715" s="29"/>
      <c r="N715" s="30"/>
    </row>
    <row r="716" spans="1:14" ht="15.75" customHeight="1">
      <c r="A716" s="97" t="s">
        <v>191</v>
      </c>
      <c r="B716" s="97"/>
      <c r="C716" s="97"/>
      <c r="D716" s="97"/>
      <c r="E716" s="19">
        <f>SUM(E704:E715)</f>
        <v>117</v>
      </c>
      <c r="F716" s="19">
        <f>SUM(F704:F715)</f>
        <v>585</v>
      </c>
      <c r="G716" s="18"/>
      <c r="H716" s="18"/>
      <c r="I716" s="18"/>
      <c r="J716" s="18"/>
      <c r="K716" s="18"/>
      <c r="L716" s="72">
        <f>IFERROR(SUM(L704:L715),"")</f>
        <v>0.25138888888888883</v>
      </c>
      <c r="M716" s="19" t="s">
        <v>192</v>
      </c>
      <c r="N716" s="20">
        <v>623640</v>
      </c>
    </row>
    <row r="717" spans="1:14" ht="15" customHeight="1">
      <c r="A717" s="59">
        <v>46200</v>
      </c>
      <c r="B717" s="15">
        <v>0.83333333333333304</v>
      </c>
      <c r="C717" s="10" t="s">
        <v>45</v>
      </c>
      <c r="D717" s="10" t="s">
        <v>30</v>
      </c>
      <c r="E717" s="11">
        <v>20</v>
      </c>
      <c r="F717" s="17">
        <f t="shared" ref="F717:F728" si="162">IF(E717="","",E717*5)</f>
        <v>100</v>
      </c>
      <c r="G717" s="16" t="s">
        <v>19</v>
      </c>
      <c r="H717" s="16" t="s">
        <v>23</v>
      </c>
      <c r="I717" s="16" t="s">
        <v>50</v>
      </c>
      <c r="J717" s="13">
        <v>9.0972222222222218E-2</v>
      </c>
      <c r="K717" s="13">
        <v>0.1111111111111111</v>
      </c>
      <c r="L717" s="71">
        <f t="shared" ref="L717:L728" si="163">IFERROR(IF(K717="","",IF(K717&gt;=J717,K717-J717,K717+1-J717)),"")</f>
        <v>2.0138888888888887E-2</v>
      </c>
      <c r="M717" s="29"/>
      <c r="N717" s="30"/>
    </row>
    <row r="718" spans="1:14" ht="15" customHeight="1">
      <c r="A718" s="58">
        <v>46200</v>
      </c>
      <c r="B718" s="9">
        <f t="shared" ref="B718:B728" si="164">B717+TIME(0,60,0)</f>
        <v>0.87499999999999967</v>
      </c>
      <c r="C718" s="10" t="s">
        <v>45</v>
      </c>
      <c r="D718" s="10" t="s">
        <v>30</v>
      </c>
      <c r="E718" s="11">
        <v>10</v>
      </c>
      <c r="F718" s="12">
        <f t="shared" si="162"/>
        <v>50</v>
      </c>
      <c r="G718" s="10" t="s">
        <v>20</v>
      </c>
      <c r="H718" s="10" t="s">
        <v>23</v>
      </c>
      <c r="I718" s="10" t="s">
        <v>150</v>
      </c>
      <c r="J718" s="13">
        <v>0.15833333333333333</v>
      </c>
      <c r="K718" s="13"/>
      <c r="L718" s="70" t="str">
        <f t="shared" si="163"/>
        <v/>
      </c>
      <c r="M718" s="29"/>
      <c r="N718" s="30"/>
    </row>
    <row r="719" spans="1:14" ht="15" customHeight="1">
      <c r="A719" s="59">
        <v>46200</v>
      </c>
      <c r="B719" s="15">
        <f t="shared" si="164"/>
        <v>0.9166666666666663</v>
      </c>
      <c r="C719" s="10" t="s">
        <v>45</v>
      </c>
      <c r="D719" s="10" t="s">
        <v>30</v>
      </c>
      <c r="E719" s="11">
        <v>17</v>
      </c>
      <c r="F719" s="17">
        <f t="shared" si="162"/>
        <v>85</v>
      </c>
      <c r="G719" s="16"/>
      <c r="H719" s="16"/>
      <c r="I719" s="16"/>
      <c r="J719" s="13"/>
      <c r="K719" s="13"/>
      <c r="L719" s="71" t="str">
        <f t="shared" si="163"/>
        <v/>
      </c>
      <c r="M719" s="29"/>
      <c r="N719" s="30"/>
    </row>
    <row r="720" spans="1:14" ht="15" customHeight="1">
      <c r="A720" s="58">
        <v>46200</v>
      </c>
      <c r="B720" s="9">
        <f t="shared" si="164"/>
        <v>0.95833333333333293</v>
      </c>
      <c r="C720" s="10" t="s">
        <v>45</v>
      </c>
      <c r="D720" s="10" t="s">
        <v>30</v>
      </c>
      <c r="E720" s="11">
        <v>40</v>
      </c>
      <c r="F720" s="12">
        <f>IF(E720="","",E720*5)</f>
        <v>200</v>
      </c>
      <c r="G720" s="10"/>
      <c r="H720" s="10"/>
      <c r="I720" s="10"/>
      <c r="J720" s="13"/>
      <c r="K720" s="13"/>
      <c r="L720" s="70" t="str">
        <f t="shared" si="163"/>
        <v/>
      </c>
      <c r="M720" s="29"/>
      <c r="N720" s="30"/>
    </row>
    <row r="721" spans="1:14" ht="15" customHeight="1">
      <c r="A721" s="59">
        <v>46200</v>
      </c>
      <c r="B721" s="15">
        <f t="shared" si="164"/>
        <v>0.99999999999999956</v>
      </c>
      <c r="C721" s="10" t="s">
        <v>45</v>
      </c>
      <c r="D721" s="10" t="s">
        <v>30</v>
      </c>
      <c r="E721" s="11">
        <v>5</v>
      </c>
      <c r="F721" s="12">
        <f>IF(E721="","",E721*5)</f>
        <v>25</v>
      </c>
      <c r="G721" s="16"/>
      <c r="H721" s="16"/>
      <c r="I721" s="16"/>
      <c r="J721" s="13"/>
      <c r="K721" s="13"/>
      <c r="L721" s="71" t="str">
        <f t="shared" si="163"/>
        <v/>
      </c>
      <c r="M721" s="29"/>
      <c r="N721" s="30"/>
    </row>
    <row r="722" spans="1:14" ht="15" customHeight="1">
      <c r="A722" s="58">
        <v>46200</v>
      </c>
      <c r="B722" s="9">
        <f t="shared" si="164"/>
        <v>1.0416666666666663</v>
      </c>
      <c r="C722" s="10" t="s">
        <v>45</v>
      </c>
      <c r="D722" s="10" t="s">
        <v>30</v>
      </c>
      <c r="E722" s="11">
        <v>38</v>
      </c>
      <c r="F722" s="12">
        <f t="shared" si="162"/>
        <v>190</v>
      </c>
      <c r="G722" s="10"/>
      <c r="H722" s="10"/>
      <c r="I722" s="10"/>
      <c r="J722" s="13"/>
      <c r="K722" s="13"/>
      <c r="L722" s="70" t="str">
        <f t="shared" si="163"/>
        <v/>
      </c>
      <c r="M722" s="29"/>
      <c r="N722" s="30"/>
    </row>
    <row r="723" spans="1:14" ht="15" customHeight="1">
      <c r="A723" s="59">
        <v>46200</v>
      </c>
      <c r="B723" s="15">
        <f t="shared" si="164"/>
        <v>1.083333333333333</v>
      </c>
      <c r="C723" s="10" t="s">
        <v>45</v>
      </c>
      <c r="D723" s="10" t="s">
        <v>30</v>
      </c>
      <c r="E723" s="11">
        <v>24</v>
      </c>
      <c r="F723" s="17">
        <f t="shared" si="162"/>
        <v>120</v>
      </c>
      <c r="G723" s="16"/>
      <c r="H723" s="16"/>
      <c r="I723" s="16"/>
      <c r="J723" s="13"/>
      <c r="K723" s="13"/>
      <c r="L723" s="71" t="str">
        <f t="shared" si="163"/>
        <v/>
      </c>
      <c r="M723" s="29"/>
      <c r="N723" s="30"/>
    </row>
    <row r="724" spans="1:14" ht="15" customHeight="1">
      <c r="A724" s="58">
        <v>46200</v>
      </c>
      <c r="B724" s="9">
        <f t="shared" si="164"/>
        <v>1.1249999999999998</v>
      </c>
      <c r="C724" s="10" t="s">
        <v>45</v>
      </c>
      <c r="D724" s="10" t="s">
        <v>30</v>
      </c>
      <c r="E724" s="11">
        <v>6</v>
      </c>
      <c r="F724" s="12">
        <f t="shared" si="162"/>
        <v>30</v>
      </c>
      <c r="G724" s="10"/>
      <c r="H724" s="10"/>
      <c r="I724" s="10"/>
      <c r="J724" s="13"/>
      <c r="K724" s="13"/>
      <c r="L724" s="70" t="str">
        <f t="shared" si="163"/>
        <v/>
      </c>
      <c r="M724" s="29"/>
      <c r="N724" s="30"/>
    </row>
    <row r="725" spans="1:14" ht="15" customHeight="1">
      <c r="A725" s="59">
        <v>46200</v>
      </c>
      <c r="B725" s="15">
        <f t="shared" si="164"/>
        <v>1.1666666666666665</v>
      </c>
      <c r="C725" s="10" t="s">
        <v>45</v>
      </c>
      <c r="D725" s="10" t="s">
        <v>30</v>
      </c>
      <c r="E725" s="11">
        <v>0</v>
      </c>
      <c r="F725" s="17">
        <f t="shared" si="162"/>
        <v>0</v>
      </c>
      <c r="G725" s="16"/>
      <c r="H725" s="16"/>
      <c r="I725" s="16"/>
      <c r="J725" s="13"/>
      <c r="K725" s="13"/>
      <c r="L725" s="71" t="str">
        <f t="shared" si="163"/>
        <v/>
      </c>
      <c r="M725" s="29"/>
      <c r="N725" s="30"/>
    </row>
    <row r="726" spans="1:14" ht="15" customHeight="1">
      <c r="A726" s="58">
        <v>46200</v>
      </c>
      <c r="B726" s="9">
        <f t="shared" si="164"/>
        <v>1.2083333333333333</v>
      </c>
      <c r="C726" s="10" t="s">
        <v>45</v>
      </c>
      <c r="D726" s="10" t="s">
        <v>30</v>
      </c>
      <c r="E726" s="11">
        <v>0</v>
      </c>
      <c r="F726" s="12">
        <f t="shared" si="162"/>
        <v>0</v>
      </c>
      <c r="G726" s="10"/>
      <c r="H726" s="10"/>
      <c r="I726" s="10"/>
      <c r="J726" s="13"/>
      <c r="K726" s="13"/>
      <c r="L726" s="70" t="str">
        <f t="shared" si="163"/>
        <v/>
      </c>
      <c r="M726" s="29"/>
      <c r="N726" s="30"/>
    </row>
    <row r="727" spans="1:14" ht="15" customHeight="1">
      <c r="A727" s="59">
        <v>46200</v>
      </c>
      <c r="B727" s="15">
        <f t="shared" si="164"/>
        <v>1.25</v>
      </c>
      <c r="C727" s="10" t="s">
        <v>45</v>
      </c>
      <c r="D727" s="10" t="s">
        <v>30</v>
      </c>
      <c r="E727" s="11">
        <v>21</v>
      </c>
      <c r="F727" s="17">
        <f t="shared" si="162"/>
        <v>105</v>
      </c>
      <c r="G727" s="16"/>
      <c r="H727" s="16"/>
      <c r="I727" s="16"/>
      <c r="J727" s="13"/>
      <c r="K727" s="13"/>
      <c r="L727" s="71" t="str">
        <f t="shared" si="163"/>
        <v/>
      </c>
      <c r="M727" s="29"/>
      <c r="N727" s="30"/>
    </row>
    <row r="728" spans="1:14" ht="15" customHeight="1">
      <c r="A728" s="58">
        <v>46200</v>
      </c>
      <c r="B728" s="9">
        <f t="shared" si="164"/>
        <v>1.2916666666666667</v>
      </c>
      <c r="C728" s="10" t="s">
        <v>45</v>
      </c>
      <c r="D728" s="10" t="s">
        <v>30</v>
      </c>
      <c r="E728" s="11">
        <v>16</v>
      </c>
      <c r="F728" s="12">
        <f t="shared" si="162"/>
        <v>80</v>
      </c>
      <c r="G728" s="10"/>
      <c r="H728" s="10"/>
      <c r="I728" s="10"/>
      <c r="J728" s="13"/>
      <c r="K728" s="13"/>
      <c r="L728" s="70" t="str">
        <f t="shared" si="163"/>
        <v/>
      </c>
      <c r="M728" s="29"/>
      <c r="N728" s="30"/>
    </row>
    <row r="729" spans="1:14" ht="15.75" customHeight="1">
      <c r="A729" s="97" t="s">
        <v>193</v>
      </c>
      <c r="B729" s="97"/>
      <c r="C729" s="97"/>
      <c r="D729" s="97"/>
      <c r="E729" s="19">
        <f>SUM(E717:E728)</f>
        <v>197</v>
      </c>
      <c r="F729" s="19">
        <f>SUM(F717:F728)</f>
        <v>985</v>
      </c>
      <c r="G729" s="18"/>
      <c r="H729" s="18"/>
      <c r="I729" s="18"/>
      <c r="J729" s="18"/>
      <c r="K729" s="18"/>
      <c r="L729" s="72">
        <f>IFERROR(SUM(L717:L728),"")</f>
        <v>2.0138888888888887E-2</v>
      </c>
      <c r="M729" s="19" t="s">
        <v>192</v>
      </c>
      <c r="N729" s="20">
        <v>706600</v>
      </c>
    </row>
    <row r="730" spans="1:14" ht="18" customHeight="1">
      <c r="A730" s="98" t="s">
        <v>194</v>
      </c>
      <c r="B730" s="98"/>
      <c r="C730" s="98"/>
      <c r="D730" s="98"/>
      <c r="E730" s="22">
        <f>E716+E729</f>
        <v>314</v>
      </c>
      <c r="F730" s="22">
        <f>F716+F729</f>
        <v>1570</v>
      </c>
      <c r="G730" s="21"/>
      <c r="H730" s="21"/>
      <c r="I730" s="21"/>
      <c r="J730" s="21"/>
      <c r="K730" s="21"/>
      <c r="L730" s="73">
        <f>IFERROR(L716+L729,"")</f>
        <v>0.2715277777777777</v>
      </c>
      <c r="M730" s="22" t="s">
        <v>195</v>
      </c>
      <c r="N730" s="31">
        <f>IFERROR(N716+N729,"")</f>
        <v>1330240</v>
      </c>
    </row>
    <row r="731" spans="1:14" ht="15" customHeight="1">
      <c r="A731" s="59">
        <v>46201</v>
      </c>
      <c r="B731" s="15">
        <v>0.33333333333333331</v>
      </c>
      <c r="C731" s="16" t="s">
        <v>21</v>
      </c>
      <c r="D731" s="16" t="s">
        <v>22</v>
      </c>
      <c r="E731" s="11">
        <v>17</v>
      </c>
      <c r="F731" s="17">
        <f t="shared" ref="F731:F742" si="165">IF(E731="","",E731*5)</f>
        <v>85</v>
      </c>
      <c r="G731" s="16" t="s">
        <v>18</v>
      </c>
      <c r="H731" s="16" t="s">
        <v>23</v>
      </c>
      <c r="I731" s="16" t="s">
        <v>158</v>
      </c>
      <c r="J731" s="13">
        <v>0.29166666666666669</v>
      </c>
      <c r="K731" s="13">
        <v>0.3125</v>
      </c>
      <c r="L731" s="71">
        <f t="shared" ref="L731:L742" si="166">IFERROR(IF(K731="","",IF(K731&gt;=J731,K731-J731,K731+1-J731)),"")</f>
        <v>2.0833333333333315E-2</v>
      </c>
      <c r="M731" s="29"/>
      <c r="N731" s="30"/>
    </row>
    <row r="732" spans="1:14" ht="15" customHeight="1">
      <c r="A732" s="58">
        <v>46201</v>
      </c>
      <c r="B732" s="9">
        <f t="shared" ref="B732:B742" si="167">B731+TIME(0,60,0)</f>
        <v>0.375</v>
      </c>
      <c r="C732" s="16" t="s">
        <v>21</v>
      </c>
      <c r="D732" s="16" t="s">
        <v>22</v>
      </c>
      <c r="E732" s="11">
        <v>10</v>
      </c>
      <c r="F732" s="12">
        <f t="shared" si="165"/>
        <v>50</v>
      </c>
      <c r="G732" s="10" t="s">
        <v>18</v>
      </c>
      <c r="H732" s="10" t="s">
        <v>23</v>
      </c>
      <c r="I732" s="10" t="s">
        <v>158</v>
      </c>
      <c r="J732" s="13">
        <v>0.35972222222222222</v>
      </c>
      <c r="K732" s="13">
        <v>0.4513888888888889</v>
      </c>
      <c r="L732" s="70">
        <f t="shared" si="166"/>
        <v>9.1666666666666674E-2</v>
      </c>
      <c r="M732" s="29"/>
      <c r="N732" s="30"/>
    </row>
    <row r="733" spans="1:14" ht="15" customHeight="1">
      <c r="A733" s="59">
        <v>46201</v>
      </c>
      <c r="B733" s="15">
        <f t="shared" si="167"/>
        <v>0.41666666666666669</v>
      </c>
      <c r="C733" s="16" t="s">
        <v>21</v>
      </c>
      <c r="D733" s="16" t="s">
        <v>22</v>
      </c>
      <c r="E733" s="11">
        <v>25</v>
      </c>
      <c r="F733" s="17">
        <f t="shared" si="165"/>
        <v>125</v>
      </c>
      <c r="G733" s="16" t="s">
        <v>20</v>
      </c>
      <c r="H733" s="16" t="s">
        <v>23</v>
      </c>
      <c r="I733" s="16" t="s">
        <v>173</v>
      </c>
      <c r="J733" s="13">
        <v>0.63541666666666663</v>
      </c>
      <c r="K733" s="13">
        <v>0.67361111111111116</v>
      </c>
      <c r="L733" s="71">
        <f t="shared" si="166"/>
        <v>3.8194444444444531E-2</v>
      </c>
      <c r="M733" s="29"/>
      <c r="N733" s="30"/>
    </row>
    <row r="734" spans="1:14" ht="15" customHeight="1">
      <c r="A734" s="58">
        <v>46201</v>
      </c>
      <c r="B734" s="9">
        <f t="shared" si="167"/>
        <v>0.45833333333333337</v>
      </c>
      <c r="C734" s="16" t="s">
        <v>21</v>
      </c>
      <c r="D734" s="16" t="s">
        <v>22</v>
      </c>
      <c r="E734" s="11">
        <v>15</v>
      </c>
      <c r="F734" s="12">
        <f t="shared" si="165"/>
        <v>75</v>
      </c>
      <c r="G734" s="10"/>
      <c r="H734" s="10"/>
      <c r="I734" s="10"/>
      <c r="J734" s="13"/>
      <c r="K734" s="13"/>
      <c r="L734" s="70" t="str">
        <f t="shared" si="166"/>
        <v/>
      </c>
      <c r="M734" s="29"/>
      <c r="N734" s="30"/>
    </row>
    <row r="735" spans="1:14" ht="15" customHeight="1">
      <c r="A735" s="59">
        <v>46201</v>
      </c>
      <c r="B735" s="15">
        <f t="shared" si="167"/>
        <v>0.5</v>
      </c>
      <c r="C735" s="16" t="s">
        <v>21</v>
      </c>
      <c r="D735" s="16" t="s">
        <v>22</v>
      </c>
      <c r="E735" s="11">
        <v>20</v>
      </c>
      <c r="F735" s="17">
        <f t="shared" si="165"/>
        <v>100</v>
      </c>
      <c r="G735" s="16"/>
      <c r="H735" s="16"/>
      <c r="I735" s="16"/>
      <c r="J735" s="13"/>
      <c r="K735" s="13"/>
      <c r="L735" s="71" t="str">
        <f t="shared" si="166"/>
        <v/>
      </c>
      <c r="M735" s="29"/>
      <c r="N735" s="30"/>
    </row>
    <row r="736" spans="1:14" ht="15" customHeight="1">
      <c r="A736" s="58">
        <v>46201</v>
      </c>
      <c r="B736" s="9">
        <f t="shared" si="167"/>
        <v>0.54166666666666663</v>
      </c>
      <c r="C736" s="16" t="s">
        <v>21</v>
      </c>
      <c r="D736" s="16" t="s">
        <v>22</v>
      </c>
      <c r="E736" s="11">
        <v>13</v>
      </c>
      <c r="F736" s="12">
        <f t="shared" si="165"/>
        <v>65</v>
      </c>
      <c r="G736" s="10"/>
      <c r="H736" s="10"/>
      <c r="I736" s="10"/>
      <c r="J736" s="13"/>
      <c r="K736" s="13"/>
      <c r="L736" s="70" t="str">
        <f t="shared" si="166"/>
        <v/>
      </c>
      <c r="M736" s="29"/>
      <c r="N736" s="30"/>
    </row>
    <row r="737" spans="1:14" ht="15" customHeight="1">
      <c r="A737" s="59">
        <v>46201</v>
      </c>
      <c r="B737" s="15">
        <f t="shared" si="167"/>
        <v>0.58333333333333326</v>
      </c>
      <c r="C737" s="16" t="s">
        <v>21</v>
      </c>
      <c r="D737" s="16" t="s">
        <v>30</v>
      </c>
      <c r="E737" s="11">
        <v>40</v>
      </c>
      <c r="F737" s="17">
        <f t="shared" si="165"/>
        <v>200</v>
      </c>
      <c r="G737" s="16"/>
      <c r="H737" s="16"/>
      <c r="I737" s="16"/>
      <c r="J737" s="13"/>
      <c r="K737" s="13"/>
      <c r="L737" s="71" t="str">
        <f t="shared" si="166"/>
        <v/>
      </c>
      <c r="M737" s="29"/>
      <c r="N737" s="30"/>
    </row>
    <row r="738" spans="1:14" ht="15" customHeight="1">
      <c r="A738" s="58">
        <v>46201</v>
      </c>
      <c r="B738" s="9">
        <f t="shared" si="167"/>
        <v>0.62499999999999989</v>
      </c>
      <c r="C738" s="16" t="s">
        <v>21</v>
      </c>
      <c r="D738" s="16" t="s">
        <v>30</v>
      </c>
      <c r="E738" s="11">
        <v>25</v>
      </c>
      <c r="F738" s="12">
        <f t="shared" si="165"/>
        <v>125</v>
      </c>
      <c r="G738" s="10"/>
      <c r="H738" s="10"/>
      <c r="I738" s="10"/>
      <c r="J738" s="13"/>
      <c r="K738" s="13"/>
      <c r="L738" s="70" t="str">
        <f t="shared" si="166"/>
        <v/>
      </c>
      <c r="M738" s="29"/>
      <c r="N738" s="30"/>
    </row>
    <row r="739" spans="1:14" ht="15" customHeight="1">
      <c r="A739" s="59">
        <v>46201</v>
      </c>
      <c r="B739" s="15">
        <f t="shared" si="167"/>
        <v>0.66666666666666652</v>
      </c>
      <c r="C739" s="16" t="s">
        <v>21</v>
      </c>
      <c r="D739" s="16" t="s">
        <v>30</v>
      </c>
      <c r="E739" s="11">
        <v>0</v>
      </c>
      <c r="F739" s="17">
        <f t="shared" si="165"/>
        <v>0</v>
      </c>
      <c r="G739" s="16"/>
      <c r="H739" s="16"/>
      <c r="I739" s="16"/>
      <c r="J739" s="13"/>
      <c r="K739" s="13"/>
      <c r="L739" s="71" t="str">
        <f t="shared" si="166"/>
        <v/>
      </c>
      <c r="M739" s="29"/>
      <c r="N739" s="30"/>
    </row>
    <row r="740" spans="1:14" ht="15" customHeight="1">
      <c r="A740" s="58">
        <v>46201</v>
      </c>
      <c r="B740" s="9">
        <f t="shared" si="167"/>
        <v>0.70833333333333315</v>
      </c>
      <c r="C740" s="16" t="s">
        <v>21</v>
      </c>
      <c r="D740" s="16" t="s">
        <v>30</v>
      </c>
      <c r="E740" s="11">
        <v>25</v>
      </c>
      <c r="F740" s="12">
        <f t="shared" si="165"/>
        <v>125</v>
      </c>
      <c r="G740" s="10"/>
      <c r="H740" s="10"/>
      <c r="I740" s="10"/>
      <c r="J740" s="13"/>
      <c r="K740" s="13"/>
      <c r="L740" s="70" t="str">
        <f t="shared" si="166"/>
        <v/>
      </c>
      <c r="M740" s="29"/>
      <c r="N740" s="30"/>
    </row>
    <row r="741" spans="1:14" ht="15" customHeight="1">
      <c r="A741" s="59">
        <v>46201</v>
      </c>
      <c r="B741" s="15">
        <f t="shared" si="167"/>
        <v>0.74999999999999978</v>
      </c>
      <c r="C741" s="16" t="s">
        <v>21</v>
      </c>
      <c r="D741" s="16" t="s">
        <v>30</v>
      </c>
      <c r="E741" s="11">
        <v>25</v>
      </c>
      <c r="F741" s="17">
        <f t="shared" si="165"/>
        <v>125</v>
      </c>
      <c r="G741" s="16"/>
      <c r="H741" s="16"/>
      <c r="I741" s="16"/>
      <c r="J741" s="13"/>
      <c r="K741" s="13"/>
      <c r="L741" s="71" t="str">
        <f t="shared" si="166"/>
        <v/>
      </c>
      <c r="M741" s="29"/>
      <c r="N741" s="30"/>
    </row>
    <row r="742" spans="1:14" ht="15" customHeight="1">
      <c r="A742" s="58">
        <v>46201</v>
      </c>
      <c r="B742" s="9">
        <f t="shared" si="167"/>
        <v>0.79166666666666641</v>
      </c>
      <c r="C742" s="16" t="s">
        <v>21</v>
      </c>
      <c r="D742" s="16" t="s">
        <v>30</v>
      </c>
      <c r="E742" s="11">
        <v>13</v>
      </c>
      <c r="F742" s="12">
        <f t="shared" si="165"/>
        <v>65</v>
      </c>
      <c r="G742" s="10"/>
      <c r="H742" s="10"/>
      <c r="I742" s="10"/>
      <c r="J742" s="13"/>
      <c r="K742" s="13"/>
      <c r="L742" s="70" t="str">
        <f t="shared" si="166"/>
        <v/>
      </c>
      <c r="M742" s="29"/>
      <c r="N742" s="30"/>
    </row>
    <row r="743" spans="1:14" ht="15.75" customHeight="1">
      <c r="A743" s="97" t="s">
        <v>191</v>
      </c>
      <c r="B743" s="97"/>
      <c r="C743" s="97"/>
      <c r="D743" s="97"/>
      <c r="E743" s="19">
        <f>SUM(E731:E742)</f>
        <v>228</v>
      </c>
      <c r="F743" s="19">
        <f>SUM(F731:F742)</f>
        <v>1140</v>
      </c>
      <c r="G743" s="18"/>
      <c r="H743" s="18"/>
      <c r="I743" s="18"/>
      <c r="J743" s="18"/>
      <c r="K743" s="18"/>
      <c r="L743" s="72">
        <f>IFERROR(SUM(L731:L742),"")</f>
        <v>0.15069444444444452</v>
      </c>
      <c r="M743" s="19" t="s">
        <v>192</v>
      </c>
      <c r="N743" s="20">
        <v>1209410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50</v>
      </c>
      <c r="F744" s="12">
        <f t="shared" ref="F744:F755" si="168">IF(E744="","",E744*5)</f>
        <v>250</v>
      </c>
      <c r="G744" s="10" t="s">
        <v>17</v>
      </c>
      <c r="H744" s="10" t="s">
        <v>23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9">IFERROR(IF(K744="","",IF(K744&gt;=J744,K744-J744,K744+1-J744)),"")</f>
        <v>6.944444444444442E-2</v>
      </c>
      <c r="M744" s="29"/>
      <c r="N744" s="30"/>
    </row>
    <row r="745" spans="1:14" ht="15" customHeight="1">
      <c r="A745" s="59">
        <v>46201</v>
      </c>
      <c r="B745" s="15">
        <f t="shared" ref="B745:B755" si="170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8"/>
        <v>0</v>
      </c>
      <c r="G745" s="16"/>
      <c r="H745" s="16"/>
      <c r="I745" s="16"/>
      <c r="J745" s="13"/>
      <c r="K745" s="13"/>
      <c r="L745" s="71" t="str">
        <f t="shared" si="169"/>
        <v/>
      </c>
      <c r="M745" s="29"/>
      <c r="N745" s="30"/>
    </row>
    <row r="746" spans="1:14" ht="15" customHeight="1">
      <c r="A746" s="58">
        <v>46201</v>
      </c>
      <c r="B746" s="9">
        <f t="shared" si="170"/>
        <v>0.9166666666666663</v>
      </c>
      <c r="C746" s="10" t="s">
        <v>45</v>
      </c>
      <c r="D746" s="10" t="s">
        <v>30</v>
      </c>
      <c r="E746" s="11">
        <v>40</v>
      </c>
      <c r="F746" s="12">
        <f t="shared" si="168"/>
        <v>200</v>
      </c>
      <c r="G746" s="10"/>
      <c r="H746" s="10"/>
      <c r="I746" s="10"/>
      <c r="J746" s="13"/>
      <c r="K746" s="13"/>
      <c r="L746" s="70" t="str">
        <f t="shared" si="169"/>
        <v/>
      </c>
      <c r="M746" s="29"/>
      <c r="N746" s="30"/>
    </row>
    <row r="747" spans="1:14" ht="15" customHeight="1">
      <c r="A747" s="59">
        <v>46201</v>
      </c>
      <c r="B747" s="15">
        <f t="shared" si="170"/>
        <v>0.95833333333333293</v>
      </c>
      <c r="C747" s="10" t="s">
        <v>45</v>
      </c>
      <c r="D747" s="10" t="s">
        <v>30</v>
      </c>
      <c r="E747" s="11">
        <v>28</v>
      </c>
      <c r="F747" s="17">
        <f t="shared" si="168"/>
        <v>140</v>
      </c>
      <c r="G747" s="16"/>
      <c r="H747" s="16"/>
      <c r="I747" s="16"/>
      <c r="J747" s="13"/>
      <c r="K747" s="13"/>
      <c r="L747" s="71" t="str">
        <f t="shared" si="169"/>
        <v/>
      </c>
      <c r="M747" s="29"/>
      <c r="N747" s="30"/>
    </row>
    <row r="748" spans="1:14" ht="15" customHeight="1">
      <c r="A748" s="58">
        <v>46201</v>
      </c>
      <c r="B748" s="9">
        <f t="shared" si="170"/>
        <v>0.99999999999999956</v>
      </c>
      <c r="C748" s="10" t="s">
        <v>45</v>
      </c>
      <c r="D748" s="10" t="s">
        <v>30</v>
      </c>
      <c r="E748" s="11">
        <v>26</v>
      </c>
      <c r="F748" s="12">
        <f t="shared" si="168"/>
        <v>130</v>
      </c>
      <c r="G748" s="10"/>
      <c r="H748" s="10"/>
      <c r="I748" s="10"/>
      <c r="J748" s="13"/>
      <c r="K748" s="13"/>
      <c r="L748" s="70" t="str">
        <f t="shared" si="169"/>
        <v/>
      </c>
      <c r="M748" s="29"/>
      <c r="N748" s="30"/>
    </row>
    <row r="749" spans="1:14" ht="15" customHeight="1">
      <c r="A749" s="59">
        <v>46201</v>
      </c>
      <c r="B749" s="15">
        <f t="shared" si="170"/>
        <v>1.0416666666666663</v>
      </c>
      <c r="C749" s="10" t="s">
        <v>45</v>
      </c>
      <c r="D749" s="10" t="s">
        <v>30</v>
      </c>
      <c r="E749" s="11">
        <v>40</v>
      </c>
      <c r="F749" s="17">
        <f t="shared" si="168"/>
        <v>200</v>
      </c>
      <c r="G749" s="16"/>
      <c r="H749" s="16"/>
      <c r="I749" s="16"/>
      <c r="J749" s="13"/>
      <c r="K749" s="13"/>
      <c r="L749" s="71" t="str">
        <f t="shared" si="169"/>
        <v/>
      </c>
      <c r="M749" s="29"/>
      <c r="N749" s="30"/>
    </row>
    <row r="750" spans="1:14" ht="15" customHeight="1">
      <c r="A750" s="58">
        <v>46201</v>
      </c>
      <c r="B750" s="9">
        <f t="shared" si="170"/>
        <v>1.083333333333333</v>
      </c>
      <c r="C750" s="10" t="s">
        <v>45</v>
      </c>
      <c r="D750" s="10" t="s">
        <v>30</v>
      </c>
      <c r="E750" s="11">
        <v>40</v>
      </c>
      <c r="F750" s="12">
        <f t="shared" si="168"/>
        <v>200</v>
      </c>
      <c r="G750" s="10"/>
      <c r="H750" s="10"/>
      <c r="I750" s="10"/>
      <c r="J750" s="13"/>
      <c r="K750" s="13"/>
      <c r="L750" s="70" t="str">
        <f t="shared" si="169"/>
        <v/>
      </c>
      <c r="M750" s="29"/>
      <c r="N750" s="30"/>
    </row>
    <row r="751" spans="1:14" ht="15" customHeight="1">
      <c r="A751" s="59">
        <v>46201</v>
      </c>
      <c r="B751" s="15">
        <f t="shared" si="170"/>
        <v>1.1249999999999998</v>
      </c>
      <c r="C751" s="10" t="s">
        <v>45</v>
      </c>
      <c r="D751" s="10" t="s">
        <v>30</v>
      </c>
      <c r="E751" s="11">
        <v>0</v>
      </c>
      <c r="F751" s="17">
        <f t="shared" si="168"/>
        <v>0</v>
      </c>
      <c r="G751" s="16"/>
      <c r="H751" s="16"/>
      <c r="I751" s="16"/>
      <c r="J751" s="13"/>
      <c r="K751" s="13"/>
      <c r="L751" s="71" t="str">
        <f t="shared" si="169"/>
        <v/>
      </c>
      <c r="M751" s="29"/>
      <c r="N751" s="30"/>
    </row>
    <row r="752" spans="1:14" ht="15" customHeight="1">
      <c r="A752" s="58">
        <v>46201</v>
      </c>
      <c r="B752" s="9">
        <f t="shared" si="170"/>
        <v>1.1666666666666665</v>
      </c>
      <c r="C752" s="10" t="s">
        <v>45</v>
      </c>
      <c r="D752" s="10" t="s">
        <v>30</v>
      </c>
      <c r="E752" s="11">
        <v>16</v>
      </c>
      <c r="F752" s="12">
        <f t="shared" si="168"/>
        <v>80</v>
      </c>
      <c r="G752" s="10"/>
      <c r="H752" s="10"/>
      <c r="I752" s="10"/>
      <c r="J752" s="13"/>
      <c r="K752" s="13"/>
      <c r="L752" s="70" t="str">
        <f t="shared" si="169"/>
        <v/>
      </c>
      <c r="M752" s="29"/>
      <c r="N752" s="30"/>
    </row>
    <row r="753" spans="1:14" ht="15" customHeight="1">
      <c r="A753" s="59">
        <v>46201</v>
      </c>
      <c r="B753" s="15">
        <f t="shared" si="170"/>
        <v>1.2083333333333333</v>
      </c>
      <c r="C753" s="10" t="s">
        <v>45</v>
      </c>
      <c r="D753" s="10" t="s">
        <v>30</v>
      </c>
      <c r="E753" s="11">
        <v>44</v>
      </c>
      <c r="F753" s="17">
        <f t="shared" si="168"/>
        <v>220</v>
      </c>
      <c r="G753" s="16"/>
      <c r="H753" s="16"/>
      <c r="I753" s="16"/>
      <c r="J753" s="13"/>
      <c r="K753" s="13"/>
      <c r="L753" s="71" t="str">
        <f t="shared" si="169"/>
        <v/>
      </c>
      <c r="M753" s="29"/>
      <c r="N753" s="30"/>
    </row>
    <row r="754" spans="1:14" ht="15" customHeight="1">
      <c r="A754" s="58">
        <v>46201</v>
      </c>
      <c r="B754" s="9">
        <f t="shared" si="170"/>
        <v>1.25</v>
      </c>
      <c r="C754" s="10" t="s">
        <v>45</v>
      </c>
      <c r="D754" s="10" t="s">
        <v>30</v>
      </c>
      <c r="E754" s="11">
        <v>17</v>
      </c>
      <c r="F754" s="12">
        <f t="shared" si="168"/>
        <v>85</v>
      </c>
      <c r="G754" s="10"/>
      <c r="H754" s="10"/>
      <c r="I754" s="10"/>
      <c r="J754" s="13"/>
      <c r="K754" s="13"/>
      <c r="L754" s="70" t="str">
        <f t="shared" si="169"/>
        <v/>
      </c>
      <c r="M754" s="29"/>
      <c r="N754" s="30"/>
    </row>
    <row r="755" spans="1:14" ht="15" customHeight="1">
      <c r="A755" s="59">
        <v>46201</v>
      </c>
      <c r="B755" s="15">
        <f t="shared" si="170"/>
        <v>1.2916666666666667</v>
      </c>
      <c r="C755" s="10" t="s">
        <v>45</v>
      </c>
      <c r="D755" s="10" t="s">
        <v>30</v>
      </c>
      <c r="E755" s="11">
        <v>5</v>
      </c>
      <c r="F755" s="17">
        <f t="shared" si="168"/>
        <v>25</v>
      </c>
      <c r="G755" s="16"/>
      <c r="H755" s="16"/>
      <c r="I755" s="16"/>
      <c r="J755" s="13"/>
      <c r="K755" s="13"/>
      <c r="L755" s="71" t="str">
        <f t="shared" si="169"/>
        <v/>
      </c>
      <c r="M755" s="29"/>
      <c r="N755" s="30"/>
    </row>
    <row r="756" spans="1:14" ht="15.75" customHeight="1">
      <c r="A756" s="82" t="s">
        <v>193</v>
      </c>
      <c r="B756" s="82"/>
      <c r="C756" s="82"/>
      <c r="D756" s="82"/>
      <c r="E756" s="19">
        <f>SUM(E744:E755)</f>
        <v>306</v>
      </c>
      <c r="F756" s="19">
        <f>SUM(F744:F755)</f>
        <v>1530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192</v>
      </c>
      <c r="N756" s="20">
        <v>1646670</v>
      </c>
    </row>
    <row r="757" spans="1:14" ht="18" customHeight="1">
      <c r="A757" s="22" t="s">
        <v>194</v>
      </c>
      <c r="B757" s="22"/>
      <c r="C757" s="22"/>
      <c r="D757" s="22"/>
      <c r="E757" s="22">
        <f>E743+E756</f>
        <v>534</v>
      </c>
      <c r="F757" s="22">
        <f>F743+F756</f>
        <v>2670</v>
      </c>
      <c r="G757" s="21"/>
      <c r="H757" s="21"/>
      <c r="I757" s="21"/>
      <c r="J757" s="21"/>
      <c r="K757" s="21"/>
      <c r="L757" s="73">
        <f>IFERROR(L743+L756,"")</f>
        <v>0.22013888888888894</v>
      </c>
      <c r="M757" s="22" t="s">
        <v>195</v>
      </c>
      <c r="N757" s="31">
        <f>IFERROR(N743+N756,"")</f>
        <v>2856080</v>
      </c>
    </row>
    <row r="758" spans="1:14" ht="15" customHeight="1">
      <c r="A758" s="58">
        <v>46202</v>
      </c>
      <c r="B758" s="9">
        <v>0.33333333333333331</v>
      </c>
      <c r="C758" s="10" t="s">
        <v>21</v>
      </c>
      <c r="D758" s="10" t="s">
        <v>30</v>
      </c>
      <c r="E758" s="11">
        <v>0</v>
      </c>
      <c r="F758" s="12">
        <f t="shared" ref="F758:F769" si="171">IF(E758="","",E758*5)</f>
        <v>0</v>
      </c>
      <c r="G758" s="10" t="s">
        <v>18</v>
      </c>
      <c r="H758" s="10" t="s">
        <v>23</v>
      </c>
      <c r="I758" s="10" t="s">
        <v>180</v>
      </c>
      <c r="J758" s="13">
        <v>0.29166666666666669</v>
      </c>
      <c r="K758" s="13">
        <v>0.36249999999999999</v>
      </c>
      <c r="L758" s="70">
        <f t="shared" ref="L758:L769" si="172">IFERROR(IF(K758="","",IF(K758&gt;=J758,K758-J758,K758+1-J758)),"")</f>
        <v>7.0833333333333304E-2</v>
      </c>
      <c r="M758" s="29" t="s">
        <v>230</v>
      </c>
      <c r="N758" s="30"/>
    </row>
    <row r="759" spans="1:14" ht="15" customHeight="1">
      <c r="A759" s="59">
        <v>46202</v>
      </c>
      <c r="B759" s="15">
        <f t="shared" ref="B759:B769" si="173">B758+TIME(0,60,0)</f>
        <v>0.375</v>
      </c>
      <c r="C759" s="10" t="s">
        <v>21</v>
      </c>
      <c r="D759" s="10" t="s">
        <v>30</v>
      </c>
      <c r="E759" s="11">
        <v>17</v>
      </c>
      <c r="F759" s="17">
        <f t="shared" si="171"/>
        <v>85</v>
      </c>
      <c r="G759" s="16" t="s">
        <v>18</v>
      </c>
      <c r="H759" s="16" t="s">
        <v>23</v>
      </c>
      <c r="I759" s="16" t="s">
        <v>113</v>
      </c>
      <c r="J759" s="13">
        <v>0.51041666666666663</v>
      </c>
      <c r="K759" s="13">
        <v>0.57986111111111116</v>
      </c>
      <c r="L759" s="71">
        <f t="shared" si="172"/>
        <v>6.9444444444444531E-2</v>
      </c>
      <c r="M759" s="29" t="s">
        <v>231</v>
      </c>
      <c r="N759" s="30"/>
    </row>
    <row r="760" spans="1:14" ht="15" customHeight="1">
      <c r="A760" s="58">
        <v>46202</v>
      </c>
      <c r="B760" s="9">
        <f t="shared" si="173"/>
        <v>0.41666666666666669</v>
      </c>
      <c r="C760" s="10" t="s">
        <v>21</v>
      </c>
      <c r="D760" s="10" t="s">
        <v>30</v>
      </c>
      <c r="E760" s="11">
        <v>24</v>
      </c>
      <c r="F760" s="12">
        <f t="shared" si="171"/>
        <v>120</v>
      </c>
      <c r="G760" s="10" t="s">
        <v>20</v>
      </c>
      <c r="H760" s="10" t="s">
        <v>23</v>
      </c>
      <c r="I760" s="10" t="s">
        <v>173</v>
      </c>
      <c r="J760" s="13">
        <v>0.6875</v>
      </c>
      <c r="K760" s="13">
        <v>0.72569444444444442</v>
      </c>
      <c r="L760" s="70">
        <f t="shared" si="172"/>
        <v>3.819444444444442E-2</v>
      </c>
      <c r="M760" s="29"/>
      <c r="N760" s="30"/>
    </row>
    <row r="761" spans="1:14" ht="15" customHeight="1">
      <c r="A761" s="59">
        <v>46202</v>
      </c>
      <c r="B761" s="15">
        <f t="shared" si="173"/>
        <v>0.45833333333333337</v>
      </c>
      <c r="C761" s="10" t="s">
        <v>21</v>
      </c>
      <c r="D761" s="10" t="s">
        <v>30</v>
      </c>
      <c r="E761" s="11">
        <v>19</v>
      </c>
      <c r="F761" s="17">
        <f t="shared" si="171"/>
        <v>95</v>
      </c>
      <c r="G761" s="16"/>
      <c r="H761" s="16"/>
      <c r="I761" s="16"/>
      <c r="J761" s="13"/>
      <c r="K761" s="13"/>
      <c r="L761" s="71" t="str">
        <f t="shared" si="172"/>
        <v/>
      </c>
      <c r="M761" s="29"/>
      <c r="N761" s="30"/>
    </row>
    <row r="762" spans="1:14" ht="15" customHeight="1">
      <c r="A762" s="58">
        <v>46202</v>
      </c>
      <c r="B762" s="9">
        <f t="shared" si="173"/>
        <v>0.5</v>
      </c>
      <c r="C762" s="10" t="s">
        <v>21</v>
      </c>
      <c r="D762" s="10" t="s">
        <v>30</v>
      </c>
      <c r="E762" s="11">
        <v>15</v>
      </c>
      <c r="F762" s="12">
        <f t="shared" si="171"/>
        <v>75</v>
      </c>
      <c r="G762" s="10"/>
      <c r="H762" s="10"/>
      <c r="I762" s="10"/>
      <c r="J762" s="13"/>
      <c r="K762" s="13"/>
      <c r="L762" s="70" t="str">
        <f t="shared" si="172"/>
        <v/>
      </c>
      <c r="M762" s="29"/>
      <c r="N762" s="30"/>
    </row>
    <row r="763" spans="1:14" ht="15" customHeight="1">
      <c r="A763" s="59">
        <v>46202</v>
      </c>
      <c r="B763" s="15">
        <f t="shared" si="173"/>
        <v>0.54166666666666663</v>
      </c>
      <c r="C763" s="10" t="s">
        <v>21</v>
      </c>
      <c r="D763" s="10" t="s">
        <v>30</v>
      </c>
      <c r="E763" s="11">
        <v>0</v>
      </c>
      <c r="F763" s="17">
        <f t="shared" si="171"/>
        <v>0</v>
      </c>
      <c r="G763" s="16"/>
      <c r="H763" s="16"/>
      <c r="I763" s="16"/>
      <c r="J763" s="13"/>
      <c r="K763" s="13"/>
      <c r="L763" s="71" t="str">
        <f t="shared" si="172"/>
        <v/>
      </c>
      <c r="M763" s="29"/>
      <c r="N763" s="30"/>
    </row>
    <row r="764" spans="1:14" ht="15" customHeight="1">
      <c r="A764" s="58">
        <v>46202</v>
      </c>
      <c r="B764" s="9">
        <f t="shared" si="173"/>
        <v>0.58333333333333326</v>
      </c>
      <c r="C764" s="10" t="s">
        <v>21</v>
      </c>
      <c r="D764" s="10" t="s">
        <v>30</v>
      </c>
      <c r="E764" s="11">
        <v>10</v>
      </c>
      <c r="F764" s="12">
        <f t="shared" si="171"/>
        <v>50</v>
      </c>
      <c r="G764" s="10"/>
      <c r="H764" s="10"/>
      <c r="I764" s="10"/>
      <c r="J764" s="13"/>
      <c r="K764" s="13"/>
      <c r="L764" s="70" t="str">
        <f t="shared" si="172"/>
        <v/>
      </c>
      <c r="M764" s="29"/>
      <c r="N764" s="30"/>
    </row>
    <row r="765" spans="1:14" ht="15" customHeight="1">
      <c r="A765" s="59">
        <v>46202</v>
      </c>
      <c r="B765" s="15">
        <f>B764+TIME(0,60,0)</f>
        <v>0.62499999999999989</v>
      </c>
      <c r="C765" s="10" t="s">
        <v>21</v>
      </c>
      <c r="D765" s="10" t="s">
        <v>30</v>
      </c>
      <c r="E765" s="11">
        <v>21</v>
      </c>
      <c r="F765" s="17">
        <f t="shared" si="171"/>
        <v>105</v>
      </c>
      <c r="G765" s="16"/>
      <c r="H765" s="16"/>
      <c r="I765" s="16"/>
      <c r="J765" s="13"/>
      <c r="K765" s="13"/>
      <c r="L765" s="71" t="str">
        <f t="shared" si="172"/>
        <v/>
      </c>
      <c r="M765" s="29"/>
      <c r="N765" s="30"/>
    </row>
    <row r="766" spans="1:14" ht="15" customHeight="1">
      <c r="A766" s="58">
        <v>46202</v>
      </c>
      <c r="B766" s="9">
        <f>B765+TIME(0,60,0)</f>
        <v>0.66666666666666652</v>
      </c>
      <c r="C766" s="10" t="s">
        <v>21</v>
      </c>
      <c r="D766" s="10" t="s">
        <v>30</v>
      </c>
      <c r="E766" s="11">
        <v>20</v>
      </c>
      <c r="F766" s="12">
        <f t="shared" si="171"/>
        <v>100</v>
      </c>
      <c r="G766" s="10"/>
      <c r="H766" s="10"/>
      <c r="I766" s="10"/>
      <c r="J766" s="13"/>
      <c r="K766" s="13"/>
      <c r="L766" s="70" t="str">
        <f t="shared" si="172"/>
        <v/>
      </c>
      <c r="M766" s="29"/>
      <c r="N766" s="30"/>
    </row>
    <row r="767" spans="1:14" ht="15" customHeight="1">
      <c r="A767" s="59">
        <v>46202</v>
      </c>
      <c r="B767" s="15">
        <f t="shared" si="173"/>
        <v>0.70833333333333315</v>
      </c>
      <c r="C767" s="10" t="s">
        <v>21</v>
      </c>
      <c r="D767" s="10" t="s">
        <v>30</v>
      </c>
      <c r="E767" s="11">
        <v>4</v>
      </c>
      <c r="F767" s="17">
        <f t="shared" si="171"/>
        <v>20</v>
      </c>
      <c r="G767" s="16"/>
      <c r="H767" s="16"/>
      <c r="I767" s="16"/>
      <c r="J767" s="13"/>
      <c r="K767" s="13"/>
      <c r="L767" s="71" t="str">
        <f t="shared" si="172"/>
        <v/>
      </c>
      <c r="M767" s="29"/>
      <c r="N767" s="30"/>
    </row>
    <row r="768" spans="1:14" ht="15" customHeight="1">
      <c r="A768" s="58">
        <v>46202</v>
      </c>
      <c r="B768" s="9">
        <f t="shared" si="173"/>
        <v>0.74999999999999978</v>
      </c>
      <c r="C768" s="10" t="s">
        <v>21</v>
      </c>
      <c r="D768" s="10" t="s">
        <v>30</v>
      </c>
      <c r="E768" s="11">
        <v>16</v>
      </c>
      <c r="F768" s="12">
        <f t="shared" si="171"/>
        <v>80</v>
      </c>
      <c r="G768" s="10"/>
      <c r="H768" s="10"/>
      <c r="I768" s="10"/>
      <c r="J768" s="13"/>
      <c r="K768" s="13"/>
      <c r="L768" s="70" t="str">
        <f t="shared" si="172"/>
        <v/>
      </c>
      <c r="M768" s="29"/>
      <c r="N768" s="30"/>
    </row>
    <row r="769" spans="1:14" ht="15" customHeight="1">
      <c r="A769" s="59">
        <v>46202</v>
      </c>
      <c r="B769" s="15">
        <f t="shared" si="173"/>
        <v>0.79166666666666641</v>
      </c>
      <c r="C769" s="10" t="s">
        <v>21</v>
      </c>
      <c r="D769" s="10" t="s">
        <v>30</v>
      </c>
      <c r="E769" s="11">
        <v>0</v>
      </c>
      <c r="F769" s="17">
        <f t="shared" si="171"/>
        <v>0</v>
      </c>
      <c r="G769" s="16"/>
      <c r="H769" s="16"/>
      <c r="I769" s="16"/>
      <c r="J769" s="13"/>
      <c r="K769" s="13"/>
      <c r="L769" s="71" t="str">
        <f t="shared" si="172"/>
        <v/>
      </c>
      <c r="M769" s="29"/>
      <c r="N769" s="30"/>
    </row>
    <row r="770" spans="1:14" ht="15.75" customHeight="1">
      <c r="A770" s="82" t="s">
        <v>191</v>
      </c>
      <c r="B770" s="82"/>
      <c r="C770" s="82"/>
      <c r="D770" s="82"/>
      <c r="E770" s="19">
        <f>SUM(E758:E769)</f>
        <v>146</v>
      </c>
      <c r="F770" s="19">
        <f>SUM(F758:F769)</f>
        <v>730</v>
      </c>
      <c r="G770" s="18"/>
      <c r="H770" s="18"/>
      <c r="I770" s="18"/>
      <c r="J770" s="18"/>
      <c r="K770" s="18"/>
      <c r="L770" s="72">
        <f>IFERROR(SUM(L758:L769),"")</f>
        <v>0.17847222222222225</v>
      </c>
      <c r="M770" s="19" t="s">
        <v>192</v>
      </c>
      <c r="N770" s="20">
        <v>928270</v>
      </c>
    </row>
    <row r="771" spans="1:14" ht="15" customHeight="1">
      <c r="A771" s="59">
        <v>46202</v>
      </c>
      <c r="B771" s="15">
        <v>0.83333333333333304</v>
      </c>
      <c r="C771" s="10" t="s">
        <v>45</v>
      </c>
      <c r="D771" s="16" t="s">
        <v>30</v>
      </c>
      <c r="E771" s="11">
        <v>20</v>
      </c>
      <c r="F771" s="17">
        <f t="shared" ref="F771:F782" si="174">IF(E771="","",E771*5)</f>
        <v>100</v>
      </c>
      <c r="G771" s="16"/>
      <c r="H771" s="16"/>
      <c r="I771" s="16"/>
      <c r="J771" s="13"/>
      <c r="K771" s="13"/>
      <c r="L771" s="71" t="str">
        <f t="shared" ref="L771:L782" si="175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6">B771+TIME(0,60,0)</f>
        <v>0.87499999999999967</v>
      </c>
      <c r="C772" s="10" t="s">
        <v>45</v>
      </c>
      <c r="D772" s="16" t="s">
        <v>30</v>
      </c>
      <c r="E772" s="11">
        <v>28</v>
      </c>
      <c r="F772" s="12">
        <f t="shared" si="174"/>
        <v>140</v>
      </c>
      <c r="G772" s="10"/>
      <c r="H772" s="10"/>
      <c r="I772" s="10"/>
      <c r="J772" s="13"/>
      <c r="K772" s="13"/>
      <c r="L772" s="70" t="str">
        <f t="shared" si="175"/>
        <v/>
      </c>
      <c r="M772" s="29"/>
      <c r="N772" s="30"/>
    </row>
    <row r="773" spans="1:14" ht="15" customHeight="1">
      <c r="A773" s="59">
        <v>46202</v>
      </c>
      <c r="B773" s="15">
        <f t="shared" si="176"/>
        <v>0.9166666666666663</v>
      </c>
      <c r="C773" s="10" t="s">
        <v>45</v>
      </c>
      <c r="D773" s="16" t="s">
        <v>30</v>
      </c>
      <c r="E773" s="11">
        <v>0</v>
      </c>
      <c r="F773" s="12">
        <f t="shared" si="174"/>
        <v>0</v>
      </c>
      <c r="G773" s="16"/>
      <c r="H773" s="16"/>
      <c r="I773" s="16"/>
      <c r="J773" s="13"/>
      <c r="K773" s="13"/>
      <c r="L773" s="71" t="str">
        <f t="shared" si="175"/>
        <v/>
      </c>
      <c r="M773" s="29"/>
      <c r="N773" s="30"/>
    </row>
    <row r="774" spans="1:14" ht="15" customHeight="1">
      <c r="A774" s="58">
        <v>46202</v>
      </c>
      <c r="B774" s="9">
        <f t="shared" si="176"/>
        <v>0.95833333333333293</v>
      </c>
      <c r="C774" s="10" t="s">
        <v>45</v>
      </c>
      <c r="D774" s="16" t="s">
        <v>30</v>
      </c>
      <c r="E774" s="11">
        <v>66</v>
      </c>
      <c r="F774" s="12">
        <f t="shared" si="174"/>
        <v>330</v>
      </c>
      <c r="G774" s="10"/>
      <c r="H774" s="10"/>
      <c r="I774" s="10"/>
      <c r="J774" s="13"/>
      <c r="K774" s="13"/>
      <c r="L774" s="70" t="str">
        <f t="shared" si="175"/>
        <v/>
      </c>
      <c r="M774" s="29"/>
      <c r="N774" s="30"/>
    </row>
    <row r="775" spans="1:14" ht="15" customHeight="1">
      <c r="A775" s="59">
        <v>46202</v>
      </c>
      <c r="B775" s="15">
        <f t="shared" si="176"/>
        <v>0.99999999999999956</v>
      </c>
      <c r="C775" s="10" t="s">
        <v>45</v>
      </c>
      <c r="D775" s="16" t="s">
        <v>30</v>
      </c>
      <c r="E775" s="11">
        <v>35</v>
      </c>
      <c r="F775" s="17">
        <f t="shared" si="174"/>
        <v>175</v>
      </c>
      <c r="G775" s="16"/>
      <c r="H775" s="16"/>
      <c r="I775" s="16"/>
      <c r="J775" s="13"/>
      <c r="K775" s="13"/>
      <c r="L775" s="71" t="str">
        <f t="shared" si="175"/>
        <v/>
      </c>
      <c r="M775" s="29"/>
      <c r="N775" s="30"/>
    </row>
    <row r="776" spans="1:14" ht="15" customHeight="1">
      <c r="A776" s="58">
        <v>46202</v>
      </c>
      <c r="B776" s="9">
        <f t="shared" si="176"/>
        <v>1.0416666666666663</v>
      </c>
      <c r="C776" s="10" t="s">
        <v>45</v>
      </c>
      <c r="D776" s="16" t="s">
        <v>30</v>
      </c>
      <c r="E776" s="11">
        <v>34</v>
      </c>
      <c r="F776" s="12">
        <f t="shared" si="174"/>
        <v>170</v>
      </c>
      <c r="G776" s="10"/>
      <c r="H776" s="10"/>
      <c r="I776" s="10"/>
      <c r="J776" s="13"/>
      <c r="K776" s="13"/>
      <c r="L776" s="70" t="str">
        <f t="shared" si="175"/>
        <v/>
      </c>
      <c r="M776" s="29"/>
      <c r="N776" s="30"/>
    </row>
    <row r="777" spans="1:14" ht="15" customHeight="1">
      <c r="A777" s="59">
        <v>46202</v>
      </c>
      <c r="B777" s="15">
        <f t="shared" si="176"/>
        <v>1.083333333333333</v>
      </c>
      <c r="C777" s="10" t="s">
        <v>45</v>
      </c>
      <c r="D777" s="16" t="s">
        <v>30</v>
      </c>
      <c r="E777" s="11">
        <v>70</v>
      </c>
      <c r="F777" s="17">
        <f t="shared" si="174"/>
        <v>350</v>
      </c>
      <c r="G777" s="16"/>
      <c r="H777" s="16"/>
      <c r="I777" s="16"/>
      <c r="J777" s="13"/>
      <c r="K777" s="13"/>
      <c r="L777" s="71" t="str">
        <f t="shared" si="175"/>
        <v/>
      </c>
      <c r="M777" s="29"/>
      <c r="N777" s="30"/>
    </row>
    <row r="778" spans="1:14" ht="15" customHeight="1">
      <c r="A778" s="58">
        <v>46202</v>
      </c>
      <c r="B778" s="9">
        <f t="shared" si="176"/>
        <v>1.1249999999999998</v>
      </c>
      <c r="C778" s="10" t="s">
        <v>45</v>
      </c>
      <c r="D778" s="16" t="s">
        <v>30</v>
      </c>
      <c r="E778" s="11">
        <v>35</v>
      </c>
      <c r="F778" s="12">
        <f t="shared" si="174"/>
        <v>175</v>
      </c>
      <c r="G778" s="10"/>
      <c r="H778" s="10"/>
      <c r="I778" s="10"/>
      <c r="J778" s="13"/>
      <c r="K778" s="13"/>
      <c r="L778" s="70" t="str">
        <f t="shared" si="175"/>
        <v/>
      </c>
      <c r="M778" s="29"/>
      <c r="N778" s="30"/>
    </row>
    <row r="779" spans="1:14" ht="15" customHeight="1">
      <c r="A779" s="59">
        <v>46202</v>
      </c>
      <c r="B779" s="15">
        <f t="shared" si="176"/>
        <v>1.1666666666666665</v>
      </c>
      <c r="C779" s="10" t="s">
        <v>45</v>
      </c>
      <c r="D779" s="16" t="s">
        <v>30</v>
      </c>
      <c r="E779" s="11">
        <v>45</v>
      </c>
      <c r="F779" s="17">
        <f t="shared" si="174"/>
        <v>225</v>
      </c>
      <c r="G779" s="16"/>
      <c r="H779" s="16"/>
      <c r="I779" s="16"/>
      <c r="J779" s="13"/>
      <c r="K779" s="13"/>
      <c r="L779" s="71" t="str">
        <f t="shared" si="175"/>
        <v/>
      </c>
      <c r="M779" s="29"/>
      <c r="N779" s="30"/>
    </row>
    <row r="780" spans="1:14" ht="15" customHeight="1">
      <c r="A780" s="58">
        <v>46202</v>
      </c>
      <c r="B780" s="9">
        <f t="shared" si="176"/>
        <v>1.2083333333333333</v>
      </c>
      <c r="C780" s="10" t="s">
        <v>45</v>
      </c>
      <c r="D780" s="16" t="s">
        <v>30</v>
      </c>
      <c r="E780" s="11">
        <v>50</v>
      </c>
      <c r="F780" s="12">
        <f t="shared" si="174"/>
        <v>250</v>
      </c>
      <c r="G780" s="10"/>
      <c r="H780" s="10"/>
      <c r="I780" s="10"/>
      <c r="J780" s="13"/>
      <c r="K780" s="13"/>
      <c r="L780" s="70" t="str">
        <f t="shared" si="175"/>
        <v/>
      </c>
      <c r="M780" s="29"/>
      <c r="N780" s="30"/>
    </row>
    <row r="781" spans="1:14" ht="15" customHeight="1">
      <c r="A781" s="59">
        <v>46202</v>
      </c>
      <c r="B781" s="15">
        <f t="shared" si="176"/>
        <v>1.25</v>
      </c>
      <c r="C781" s="10" t="s">
        <v>45</v>
      </c>
      <c r="D781" s="16" t="s">
        <v>30</v>
      </c>
      <c r="E781" s="11">
        <v>40</v>
      </c>
      <c r="F781" s="17">
        <f t="shared" si="174"/>
        <v>200</v>
      </c>
      <c r="G781" s="16"/>
      <c r="H781" s="16"/>
      <c r="I781" s="16"/>
      <c r="J781" s="13"/>
      <c r="K781" s="13"/>
      <c r="L781" s="71" t="str">
        <f t="shared" si="175"/>
        <v/>
      </c>
      <c r="M781" s="29"/>
      <c r="N781" s="30"/>
    </row>
    <row r="782" spans="1:14" ht="15" customHeight="1">
      <c r="A782" s="58">
        <v>46202</v>
      </c>
      <c r="B782" s="9">
        <f t="shared" si="176"/>
        <v>1.2916666666666667</v>
      </c>
      <c r="C782" s="10" t="s">
        <v>45</v>
      </c>
      <c r="D782" s="16" t="s">
        <v>30</v>
      </c>
      <c r="E782" s="11"/>
      <c r="F782" s="12" t="str">
        <f t="shared" si="174"/>
        <v/>
      </c>
      <c r="G782" s="10"/>
      <c r="H782" s="10"/>
      <c r="I782" s="10"/>
      <c r="J782" s="13"/>
      <c r="K782" s="13"/>
      <c r="L782" s="70" t="str">
        <f t="shared" si="175"/>
        <v/>
      </c>
      <c r="M782" s="29"/>
      <c r="N782" s="30"/>
    </row>
    <row r="783" spans="1:14" ht="15.75" customHeight="1">
      <c r="A783" s="97" t="s">
        <v>193</v>
      </c>
      <c r="B783" s="97"/>
      <c r="C783" s="97"/>
      <c r="D783" s="97"/>
      <c r="E783" s="19">
        <f>SUM(E771:E782)</f>
        <v>423</v>
      </c>
      <c r="F783" s="19">
        <f>SUM(F771:F782)</f>
        <v>2115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192</v>
      </c>
      <c r="N783" s="20"/>
    </row>
    <row r="784" spans="1:14" ht="18" customHeight="1">
      <c r="A784" s="98" t="s">
        <v>194</v>
      </c>
      <c r="B784" s="98"/>
      <c r="C784" s="98"/>
      <c r="D784" s="98"/>
      <c r="E784" s="22">
        <f>E770+E783</f>
        <v>569</v>
      </c>
      <c r="F784" s="22">
        <f>F770+F783</f>
        <v>2845</v>
      </c>
      <c r="G784" s="21"/>
      <c r="H784" s="21"/>
      <c r="I784" s="21"/>
      <c r="J784" s="21"/>
      <c r="K784" s="21"/>
      <c r="L784" s="73">
        <f>IFERROR(L770+L783,"")</f>
        <v>0.17847222222222225</v>
      </c>
      <c r="M784" s="22" t="s">
        <v>195</v>
      </c>
      <c r="N784" s="31">
        <f>IFERROR(N770+N783,"")</f>
        <v>928270</v>
      </c>
    </row>
    <row r="785" spans="1:14" ht="15" customHeight="1">
      <c r="A785" s="59">
        <v>46203</v>
      </c>
      <c r="B785" s="15">
        <v>0.33333333333333331</v>
      </c>
      <c r="C785" s="16"/>
      <c r="D785" s="16"/>
      <c r="E785" s="11"/>
      <c r="F785" s="17" t="str">
        <f t="shared" ref="F785:F796" si="177">IF(E785="","",E785*5)</f>
        <v/>
      </c>
      <c r="G785" s="16"/>
      <c r="H785" s="16"/>
      <c r="I785" s="16"/>
      <c r="J785" s="13"/>
      <c r="K785" s="13"/>
      <c r="L785" s="71" t="str">
        <f t="shared" ref="L785:L796" si="178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9">B785+TIME(0,60,0)</f>
        <v>0.375</v>
      </c>
      <c r="C786" s="10"/>
      <c r="D786" s="10"/>
      <c r="E786" s="11"/>
      <c r="F786" s="12" t="str">
        <f t="shared" si="177"/>
        <v/>
      </c>
      <c r="G786" s="10"/>
      <c r="H786" s="10"/>
      <c r="I786" s="10"/>
      <c r="J786" s="13"/>
      <c r="K786" s="13"/>
      <c r="L786" s="70" t="str">
        <f t="shared" si="178"/>
        <v/>
      </c>
      <c r="M786" s="29"/>
      <c r="N786" s="30"/>
    </row>
    <row r="787" spans="1:14" ht="15" customHeight="1">
      <c r="A787" s="59">
        <v>46203</v>
      </c>
      <c r="B787" s="15">
        <f t="shared" si="179"/>
        <v>0.41666666666666669</v>
      </c>
      <c r="C787" s="16"/>
      <c r="D787" s="16"/>
      <c r="E787" s="11"/>
      <c r="F787" s="17" t="str">
        <f t="shared" si="177"/>
        <v/>
      </c>
      <c r="G787" s="16"/>
      <c r="H787" s="16"/>
      <c r="I787" s="16"/>
      <c r="J787" s="13"/>
      <c r="K787" s="13"/>
      <c r="L787" s="71" t="str">
        <f t="shared" si="178"/>
        <v/>
      </c>
      <c r="M787" s="29"/>
      <c r="N787" s="30"/>
    </row>
    <row r="788" spans="1:14" ht="15" customHeight="1">
      <c r="A788" s="58">
        <v>46203</v>
      </c>
      <c r="B788" s="9">
        <f t="shared" si="179"/>
        <v>0.45833333333333337</v>
      </c>
      <c r="C788" s="10"/>
      <c r="D788" s="10"/>
      <c r="E788" s="11"/>
      <c r="F788" s="12" t="str">
        <f t="shared" si="177"/>
        <v/>
      </c>
      <c r="G788" s="10"/>
      <c r="H788" s="10"/>
      <c r="I788" s="10"/>
      <c r="J788" s="13"/>
      <c r="K788" s="13"/>
      <c r="L788" s="70" t="str">
        <f t="shared" si="178"/>
        <v/>
      </c>
      <c r="M788" s="29"/>
      <c r="N788" s="30"/>
    </row>
    <row r="789" spans="1:14" ht="15" customHeight="1">
      <c r="A789" s="59">
        <v>46203</v>
      </c>
      <c r="B789" s="15">
        <f t="shared" si="179"/>
        <v>0.5</v>
      </c>
      <c r="C789" s="16"/>
      <c r="D789" s="16"/>
      <c r="E789" s="11"/>
      <c r="F789" s="17" t="str">
        <f t="shared" si="177"/>
        <v/>
      </c>
      <c r="G789" s="16"/>
      <c r="H789" s="16"/>
      <c r="I789" s="16"/>
      <c r="J789" s="13"/>
      <c r="K789" s="13"/>
      <c r="L789" s="71" t="str">
        <f t="shared" si="178"/>
        <v/>
      </c>
      <c r="M789" s="29"/>
      <c r="N789" s="30"/>
    </row>
    <row r="790" spans="1:14" ht="15" customHeight="1">
      <c r="A790" s="58">
        <v>46203</v>
      </c>
      <c r="B790" s="9">
        <f t="shared" si="179"/>
        <v>0.54166666666666663</v>
      </c>
      <c r="C790" s="10"/>
      <c r="D790" s="10"/>
      <c r="E790" s="11"/>
      <c r="F790" s="12" t="str">
        <f t="shared" si="177"/>
        <v/>
      </c>
      <c r="G790" s="10"/>
      <c r="H790" s="10"/>
      <c r="I790" s="10"/>
      <c r="J790" s="13"/>
      <c r="K790" s="13"/>
      <c r="L790" s="70" t="str">
        <f t="shared" si="178"/>
        <v/>
      </c>
      <c r="M790" s="29"/>
      <c r="N790" s="30"/>
    </row>
    <row r="791" spans="1:14" ht="15" customHeight="1">
      <c r="A791" s="59">
        <v>46203</v>
      </c>
      <c r="B791" s="15">
        <f t="shared" si="179"/>
        <v>0.58333333333333326</v>
      </c>
      <c r="C791" s="16"/>
      <c r="D791" s="16"/>
      <c r="E791" s="11"/>
      <c r="F791" s="17" t="str">
        <f t="shared" si="177"/>
        <v/>
      </c>
      <c r="G791" s="16"/>
      <c r="H791" s="16"/>
      <c r="I791" s="16"/>
      <c r="J791" s="13"/>
      <c r="K791" s="13"/>
      <c r="L791" s="71" t="str">
        <f t="shared" si="178"/>
        <v/>
      </c>
      <c r="M791" s="29"/>
      <c r="N791" s="30"/>
    </row>
    <row r="792" spans="1:14" ht="15" customHeight="1">
      <c r="A792" s="58">
        <v>46203</v>
      </c>
      <c r="B792" s="9">
        <f t="shared" si="179"/>
        <v>0.62499999999999989</v>
      </c>
      <c r="C792" s="10"/>
      <c r="D792" s="10"/>
      <c r="E792" s="11"/>
      <c r="F792" s="12" t="str">
        <f t="shared" si="177"/>
        <v/>
      </c>
      <c r="G792" s="10"/>
      <c r="H792" s="10"/>
      <c r="I792" s="10"/>
      <c r="J792" s="13"/>
      <c r="K792" s="13"/>
      <c r="L792" s="70" t="str">
        <f t="shared" si="178"/>
        <v/>
      </c>
      <c r="M792" s="29"/>
      <c r="N792" s="30"/>
    </row>
    <row r="793" spans="1:14" ht="15" customHeight="1">
      <c r="A793" s="59">
        <v>46203</v>
      </c>
      <c r="B793" s="15">
        <f t="shared" si="179"/>
        <v>0.66666666666666652</v>
      </c>
      <c r="C793" s="16"/>
      <c r="D793" s="16"/>
      <c r="E793" s="11"/>
      <c r="F793" s="17" t="str">
        <f t="shared" si="177"/>
        <v/>
      </c>
      <c r="G793" s="16"/>
      <c r="H793" s="16"/>
      <c r="I793" s="16"/>
      <c r="J793" s="13"/>
      <c r="K793" s="13"/>
      <c r="L793" s="71" t="str">
        <f t="shared" si="178"/>
        <v/>
      </c>
      <c r="M793" s="29"/>
      <c r="N793" s="30"/>
    </row>
    <row r="794" spans="1:14" ht="15" customHeight="1">
      <c r="A794" s="58">
        <v>46203</v>
      </c>
      <c r="B794" s="9">
        <f t="shared" si="179"/>
        <v>0.70833333333333315</v>
      </c>
      <c r="C794" s="10"/>
      <c r="D794" s="10"/>
      <c r="E794" s="11"/>
      <c r="F794" s="12" t="str">
        <f t="shared" si="177"/>
        <v/>
      </c>
      <c r="G794" s="10"/>
      <c r="H794" s="10"/>
      <c r="I794" s="10"/>
      <c r="J794" s="13"/>
      <c r="K794" s="13"/>
      <c r="L794" s="70" t="str">
        <f t="shared" si="178"/>
        <v/>
      </c>
      <c r="M794" s="29"/>
      <c r="N794" s="30"/>
    </row>
    <row r="795" spans="1:14" ht="15" customHeight="1">
      <c r="A795" s="59">
        <v>46203</v>
      </c>
      <c r="B795" s="15">
        <f t="shared" si="179"/>
        <v>0.74999999999999978</v>
      </c>
      <c r="C795" s="16"/>
      <c r="D795" s="16"/>
      <c r="E795" s="11"/>
      <c r="F795" s="17" t="str">
        <f t="shared" si="177"/>
        <v/>
      </c>
      <c r="G795" s="16"/>
      <c r="H795" s="16"/>
      <c r="I795" s="16"/>
      <c r="J795" s="13"/>
      <c r="K795" s="13"/>
      <c r="L795" s="71" t="str">
        <f t="shared" si="178"/>
        <v/>
      </c>
      <c r="M795" s="29"/>
      <c r="N795" s="30"/>
    </row>
    <row r="796" spans="1:14" ht="15" customHeight="1">
      <c r="A796" s="58">
        <v>46203</v>
      </c>
      <c r="B796" s="9">
        <f t="shared" si="179"/>
        <v>0.79166666666666641</v>
      </c>
      <c r="C796" s="10"/>
      <c r="D796" s="10"/>
      <c r="E796" s="11"/>
      <c r="F796" s="12" t="str">
        <f t="shared" si="177"/>
        <v/>
      </c>
      <c r="G796" s="10"/>
      <c r="H796" s="10"/>
      <c r="I796" s="10"/>
      <c r="J796" s="13"/>
      <c r="K796" s="13"/>
      <c r="L796" s="70" t="str">
        <f t="shared" si="178"/>
        <v/>
      </c>
      <c r="M796" s="29"/>
      <c r="N796" s="30"/>
    </row>
    <row r="797" spans="1:14" ht="15.75" customHeight="1">
      <c r="A797" s="97" t="s">
        <v>191</v>
      </c>
      <c r="B797" s="97"/>
      <c r="C797" s="97"/>
      <c r="D797" s="97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192</v>
      </c>
      <c r="N797" s="20"/>
    </row>
    <row r="798" spans="1:14" ht="15" customHeight="1">
      <c r="A798" s="58">
        <v>46203</v>
      </c>
      <c r="B798" s="9">
        <v>0.83333333333333304</v>
      </c>
      <c r="C798" s="10"/>
      <c r="D798" s="10"/>
      <c r="E798" s="11"/>
      <c r="F798" s="12" t="str">
        <f t="shared" ref="F798:F809" si="180">IF(E798="","",E798*5)</f>
        <v/>
      </c>
      <c r="G798" s="10"/>
      <c r="H798" s="10"/>
      <c r="I798" s="10"/>
      <c r="J798" s="13"/>
      <c r="K798" s="13"/>
      <c r="L798" s="70" t="str">
        <f t="shared" ref="L798:L809" si="181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82">B798+TIME(0,60,0)</f>
        <v>0.87499999999999967</v>
      </c>
      <c r="C799" s="16"/>
      <c r="D799" s="16"/>
      <c r="E799" s="11"/>
      <c r="F799" s="17" t="str">
        <f t="shared" si="180"/>
        <v/>
      </c>
      <c r="G799" s="16"/>
      <c r="H799" s="16"/>
      <c r="I799" s="16"/>
      <c r="J799" s="13"/>
      <c r="K799" s="13"/>
      <c r="L799" s="71" t="str">
        <f t="shared" si="181"/>
        <v/>
      </c>
      <c r="M799" s="29"/>
      <c r="N799" s="30"/>
    </row>
    <row r="800" spans="1:14" ht="15" customHeight="1">
      <c r="A800" s="58">
        <v>46203</v>
      </c>
      <c r="B800" s="9">
        <f t="shared" si="182"/>
        <v>0.9166666666666663</v>
      </c>
      <c r="C800" s="10"/>
      <c r="D800" s="10"/>
      <c r="E800" s="11"/>
      <c r="F800" s="12" t="str">
        <f t="shared" si="180"/>
        <v/>
      </c>
      <c r="G800" s="10"/>
      <c r="H800" s="10"/>
      <c r="I800" s="10"/>
      <c r="J800" s="13"/>
      <c r="K800" s="13"/>
      <c r="L800" s="70" t="str">
        <f t="shared" si="181"/>
        <v/>
      </c>
      <c r="M800" s="29"/>
      <c r="N800" s="30"/>
    </row>
    <row r="801" spans="1:14" ht="15" customHeight="1">
      <c r="A801" s="59">
        <v>46203</v>
      </c>
      <c r="B801" s="15">
        <f t="shared" si="182"/>
        <v>0.95833333333333293</v>
      </c>
      <c r="C801" s="16"/>
      <c r="D801" s="16"/>
      <c r="E801" s="11"/>
      <c r="F801" s="17" t="str">
        <f t="shared" si="180"/>
        <v/>
      </c>
      <c r="G801" s="16"/>
      <c r="H801" s="16"/>
      <c r="I801" s="16"/>
      <c r="J801" s="13"/>
      <c r="K801" s="13"/>
      <c r="L801" s="71" t="str">
        <f t="shared" si="181"/>
        <v/>
      </c>
      <c r="M801" s="29"/>
      <c r="N801" s="30"/>
    </row>
    <row r="802" spans="1:14" ht="15" customHeight="1">
      <c r="A802" s="58">
        <v>46203</v>
      </c>
      <c r="B802" s="9">
        <f t="shared" si="182"/>
        <v>0.99999999999999956</v>
      </c>
      <c r="C802" s="10"/>
      <c r="D802" s="10"/>
      <c r="E802" s="11"/>
      <c r="F802" s="12" t="str">
        <f t="shared" si="180"/>
        <v/>
      </c>
      <c r="G802" s="10"/>
      <c r="H802" s="10"/>
      <c r="I802" s="10"/>
      <c r="J802" s="13"/>
      <c r="K802" s="13"/>
      <c r="L802" s="70" t="str">
        <f t="shared" si="181"/>
        <v/>
      </c>
      <c r="M802" s="29"/>
      <c r="N802" s="30"/>
    </row>
    <row r="803" spans="1:14" ht="15" customHeight="1">
      <c r="A803" s="59">
        <v>46203</v>
      </c>
      <c r="B803" s="15">
        <f t="shared" si="182"/>
        <v>1.0416666666666663</v>
      </c>
      <c r="C803" s="16"/>
      <c r="D803" s="16"/>
      <c r="E803" s="11"/>
      <c r="F803" s="17" t="str">
        <f t="shared" si="180"/>
        <v/>
      </c>
      <c r="G803" s="16"/>
      <c r="H803" s="16"/>
      <c r="I803" s="16"/>
      <c r="J803" s="13"/>
      <c r="K803" s="13"/>
      <c r="L803" s="71" t="str">
        <f t="shared" si="181"/>
        <v/>
      </c>
      <c r="M803" s="29"/>
      <c r="N803" s="30"/>
    </row>
    <row r="804" spans="1:14" ht="15" customHeight="1">
      <c r="A804" s="58">
        <v>46203</v>
      </c>
      <c r="B804" s="9">
        <f t="shared" si="182"/>
        <v>1.083333333333333</v>
      </c>
      <c r="C804" s="10"/>
      <c r="D804" s="10"/>
      <c r="E804" s="11"/>
      <c r="F804" s="12" t="str">
        <f t="shared" si="180"/>
        <v/>
      </c>
      <c r="G804" s="10"/>
      <c r="H804" s="10"/>
      <c r="I804" s="10"/>
      <c r="J804" s="13"/>
      <c r="K804" s="13"/>
      <c r="L804" s="70" t="str">
        <f t="shared" si="181"/>
        <v/>
      </c>
      <c r="M804" s="29"/>
      <c r="N804" s="30"/>
    </row>
    <row r="805" spans="1:14" ht="15" customHeight="1">
      <c r="A805" s="59">
        <v>46203</v>
      </c>
      <c r="B805" s="15">
        <f t="shared" si="182"/>
        <v>1.1249999999999998</v>
      </c>
      <c r="C805" s="16"/>
      <c r="D805" s="16"/>
      <c r="E805" s="11"/>
      <c r="F805" s="17" t="str">
        <f t="shared" si="180"/>
        <v/>
      </c>
      <c r="G805" s="16"/>
      <c r="H805" s="16"/>
      <c r="I805" s="16"/>
      <c r="J805" s="13"/>
      <c r="K805" s="13"/>
      <c r="L805" s="71" t="str">
        <f t="shared" si="181"/>
        <v/>
      </c>
      <c r="M805" s="29"/>
      <c r="N805" s="30"/>
    </row>
    <row r="806" spans="1:14" ht="15" customHeight="1">
      <c r="A806" s="58">
        <v>46203</v>
      </c>
      <c r="B806" s="9">
        <f t="shared" si="182"/>
        <v>1.1666666666666665</v>
      </c>
      <c r="C806" s="10"/>
      <c r="D806" s="10"/>
      <c r="E806" s="11"/>
      <c r="F806" s="12" t="str">
        <f t="shared" si="180"/>
        <v/>
      </c>
      <c r="G806" s="10"/>
      <c r="H806" s="10"/>
      <c r="I806" s="10"/>
      <c r="J806" s="13"/>
      <c r="K806" s="13"/>
      <c r="L806" s="70" t="str">
        <f t="shared" si="181"/>
        <v/>
      </c>
      <c r="M806" s="29"/>
      <c r="N806" s="30"/>
    </row>
    <row r="807" spans="1:14" ht="15" customHeight="1">
      <c r="A807" s="59">
        <v>46203</v>
      </c>
      <c r="B807" s="15">
        <f t="shared" si="182"/>
        <v>1.2083333333333333</v>
      </c>
      <c r="C807" s="16"/>
      <c r="D807" s="16"/>
      <c r="E807" s="11"/>
      <c r="F807" s="17" t="str">
        <f t="shared" si="180"/>
        <v/>
      </c>
      <c r="G807" s="16"/>
      <c r="H807" s="16"/>
      <c r="I807" s="16"/>
      <c r="J807" s="13"/>
      <c r="K807" s="13"/>
      <c r="L807" s="71" t="str">
        <f t="shared" si="181"/>
        <v/>
      </c>
      <c r="M807" s="29"/>
      <c r="N807" s="30"/>
    </row>
    <row r="808" spans="1:14" ht="15" customHeight="1">
      <c r="A808" s="58">
        <v>46203</v>
      </c>
      <c r="B808" s="9">
        <f t="shared" si="182"/>
        <v>1.25</v>
      </c>
      <c r="C808" s="10"/>
      <c r="D808" s="10"/>
      <c r="E808" s="11"/>
      <c r="F808" s="12" t="str">
        <f t="shared" si="180"/>
        <v/>
      </c>
      <c r="G808" s="10"/>
      <c r="H808" s="10"/>
      <c r="I808" s="10"/>
      <c r="J808" s="13"/>
      <c r="K808" s="13"/>
      <c r="L808" s="70" t="str">
        <f t="shared" si="181"/>
        <v/>
      </c>
      <c r="M808" s="29"/>
      <c r="N808" s="30"/>
    </row>
    <row r="809" spans="1:14" ht="15" customHeight="1">
      <c r="A809" s="59">
        <v>46203</v>
      </c>
      <c r="B809" s="15">
        <f t="shared" si="182"/>
        <v>1.2916666666666667</v>
      </c>
      <c r="C809" s="16"/>
      <c r="D809" s="16"/>
      <c r="E809" s="11"/>
      <c r="F809" s="17" t="str">
        <f t="shared" si="180"/>
        <v/>
      </c>
      <c r="G809" s="16"/>
      <c r="H809" s="16"/>
      <c r="I809" s="16"/>
      <c r="J809" s="13"/>
      <c r="K809" s="13"/>
      <c r="L809" s="71" t="str">
        <f t="shared" si="181"/>
        <v/>
      </c>
      <c r="M809" s="29"/>
      <c r="N809" s="30"/>
    </row>
    <row r="810" spans="1:14" ht="15.75" customHeight="1">
      <c r="A810" s="97" t="s">
        <v>193</v>
      </c>
      <c r="B810" s="97"/>
      <c r="C810" s="97"/>
      <c r="D810" s="97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192</v>
      </c>
      <c r="N810" s="20"/>
    </row>
    <row r="811" spans="1:14" ht="18" customHeight="1">
      <c r="A811" s="98" t="s">
        <v>194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195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6">
    <mergeCell ref="A784:D784"/>
    <mergeCell ref="A797:D797"/>
    <mergeCell ref="A810:D810"/>
    <mergeCell ref="A811:D811"/>
    <mergeCell ref="A743:D743"/>
    <mergeCell ref="A783:D783"/>
    <mergeCell ref="A702:D702"/>
    <mergeCell ref="A703:D703"/>
    <mergeCell ref="A716:D716"/>
    <mergeCell ref="A729:D729"/>
    <mergeCell ref="A730:D730"/>
    <mergeCell ref="A649:D649"/>
    <mergeCell ref="A662:D662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67:D567"/>
    <mergeCell ref="A568:D568"/>
    <mergeCell ref="A581:D581"/>
    <mergeCell ref="A594:D594"/>
    <mergeCell ref="A595:D595"/>
    <mergeCell ref="A514:D514"/>
    <mergeCell ref="A527:D527"/>
    <mergeCell ref="A540:D540"/>
    <mergeCell ref="A541:D541"/>
    <mergeCell ref="A554:D554"/>
    <mergeCell ref="A473:D473"/>
    <mergeCell ref="A486:D486"/>
    <mergeCell ref="A487:D487"/>
    <mergeCell ref="A500:D500"/>
    <mergeCell ref="A513:D513"/>
    <mergeCell ref="A419:D419"/>
    <mergeCell ref="A432:D432"/>
    <mergeCell ref="A433:D433"/>
    <mergeCell ref="A459:D459"/>
    <mergeCell ref="A460:D460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517 I519:I900" xr:uid="{00000000-0002-0000-01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100-000000000000}">
          <x14:formula1>
            <xm:f>Cadastro!$A$4:$A$50</xm:f>
          </x14:formula1>
          <x14:formula2>
            <xm:f>0</xm:f>
          </x14:formula2>
          <xm:sqref>C2:C445 C447:C756 D756 C758:C769 C771:C900</xm:sqref>
        </x14:dataValidation>
        <x14:dataValidation type="list" allowBlank="1" showErrorMessage="1" errorTitle="Valor inválido" error="Selecione da lista." xr:uid="{00000000-0002-0000-0100-000001000000}">
          <x14:formula1>
            <xm:f>Cadastro!$C$4:$C$10</xm:f>
          </x14:formula1>
          <x14:formula2>
            <xm:f>0</xm:f>
          </x14:formula2>
          <xm:sqref>C446 C756:D756 D2:D755 C770 C757 D757:D900</xm:sqref>
        </x14:dataValidation>
        <x14:dataValidation type="list" allowBlank="1" showErrorMessage="1" errorTitle="Valor inválido" error="Selecione da lista." xr:uid="{00000000-0002-0000-0100-000002000000}">
          <x14:formula1>
            <xm:f>Cadastro!$E$4:$E$10</xm:f>
          </x14:formula1>
          <x14:formula2>
            <xm:f>0</xm:f>
          </x14:formula2>
          <xm:sqref>H518:I518 H516 G2:G900</xm:sqref>
        </x14:dataValidation>
        <x14:dataValidation type="list" allowBlank="1" showErrorMessage="1" errorTitle="Valor inválido" error="Selecione da lista." xr:uid="{00000000-0002-0000-0100-000003000000}">
          <x14:formula1>
            <xm:f>Cadastro!$G$4:$G$40</xm:f>
          </x14:formula1>
          <x14:formula2>
            <xm:f>0</xm:f>
          </x14:formula2>
          <xm:sqref>H2:H515 H517 H519:H900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5"/>
  </sheetPr>
  <dimension ref="A1:N811"/>
  <sheetViews>
    <sheetView showGridLines="0" tabSelected="1" topLeftCell="A756" zoomScale="85" zoomScaleNormal="85" workbookViewId="0">
      <selection activeCell="K772" sqref="K772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.140625" style="7" customWidth="1"/>
    <col min="5" max="5" width="13" style="7" customWidth="1"/>
    <col min="6" max="6" width="14" style="7" customWidth="1"/>
    <col min="7" max="7" width="29.42578125" style="7" customWidth="1"/>
    <col min="8" max="8" width="25" style="7" customWidth="1"/>
    <col min="9" max="9" width="48.5703125" style="7" customWidth="1"/>
    <col min="10" max="10" width="15.42578125" style="7" customWidth="1"/>
    <col min="11" max="11" width="12" style="7" customWidth="1"/>
    <col min="12" max="12" width="14" style="74" customWidth="1"/>
    <col min="13" max="13" width="99.42578125" style="7" customWidth="1"/>
    <col min="14" max="14" width="20" style="7" customWidth="1"/>
  </cols>
  <sheetData>
    <row r="1" spans="1:14" ht="37.5" customHeight="1">
      <c r="A1" s="57" t="s">
        <v>7</v>
      </c>
      <c r="B1" s="8" t="s">
        <v>181</v>
      </c>
      <c r="C1" s="8" t="s">
        <v>12</v>
      </c>
      <c r="D1" s="8" t="s">
        <v>13</v>
      </c>
      <c r="E1" s="8" t="s">
        <v>182</v>
      </c>
      <c r="F1" s="8" t="s">
        <v>232</v>
      </c>
      <c r="G1" s="8" t="s">
        <v>14</v>
      </c>
      <c r="H1" s="8" t="s">
        <v>15</v>
      </c>
      <c r="I1" s="8" t="s">
        <v>184</v>
      </c>
      <c r="J1" s="8" t="s">
        <v>185</v>
      </c>
      <c r="K1" s="8" t="s">
        <v>186</v>
      </c>
      <c r="L1" s="69" t="s">
        <v>187</v>
      </c>
      <c r="M1" s="8" t="s">
        <v>188</v>
      </c>
      <c r="N1" s="8" t="s">
        <v>189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34">
        <v>15</v>
      </c>
      <c r="F2" s="12">
        <f t="shared" ref="F2:F13" si="0">IF(E2="","",E2*4)</f>
        <v>60</v>
      </c>
      <c r="G2" s="10"/>
      <c r="H2" s="10"/>
      <c r="I2" s="10"/>
      <c r="J2" s="13"/>
      <c r="K2" s="13"/>
      <c r="L2" s="70" t="str">
        <f t="shared" ref="L2:L13" si="1">IFERROR(IF(K2="","",IF(K2&gt;=J2,K2-J2,K2+1-J2)),"")</f>
        <v/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10" t="s">
        <v>22</v>
      </c>
      <c r="E3" s="34">
        <v>13</v>
      </c>
      <c r="F3" s="17">
        <f t="shared" si="0"/>
        <v>52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34">
        <v>10</v>
      </c>
      <c r="F4" s="12">
        <f t="shared" si="0"/>
        <v>40</v>
      </c>
      <c r="G4" s="10" t="s">
        <v>19</v>
      </c>
      <c r="H4" s="10" t="s">
        <v>31</v>
      </c>
      <c r="I4" s="10" t="s">
        <v>27</v>
      </c>
      <c r="J4" s="13">
        <v>0.41666666666666702</v>
      </c>
      <c r="K4" s="13">
        <v>0.45833333333333298</v>
      </c>
      <c r="L4" s="70">
        <f t="shared" si="1"/>
        <v>4.1666666666665964E-2</v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10" t="s">
        <v>22</v>
      </c>
      <c r="E5" s="34">
        <v>7</v>
      </c>
      <c r="F5" s="17">
        <f t="shared" si="0"/>
        <v>28</v>
      </c>
      <c r="G5" s="16" t="str">
        <f>IF(J5&lt;&gt;"","",IFERROR(IF(LOOKUP(2,1/(G2:G4&lt;&gt;""),G2:G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G2:G4&lt;&gt;""),G2:G4),"")),""))</f>
        <v/>
      </c>
      <c r="H5" s="16"/>
      <c r="I5" s="16" t="str">
        <f>IF(J5&lt;&gt;"","",IFERROR(IF(LOOKUP(2,1/(I2:I4&lt;&gt;""),I2:I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I2:I4&lt;&gt;""),I2:I4),"")),""))</f>
        <v/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34">
        <v>6</v>
      </c>
      <c r="F6" s="12">
        <f t="shared" si="0"/>
        <v>24</v>
      </c>
      <c r="G6" s="10" t="str">
        <f>IF(J6&lt;&gt;"","",IFERROR(IF(LOOKUP(2,1/(G2:G5&lt;&gt;""),G2:G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G2:G5&lt;&gt;""),G2:G5),"")),""))</f>
        <v/>
      </c>
      <c r="H6" s="10"/>
      <c r="I6" s="10" t="str">
        <f>IF(J6&lt;&gt;"","",IFERROR(IF(LOOKUP(2,1/(I2:I5&lt;&gt;""),I2:I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I2:I5&lt;&gt;""),I2:I5),"")),""))</f>
        <v/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10" t="s">
        <v>22</v>
      </c>
      <c r="E7" s="34">
        <v>27</v>
      </c>
      <c r="F7" s="17">
        <f t="shared" si="0"/>
        <v>108</v>
      </c>
      <c r="G7" s="16"/>
      <c r="H7" s="16" t="str">
        <f>IF(J7&lt;&gt;"","",IFERROR(IF(LOOKUP(2,1/(H2:H6&lt;&gt;""),H2:H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H2:H6&lt;&gt;""),H2:H6),"")),""))</f>
        <v/>
      </c>
      <c r="I7" s="16" t="str">
        <f>IF(J7&lt;&gt;"","",IFERROR(IF(LOOKUP(2,1/(I2:I6&lt;&gt;""),I2:I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I2:I6&lt;&gt;""),I2:I6),"")),""))</f>
        <v/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34">
        <v>4</v>
      </c>
      <c r="F8" s="12">
        <f t="shared" si="0"/>
        <v>16</v>
      </c>
      <c r="G8" s="10" t="s">
        <v>18</v>
      </c>
      <c r="H8" s="10" t="s">
        <v>135</v>
      </c>
      <c r="I8" s="10" t="s">
        <v>92</v>
      </c>
      <c r="J8" s="13">
        <v>0.58333333333333304</v>
      </c>
      <c r="K8" s="13">
        <v>0.63541666666666696</v>
      </c>
      <c r="L8" s="70">
        <f t="shared" si="1"/>
        <v>5.2083333333333925E-2</v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10" t="s">
        <v>22</v>
      </c>
      <c r="E9" s="34">
        <v>13</v>
      </c>
      <c r="F9" s="17">
        <f t="shared" si="0"/>
        <v>52</v>
      </c>
      <c r="G9" s="16" t="s">
        <v>18</v>
      </c>
      <c r="H9" s="16" t="str">
        <f>IF(J9&lt;&gt;"","",IFERROR(IF(LOOKUP(2,1/(H2:H8&lt;&gt;""),H2:H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H2:H8&lt;&gt;""),H2:H8),"")),""))</f>
        <v>Bomba de rejeito</v>
      </c>
      <c r="I9" s="16" t="str">
        <f>IF(J9&lt;&gt;"","",IFERROR(IF(LOOKUP(2,1/(I2:I8&lt;&gt;""),I2:I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I2:I8&lt;&gt;""),I2:I8),"")),""))</f>
        <v>Serviço de solda na bomba / tubulação de rejeito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34">
        <v>18</v>
      </c>
      <c r="F10" s="12">
        <f t="shared" si="0"/>
        <v>72</v>
      </c>
      <c r="G10" s="10" t="str">
        <f>IF(J10&lt;&gt;"","",IFERROR(IF(LOOKUP(2,1/(G2:G9&lt;&gt;""),G2:G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G2:G9&lt;&gt;""),G2:G9),"")),""))</f>
        <v/>
      </c>
      <c r="H10" s="10" t="str">
        <f>IF(J10&lt;&gt;"","",IFERROR(IF(LOOKUP(2,1/(H2:H9&lt;&gt;""),H2:H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H2:H9&lt;&gt;""),H2:H9),"")),""))</f>
        <v/>
      </c>
      <c r="I10" s="10" t="str">
        <f>IF(J10&lt;&gt;"","",IFERROR(IF(LOOKUP(2,1/(I2:I9&lt;&gt;""),I2:I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I2:I9&lt;&gt;""),I2:I9),"")),""))</f>
        <v/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10" t="s">
        <v>22</v>
      </c>
      <c r="E11" s="34">
        <v>3</v>
      </c>
      <c r="F11" s="17">
        <f t="shared" si="0"/>
        <v>12</v>
      </c>
      <c r="G11" s="16" t="s">
        <v>19</v>
      </c>
      <c r="H11" s="16" t="s">
        <v>39</v>
      </c>
      <c r="I11" s="16" t="s">
        <v>27</v>
      </c>
      <c r="J11" s="13">
        <v>0.70833333333333304</v>
      </c>
      <c r="K11" s="13">
        <v>0.73611111111111105</v>
      </c>
      <c r="L11" s="71">
        <f t="shared" si="1"/>
        <v>2.7777777777778012E-2</v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34">
        <v>16</v>
      </c>
      <c r="F12" s="12">
        <f t="shared" si="0"/>
        <v>64</v>
      </c>
      <c r="G12" s="10"/>
      <c r="H12" s="10" t="str">
        <f>IF(J12&lt;&gt;"","",IFERROR(IF(LOOKUP(2,1/(H2:H11&lt;&gt;""),H2:H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H2:H11&lt;&gt;""),H2:H11),"")),""))</f>
        <v/>
      </c>
      <c r="I12" s="10" t="str">
        <f>IF(J12&lt;&gt;"","",IFERROR(IF(LOOKUP(2,1/(I2:I11&lt;&gt;""),I2:I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I2:I11&lt;&gt;""),I2:I11),"")),""))</f>
        <v/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10" t="s">
        <v>22</v>
      </c>
      <c r="E13" s="34">
        <v>6</v>
      </c>
      <c r="F13" s="17">
        <f t="shared" si="0"/>
        <v>24</v>
      </c>
      <c r="G13" s="16" t="s">
        <v>20</v>
      </c>
      <c r="H13" s="16" t="str">
        <f>IF(J13&lt;&gt;"","",IFERROR(IF(LOOKUP(2,1/(H2:H12&lt;&gt;""),H2:H12)="","",IF(IF(LOOKUP(2,1/(K2:K12&lt;&gt;""),K2:K12)&gt;=LOOKUP(2,1/(J2:J12&lt;&gt;""),J2:J12),AND(B13&gt;=LOOKUP(2,1/(J2:J12&lt;&gt;""),J2:J12),B13&lt;LOOKUP(2,1/(K2:K12&lt;&gt;""),K2:K12)),OR(B13&gt;=LOOKUP(2,1/(J2:J12&lt;&gt;""),J2:J12),B13&lt;LOOKUP(2,1/(K2:K12&lt;&gt;""),K2:K12))),LOOKUP(2,1/(H2:H12&lt;&gt;""),H2:H12),"")),""))</f>
        <v/>
      </c>
      <c r="I13" s="16" t="s">
        <v>123</v>
      </c>
      <c r="J13" s="13">
        <v>0.79166666666666696</v>
      </c>
      <c r="K13" s="13">
        <v>0.81805555555555598</v>
      </c>
      <c r="L13" s="71">
        <f t="shared" si="1"/>
        <v>2.6388888888889017E-2</v>
      </c>
      <c r="M13" s="11"/>
      <c r="N13" s="14"/>
    </row>
    <row r="14" spans="1:14" ht="15.75" customHeight="1">
      <c r="A14" s="105" t="s">
        <v>191</v>
      </c>
      <c r="B14" s="105"/>
      <c r="C14" s="105"/>
      <c r="D14" s="105"/>
      <c r="E14" s="19">
        <f>SUM(E2:E13)</f>
        <v>138</v>
      </c>
      <c r="F14" s="19">
        <f>SUM(F2:F13)</f>
        <v>552</v>
      </c>
      <c r="G14" s="18"/>
      <c r="H14" s="18"/>
      <c r="I14" s="18"/>
      <c r="J14" s="18"/>
      <c r="K14" s="18"/>
      <c r="L14" s="72">
        <f>IFERROR(SUM(L2:L13),"")</f>
        <v>0.14791666666666692</v>
      </c>
      <c r="M14" s="19" t="s">
        <v>192</v>
      </c>
      <c r="N14" s="20">
        <v>722660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34">
        <v>16</v>
      </c>
      <c r="F15" s="17">
        <f t="shared" ref="F15:F26" si="3">IF(E15="","",E15*4)</f>
        <v>64</v>
      </c>
      <c r="G15" s="16" t="str">
        <f>IF(J15&lt;&gt;"","",IFERROR(IF(LOOKUP(2,1/(G4:G14&lt;&gt;""),G4:G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G4:G14&lt;&gt;""),G4:G14),"")),""))</f>
        <v/>
      </c>
      <c r="H15" s="16" t="str">
        <f>IF(J15&lt;&gt;"","",IFERROR(IF(LOOKUP(2,1/(H4:H14&lt;&gt;""),H4:H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H4:H14&lt;&gt;""),H4:H14),"")),""))</f>
        <v/>
      </c>
      <c r="I15" s="16" t="str">
        <f>IF(J15&lt;&gt;"","",IFERROR(IF(LOOKUP(2,1/(I4:I14&lt;&gt;""),I4:I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I4:I14&lt;&gt;""),I4:I14),"")),""))</f>
        <v/>
      </c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6" t="s">
        <v>30</v>
      </c>
      <c r="E16" s="34">
        <v>20</v>
      </c>
      <c r="F16" s="12">
        <f t="shared" si="3"/>
        <v>80</v>
      </c>
      <c r="G16" s="10" t="s">
        <v>19</v>
      </c>
      <c r="H16" s="10" t="s">
        <v>31</v>
      </c>
      <c r="I16" s="10" t="s">
        <v>27</v>
      </c>
      <c r="J16" s="13">
        <v>0.875</v>
      </c>
      <c r="K16" s="13">
        <v>0.90277777777777801</v>
      </c>
      <c r="L16" s="70">
        <f t="shared" si="4"/>
        <v>2.7777777777778012E-2</v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34">
        <v>5</v>
      </c>
      <c r="F17" s="17">
        <f t="shared" si="3"/>
        <v>20</v>
      </c>
      <c r="G17" s="16" t="str">
        <f>IF(J17&lt;&gt;"","",IFERROR(IF(LOOKUP(2,1/(G6:G16&lt;&gt;""),G6:G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G6:G16&lt;&gt;""),G6:G16),"")),""))</f>
        <v/>
      </c>
      <c r="H17" s="16" t="str">
        <f>IF(J17&lt;&gt;"","",IFERROR(IF(LOOKUP(2,1/(H6:H16&lt;&gt;""),H6:H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H6:H16&lt;&gt;""),H6:H16),"")),""))</f>
        <v/>
      </c>
      <c r="I17" s="16" t="str">
        <f>IF(J17&lt;&gt;"","",IFERROR(IF(LOOKUP(2,1/(I6:I16&lt;&gt;""),I6:I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I6:I16&lt;&gt;""),I6:I16),"")),""))</f>
        <v/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6" t="s">
        <v>30</v>
      </c>
      <c r="E18" s="34">
        <v>14</v>
      </c>
      <c r="F18" s="12">
        <f t="shared" si="3"/>
        <v>56</v>
      </c>
      <c r="G18" s="10" t="str">
        <f>IF(J18&lt;&gt;"","",IFERROR(IF(LOOKUP(2,1/(G7:G17&lt;&gt;""),G7:G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G7:G17&lt;&gt;""),G7:G17),"")),""))</f>
        <v/>
      </c>
      <c r="H18" s="10" t="str">
        <f>IF(J18&lt;&gt;"","",IFERROR(IF(LOOKUP(2,1/(H7:H17&lt;&gt;""),H7:H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H7:H17&lt;&gt;""),H7:H17),"")),""))</f>
        <v/>
      </c>
      <c r="I18" s="10" t="str">
        <f>IF(J18&lt;&gt;"","",IFERROR(IF(LOOKUP(2,1/(I7:I17&lt;&gt;""),I7:I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I7:I17&lt;&gt;""),I7:I17),"")),""))</f>
        <v/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34">
        <v>23</v>
      </c>
      <c r="F19" s="17">
        <f t="shared" si="3"/>
        <v>92</v>
      </c>
      <c r="G19" s="16" t="str">
        <f>IF(J19&lt;&gt;"","",IFERROR(IF(LOOKUP(2,1/(G8:G18&lt;&gt;""),G8:G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G8:G18&lt;&gt;""),G8:G18),"")),""))</f>
        <v/>
      </c>
      <c r="H19" s="16" t="str">
        <f>IF(J19&lt;&gt;"","",IFERROR(IF(LOOKUP(2,1/(H8:H18&lt;&gt;""),H8:H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H8:H18&lt;&gt;""),H8:H18),"")),""))</f>
        <v/>
      </c>
      <c r="I19" s="16" t="str">
        <f>IF(J19&lt;&gt;"","",IFERROR(IF(LOOKUP(2,1/(I8:I18&lt;&gt;""),I8:I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I8:I18&lt;&gt;""),I8:I18),"")),""))</f>
        <v/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6" t="s">
        <v>30</v>
      </c>
      <c r="E20" s="34">
        <v>10</v>
      </c>
      <c r="F20" s="12">
        <f t="shared" si="3"/>
        <v>40</v>
      </c>
      <c r="G20" s="10" t="s">
        <v>19</v>
      </c>
      <c r="H20" s="10" t="s">
        <v>31</v>
      </c>
      <c r="I20" s="10" t="s">
        <v>122</v>
      </c>
      <c r="J20" s="13">
        <v>4.1666666666666699E-2</v>
      </c>
      <c r="K20" s="13">
        <v>8.3333333333333301E-2</v>
      </c>
      <c r="L20" s="70">
        <f t="shared" si="4"/>
        <v>4.1666666666666602E-2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34">
        <v>13</v>
      </c>
      <c r="F21" s="17">
        <f t="shared" si="3"/>
        <v>52</v>
      </c>
      <c r="G21" s="16" t="str">
        <f>IF(J21&lt;&gt;"","",IFERROR(IF(LOOKUP(2,1/(G10:G20&lt;&gt;""),G10:G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G10:G20&lt;&gt;""),G10:G20),"")),""))</f>
        <v/>
      </c>
      <c r="H21" s="16" t="str">
        <f>IF(J21&lt;&gt;"","",IFERROR(IF(LOOKUP(2,1/(H10:H20&lt;&gt;""),H10:H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H10:H20&lt;&gt;""),H10:H20),"")),""))</f>
        <v/>
      </c>
      <c r="I21" s="16" t="str">
        <f>IF(J21&lt;&gt;"","",IFERROR(IF(LOOKUP(2,1/(I10:I20&lt;&gt;""),I10:I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I10:I20&lt;&gt;""),I10:I20),"")),""))</f>
        <v/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6" t="s">
        <v>30</v>
      </c>
      <c r="E22" s="34">
        <v>20</v>
      </c>
      <c r="F22" s="12">
        <f t="shared" si="3"/>
        <v>80</v>
      </c>
      <c r="G22" s="10" t="s">
        <v>19</v>
      </c>
      <c r="H22" s="10" t="s">
        <v>31</v>
      </c>
      <c r="I22" s="10" t="s">
        <v>35</v>
      </c>
      <c r="J22" s="13">
        <v>0.125</v>
      </c>
      <c r="K22" s="13">
        <v>0.15138888888888899</v>
      </c>
      <c r="L22" s="70">
        <f t="shared" si="4"/>
        <v>2.6388888888888989E-2</v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34">
        <v>10</v>
      </c>
      <c r="F23" s="17">
        <f t="shared" si="3"/>
        <v>40</v>
      </c>
      <c r="G23" s="16" t="str">
        <f>IF(J23&lt;&gt;"","",IFERROR(IF(LOOKUP(2,1/(G12:G22&lt;&gt;""),G12:G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G12:G22&lt;&gt;""),G12:G22),"")),""))</f>
        <v/>
      </c>
      <c r="H23" s="16" t="str">
        <f>IF(J23&lt;&gt;"","",IFERROR(IF(LOOKUP(2,1/(H12:H22&lt;&gt;""),H12:H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H12:H22&lt;&gt;""),H12:H22),"")),""))</f>
        <v/>
      </c>
      <c r="I23" s="16" t="str">
        <f>IF(J23&lt;&gt;"","",IFERROR(IF(LOOKUP(2,1/(I12:I22&lt;&gt;""),I12:I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I12:I22&lt;&gt;""),I12:I22),"")),""))</f>
        <v/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6" t="s">
        <v>30</v>
      </c>
      <c r="E24" s="34">
        <v>15</v>
      </c>
      <c r="F24" s="12">
        <f t="shared" si="3"/>
        <v>60</v>
      </c>
      <c r="G24" s="10" t="str">
        <f>IF(J24&lt;&gt;"","",IFERROR(IF(LOOKUP(2,1/(G13:G23&lt;&gt;""),G13:G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G13:G23&lt;&gt;""),G13:G23),"")),""))</f>
        <v/>
      </c>
      <c r="H24" s="10" t="str">
        <f>IF(J24&lt;&gt;"","",IFERROR(IF(LOOKUP(2,1/(H13:H23&lt;&gt;""),H13:H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H13:H23&lt;&gt;""),H13:H23),"")),""))</f>
        <v/>
      </c>
      <c r="I24" s="10" t="str">
        <f>IF(J24&lt;&gt;"","",IFERROR(IF(LOOKUP(2,1/(I13:I23&lt;&gt;""),I13:I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I13:I23&lt;&gt;""),I13:I23),"")),""))</f>
        <v/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34">
        <v>19</v>
      </c>
      <c r="F25" s="17">
        <f t="shared" si="3"/>
        <v>76</v>
      </c>
      <c r="G25" s="16" t="str">
        <f>IF(J25&lt;&gt;"","",IFERROR(IF(LOOKUP(2,1/(G14:G24&lt;&gt;""),G14:G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G14:G24&lt;&gt;""),G14:G24),"")),""))</f>
        <v/>
      </c>
      <c r="H25" s="16" t="str">
        <f>IF(J25&lt;&gt;"","",IFERROR(IF(LOOKUP(2,1/(H14:H24&lt;&gt;""),H14:H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H14:H24&lt;&gt;""),H14:H24),"")),""))</f>
        <v/>
      </c>
      <c r="I25" s="16" t="str">
        <f>IF(J25&lt;&gt;"","",IFERROR(IF(LOOKUP(2,1/(I14:I24&lt;&gt;""),I14:I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I14:I24&lt;&gt;""),I14:I24),"")),""))</f>
        <v/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6" t="s">
        <v>30</v>
      </c>
      <c r="E26" s="34">
        <v>7</v>
      </c>
      <c r="F26" s="12">
        <f t="shared" si="3"/>
        <v>28</v>
      </c>
      <c r="G26" s="10" t="s">
        <v>19</v>
      </c>
      <c r="H26" s="10" t="s">
        <v>31</v>
      </c>
      <c r="I26" s="10" t="s">
        <v>27</v>
      </c>
      <c r="J26" s="13">
        <v>0.25</v>
      </c>
      <c r="K26" s="13">
        <v>0.26388888888888901</v>
      </c>
      <c r="L26" s="70">
        <f t="shared" si="4"/>
        <v>1.3888888888889006E-2</v>
      </c>
      <c r="M26" s="11"/>
      <c r="N26" s="14"/>
    </row>
    <row r="27" spans="1:14" ht="15.75" customHeight="1">
      <c r="A27" s="105" t="s">
        <v>193</v>
      </c>
      <c r="B27" s="105"/>
      <c r="C27" s="105"/>
      <c r="D27" s="105"/>
      <c r="E27" s="19">
        <f>SUM(E15:E26)</f>
        <v>172</v>
      </c>
      <c r="F27" s="19">
        <f>SUM(F15:F26)</f>
        <v>688</v>
      </c>
      <c r="G27" s="18"/>
      <c r="H27" s="18"/>
      <c r="I27" s="18"/>
      <c r="J27" s="18"/>
      <c r="K27" s="18"/>
      <c r="L27" s="72">
        <f>IFERROR(SUM(L15:L26),"")</f>
        <v>0.10972222222222261</v>
      </c>
      <c r="M27" s="19" t="s">
        <v>192</v>
      </c>
      <c r="N27" s="20">
        <v>1035240</v>
      </c>
    </row>
    <row r="28" spans="1:14" ht="18" customHeight="1">
      <c r="A28" s="98" t="s">
        <v>194</v>
      </c>
      <c r="B28" s="98"/>
      <c r="C28" s="98"/>
      <c r="D28" s="98"/>
      <c r="E28" s="22">
        <f>E14+E27</f>
        <v>310</v>
      </c>
      <c r="F28" s="22">
        <f>F14+F27</f>
        <v>1240</v>
      </c>
      <c r="G28" s="21"/>
      <c r="H28" s="21"/>
      <c r="I28" s="21"/>
      <c r="J28" s="21"/>
      <c r="K28" s="21"/>
      <c r="L28" s="73">
        <f>IFERROR(L14+L27,"")</f>
        <v>0.25763888888888953</v>
      </c>
      <c r="M28" s="22" t="s">
        <v>195</v>
      </c>
      <c r="N28" s="23">
        <f>IFERROR(N14+N27,"")</f>
        <v>1757900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34">
        <v>5</v>
      </c>
      <c r="F29" s="17">
        <f t="shared" ref="F29:F40" si="6">IF(E29="","",E29*4)</f>
        <v>20</v>
      </c>
      <c r="G29" s="16" t="s">
        <v>19</v>
      </c>
      <c r="H29" s="16" t="s">
        <v>31</v>
      </c>
      <c r="I29" s="16" t="s">
        <v>27</v>
      </c>
      <c r="J29" s="13">
        <v>0.29166666666666702</v>
      </c>
      <c r="K29" s="13">
        <v>0.31944444444444398</v>
      </c>
      <c r="L29" s="71">
        <f t="shared" ref="L29:L40" si="7">IFERROR(IF(K29="","",IF(K29&gt;=J29,K29-J29,K29+1-J29)),"")</f>
        <v>2.7777777777776957E-2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34">
        <v>19</v>
      </c>
      <c r="F30" s="12">
        <f t="shared" si="6"/>
        <v>76</v>
      </c>
      <c r="G30" s="10" t="str">
        <f>IF(J30&lt;&gt;"","",IFERROR(IF(LOOKUP(2,1/(G19:G29&lt;&gt;""),G19:G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G19:G29&lt;&gt;""),G19:G29),"")),""))</f>
        <v/>
      </c>
      <c r="H30" s="10" t="str">
        <f>IF(J30&lt;&gt;"","",IFERROR(IF(LOOKUP(2,1/(H19:H29&lt;&gt;""),H19:H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H19:H29&lt;&gt;""),H19:H29),"")),""))</f>
        <v/>
      </c>
      <c r="I30" s="10" t="str">
        <f>IF(J30&lt;&gt;"","",IFERROR(IF(LOOKUP(2,1/(I19:I29&lt;&gt;""),I19:I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I19:I29&lt;&gt;""),I19:I29),"")),""))</f>
        <v/>
      </c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34">
        <v>0</v>
      </c>
      <c r="F31" s="17">
        <f t="shared" si="6"/>
        <v>0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34">
        <v>2</v>
      </c>
      <c r="F32" s="12">
        <f t="shared" si="6"/>
        <v>8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34">
        <v>2</v>
      </c>
      <c r="F33" s="17">
        <f t="shared" si="6"/>
        <v>8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34">
        <v>11</v>
      </c>
      <c r="F34" s="12">
        <f t="shared" si="6"/>
        <v>44</v>
      </c>
      <c r="G34" s="10"/>
      <c r="H34" s="10" t="str">
        <f>IF(J34&lt;&gt;"","",IFERROR(IF(LOOKUP(2,1/(H23:H33&lt;&gt;""),H23:H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H23:H33&lt;&gt;""),H23:H33),"")),""))</f>
        <v/>
      </c>
      <c r="I34" s="10" t="str">
        <f>IF(J34&lt;&gt;"","",IFERROR(IF(LOOKUP(2,1/(I23:I33&lt;&gt;""),I23:I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I23:I33&lt;&gt;""),I23:I33),"")),""))</f>
        <v/>
      </c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34">
        <v>12</v>
      </c>
      <c r="F35" s="17">
        <f t="shared" si="6"/>
        <v>48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34">
        <v>13</v>
      </c>
      <c r="F36" s="12">
        <f t="shared" si="6"/>
        <v>52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34">
        <v>6</v>
      </c>
      <c r="F37" s="17">
        <f t="shared" si="6"/>
        <v>24</v>
      </c>
      <c r="G37" s="16" t="str">
        <f>IF(J37&lt;&gt;"","",IFERROR(IF(LOOKUP(2,1/(G26:G36&lt;&gt;""),G26:G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G26:G36&lt;&gt;""),G26:G36),"")),""))</f>
        <v/>
      </c>
      <c r="H37" s="16" t="str">
        <f>IF(J37&lt;&gt;"","",IFERROR(IF(LOOKUP(2,1/(H26:H36&lt;&gt;""),H26:H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H26:H36&lt;&gt;""),H26:H36),"")),""))</f>
        <v/>
      </c>
      <c r="I37" s="16" t="str">
        <f>IF(J37&lt;&gt;"","",IFERROR(IF(LOOKUP(2,1/(I26:I36&lt;&gt;""),I26:I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I26:I36&lt;&gt;""),I26:I36),"")),""))</f>
        <v/>
      </c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34">
        <v>0</v>
      </c>
      <c r="F38" s="12">
        <f t="shared" si="6"/>
        <v>0</v>
      </c>
      <c r="G38" s="10" t="s">
        <v>19</v>
      </c>
      <c r="H38" s="10" t="s">
        <v>31</v>
      </c>
      <c r="I38" s="10" t="s">
        <v>233</v>
      </c>
      <c r="J38" s="13">
        <v>0.70833333333333304</v>
      </c>
      <c r="K38" s="13">
        <v>0.75</v>
      </c>
      <c r="L38" s="70">
        <f t="shared" si="7"/>
        <v>4.1666666666666963E-2</v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34">
        <v>19</v>
      </c>
      <c r="F39" s="17">
        <f t="shared" si="6"/>
        <v>76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34">
        <v>18</v>
      </c>
      <c r="F40" s="12">
        <f t="shared" si="6"/>
        <v>72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5" t="s">
        <v>191</v>
      </c>
      <c r="B41" s="105"/>
      <c r="C41" s="105"/>
      <c r="D41" s="105"/>
      <c r="E41" s="19">
        <f>SUM(E29:E40)</f>
        <v>107</v>
      </c>
      <c r="F41" s="19">
        <f>SUM(F29:F40)</f>
        <v>428</v>
      </c>
      <c r="G41" s="18"/>
      <c r="H41" s="18"/>
      <c r="I41" s="18"/>
      <c r="J41" s="18"/>
      <c r="K41" s="18"/>
      <c r="L41" s="72">
        <f>IFERROR(SUM(L29:L40),"")</f>
        <v>6.944444444444392E-2</v>
      </c>
      <c r="M41" s="19" t="s">
        <v>192</v>
      </c>
      <c r="N41" s="20">
        <v>395980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34">
        <v>16</v>
      </c>
      <c r="F42" s="12">
        <f t="shared" ref="F42:F53" si="9">IF(E42="","",E42*4)</f>
        <v>64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34">
        <v>11</v>
      </c>
      <c r="F43" s="17">
        <f t="shared" si="9"/>
        <v>44</v>
      </c>
      <c r="G43" s="16" t="s">
        <v>20</v>
      </c>
      <c r="H43" s="16" t="s">
        <v>118</v>
      </c>
      <c r="I43" s="16" t="s">
        <v>103</v>
      </c>
      <c r="J43" s="13">
        <v>0.875</v>
      </c>
      <c r="K43" s="13">
        <v>0.90902777777777799</v>
      </c>
      <c r="L43" s="71">
        <f t="shared" si="10"/>
        <v>3.402777777777799E-2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34">
        <v>20</v>
      </c>
      <c r="F44" s="12">
        <f t="shared" si="9"/>
        <v>80</v>
      </c>
      <c r="G44" s="10" t="s">
        <v>19</v>
      </c>
      <c r="H44" s="10" t="s">
        <v>31</v>
      </c>
      <c r="I44" s="10" t="s">
        <v>34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34">
        <v>12</v>
      </c>
      <c r="F45" s="17">
        <f t="shared" si="9"/>
        <v>48</v>
      </c>
      <c r="G45" s="16" t="str">
        <f>IF(J45&lt;&gt;"","",IFERROR(IF(LOOKUP(2,1/(G34:G44&lt;&gt;""),G34:G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G34:G44&lt;&gt;""),G34:G44),"")),""))</f>
        <v/>
      </c>
      <c r="H45" s="16" t="str">
        <f>IF(J45&lt;&gt;"","",IFERROR(IF(LOOKUP(2,1/(H34:H44&lt;&gt;""),H34:H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H34:H44&lt;&gt;""),H34:H44),"")),""))</f>
        <v/>
      </c>
      <c r="I45" s="16" t="str">
        <f>IF(J45&lt;&gt;"","",IFERROR(IF(LOOKUP(2,1/(I34:I44&lt;&gt;""),I34:I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I34:I44&lt;&gt;""),I34:I44),"")),""))</f>
        <v/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34">
        <v>7</v>
      </c>
      <c r="F46" s="12">
        <f t="shared" si="9"/>
        <v>28</v>
      </c>
      <c r="G46" s="10" t="str">
        <f>IF(J46&lt;&gt;"","",IFERROR(IF(LOOKUP(2,1/(G35:G45&lt;&gt;""),G35:G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G35:G45&lt;&gt;""),G35:G45),"")),""))</f>
        <v/>
      </c>
      <c r="H46" s="10" t="str">
        <f>IF(J46&lt;&gt;"","",IFERROR(IF(LOOKUP(2,1/(H35:H45&lt;&gt;""),H35:H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H35:H45&lt;&gt;""),H35:H45),"")),""))</f>
        <v/>
      </c>
      <c r="I46" s="10" t="str">
        <f>IF(J46&lt;&gt;"","",IFERROR(IF(LOOKUP(2,1/(I35:I45&lt;&gt;""),I35:I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I35:I45&lt;&gt;""),I35:I45),"")),""))</f>
        <v/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34">
        <v>16</v>
      </c>
      <c r="F47" s="17">
        <f t="shared" si="9"/>
        <v>64</v>
      </c>
      <c r="G47" s="16" t="str">
        <f>IF(J47&lt;&gt;"","",IFERROR(IF(LOOKUP(2,1/(G36:G46&lt;&gt;""),G36:G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G36:G46&lt;&gt;""),G36:G46),"")),""))</f>
        <v/>
      </c>
      <c r="H47" s="16" t="str">
        <f>IF(J47&lt;&gt;"","",IFERROR(IF(LOOKUP(2,1/(H36:H46&lt;&gt;""),H36:H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H36:H46&lt;&gt;""),H36:H46),"")),""))</f>
        <v/>
      </c>
      <c r="I47" s="16" t="str">
        <f>IF(J47&lt;&gt;"","",IFERROR(IF(LOOKUP(2,1/(I36:I46&lt;&gt;""),I36:I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I36:I46&lt;&gt;""),I36:I46),"")),""))</f>
        <v/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34">
        <v>3</v>
      </c>
      <c r="F48" s="12">
        <f t="shared" si="9"/>
        <v>12</v>
      </c>
      <c r="G48" s="10" t="s">
        <v>19</v>
      </c>
      <c r="H48" s="10" t="s">
        <v>31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34">
        <v>7</v>
      </c>
      <c r="F49" s="17">
        <f t="shared" si="9"/>
        <v>28</v>
      </c>
      <c r="G49" s="16" t="str">
        <f>IF(J49&lt;&gt;"","",IFERROR(IF(LOOKUP(2,1/(G38:G48&lt;&gt;""),G38:G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G38:G48&lt;&gt;""),G38:G48),"")),""))</f>
        <v/>
      </c>
      <c r="H49" s="16" t="str">
        <f>IF(J49&lt;&gt;"","",IFERROR(IF(LOOKUP(2,1/(H38:H48&lt;&gt;""),H38:H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H38:H48&lt;&gt;""),H38:H48),"")),""))</f>
        <v/>
      </c>
      <c r="I49" s="16" t="str">
        <f>IF(J49&lt;&gt;"","",IFERROR(IF(LOOKUP(2,1/(I38:I48&lt;&gt;""),I38:I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I38:I48&lt;&gt;""),I38:I48),"")),""))</f>
        <v/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34">
        <v>4</v>
      </c>
      <c r="F50" s="12">
        <f t="shared" si="9"/>
        <v>16</v>
      </c>
      <c r="G50" s="10" t="str">
        <f>IF(J50&lt;&gt;"","",IFERROR(IF(LOOKUP(2,1/(G39:G49&lt;&gt;""),G39:G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G39:G49&lt;&gt;""),G39:G49),"")),""))</f>
        <v/>
      </c>
      <c r="H50" s="10" t="str">
        <f>IF(J50&lt;&gt;"","",IFERROR(IF(LOOKUP(2,1/(H39:H49&lt;&gt;""),H39:H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H39:H49&lt;&gt;""),H39:H49),"")),""))</f>
        <v/>
      </c>
      <c r="I50" s="10" t="str">
        <f>IF(J50&lt;&gt;"","",IFERROR(IF(LOOKUP(2,1/(I39:I49&lt;&gt;""),I39:I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I39:I49&lt;&gt;""),I39:I49),"")),""))</f>
        <v/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34">
        <v>7</v>
      </c>
      <c r="F51" s="17">
        <f t="shared" si="9"/>
        <v>28</v>
      </c>
      <c r="G51" s="16" t="str">
        <f>IF(J51&lt;&gt;"","",IFERROR(IF(LOOKUP(2,1/(G40:G50&lt;&gt;""),G40:G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G40:G50&lt;&gt;""),G40:G50),"")),""))</f>
        <v/>
      </c>
      <c r="H51" s="16" t="str">
        <f>IF(J51&lt;&gt;"","",IFERROR(IF(LOOKUP(2,1/(H40:H50&lt;&gt;""),H40:H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H40:H50&lt;&gt;""),H40:H50),"")),""))</f>
        <v/>
      </c>
      <c r="I51" s="16" t="str">
        <f>IF(J51&lt;&gt;"","",IFERROR(IF(LOOKUP(2,1/(I40:I50&lt;&gt;""),I40:I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I40:I50&lt;&gt;""),I40:I50),"")),""))</f>
        <v/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34">
        <v>15</v>
      </c>
      <c r="F52" s="12">
        <f t="shared" si="9"/>
        <v>60</v>
      </c>
      <c r="G52" s="10" t="str">
        <f>IF(J52&lt;&gt;"","",IFERROR(IF(LOOKUP(2,1/(G41:G51&lt;&gt;""),G41:G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G41:G51&lt;&gt;""),G41:G51),"")),""))</f>
        <v/>
      </c>
      <c r="H52" s="10" t="str">
        <f>IF(J52&lt;&gt;"","",IFERROR(IF(LOOKUP(2,1/(H41:H51&lt;&gt;""),H41:H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H41:H51&lt;&gt;""),H41:H51),"")),""))</f>
        <v/>
      </c>
      <c r="I52" s="10" t="str">
        <f>IF(J52&lt;&gt;"","",IFERROR(IF(LOOKUP(2,1/(I41:I51&lt;&gt;""),I41:I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I41:I51&lt;&gt;""),I41:I51),"")),""))</f>
        <v/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34">
        <v>5</v>
      </c>
      <c r="F53" s="17">
        <f t="shared" si="9"/>
        <v>20</v>
      </c>
      <c r="G53" s="16" t="str">
        <f>IF(J53&lt;&gt;"","",IFERROR(IF(LOOKUP(2,1/(G42:G52&lt;&gt;""),G42:G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G42:G52&lt;&gt;""),G42:G52),"")),""))</f>
        <v/>
      </c>
      <c r="H53" s="16" t="str">
        <f>IF(J53&lt;&gt;"","",IFERROR(IF(LOOKUP(2,1/(H42:H52&lt;&gt;""),H42:H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H42:H52&lt;&gt;""),H42:H52),"")),""))</f>
        <v/>
      </c>
      <c r="I53" s="16" t="str">
        <f>IF(J53&lt;&gt;"","",IFERROR(IF(LOOKUP(2,1/(I42:I52&lt;&gt;""),I42:I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I42:I52&lt;&gt;""),I42:I52),"")),""))</f>
        <v/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5" t="s">
        <v>193</v>
      </c>
      <c r="B54" s="105"/>
      <c r="C54" s="105"/>
      <c r="D54" s="105"/>
      <c r="E54" s="19">
        <f>SUM(E42:E53)</f>
        <v>123</v>
      </c>
      <c r="F54" s="19">
        <f>SUM(F42:F53)</f>
        <v>492</v>
      </c>
      <c r="G54" s="18"/>
      <c r="H54" s="18"/>
      <c r="I54" s="18"/>
      <c r="J54" s="18"/>
      <c r="K54" s="18"/>
      <c r="L54" s="72">
        <f>IFERROR(SUM(L42:L53),"")</f>
        <v>6.1805555555555683E-2</v>
      </c>
      <c r="M54" s="19" t="s">
        <v>192</v>
      </c>
      <c r="N54" s="20">
        <v>871960</v>
      </c>
    </row>
    <row r="55" spans="1:14" ht="18" customHeight="1">
      <c r="A55" s="98" t="s">
        <v>194</v>
      </c>
      <c r="B55" s="98"/>
      <c r="C55" s="98"/>
      <c r="D55" s="98"/>
      <c r="E55" s="22">
        <f>E41+E54</f>
        <v>230</v>
      </c>
      <c r="F55" s="22">
        <f>F41+F54</f>
        <v>920</v>
      </c>
      <c r="G55" s="21"/>
      <c r="H55" s="21"/>
      <c r="I55" s="21"/>
      <c r="J55" s="21"/>
      <c r="K55" s="21"/>
      <c r="L55" s="73">
        <f>IFERROR(L41+L54,"")</f>
        <v>0.13124999999999959</v>
      </c>
      <c r="M55" s="22" t="s">
        <v>195</v>
      </c>
      <c r="N55" s="23">
        <f>IFERROR(N41+N54,"")</f>
        <v>1267940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34">
        <v>16</v>
      </c>
      <c r="F56" s="12">
        <f t="shared" ref="F56:F67" si="12">IF(E56="","",E56*4)</f>
        <v>64</v>
      </c>
      <c r="G56" s="10" t="s">
        <v>18</v>
      </c>
      <c r="H56" s="10" t="s">
        <v>31</v>
      </c>
      <c r="I56" s="10" t="s">
        <v>34</v>
      </c>
      <c r="J56" s="13"/>
      <c r="K56" s="13"/>
      <c r="L56" s="70" t="str">
        <f t="shared" ref="L56:L67" si="13">IFERROR(IF(K56="","",IF(K56&gt;=J56,K56-J56,K56+1-J56)),"")</f>
        <v/>
      </c>
      <c r="M56" s="29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10" t="s">
        <v>30</v>
      </c>
      <c r="E57" s="34">
        <v>11</v>
      </c>
      <c r="F57" s="17">
        <f t="shared" si="12"/>
        <v>44</v>
      </c>
      <c r="G57" s="16" t="str">
        <f>IF(J57&lt;&gt;"","",IFERROR(IF(LOOKUP(2,1/(G46:G56&lt;&gt;""),G46:G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G46:G56&lt;&gt;""),G46:G56),"")),""))</f>
        <v/>
      </c>
      <c r="H57" s="16" t="str">
        <f>IF(J57&lt;&gt;"","",IFERROR(IF(LOOKUP(2,1/(H46:H56&lt;&gt;""),H46:H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H46:H56&lt;&gt;""),H46:H56),"")),""))</f>
        <v/>
      </c>
      <c r="I57" s="16" t="str">
        <f>IF(J57&lt;&gt;"","",IFERROR(IF(LOOKUP(2,1/(I46:I56&lt;&gt;""),I46:I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I46:I56&lt;&gt;""),I46:I56),"")),""))</f>
        <v/>
      </c>
      <c r="J57" s="13"/>
      <c r="K57" s="13"/>
      <c r="L57" s="71" t="str">
        <f t="shared" si="13"/>
        <v/>
      </c>
      <c r="M57" s="29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10" t="s">
        <v>30</v>
      </c>
      <c r="E58" s="34">
        <v>14</v>
      </c>
      <c r="F58" s="12">
        <f t="shared" si="12"/>
        <v>56</v>
      </c>
      <c r="G58" s="10" t="str">
        <f>IF(J58&lt;&gt;"","",IFERROR(IF(LOOKUP(2,1/(G47:G57&lt;&gt;""),G47:G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G47:G57&lt;&gt;""),G47:G57),"")),""))</f>
        <v/>
      </c>
      <c r="H58" s="10" t="str">
        <f>IF(J58&lt;&gt;"","",IFERROR(IF(LOOKUP(2,1/(H47:H57&lt;&gt;""),H47:H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H47:H57&lt;&gt;""),H47:H57),"")),""))</f>
        <v/>
      </c>
      <c r="I58" s="10" t="str">
        <f>IF(J58&lt;&gt;"","",IFERROR(IF(LOOKUP(2,1/(I47:I57&lt;&gt;""),I47:I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I47:I57&lt;&gt;""),I47:I57),"")),""))</f>
        <v/>
      </c>
      <c r="J58" s="13"/>
      <c r="K58" s="13"/>
      <c r="L58" s="70" t="str">
        <f t="shared" si="13"/>
        <v/>
      </c>
      <c r="M58" s="29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10" t="s">
        <v>30</v>
      </c>
      <c r="E59" s="34">
        <v>10</v>
      </c>
      <c r="F59" s="17">
        <f t="shared" si="12"/>
        <v>40</v>
      </c>
      <c r="G59" s="16" t="str">
        <f>IF(J59&lt;&gt;"","",IFERROR(IF(LOOKUP(2,1/(G48:G58&lt;&gt;""),G48:G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G48:G58&lt;&gt;""),G48:G58),"")),""))</f>
        <v/>
      </c>
      <c r="H59" s="16" t="str">
        <f>IF(J59&lt;&gt;"","",IFERROR(IF(LOOKUP(2,1/(H48:H58&lt;&gt;""),H48:H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H48:H58&lt;&gt;""),H48:H58),"")),""))</f>
        <v/>
      </c>
      <c r="I59" s="16" t="str">
        <f>IF(J59&lt;&gt;"","",IFERROR(IF(LOOKUP(2,1/(I48:I58&lt;&gt;""),I48:I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I48:I58&lt;&gt;""),I48:I58),"")),""))</f>
        <v/>
      </c>
      <c r="J59" s="13"/>
      <c r="K59" s="13"/>
      <c r="L59" s="71" t="str">
        <f t="shared" si="13"/>
        <v/>
      </c>
      <c r="M59" s="29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10" t="s">
        <v>30</v>
      </c>
      <c r="E60" s="34">
        <v>12</v>
      </c>
      <c r="F60" s="12">
        <f t="shared" si="12"/>
        <v>48</v>
      </c>
      <c r="G60" s="10" t="str">
        <f>IF(J60&lt;&gt;"","",IFERROR(IF(LOOKUP(2,1/(G49:G59&lt;&gt;""),G49:G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G49:G59&lt;&gt;""),G49:G59),"")),""))</f>
        <v/>
      </c>
      <c r="H60" s="10" t="str">
        <f>IF(J60&lt;&gt;"","",IFERROR(IF(LOOKUP(2,1/(H49:H59&lt;&gt;""),H49:H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H49:H59&lt;&gt;""),H49:H59),"")),""))</f>
        <v/>
      </c>
      <c r="I60" s="10" t="str">
        <f>IF(J60&lt;&gt;"","",IFERROR(IF(LOOKUP(2,1/(I49:I59&lt;&gt;""),I49:I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I49:I59&lt;&gt;""),I49:I59),"")),""))</f>
        <v/>
      </c>
      <c r="J60" s="13"/>
      <c r="K60" s="13"/>
      <c r="L60" s="70" t="str">
        <f t="shared" si="13"/>
        <v/>
      </c>
      <c r="M60" s="29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10" t="s">
        <v>30</v>
      </c>
      <c r="E61" s="34">
        <v>3</v>
      </c>
      <c r="F61" s="17">
        <f t="shared" si="12"/>
        <v>12</v>
      </c>
      <c r="G61" s="16" t="s">
        <v>19</v>
      </c>
      <c r="H61" s="16" t="s">
        <v>39</v>
      </c>
      <c r="I61" s="16" t="s">
        <v>27</v>
      </c>
      <c r="J61" s="13">
        <v>0.54166666666666696</v>
      </c>
      <c r="K61" s="13">
        <v>0.57291666666666696</v>
      </c>
      <c r="L61" s="71">
        <f t="shared" si="13"/>
        <v>3.125E-2</v>
      </c>
      <c r="M61" s="29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10" t="s">
        <v>30</v>
      </c>
      <c r="E62" s="34">
        <v>2</v>
      </c>
      <c r="F62" s="12">
        <f t="shared" si="12"/>
        <v>8</v>
      </c>
      <c r="G62" s="10" t="s">
        <v>18</v>
      </c>
      <c r="H62" s="10" t="s">
        <v>115</v>
      </c>
      <c r="I62" s="10" t="s">
        <v>234</v>
      </c>
      <c r="J62" s="13">
        <v>0.58333333333333304</v>
      </c>
      <c r="K62" s="13">
        <v>0.66666666666666696</v>
      </c>
      <c r="L62" s="70">
        <f t="shared" si="13"/>
        <v>8.3333333333333925E-2</v>
      </c>
      <c r="M62" s="29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10" t="s">
        <v>30</v>
      </c>
      <c r="E63" s="34">
        <v>6</v>
      </c>
      <c r="F63" s="17">
        <f t="shared" si="12"/>
        <v>24</v>
      </c>
      <c r="G63" s="16" t="str">
        <f>IF(J63&lt;&gt;"","",IFERROR(IF(LOOKUP(2,1/(G52:G62&lt;&gt;""),G52:G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G52:G62&lt;&gt;""),G52:G62),"")),""))</f>
        <v>Corretiva mecânica</v>
      </c>
      <c r="H63" s="16" t="str">
        <f>IF(J63&lt;&gt;"","",IFERROR(IF(LOOKUP(2,1/(H52:H62&lt;&gt;""),H52:H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H52:H62&lt;&gt;""),H52:H62),"")),""))</f>
        <v>Moinho de bola 01</v>
      </c>
      <c r="I63" s="16" t="str">
        <f>IF(J63&lt;&gt;"","",IFERROR(IF(LOOKUP(2,1/(I52:I62&lt;&gt;""),I52:I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I52:I62&lt;&gt;""),I52:I62),"")),""))</f>
        <v>Troca de operação para manutenção dos bolas</v>
      </c>
      <c r="J63" s="13"/>
      <c r="K63" s="13"/>
      <c r="L63" s="71" t="str">
        <f t="shared" si="13"/>
        <v/>
      </c>
      <c r="M63" s="29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10" t="s">
        <v>30</v>
      </c>
      <c r="E64" s="34">
        <v>9</v>
      </c>
      <c r="F64" s="12">
        <f t="shared" si="12"/>
        <v>36</v>
      </c>
      <c r="G64" s="10" t="s">
        <v>18</v>
      </c>
      <c r="H64" s="10" t="s">
        <v>31</v>
      </c>
      <c r="I64" s="10" t="s">
        <v>136</v>
      </c>
      <c r="J64" s="13">
        <v>0.66666666666666696</v>
      </c>
      <c r="K64" s="13">
        <v>0.6875</v>
      </c>
      <c r="L64" s="70">
        <f t="shared" si="13"/>
        <v>2.0833333333333037E-2</v>
      </c>
      <c r="M64" s="29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10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135</v>
      </c>
      <c r="I65" s="16" t="s">
        <v>109</v>
      </c>
      <c r="J65" s="13">
        <v>0.70833333333333304</v>
      </c>
      <c r="K65" s="13">
        <v>0.79166666666666696</v>
      </c>
      <c r="L65" s="71">
        <f t="shared" si="13"/>
        <v>8.3333333333333925E-2</v>
      </c>
      <c r="M65" s="29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10" t="s">
        <v>30</v>
      </c>
      <c r="E66" s="34">
        <v>0</v>
      </c>
      <c r="F66" s="12">
        <f t="shared" si="12"/>
        <v>0</v>
      </c>
      <c r="G66" s="10" t="str">
        <f>IF(J66&lt;&gt;"","",IFERROR(IF(LOOKUP(2,1/(G55:G65&lt;&gt;""),G55:G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G55:G65&lt;&gt;""),G55:G65),"")),""))</f>
        <v>Corretiva mecânica</v>
      </c>
      <c r="H66" s="10" t="str">
        <f>IF(J66&lt;&gt;"","",IFERROR(IF(LOOKUP(2,1/(H55:H65&lt;&gt;""),H55:H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H55:H65&lt;&gt;""),H55:H65),"")),""))</f>
        <v>Bomba de rejeito</v>
      </c>
      <c r="I66" s="10" t="str">
        <f>IF(J66&lt;&gt;"","",IFERROR(IF(LOOKUP(2,1/(I55:I65&lt;&gt;""),I55:I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I55:I65&lt;&gt;""),I55:I65),"")),""))</f>
        <v>Troca de Bomba</v>
      </c>
      <c r="J66" s="13"/>
      <c r="K66" s="13"/>
      <c r="L66" s="70" t="str">
        <f t="shared" si="13"/>
        <v/>
      </c>
      <c r="M66" s="29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10" t="s">
        <v>30</v>
      </c>
      <c r="E67" s="34">
        <v>0</v>
      </c>
      <c r="F67" s="17">
        <f t="shared" si="12"/>
        <v>0</v>
      </c>
      <c r="G67" s="16" t="str">
        <f>IF(J67&lt;&gt;"","",IFERROR(IF(LOOKUP(2,1/(G56:G66&lt;&gt;""),G56:G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G56:G66&lt;&gt;""),G56:G66),"")),""))</f>
        <v>Corretiva mecânica</v>
      </c>
      <c r="H67" s="16" t="str">
        <f>IF(J67&lt;&gt;"","",IFERROR(IF(LOOKUP(2,1/(H56:H66&lt;&gt;""),H56:H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H56:H66&lt;&gt;""),H56:H66),"")),""))</f>
        <v>Bomba de rejeito</v>
      </c>
      <c r="I67" s="16" t="str">
        <f>IF(J67&lt;&gt;"","",IFERROR(IF(LOOKUP(2,1/(I56:I66&lt;&gt;""),I56:I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I56:I66&lt;&gt;""),I56:I66),"")),""))</f>
        <v>Troca de Bomba</v>
      </c>
      <c r="J67" s="13"/>
      <c r="K67" s="13"/>
      <c r="L67" s="71" t="str">
        <f t="shared" si="13"/>
        <v/>
      </c>
      <c r="M67" s="29"/>
      <c r="N67" s="14"/>
    </row>
    <row r="68" spans="1:14" ht="15.75" customHeight="1">
      <c r="A68" s="105" t="s">
        <v>191</v>
      </c>
      <c r="B68" s="105"/>
      <c r="C68" s="105"/>
      <c r="D68" s="105"/>
      <c r="E68" s="19">
        <f>SUM(E56:E67)</f>
        <v>83</v>
      </c>
      <c r="F68" s="19">
        <f>SUM(F56:F67)</f>
        <v>332</v>
      </c>
      <c r="G68" s="18"/>
      <c r="H68" s="18"/>
      <c r="I68" s="18"/>
      <c r="J68" s="18"/>
      <c r="K68" s="18"/>
      <c r="L68" s="72">
        <f>IFERROR(SUM(L56:L67),"")</f>
        <v>0.21875000000000089</v>
      </c>
      <c r="M68" s="19" t="s">
        <v>192</v>
      </c>
      <c r="N68" s="20">
        <v>437960</v>
      </c>
    </row>
    <row r="69" spans="1:14" ht="15" customHeight="1">
      <c r="A69" s="59">
        <v>46176</v>
      </c>
      <c r="B69" s="15">
        <v>0.83333333333333304</v>
      </c>
      <c r="C69" s="16" t="s">
        <v>21</v>
      </c>
      <c r="D69" s="16" t="s">
        <v>30</v>
      </c>
      <c r="E69" s="34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29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21</v>
      </c>
      <c r="D70" s="16" t="s">
        <v>30</v>
      </c>
      <c r="E70" s="34">
        <v>18</v>
      </c>
      <c r="F70" s="12">
        <f t="shared" si="15"/>
        <v>72</v>
      </c>
      <c r="G70" s="10" t="s">
        <v>18</v>
      </c>
      <c r="H70" s="10" t="s">
        <v>135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29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21</v>
      </c>
      <c r="D71" s="16" t="s">
        <v>30</v>
      </c>
      <c r="E71" s="34">
        <v>0</v>
      </c>
      <c r="F71" s="17">
        <f t="shared" si="15"/>
        <v>0</v>
      </c>
      <c r="G71" s="16" t="s">
        <v>20</v>
      </c>
      <c r="H71" s="16" t="s">
        <v>149</v>
      </c>
      <c r="I71" s="16" t="s">
        <v>235</v>
      </c>
      <c r="J71" s="13">
        <v>8.3333333333333301E-2</v>
      </c>
      <c r="K71" s="13">
        <v>0.110416666666667</v>
      </c>
      <c r="L71" s="71">
        <f t="shared" si="16"/>
        <v>2.7083333333333695E-2</v>
      </c>
      <c r="M71" s="29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21</v>
      </c>
      <c r="D72" s="16" t="s">
        <v>30</v>
      </c>
      <c r="E72" s="34">
        <v>8</v>
      </c>
      <c r="F72" s="12">
        <f t="shared" si="15"/>
        <v>32</v>
      </c>
      <c r="G72" s="10" t="s">
        <v>19</v>
      </c>
      <c r="H72" s="10" t="s">
        <v>31</v>
      </c>
      <c r="I72" s="16" t="s">
        <v>27</v>
      </c>
      <c r="J72" s="13">
        <v>0.16666666666666699</v>
      </c>
      <c r="K72" s="13">
        <v>0.180555555555556</v>
      </c>
      <c r="L72" s="70">
        <f t="shared" si="16"/>
        <v>1.3888888888889006E-2</v>
      </c>
      <c r="M72" s="29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21</v>
      </c>
      <c r="D73" s="16" t="s">
        <v>30</v>
      </c>
      <c r="E73" s="34">
        <v>10</v>
      </c>
      <c r="F73" s="17">
        <f t="shared" si="15"/>
        <v>40</v>
      </c>
      <c r="G73" s="16"/>
      <c r="H73" s="16"/>
      <c r="I73" s="26"/>
      <c r="J73" s="13"/>
      <c r="K73" s="13"/>
      <c r="L73" s="71" t="str">
        <f t="shared" si="16"/>
        <v/>
      </c>
      <c r="M73" s="29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21</v>
      </c>
      <c r="D74" s="16" t="s">
        <v>30</v>
      </c>
      <c r="E74" s="34">
        <v>10</v>
      </c>
      <c r="F74" s="12">
        <f t="shared" si="15"/>
        <v>40</v>
      </c>
      <c r="G74" s="10" t="s">
        <v>20</v>
      </c>
      <c r="H74" s="10" t="s">
        <v>147</v>
      </c>
      <c r="I74" s="10" t="s">
        <v>114</v>
      </c>
      <c r="J74" s="13">
        <v>0.20833333333333301</v>
      </c>
      <c r="K74" s="13">
        <v>0.25</v>
      </c>
      <c r="L74" s="70">
        <f t="shared" si="16"/>
        <v>4.166666666666699E-2</v>
      </c>
      <c r="M74" s="29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21</v>
      </c>
      <c r="D75" s="16" t="s">
        <v>30</v>
      </c>
      <c r="E75" s="34">
        <v>9</v>
      </c>
      <c r="F75" s="17">
        <f t="shared" si="15"/>
        <v>36</v>
      </c>
      <c r="G75" s="16"/>
      <c r="H75" s="16"/>
      <c r="I75" s="16"/>
      <c r="J75" s="13"/>
      <c r="K75" s="13"/>
      <c r="L75" s="71" t="str">
        <f t="shared" si="16"/>
        <v/>
      </c>
      <c r="M75" s="29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21</v>
      </c>
      <c r="D76" s="16" t="s">
        <v>30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29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21</v>
      </c>
      <c r="D77" s="16" t="s">
        <v>30</v>
      </c>
      <c r="E77" s="34">
        <v>16</v>
      </c>
      <c r="F77" s="17">
        <f t="shared" si="15"/>
        <v>64</v>
      </c>
      <c r="G77" s="16"/>
      <c r="H77" s="16"/>
      <c r="I77" s="16"/>
      <c r="J77" s="13"/>
      <c r="K77" s="13"/>
      <c r="L77" s="71" t="str">
        <f t="shared" si="16"/>
        <v/>
      </c>
      <c r="M77" s="29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21</v>
      </c>
      <c r="D78" s="16" t="s">
        <v>30</v>
      </c>
      <c r="E78" s="34">
        <v>0</v>
      </c>
      <c r="F78" s="12">
        <f t="shared" si="15"/>
        <v>0</v>
      </c>
      <c r="G78" s="10"/>
      <c r="H78" s="10"/>
      <c r="I78" s="10"/>
      <c r="J78" s="13"/>
      <c r="K78" s="13"/>
      <c r="L78" s="70" t="str">
        <f t="shared" si="16"/>
        <v/>
      </c>
      <c r="M78" s="29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21</v>
      </c>
      <c r="D79" s="16" t="s">
        <v>30</v>
      </c>
      <c r="E79" s="34">
        <v>8</v>
      </c>
      <c r="F79" s="17">
        <f t="shared" si="15"/>
        <v>32</v>
      </c>
      <c r="G79" s="16"/>
      <c r="H79" s="16"/>
      <c r="I79" s="16"/>
      <c r="J79" s="13"/>
      <c r="K79" s="13"/>
      <c r="L79" s="71" t="str">
        <f t="shared" si="16"/>
        <v/>
      </c>
      <c r="M79" s="29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21</v>
      </c>
      <c r="D80" s="16" t="s">
        <v>30</v>
      </c>
      <c r="E80" s="34">
        <v>3</v>
      </c>
      <c r="F80" s="12">
        <f t="shared" si="15"/>
        <v>12</v>
      </c>
      <c r="G80" s="10"/>
      <c r="H80" s="10"/>
      <c r="I80" s="10"/>
      <c r="J80" s="13"/>
      <c r="K80" s="13"/>
      <c r="L80" s="70" t="str">
        <f t="shared" si="16"/>
        <v/>
      </c>
      <c r="M80" s="29"/>
      <c r="N80" s="14"/>
    </row>
    <row r="81" spans="1:14" ht="15.75" customHeight="1">
      <c r="A81" s="105" t="s">
        <v>193</v>
      </c>
      <c r="B81" s="105"/>
      <c r="C81" s="105"/>
      <c r="D81" s="105"/>
      <c r="E81" s="19">
        <f>SUM(E69:E80)</f>
        <v>107</v>
      </c>
      <c r="F81" s="19">
        <f>SUM(F69:F80)</f>
        <v>428</v>
      </c>
      <c r="G81" s="18"/>
      <c r="H81" s="18"/>
      <c r="I81" s="18"/>
      <c r="J81" s="18"/>
      <c r="K81" s="18"/>
      <c r="L81" s="72">
        <f>IFERROR(SUM(L69:L80),"")</f>
        <v>0.12430555555555665</v>
      </c>
      <c r="M81" s="19" t="s">
        <v>192</v>
      </c>
      <c r="N81" s="20">
        <v>482250</v>
      </c>
    </row>
    <row r="82" spans="1:14" ht="18" customHeight="1">
      <c r="A82" s="98" t="s">
        <v>194</v>
      </c>
      <c r="B82" s="98"/>
      <c r="C82" s="98"/>
      <c r="D82" s="98"/>
      <c r="E82" s="22">
        <f>E68+E81</f>
        <v>190</v>
      </c>
      <c r="F82" s="22">
        <f>F68+F81</f>
        <v>760</v>
      </c>
      <c r="G82" s="21"/>
      <c r="H82" s="21"/>
      <c r="I82" s="21"/>
      <c r="J82" s="21"/>
      <c r="K82" s="21"/>
      <c r="L82" s="73">
        <f>IFERROR(L68+L81,"")</f>
        <v>0.34305555555555756</v>
      </c>
      <c r="M82" s="22" t="s">
        <v>195</v>
      </c>
      <c r="N82" s="23">
        <f>IFERROR(N68+N81,"")</f>
        <v>920210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30</v>
      </c>
      <c r="E83" s="34">
        <v>0</v>
      </c>
      <c r="F83" s="17">
        <f t="shared" ref="F83:F94" si="18">IF(E83="","",E83*4)</f>
        <v>0</v>
      </c>
      <c r="G83" s="16" t="s">
        <v>18</v>
      </c>
      <c r="H83" s="16" t="s">
        <v>236</v>
      </c>
      <c r="I83" s="16" t="s">
        <v>79</v>
      </c>
      <c r="J83" s="13">
        <v>0.29166666666666702</v>
      </c>
      <c r="K83" s="13">
        <v>0.35763888888888901</v>
      </c>
      <c r="L83" s="71">
        <f t="shared" ref="L83:L94" si="19">IFERROR(IF(K83="","",IF(K83&gt;=J83,K83-J83,K83+1-J83)),"")</f>
        <v>6.5972222222221988E-2</v>
      </c>
      <c r="M83" s="29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16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135</v>
      </c>
      <c r="I84" s="10" t="s">
        <v>126</v>
      </c>
      <c r="J84" s="13">
        <v>0.5</v>
      </c>
      <c r="K84" s="13">
        <v>0.6875</v>
      </c>
      <c r="L84" s="70">
        <f t="shared" si="19"/>
        <v>0.1875</v>
      </c>
      <c r="M84" s="29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16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149</v>
      </c>
      <c r="I85" s="16" t="s">
        <v>84</v>
      </c>
      <c r="J85" s="13">
        <v>0.75</v>
      </c>
      <c r="K85" s="13">
        <v>0.77430555555555602</v>
      </c>
      <c r="L85" s="71">
        <f t="shared" si="19"/>
        <v>2.4305555555556024E-2</v>
      </c>
      <c r="M85" s="29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16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29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16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29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16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29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16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29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16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29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16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29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16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29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16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29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16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29"/>
      <c r="N94" s="14"/>
    </row>
    <row r="95" spans="1:14" ht="15.75" customHeight="1">
      <c r="A95" s="105" t="s">
        <v>191</v>
      </c>
      <c r="B95" s="105"/>
      <c r="C95" s="105"/>
      <c r="D95" s="105"/>
      <c r="E95" s="19">
        <f>SUM(E83:E94)</f>
        <v>71</v>
      </c>
      <c r="F95" s="19">
        <f>SUM(F83:F94)</f>
        <v>284</v>
      </c>
      <c r="G95" s="18"/>
      <c r="H95" s="18"/>
      <c r="I95" s="18"/>
      <c r="J95" s="18"/>
      <c r="K95" s="18"/>
      <c r="L95" s="72">
        <f>IFERROR(SUM(L83:L94),"")</f>
        <v>0.27777777777777801</v>
      </c>
      <c r="M95" s="19" t="s">
        <v>192</v>
      </c>
      <c r="N95" s="20">
        <v>301520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237</v>
      </c>
      <c r="I96" s="10" t="s">
        <v>27</v>
      </c>
      <c r="J96" s="13">
        <v>0.95833333333333304</v>
      </c>
      <c r="K96" s="13">
        <v>0.98680555555555605</v>
      </c>
      <c r="L96" s="70">
        <f t="shared" ref="L96:L107" si="22">IFERROR(IF(K96="","",IF(K96&gt;=J96,K96-J96,K96+1-J96)),"")</f>
        <v>2.8472222222223009E-2</v>
      </c>
      <c r="M96" s="29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10" t="s">
        <v>30</v>
      </c>
      <c r="E97" s="34">
        <v>8</v>
      </c>
      <c r="F97" s="17">
        <f t="shared" si="21"/>
        <v>32</v>
      </c>
      <c r="G97" s="16" t="s">
        <v>20</v>
      </c>
      <c r="H97" s="16" t="s">
        <v>31</v>
      </c>
      <c r="I97" s="16" t="s">
        <v>126</v>
      </c>
      <c r="J97" s="13">
        <v>0</v>
      </c>
      <c r="K97" s="13">
        <v>1.94444444444444E-2</v>
      </c>
      <c r="L97" s="71">
        <f t="shared" si="22"/>
        <v>1.94444444444444E-2</v>
      </c>
      <c r="M97" s="29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10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29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10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29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10" t="s">
        <v>22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29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10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29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10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29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10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29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10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29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10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29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10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29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10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29"/>
      <c r="N107" s="14"/>
    </row>
    <row r="108" spans="1:14" ht="15.75" customHeight="1">
      <c r="A108" s="105" t="s">
        <v>193</v>
      </c>
      <c r="B108" s="105"/>
      <c r="C108" s="105"/>
      <c r="D108" s="105"/>
      <c r="E108" s="19">
        <f>SUM(E96:E107)</f>
        <v>128</v>
      </c>
      <c r="F108" s="19">
        <f>SUM(F96:F107)</f>
        <v>512</v>
      </c>
      <c r="G108" s="18"/>
      <c r="H108" s="18"/>
      <c r="I108" s="18"/>
      <c r="J108" s="18"/>
      <c r="K108" s="18"/>
      <c r="L108" s="72">
        <f>IFERROR(SUM(L96:L107),"")</f>
        <v>4.7916666666667412E-2</v>
      </c>
      <c r="M108" s="19" t="s">
        <v>192</v>
      </c>
      <c r="N108" s="20">
        <v>529500</v>
      </c>
    </row>
    <row r="109" spans="1:14" ht="18" customHeight="1">
      <c r="A109" s="98" t="s">
        <v>194</v>
      </c>
      <c r="B109" s="98"/>
      <c r="C109" s="98"/>
      <c r="D109" s="98"/>
      <c r="E109" s="22">
        <f>E95+E108</f>
        <v>199</v>
      </c>
      <c r="F109" s="22">
        <f>F95+F108</f>
        <v>796</v>
      </c>
      <c r="G109" s="21"/>
      <c r="H109" s="21"/>
      <c r="I109" s="21"/>
      <c r="J109" s="21"/>
      <c r="K109" s="21"/>
      <c r="L109" s="73">
        <f>IFERROR(L95+L108,"")</f>
        <v>0.3256944444444454</v>
      </c>
      <c r="M109" s="22" t="s">
        <v>195</v>
      </c>
      <c r="N109" s="23">
        <f>IFERROR(N95+N108,"")</f>
        <v>831020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10" t="s">
        <v>22</v>
      </c>
      <c r="E110" s="34">
        <v>11</v>
      </c>
      <c r="F110" s="12">
        <f t="shared" ref="F110:F121" si="24">IF(E110="","",E110*4)</f>
        <v>44</v>
      </c>
      <c r="G110" s="10" t="s">
        <v>19</v>
      </c>
      <c r="H110" s="10" t="s">
        <v>31</v>
      </c>
      <c r="I110" s="10" t="s">
        <v>35</v>
      </c>
      <c r="J110" s="13">
        <v>0.29166666666666702</v>
      </c>
      <c r="K110" s="13">
        <v>0.31041666666666701</v>
      </c>
      <c r="L110" s="70">
        <f t="shared" ref="L110:L121" si="25">IFERROR(IF(K110="","",IF(K110&gt;=J110,K110-J110,K110+1-J110)),"")</f>
        <v>1.8749999999999989E-2</v>
      </c>
      <c r="M110" s="29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10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237</v>
      </c>
      <c r="I111" s="16" t="s">
        <v>27</v>
      </c>
      <c r="J111" s="13">
        <v>0.45833333333333298</v>
      </c>
      <c r="K111" s="13">
        <v>0.47916666666666702</v>
      </c>
      <c r="L111" s="71">
        <f t="shared" si="25"/>
        <v>2.0833333333334036E-2</v>
      </c>
      <c r="M111" s="29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10" t="s">
        <v>22</v>
      </c>
      <c r="E112" s="34">
        <v>15</v>
      </c>
      <c r="F112" s="12">
        <f t="shared" si="24"/>
        <v>60</v>
      </c>
      <c r="G112" s="10" t="s">
        <v>19</v>
      </c>
      <c r="H112" s="10" t="s">
        <v>237</v>
      </c>
      <c r="I112" s="10" t="s">
        <v>27</v>
      </c>
      <c r="J112" s="13">
        <v>0.70833333333333304</v>
      </c>
      <c r="K112" s="13">
        <v>0.73472222222222205</v>
      </c>
      <c r="L112" s="70">
        <f t="shared" si="25"/>
        <v>2.6388888888889017E-2</v>
      </c>
      <c r="M112" s="29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10" t="s">
        <v>22</v>
      </c>
      <c r="E113" s="34">
        <v>12</v>
      </c>
      <c r="F113" s="17">
        <f t="shared" si="24"/>
        <v>48</v>
      </c>
      <c r="G113" s="16"/>
      <c r="H113" s="16"/>
      <c r="I113" s="16"/>
      <c r="J113" s="13"/>
      <c r="K113" s="13"/>
      <c r="L113" s="71" t="str">
        <f t="shared" si="25"/>
        <v/>
      </c>
      <c r="M113" s="29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10" t="s">
        <v>22</v>
      </c>
      <c r="E114" s="34">
        <v>20</v>
      </c>
      <c r="F114" s="12">
        <f t="shared" si="24"/>
        <v>80</v>
      </c>
      <c r="G114" s="10"/>
      <c r="H114" s="10"/>
      <c r="I114" s="10"/>
      <c r="J114" s="13"/>
      <c r="K114" s="13"/>
      <c r="L114" s="70" t="str">
        <f t="shared" si="25"/>
        <v/>
      </c>
      <c r="M114" s="29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10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29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10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29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10" t="s">
        <v>22</v>
      </c>
      <c r="E117" s="34">
        <v>20</v>
      </c>
      <c r="F117" s="17">
        <f t="shared" si="24"/>
        <v>80</v>
      </c>
      <c r="G117" s="16"/>
      <c r="H117" s="16"/>
      <c r="I117" s="16"/>
      <c r="J117" s="13"/>
      <c r="K117" s="13"/>
      <c r="L117" s="71" t="str">
        <f t="shared" si="25"/>
        <v/>
      </c>
      <c r="M117" s="29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10" t="s">
        <v>22</v>
      </c>
      <c r="E118" s="34">
        <v>17</v>
      </c>
      <c r="F118" s="12">
        <f t="shared" si="24"/>
        <v>68</v>
      </c>
      <c r="G118" s="10"/>
      <c r="H118" s="10"/>
      <c r="I118" s="10"/>
      <c r="J118" s="13"/>
      <c r="K118" s="13"/>
      <c r="L118" s="70" t="str">
        <f t="shared" si="25"/>
        <v/>
      </c>
      <c r="M118" s="29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10" t="s">
        <v>22</v>
      </c>
      <c r="E119" s="34">
        <v>20</v>
      </c>
      <c r="F119" s="17">
        <f t="shared" si="24"/>
        <v>80</v>
      </c>
      <c r="G119" s="16"/>
      <c r="H119" s="16"/>
      <c r="I119" s="16"/>
      <c r="J119" s="13"/>
      <c r="K119" s="13"/>
      <c r="L119" s="71" t="str">
        <f t="shared" si="25"/>
        <v/>
      </c>
      <c r="M119" s="29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10" t="s">
        <v>22</v>
      </c>
      <c r="E120" s="34">
        <v>4</v>
      </c>
      <c r="F120" s="12">
        <f t="shared" si="24"/>
        <v>16</v>
      </c>
      <c r="G120" s="10"/>
      <c r="H120" s="10"/>
      <c r="I120" s="10"/>
      <c r="J120" s="13"/>
      <c r="K120" s="13"/>
      <c r="L120" s="70" t="str">
        <f t="shared" si="25"/>
        <v/>
      </c>
      <c r="M120" s="29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10" t="s">
        <v>22</v>
      </c>
      <c r="E121" s="34">
        <v>6</v>
      </c>
      <c r="F121" s="17">
        <f t="shared" si="24"/>
        <v>24</v>
      </c>
      <c r="G121" s="16"/>
      <c r="H121" s="16"/>
      <c r="I121" s="16"/>
      <c r="J121" s="13"/>
      <c r="K121" s="13"/>
      <c r="L121" s="71" t="str">
        <f t="shared" si="25"/>
        <v/>
      </c>
      <c r="M121" s="29"/>
      <c r="N121" s="14"/>
    </row>
    <row r="122" spans="1:14" ht="15.75" customHeight="1">
      <c r="A122" s="105" t="s">
        <v>191</v>
      </c>
      <c r="B122" s="105"/>
      <c r="C122" s="105"/>
      <c r="D122" s="105"/>
      <c r="E122" s="19">
        <f>SUM(E110:E121)</f>
        <v>174</v>
      </c>
      <c r="F122" s="19">
        <f>SUM(F110:F121)</f>
        <v>696</v>
      </c>
      <c r="G122" s="18"/>
      <c r="H122" s="18"/>
      <c r="I122" s="18"/>
      <c r="J122" s="18"/>
      <c r="K122" s="18"/>
      <c r="L122" s="72">
        <f>IFERROR(SUM(L110:L121),"")</f>
        <v>6.5972222222223043E-2</v>
      </c>
      <c r="M122" s="19" t="s">
        <v>192</v>
      </c>
      <c r="N122" s="20">
        <v>619340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34">
        <v>10</v>
      </c>
      <c r="F123" s="17">
        <f t="shared" ref="F123:F134" si="27">IF(E123="","",E123*4)</f>
        <v>40</v>
      </c>
      <c r="G123" s="16" t="s">
        <v>17</v>
      </c>
      <c r="H123" s="16"/>
      <c r="I123" s="16" t="s">
        <v>25</v>
      </c>
      <c r="J123" s="13">
        <v>0.81527777777777799</v>
      </c>
      <c r="K123" s="13">
        <v>0.81944444444444398</v>
      </c>
      <c r="L123" s="71">
        <f t="shared" ref="L123:L134" si="28">IFERROR(IF(K123="","",IF(K123&gt;=J123,K123-J123,K123+1-J123)),"")</f>
        <v>4.1666666666659857E-3</v>
      </c>
      <c r="M123" s="29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16" t="s">
        <v>22</v>
      </c>
      <c r="E124" s="34">
        <v>11</v>
      </c>
      <c r="F124" s="12">
        <f t="shared" si="27"/>
        <v>44</v>
      </c>
      <c r="G124" s="10" t="s">
        <v>19</v>
      </c>
      <c r="H124" s="10" t="s">
        <v>237</v>
      </c>
      <c r="I124" s="10" t="s">
        <v>27</v>
      </c>
      <c r="J124" s="13">
        <v>4.1666666666666699E-2</v>
      </c>
      <c r="K124" s="13">
        <v>6.6666666666666693E-2</v>
      </c>
      <c r="L124" s="70">
        <f t="shared" si="28"/>
        <v>2.4999999999999994E-2</v>
      </c>
      <c r="M124" s="29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16" t="s">
        <v>22</v>
      </c>
      <c r="E125" s="34">
        <v>10</v>
      </c>
      <c r="F125" s="17">
        <f t="shared" si="27"/>
        <v>40</v>
      </c>
      <c r="G125" s="16" t="s">
        <v>20</v>
      </c>
      <c r="H125" s="16" t="s">
        <v>31</v>
      </c>
      <c r="I125" s="16" t="s">
        <v>238</v>
      </c>
      <c r="J125" s="13">
        <v>0.25</v>
      </c>
      <c r="K125" s="13">
        <v>0.27777777777777801</v>
      </c>
      <c r="L125" s="71">
        <f t="shared" si="28"/>
        <v>2.7777777777778012E-2</v>
      </c>
      <c r="M125" s="29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16" t="s">
        <v>22</v>
      </c>
      <c r="E126" s="34">
        <v>15</v>
      </c>
      <c r="F126" s="12">
        <f t="shared" si="27"/>
        <v>60</v>
      </c>
      <c r="G126" s="10"/>
      <c r="H126" s="10"/>
      <c r="I126" s="10"/>
      <c r="J126" s="13"/>
      <c r="K126" s="13"/>
      <c r="L126" s="70" t="str">
        <f t="shared" si="28"/>
        <v/>
      </c>
      <c r="M126" s="29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16" t="s">
        <v>22</v>
      </c>
      <c r="E127" s="34">
        <v>11</v>
      </c>
      <c r="F127" s="17">
        <f t="shared" si="27"/>
        <v>44</v>
      </c>
      <c r="G127" s="16"/>
      <c r="H127" s="16"/>
      <c r="I127" s="16"/>
      <c r="J127" s="13"/>
      <c r="K127" s="13"/>
      <c r="L127" s="71" t="str">
        <f t="shared" si="28"/>
        <v/>
      </c>
      <c r="M127" s="29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16" t="s">
        <v>22</v>
      </c>
      <c r="E128" s="34">
        <v>9</v>
      </c>
      <c r="F128" s="12">
        <f t="shared" si="27"/>
        <v>36</v>
      </c>
      <c r="G128" s="10"/>
      <c r="H128" s="10"/>
      <c r="I128" s="10"/>
      <c r="J128" s="13"/>
      <c r="K128" s="13"/>
      <c r="L128" s="70" t="str">
        <f t="shared" si="28"/>
        <v/>
      </c>
      <c r="M128" s="29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16" t="s">
        <v>22</v>
      </c>
      <c r="E129" s="34">
        <v>10</v>
      </c>
      <c r="F129" s="17">
        <f t="shared" si="27"/>
        <v>40</v>
      </c>
      <c r="G129" s="16"/>
      <c r="H129" s="16"/>
      <c r="I129" s="16"/>
      <c r="J129" s="13"/>
      <c r="K129" s="13"/>
      <c r="L129" s="71" t="str">
        <f t="shared" si="28"/>
        <v/>
      </c>
      <c r="M129" s="29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16" t="s">
        <v>22</v>
      </c>
      <c r="E130" s="34">
        <v>15</v>
      </c>
      <c r="F130" s="12">
        <f t="shared" si="27"/>
        <v>60</v>
      </c>
      <c r="G130" s="10"/>
      <c r="H130" s="10"/>
      <c r="I130" s="10"/>
      <c r="J130" s="13"/>
      <c r="K130" s="13"/>
      <c r="L130" s="70" t="str">
        <f t="shared" si="28"/>
        <v/>
      </c>
      <c r="M130" s="29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16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29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16" t="s">
        <v>22</v>
      </c>
      <c r="E132" s="34">
        <v>13</v>
      </c>
      <c r="F132" s="12">
        <f t="shared" si="27"/>
        <v>52</v>
      </c>
      <c r="G132" s="10"/>
      <c r="H132" s="10"/>
      <c r="I132" s="10"/>
      <c r="J132" s="13"/>
      <c r="K132" s="13"/>
      <c r="L132" s="70" t="str">
        <f t="shared" si="28"/>
        <v/>
      </c>
      <c r="M132" s="29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16" t="s">
        <v>22</v>
      </c>
      <c r="E133" s="34">
        <v>22</v>
      </c>
      <c r="F133" s="17">
        <f t="shared" si="27"/>
        <v>88</v>
      </c>
      <c r="G133" s="16"/>
      <c r="H133" s="16"/>
      <c r="I133" s="16"/>
      <c r="J133" s="13"/>
      <c r="K133" s="13"/>
      <c r="L133" s="71" t="str">
        <f t="shared" si="28"/>
        <v/>
      </c>
      <c r="M133" s="29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16" t="s">
        <v>22</v>
      </c>
      <c r="E134" s="34">
        <v>1</v>
      </c>
      <c r="F134" s="12">
        <f t="shared" si="27"/>
        <v>4</v>
      </c>
      <c r="G134" s="10"/>
      <c r="H134" s="10"/>
      <c r="I134" s="10"/>
      <c r="J134" s="13"/>
      <c r="K134" s="13"/>
      <c r="L134" s="70" t="str">
        <f t="shared" si="28"/>
        <v/>
      </c>
      <c r="M134" s="29"/>
      <c r="N134" s="14"/>
    </row>
    <row r="135" spans="1:14" ht="15.75" customHeight="1">
      <c r="A135" s="105" t="s">
        <v>193</v>
      </c>
      <c r="B135" s="105"/>
      <c r="C135" s="105"/>
      <c r="D135" s="105"/>
      <c r="E135" s="19">
        <f>SUM(E123:E134)</f>
        <v>135</v>
      </c>
      <c r="F135" s="19">
        <f>SUM(F123:F134)</f>
        <v>540</v>
      </c>
      <c r="G135" s="18"/>
      <c r="H135" s="18"/>
      <c r="I135" s="18"/>
      <c r="J135" s="18"/>
      <c r="K135" s="18"/>
      <c r="L135" s="72">
        <f>IFERROR(SUM(L123:L134),"")</f>
        <v>5.6944444444443992E-2</v>
      </c>
      <c r="M135" s="19" t="s">
        <v>192</v>
      </c>
      <c r="N135" s="20">
        <v>666150</v>
      </c>
    </row>
    <row r="136" spans="1:14" ht="18" customHeight="1">
      <c r="A136" s="98" t="s">
        <v>194</v>
      </c>
      <c r="B136" s="98"/>
      <c r="C136" s="98"/>
      <c r="D136" s="98"/>
      <c r="E136" s="22">
        <f>E122+E135</f>
        <v>309</v>
      </c>
      <c r="F136" s="22">
        <f>F122+F135</f>
        <v>1236</v>
      </c>
      <c r="G136" s="21"/>
      <c r="H136" s="21"/>
      <c r="I136" s="21"/>
      <c r="J136" s="21"/>
      <c r="K136" s="21"/>
      <c r="L136" s="73">
        <f>IFERROR(L122+L135,"")</f>
        <v>0.12291666666666703</v>
      </c>
      <c r="M136" s="22" t="s">
        <v>195</v>
      </c>
      <c r="N136" s="23">
        <f>IFERROR(N122+N135,"")</f>
        <v>1285490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16" t="s">
        <v>22</v>
      </c>
      <c r="E137" s="11">
        <v>7</v>
      </c>
      <c r="F137" s="17">
        <f t="shared" ref="F137:F148" si="30">IF(E137="","",E137*4)</f>
        <v>28</v>
      </c>
      <c r="G137" s="16" t="s">
        <v>18</v>
      </c>
      <c r="H137" s="16" t="s">
        <v>31</v>
      </c>
      <c r="I137" s="16" t="s">
        <v>116</v>
      </c>
      <c r="J137" s="13">
        <v>0.29166666666666702</v>
      </c>
      <c r="K137" s="13">
        <v>0.31944444444444398</v>
      </c>
      <c r="L137" s="71">
        <f t="shared" ref="L137:L148" si="31">IFERROR(IF(K137="","",IF(K137&gt;=J137,K137-J137,K137+1-J137)),"")</f>
        <v>2.7777777777776957E-2</v>
      </c>
      <c r="M137" s="29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16" t="s">
        <v>22</v>
      </c>
      <c r="E138" s="11">
        <v>0</v>
      </c>
      <c r="F138" s="12">
        <f t="shared" si="30"/>
        <v>0</v>
      </c>
      <c r="G138" s="10" t="s">
        <v>18</v>
      </c>
      <c r="H138" s="10" t="s">
        <v>236</v>
      </c>
      <c r="I138" s="10" t="s">
        <v>79</v>
      </c>
      <c r="J138" s="13">
        <v>0.33333333333333298</v>
      </c>
      <c r="K138" s="13">
        <v>0.375</v>
      </c>
      <c r="L138" s="70">
        <f t="shared" si="31"/>
        <v>4.1666666666667018E-2</v>
      </c>
      <c r="M138" s="29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16" t="s">
        <v>22</v>
      </c>
      <c r="E139" s="11">
        <v>9</v>
      </c>
      <c r="F139" s="17">
        <f t="shared" si="30"/>
        <v>36</v>
      </c>
      <c r="G139" s="16" t="s">
        <v>18</v>
      </c>
      <c r="H139" s="16" t="s">
        <v>239</v>
      </c>
      <c r="I139" s="16" t="s">
        <v>240</v>
      </c>
      <c r="J139" s="13">
        <v>0.375</v>
      </c>
      <c r="K139" s="13">
        <v>0.39583333333333298</v>
      </c>
      <c r="L139" s="71">
        <f t="shared" si="31"/>
        <v>2.0833333333332982E-2</v>
      </c>
      <c r="M139" s="29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16" t="s">
        <v>22</v>
      </c>
      <c r="E140" s="11">
        <v>16</v>
      </c>
      <c r="F140" s="12">
        <f t="shared" si="30"/>
        <v>64</v>
      </c>
      <c r="G140" s="10" t="s">
        <v>19</v>
      </c>
      <c r="H140" s="10" t="s">
        <v>237</v>
      </c>
      <c r="I140" s="10" t="s">
        <v>27</v>
      </c>
      <c r="J140" s="13">
        <v>0.41666666666666702</v>
      </c>
      <c r="K140" s="13">
        <v>0.44097222222222199</v>
      </c>
      <c r="L140" s="70">
        <f t="shared" si="31"/>
        <v>2.430555555555497E-2</v>
      </c>
      <c r="M140" s="29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16" t="s">
        <v>22</v>
      </c>
      <c r="E141" s="11">
        <v>25</v>
      </c>
      <c r="F141" s="17">
        <f t="shared" si="30"/>
        <v>100</v>
      </c>
      <c r="G141" s="16" t="s">
        <v>18</v>
      </c>
      <c r="H141" s="16" t="s">
        <v>118</v>
      </c>
      <c r="I141" s="16" t="s">
        <v>107</v>
      </c>
      <c r="J141" s="13">
        <v>0.45833333333333298</v>
      </c>
      <c r="K141" s="13">
        <v>0.46875</v>
      </c>
      <c r="L141" s="71">
        <f t="shared" si="31"/>
        <v>1.0416666666667018E-2</v>
      </c>
      <c r="M141" s="29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16" t="s">
        <v>22</v>
      </c>
      <c r="E142" s="11">
        <v>15</v>
      </c>
      <c r="F142" s="12">
        <f t="shared" si="30"/>
        <v>60</v>
      </c>
      <c r="G142" s="10" t="s">
        <v>17</v>
      </c>
      <c r="H142" s="10" t="s">
        <v>135</v>
      </c>
      <c r="I142" s="10" t="s">
        <v>33</v>
      </c>
      <c r="J142" s="13">
        <v>0.77777777777777801</v>
      </c>
      <c r="K142" s="13">
        <v>0.79166666666666696</v>
      </c>
      <c r="L142" s="70">
        <f t="shared" si="31"/>
        <v>1.3888888888888951E-2</v>
      </c>
      <c r="M142" s="29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16" t="s">
        <v>22</v>
      </c>
      <c r="E143" s="11">
        <v>15</v>
      </c>
      <c r="F143" s="17">
        <f t="shared" si="30"/>
        <v>60</v>
      </c>
      <c r="G143" s="16"/>
      <c r="H143" s="16"/>
      <c r="I143" s="16"/>
      <c r="J143" s="13"/>
      <c r="K143" s="13"/>
      <c r="L143" s="71" t="str">
        <f t="shared" si="31"/>
        <v/>
      </c>
      <c r="M143" s="29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16" t="s">
        <v>22</v>
      </c>
      <c r="E144" s="11">
        <v>21</v>
      </c>
      <c r="F144" s="12">
        <f t="shared" si="30"/>
        <v>84</v>
      </c>
      <c r="G144" s="10"/>
      <c r="H144" s="10"/>
      <c r="I144" s="10"/>
      <c r="J144" s="13"/>
      <c r="K144" s="13"/>
      <c r="L144" s="70" t="str">
        <f t="shared" si="31"/>
        <v/>
      </c>
      <c r="M144" s="29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16" t="s">
        <v>22</v>
      </c>
      <c r="E145" s="11">
        <v>11</v>
      </c>
      <c r="F145" s="17">
        <f t="shared" si="30"/>
        <v>44</v>
      </c>
      <c r="G145" s="16"/>
      <c r="H145" s="16"/>
      <c r="I145" s="16"/>
      <c r="J145" s="13"/>
      <c r="K145" s="13"/>
      <c r="L145" s="71" t="str">
        <f t="shared" si="31"/>
        <v/>
      </c>
      <c r="M145" s="29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16" t="s">
        <v>22</v>
      </c>
      <c r="E146" s="11">
        <v>15</v>
      </c>
      <c r="F146" s="12">
        <f t="shared" si="30"/>
        <v>60</v>
      </c>
      <c r="G146" s="10"/>
      <c r="H146" s="10"/>
      <c r="I146" s="10"/>
      <c r="J146" s="13"/>
      <c r="K146" s="13"/>
      <c r="L146" s="70" t="str">
        <f t="shared" si="31"/>
        <v/>
      </c>
      <c r="M146" s="29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16" t="s">
        <v>22</v>
      </c>
      <c r="E147" s="11">
        <v>20</v>
      </c>
      <c r="F147" s="17">
        <f t="shared" si="30"/>
        <v>80</v>
      </c>
      <c r="G147" s="16"/>
      <c r="H147" s="16"/>
      <c r="I147" s="16"/>
      <c r="J147" s="13"/>
      <c r="K147" s="13"/>
      <c r="L147" s="71" t="str">
        <f t="shared" si="31"/>
        <v/>
      </c>
      <c r="M147" s="29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16" t="s">
        <v>22</v>
      </c>
      <c r="E148" s="11">
        <v>14</v>
      </c>
      <c r="F148" s="12">
        <f t="shared" si="30"/>
        <v>56</v>
      </c>
      <c r="G148" s="10"/>
      <c r="H148" s="10"/>
      <c r="I148" s="10"/>
      <c r="J148" s="13"/>
      <c r="K148" s="13"/>
      <c r="L148" s="70" t="str">
        <f t="shared" si="31"/>
        <v/>
      </c>
      <c r="M148" s="29"/>
      <c r="N148" s="14"/>
    </row>
    <row r="149" spans="1:14" ht="15.75" customHeight="1">
      <c r="A149" s="105" t="s">
        <v>191</v>
      </c>
      <c r="B149" s="105"/>
      <c r="C149" s="105"/>
      <c r="D149" s="105"/>
      <c r="E149" s="19">
        <f>SUM(E137:E148)</f>
        <v>168</v>
      </c>
      <c r="F149" s="19">
        <f>SUM(F137:F148)</f>
        <v>672</v>
      </c>
      <c r="G149" s="18"/>
      <c r="H149" s="18"/>
      <c r="I149" s="18"/>
      <c r="J149" s="18"/>
      <c r="K149" s="18"/>
      <c r="L149" s="72">
        <f>IFERROR(SUM(L137:L148),"")</f>
        <v>0.1388888888888879</v>
      </c>
      <c r="M149" s="19" t="s">
        <v>192</v>
      </c>
      <c r="N149" s="35">
        <v>673310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22</v>
      </c>
      <c r="E150" s="11">
        <v>5</v>
      </c>
      <c r="F150" s="12">
        <f t="shared" ref="F150:F161" si="33">IF(E150="","",E150*4)</f>
        <v>20</v>
      </c>
      <c r="G150" s="10" t="s">
        <v>17</v>
      </c>
      <c r="H150" s="10" t="s">
        <v>135</v>
      </c>
      <c r="I150" s="10" t="s">
        <v>33</v>
      </c>
      <c r="J150" s="13">
        <v>0.99166666666666703</v>
      </c>
      <c r="K150" s="13">
        <v>0.29166666666666702</v>
      </c>
      <c r="L150" s="70">
        <f t="shared" ref="L150:L161" si="34">IFERROR(IF(K150="","",IF(K150&gt;=J150,K150-J150,K150+1-J150)),"")</f>
        <v>0.29999999999999993</v>
      </c>
      <c r="M150" s="29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10" t="s">
        <v>22</v>
      </c>
      <c r="E151" s="11">
        <v>10</v>
      </c>
      <c r="F151" s="17">
        <f t="shared" si="33"/>
        <v>40</v>
      </c>
      <c r="G151" s="16"/>
      <c r="H151" s="16"/>
      <c r="I151" s="16"/>
      <c r="J151" s="13"/>
      <c r="K151" s="13"/>
      <c r="L151" s="71" t="str">
        <f t="shared" si="34"/>
        <v/>
      </c>
      <c r="M151" s="29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10" t="s">
        <v>22</v>
      </c>
      <c r="E152" s="11">
        <v>5</v>
      </c>
      <c r="F152" s="12">
        <f t="shared" si="33"/>
        <v>20</v>
      </c>
      <c r="G152" s="10"/>
      <c r="H152" s="10"/>
      <c r="I152" s="10"/>
      <c r="J152" s="13"/>
      <c r="K152" s="13"/>
      <c r="L152" s="70" t="str">
        <f t="shared" si="34"/>
        <v/>
      </c>
      <c r="M152" s="29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10" t="s">
        <v>22</v>
      </c>
      <c r="E153" s="11">
        <v>15</v>
      </c>
      <c r="F153" s="17">
        <f t="shared" si="33"/>
        <v>60</v>
      </c>
      <c r="G153" s="16"/>
      <c r="H153" s="16"/>
      <c r="I153" s="16"/>
      <c r="J153" s="13"/>
      <c r="K153" s="13"/>
      <c r="L153" s="71" t="str">
        <f t="shared" si="34"/>
        <v/>
      </c>
      <c r="M153" s="29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10" t="s">
        <v>22</v>
      </c>
      <c r="E154" s="11">
        <v>4</v>
      </c>
      <c r="F154" s="12">
        <f t="shared" si="33"/>
        <v>16</v>
      </c>
      <c r="G154" s="10"/>
      <c r="H154" s="10"/>
      <c r="I154" s="10"/>
      <c r="J154" s="13"/>
      <c r="K154" s="13"/>
      <c r="L154" s="70" t="str">
        <f t="shared" si="34"/>
        <v/>
      </c>
      <c r="M154" s="29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10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29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10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29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10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29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10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29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10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29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10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29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10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29"/>
      <c r="N161" s="14"/>
    </row>
    <row r="162" spans="1:14" ht="15.75" customHeight="1">
      <c r="A162" s="105" t="s">
        <v>193</v>
      </c>
      <c r="B162" s="105"/>
      <c r="C162" s="105"/>
      <c r="D162" s="105"/>
      <c r="E162" s="19">
        <f>SUM(E150:E161)</f>
        <v>39</v>
      </c>
      <c r="F162" s="19">
        <f>SUM(F150:F161)</f>
        <v>156</v>
      </c>
      <c r="G162" s="18"/>
      <c r="H162" s="18"/>
      <c r="I162" s="18"/>
      <c r="J162" s="18"/>
      <c r="K162" s="18"/>
      <c r="L162" s="72">
        <f>IFERROR(SUM(L150:L161),"")</f>
        <v>0.29999999999999993</v>
      </c>
      <c r="M162" s="19" t="s">
        <v>192</v>
      </c>
      <c r="N162" s="35">
        <v>183240</v>
      </c>
    </row>
    <row r="163" spans="1:14" ht="18" customHeight="1">
      <c r="A163" s="98" t="s">
        <v>194</v>
      </c>
      <c r="B163" s="98"/>
      <c r="C163" s="98"/>
      <c r="D163" s="98"/>
      <c r="E163" s="22">
        <f>E149+E162</f>
        <v>207</v>
      </c>
      <c r="F163" s="22">
        <f>F149+F162</f>
        <v>828</v>
      </c>
      <c r="G163" s="21"/>
      <c r="H163" s="21"/>
      <c r="I163" s="21"/>
      <c r="J163" s="21"/>
      <c r="K163" s="21"/>
      <c r="L163" s="73">
        <f>IFERROR(L149+L162,"")</f>
        <v>0.43888888888888783</v>
      </c>
      <c r="M163" s="22" t="s">
        <v>195</v>
      </c>
      <c r="N163" s="23">
        <f>IFERROR(N149+N162,"")</f>
        <v>856550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135</v>
      </c>
      <c r="I164" s="10" t="s">
        <v>33</v>
      </c>
      <c r="J164" s="13">
        <v>0.29166666666666702</v>
      </c>
      <c r="K164" s="13">
        <v>0</v>
      </c>
      <c r="L164" s="70">
        <f t="shared" ref="L164:L175" si="37">IFERROR(IF(K164="","",IF(K164&gt;=J164,K164-J164,K164+1-J164)),"")</f>
        <v>0.70833333333333304</v>
      </c>
      <c r="M164" s="29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17</v>
      </c>
      <c r="H165" s="16" t="s">
        <v>135</v>
      </c>
      <c r="I165" s="16" t="s">
        <v>33</v>
      </c>
      <c r="J165" s="13"/>
      <c r="K165" s="13"/>
      <c r="L165" s="71" t="str">
        <f t="shared" si="37"/>
        <v/>
      </c>
      <c r="M165" s="29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17</v>
      </c>
      <c r="H166" s="10" t="s">
        <v>135</v>
      </c>
      <c r="I166" s="10" t="s">
        <v>33</v>
      </c>
      <c r="J166" s="13"/>
      <c r="K166" s="13"/>
      <c r="L166" s="70" t="str">
        <f t="shared" si="37"/>
        <v/>
      </c>
      <c r="M166" s="29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17</v>
      </c>
      <c r="H167" s="16" t="s">
        <v>135</v>
      </c>
      <c r="I167" s="16" t="s">
        <v>33</v>
      </c>
      <c r="J167" s="13"/>
      <c r="K167" s="13"/>
      <c r="L167" s="71" t="str">
        <f t="shared" si="37"/>
        <v/>
      </c>
      <c r="M167" s="29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17</v>
      </c>
      <c r="H168" s="10" t="s">
        <v>135</v>
      </c>
      <c r="I168" s="10" t="s">
        <v>33</v>
      </c>
      <c r="J168" s="13"/>
      <c r="K168" s="13"/>
      <c r="L168" s="70" t="str">
        <f t="shared" si="37"/>
        <v/>
      </c>
      <c r="M168" s="29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17</v>
      </c>
      <c r="H169" s="16" t="s">
        <v>135</v>
      </c>
      <c r="I169" s="16" t="s">
        <v>33</v>
      </c>
      <c r="J169" s="13"/>
      <c r="K169" s="13"/>
      <c r="L169" s="71" t="str">
        <f t="shared" si="37"/>
        <v/>
      </c>
      <c r="M169" s="29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17</v>
      </c>
      <c r="H170" s="10" t="s">
        <v>135</v>
      </c>
      <c r="I170" s="10" t="s">
        <v>33</v>
      </c>
      <c r="J170" s="13"/>
      <c r="K170" s="13"/>
      <c r="L170" s="70" t="str">
        <f t="shared" si="37"/>
        <v/>
      </c>
      <c r="M170" s="29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17</v>
      </c>
      <c r="H171" s="16" t="s">
        <v>135</v>
      </c>
      <c r="I171" s="16" t="s">
        <v>33</v>
      </c>
      <c r="J171" s="13"/>
      <c r="K171" s="13"/>
      <c r="L171" s="71" t="str">
        <f t="shared" si="37"/>
        <v/>
      </c>
      <c r="M171" s="29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17</v>
      </c>
      <c r="H172" s="10" t="s">
        <v>135</v>
      </c>
      <c r="I172" s="10" t="s">
        <v>33</v>
      </c>
      <c r="J172" s="13"/>
      <c r="K172" s="13"/>
      <c r="L172" s="70" t="str">
        <f t="shared" si="37"/>
        <v/>
      </c>
      <c r="M172" s="29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17</v>
      </c>
      <c r="H173" s="16" t="s">
        <v>135</v>
      </c>
      <c r="I173" s="16" t="s">
        <v>33</v>
      </c>
      <c r="J173" s="13"/>
      <c r="K173" s="13"/>
      <c r="L173" s="71" t="str">
        <f t="shared" si="37"/>
        <v/>
      </c>
      <c r="M173" s="29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17</v>
      </c>
      <c r="H174" s="10" t="s">
        <v>135</v>
      </c>
      <c r="I174" s="10" t="s">
        <v>33</v>
      </c>
      <c r="J174" s="13"/>
      <c r="K174" s="13"/>
      <c r="L174" s="70" t="str">
        <f t="shared" si="37"/>
        <v/>
      </c>
      <c r="M174" s="29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17</v>
      </c>
      <c r="H175" s="16" t="s">
        <v>135</v>
      </c>
      <c r="I175" s="16" t="s">
        <v>33</v>
      </c>
      <c r="J175" s="13"/>
      <c r="K175" s="13"/>
      <c r="L175" s="71" t="str">
        <f t="shared" si="37"/>
        <v/>
      </c>
      <c r="M175" s="29"/>
      <c r="N175" s="14"/>
    </row>
    <row r="176" spans="1:14" ht="15.75" customHeight="1">
      <c r="A176" s="105" t="s">
        <v>191</v>
      </c>
      <c r="B176" s="105"/>
      <c r="C176" s="105"/>
      <c r="D176" s="105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0.70833333333333304</v>
      </c>
      <c r="M176" s="19" t="s">
        <v>192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135</v>
      </c>
      <c r="I177" s="16" t="s">
        <v>33</v>
      </c>
      <c r="J177" s="13"/>
      <c r="K177" s="13"/>
      <c r="L177" s="71" t="str">
        <f t="shared" ref="L177:L188" si="40">IFERROR(IF(K177="","",IF(K177&gt;=J177,K177-J177,K177+1-J177)),"")</f>
        <v/>
      </c>
      <c r="M177" s="29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/>
      <c r="H178" s="10"/>
      <c r="I178" s="10"/>
      <c r="J178" s="13"/>
      <c r="K178" s="13"/>
      <c r="L178" s="70" t="str">
        <f t="shared" si="40"/>
        <v/>
      </c>
      <c r="M178" s="29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/>
      <c r="H179" s="16"/>
      <c r="I179" s="16"/>
      <c r="J179" s="13"/>
      <c r="K179" s="13"/>
      <c r="L179" s="71" t="str">
        <f t="shared" si="40"/>
        <v/>
      </c>
      <c r="M179" s="29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/>
      <c r="H180" s="10"/>
      <c r="I180" s="10"/>
      <c r="J180" s="13"/>
      <c r="K180" s="13"/>
      <c r="L180" s="70" t="str">
        <f t="shared" si="40"/>
        <v/>
      </c>
      <c r="M180" s="29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118</v>
      </c>
      <c r="I181" s="16" t="s">
        <v>241</v>
      </c>
      <c r="J181" s="13">
        <v>1</v>
      </c>
      <c r="K181" s="13">
        <v>0.29166666666666702</v>
      </c>
      <c r="L181" s="71">
        <f t="shared" si="40"/>
        <v>0.29166666666666696</v>
      </c>
      <c r="M181" s="29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118</v>
      </c>
      <c r="I182" s="10" t="s">
        <v>241</v>
      </c>
      <c r="J182" s="13"/>
      <c r="K182" s="13"/>
      <c r="L182" s="70" t="str">
        <f t="shared" si="40"/>
        <v/>
      </c>
      <c r="M182" s="29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118</v>
      </c>
      <c r="I183" s="16" t="s">
        <v>241</v>
      </c>
      <c r="J183" s="13"/>
      <c r="K183" s="13"/>
      <c r="L183" s="71" t="str">
        <f t="shared" si="40"/>
        <v/>
      </c>
      <c r="M183" s="29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118</v>
      </c>
      <c r="I184" s="10" t="s">
        <v>241</v>
      </c>
      <c r="J184" s="13"/>
      <c r="K184" s="13"/>
      <c r="L184" s="70" t="str">
        <f t="shared" si="40"/>
        <v/>
      </c>
      <c r="M184" s="29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118</v>
      </c>
      <c r="I185" s="16" t="s">
        <v>241</v>
      </c>
      <c r="J185" s="13"/>
      <c r="K185" s="13"/>
      <c r="L185" s="71" t="str">
        <f t="shared" si="40"/>
        <v/>
      </c>
      <c r="M185" s="29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118</v>
      </c>
      <c r="I186" s="10" t="s">
        <v>241</v>
      </c>
      <c r="J186" s="13"/>
      <c r="K186" s="13"/>
      <c r="L186" s="70" t="str">
        <f t="shared" si="40"/>
        <v/>
      </c>
      <c r="M186" s="29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118</v>
      </c>
      <c r="I187" s="16" t="s">
        <v>241</v>
      </c>
      <c r="J187" s="13"/>
      <c r="K187" s="13"/>
      <c r="L187" s="71" t="str">
        <f t="shared" si="40"/>
        <v/>
      </c>
      <c r="M187" s="29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118</v>
      </c>
      <c r="I188" s="10" t="s">
        <v>241</v>
      </c>
      <c r="J188" s="13"/>
      <c r="K188" s="13"/>
      <c r="L188" s="70" t="str">
        <f t="shared" si="40"/>
        <v/>
      </c>
      <c r="M188" s="29"/>
      <c r="N188" s="14"/>
    </row>
    <row r="189" spans="1:14" ht="15.75" customHeight="1">
      <c r="A189" s="105" t="s">
        <v>193</v>
      </c>
      <c r="B189" s="105"/>
      <c r="C189" s="105"/>
      <c r="D189" s="105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0.29166666666666696</v>
      </c>
      <c r="M189" s="19" t="s">
        <v>192</v>
      </c>
      <c r="N189" s="20">
        <v>0</v>
      </c>
    </row>
    <row r="190" spans="1:14" ht="18" customHeight="1">
      <c r="A190" s="98" t="s">
        <v>194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195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0" t="s">
        <v>29</v>
      </c>
      <c r="D191" s="10" t="s">
        <v>22</v>
      </c>
      <c r="E191" s="11">
        <v>0</v>
      </c>
      <c r="F191" s="17">
        <f t="shared" ref="F191:F202" si="42">IF(E191="","",E191*4)</f>
        <v>0</v>
      </c>
      <c r="G191" s="10" t="s">
        <v>18</v>
      </c>
      <c r="H191" s="10" t="s">
        <v>118</v>
      </c>
      <c r="I191" s="10" t="s">
        <v>241</v>
      </c>
      <c r="J191" s="13">
        <v>0.29166666666666702</v>
      </c>
      <c r="K191" s="13">
        <v>0.45833333333333298</v>
      </c>
      <c r="L191" s="71">
        <f t="shared" ref="L191:L202" si="43">IFERROR(IF(K191="","",IF(K191&gt;=J191,K191-J191,K191+1-J191)),"")</f>
        <v>0.16666666666666596</v>
      </c>
      <c r="M191" s="29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0" t="s">
        <v>29</v>
      </c>
      <c r="D192" s="10" t="s">
        <v>22</v>
      </c>
      <c r="E192" s="11">
        <v>0</v>
      </c>
      <c r="F192" s="12">
        <f t="shared" si="42"/>
        <v>0</v>
      </c>
      <c r="G192" s="16" t="s">
        <v>17</v>
      </c>
      <c r="H192" s="16" t="s">
        <v>135</v>
      </c>
      <c r="I192" s="16" t="s">
        <v>33</v>
      </c>
      <c r="J192" s="13">
        <v>0.5</v>
      </c>
      <c r="K192" s="13">
        <v>0.54166666666666696</v>
      </c>
      <c r="L192" s="70">
        <f t="shared" si="43"/>
        <v>4.1666666666666963E-2</v>
      </c>
      <c r="M192" s="29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0" t="s">
        <v>29</v>
      </c>
      <c r="D193" s="10" t="s">
        <v>22</v>
      </c>
      <c r="E193" s="11">
        <v>0</v>
      </c>
      <c r="F193" s="17">
        <f t="shared" si="42"/>
        <v>0</v>
      </c>
      <c r="G193" s="10" t="s">
        <v>18</v>
      </c>
      <c r="H193" s="10" t="s">
        <v>135</v>
      </c>
      <c r="I193" s="10" t="s">
        <v>242</v>
      </c>
      <c r="J193" s="13">
        <v>0.625</v>
      </c>
      <c r="K193" s="13">
        <v>0.77777777777777801</v>
      </c>
      <c r="L193" s="71">
        <f t="shared" si="43"/>
        <v>0.15277777777777801</v>
      </c>
      <c r="M193" s="29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0" t="s">
        <v>29</v>
      </c>
      <c r="D194" s="10" t="s">
        <v>22</v>
      </c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29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0" t="s">
        <v>29</v>
      </c>
      <c r="D195" s="10" t="s">
        <v>22</v>
      </c>
      <c r="E195" s="11">
        <v>3</v>
      </c>
      <c r="F195" s="17">
        <f t="shared" si="42"/>
        <v>12</v>
      </c>
      <c r="G195" s="16"/>
      <c r="H195" s="16"/>
      <c r="I195" s="16"/>
      <c r="J195" s="13"/>
      <c r="K195" s="13"/>
      <c r="L195" s="71" t="str">
        <f t="shared" si="43"/>
        <v/>
      </c>
      <c r="M195" s="29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0" t="s">
        <v>29</v>
      </c>
      <c r="D196" s="10" t="s">
        <v>22</v>
      </c>
      <c r="E196" s="11">
        <v>12</v>
      </c>
      <c r="F196" s="12">
        <f t="shared" si="42"/>
        <v>48</v>
      </c>
      <c r="G196" s="10"/>
      <c r="H196" s="10"/>
      <c r="I196" s="10"/>
      <c r="J196" s="13"/>
      <c r="K196" s="13"/>
      <c r="L196" s="70" t="str">
        <f t="shared" si="43"/>
        <v/>
      </c>
      <c r="M196" s="29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0" t="s">
        <v>29</v>
      </c>
      <c r="D197" s="10" t="s">
        <v>22</v>
      </c>
      <c r="E197" s="11">
        <v>23</v>
      </c>
      <c r="F197" s="17">
        <f t="shared" si="42"/>
        <v>92</v>
      </c>
      <c r="G197" s="16"/>
      <c r="H197" s="16"/>
      <c r="I197" s="16"/>
      <c r="J197" s="13"/>
      <c r="K197" s="13"/>
      <c r="L197" s="71" t="str">
        <f t="shared" si="43"/>
        <v/>
      </c>
      <c r="M197" s="29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0" t="s">
        <v>29</v>
      </c>
      <c r="D198" s="10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29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0" t="s">
        <v>29</v>
      </c>
      <c r="D199" s="10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29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0" t="s">
        <v>29</v>
      </c>
      <c r="D200" s="10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29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0" t="s">
        <v>29</v>
      </c>
      <c r="D201" s="10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29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0" t="s">
        <v>29</v>
      </c>
      <c r="D202" s="10" t="s">
        <v>22</v>
      </c>
      <c r="E202" s="11">
        <v>2</v>
      </c>
      <c r="F202" s="12">
        <f t="shared" si="42"/>
        <v>8</v>
      </c>
      <c r="G202" s="10"/>
      <c r="H202" s="10"/>
      <c r="I202" s="10"/>
      <c r="J202" s="13"/>
      <c r="K202" s="13"/>
      <c r="L202" s="70" t="str">
        <f t="shared" si="43"/>
        <v/>
      </c>
      <c r="M202" s="29"/>
      <c r="N202" s="14"/>
    </row>
    <row r="203" spans="1:14" ht="15.75" customHeight="1">
      <c r="A203" s="105" t="s">
        <v>191</v>
      </c>
      <c r="B203" s="105"/>
      <c r="C203" s="105"/>
      <c r="D203" s="105"/>
      <c r="E203" s="19">
        <f>SUM(E191:E202)</f>
        <v>40</v>
      </c>
      <c r="F203" s="19">
        <f>SUM(F191:F202)</f>
        <v>160</v>
      </c>
      <c r="G203" s="18"/>
      <c r="H203" s="18"/>
      <c r="I203" s="18"/>
      <c r="J203" s="18"/>
      <c r="K203" s="18"/>
      <c r="L203" s="72">
        <f>IFERROR(SUM(L191:L202),"")</f>
        <v>0.36111111111111094</v>
      </c>
      <c r="M203" s="19" t="s">
        <v>192</v>
      </c>
      <c r="N203" s="28">
        <v>146310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31</v>
      </c>
      <c r="I204" s="10" t="s">
        <v>27</v>
      </c>
      <c r="J204" s="13">
        <v>0.125</v>
      </c>
      <c r="K204" s="13">
        <v>0.13541666666666699</v>
      </c>
      <c r="L204" s="70">
        <f t="shared" ref="L204:L215" si="46">IFERROR(IF(K204="","",IF(K204&gt;=J204,K204-J204,K204+1-J204)),"")</f>
        <v>1.041666666666699E-2</v>
      </c>
      <c r="M204" s="29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0" t="s">
        <v>22</v>
      </c>
      <c r="E205" s="11">
        <v>9</v>
      </c>
      <c r="F205" s="17">
        <f t="shared" si="45"/>
        <v>36</v>
      </c>
      <c r="G205" s="16" t="s">
        <v>19</v>
      </c>
      <c r="H205" s="16" t="s">
        <v>39</v>
      </c>
      <c r="I205" s="16" t="s">
        <v>27</v>
      </c>
      <c r="J205" s="13">
        <v>0.13541666666666699</v>
      </c>
      <c r="K205" s="13">
        <v>0.14583333333333301</v>
      </c>
      <c r="L205" s="71">
        <f t="shared" si="46"/>
        <v>1.0416666666666019E-2</v>
      </c>
      <c r="M205" s="29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 t="s">
        <v>22</v>
      </c>
      <c r="E206" s="11">
        <v>7</v>
      </c>
      <c r="F206" s="12">
        <f t="shared" si="45"/>
        <v>28</v>
      </c>
      <c r="G206" s="10"/>
      <c r="H206" s="10"/>
      <c r="I206" s="10"/>
      <c r="J206" s="13"/>
      <c r="K206" s="13"/>
      <c r="L206" s="70" t="str">
        <f t="shared" si="46"/>
        <v/>
      </c>
      <c r="M206" s="29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0" t="s">
        <v>22</v>
      </c>
      <c r="E207" s="11">
        <v>14</v>
      </c>
      <c r="F207" s="17">
        <f t="shared" si="45"/>
        <v>56</v>
      </c>
      <c r="G207" s="16"/>
      <c r="H207" s="16"/>
      <c r="I207" s="16"/>
      <c r="J207" s="13"/>
      <c r="K207" s="13"/>
      <c r="L207" s="71" t="str">
        <f t="shared" si="46"/>
        <v/>
      </c>
      <c r="M207" s="29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 t="s">
        <v>22</v>
      </c>
      <c r="E208" s="11">
        <v>10</v>
      </c>
      <c r="F208" s="12">
        <f t="shared" si="45"/>
        <v>40</v>
      </c>
      <c r="G208" s="10"/>
      <c r="H208" s="10"/>
      <c r="I208" s="10"/>
      <c r="J208" s="13"/>
      <c r="K208" s="13"/>
      <c r="L208" s="70" t="str">
        <f t="shared" si="46"/>
        <v/>
      </c>
      <c r="M208" s="29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0" t="s">
        <v>22</v>
      </c>
      <c r="E209" s="11">
        <v>25</v>
      </c>
      <c r="F209" s="17">
        <f t="shared" si="45"/>
        <v>100</v>
      </c>
      <c r="G209" s="16" t="s">
        <v>19</v>
      </c>
      <c r="H209" s="16"/>
      <c r="I209" s="16"/>
      <c r="J209" s="13"/>
      <c r="K209" s="13"/>
      <c r="L209" s="71" t="str">
        <f t="shared" si="46"/>
        <v/>
      </c>
      <c r="M209" s="29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 t="s">
        <v>22</v>
      </c>
      <c r="E210" s="11">
        <v>10</v>
      </c>
      <c r="F210" s="12">
        <f t="shared" si="45"/>
        <v>40</v>
      </c>
      <c r="G210" s="10"/>
      <c r="H210" s="10"/>
      <c r="I210" s="10"/>
      <c r="J210" s="13"/>
      <c r="K210" s="13"/>
      <c r="L210" s="70" t="str">
        <f t="shared" si="46"/>
        <v/>
      </c>
      <c r="M210" s="29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0" t="s">
        <v>22</v>
      </c>
      <c r="E211" s="11">
        <v>15</v>
      </c>
      <c r="F211" s="17">
        <f t="shared" si="45"/>
        <v>60</v>
      </c>
      <c r="G211" s="16"/>
      <c r="H211" s="16"/>
      <c r="I211" s="16"/>
      <c r="J211" s="13"/>
      <c r="K211" s="13"/>
      <c r="L211" s="71" t="str">
        <f t="shared" si="46"/>
        <v/>
      </c>
      <c r="M211" s="29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 t="s">
        <v>30</v>
      </c>
      <c r="E212" s="11">
        <v>8</v>
      </c>
      <c r="F212" s="12">
        <f t="shared" si="45"/>
        <v>32</v>
      </c>
      <c r="G212" s="10"/>
      <c r="H212" s="10"/>
      <c r="I212" s="10"/>
      <c r="J212" s="13"/>
      <c r="K212" s="13"/>
      <c r="L212" s="70" t="str">
        <f t="shared" si="46"/>
        <v/>
      </c>
      <c r="M212" s="29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0" t="s">
        <v>30</v>
      </c>
      <c r="E213" s="11">
        <v>4</v>
      </c>
      <c r="F213" s="17">
        <f t="shared" si="45"/>
        <v>16</v>
      </c>
      <c r="G213" s="16"/>
      <c r="H213" s="16"/>
      <c r="I213" s="16"/>
      <c r="J213" s="13"/>
      <c r="K213" s="13"/>
      <c r="L213" s="71" t="str">
        <f t="shared" si="46"/>
        <v/>
      </c>
      <c r="M213" s="29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 t="s">
        <v>30</v>
      </c>
      <c r="E214" s="11">
        <v>5</v>
      </c>
      <c r="F214" s="12">
        <f t="shared" si="45"/>
        <v>20</v>
      </c>
      <c r="G214" s="10"/>
      <c r="H214" s="10"/>
      <c r="I214" s="10"/>
      <c r="J214" s="13"/>
      <c r="K214" s="13"/>
      <c r="L214" s="70" t="str">
        <f t="shared" si="46"/>
        <v/>
      </c>
      <c r="M214" s="29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 t="s">
        <v>30</v>
      </c>
      <c r="E215" s="11">
        <v>2</v>
      </c>
      <c r="F215" s="17">
        <f t="shared" si="45"/>
        <v>8</v>
      </c>
      <c r="G215" s="16"/>
      <c r="H215" s="16"/>
      <c r="I215" s="16"/>
      <c r="J215" s="13"/>
      <c r="K215" s="13"/>
      <c r="L215" s="71" t="str">
        <f t="shared" si="46"/>
        <v/>
      </c>
      <c r="M215" s="29"/>
      <c r="N215" s="30"/>
    </row>
    <row r="216" spans="1:14" ht="15.75" customHeight="1">
      <c r="A216" s="105" t="s">
        <v>193</v>
      </c>
      <c r="B216" s="105"/>
      <c r="C216" s="105"/>
      <c r="D216" s="105"/>
      <c r="E216" s="19">
        <f>SUM(E204:E215)</f>
        <v>119</v>
      </c>
      <c r="F216" s="19">
        <f>SUM(F204:F215)</f>
        <v>476</v>
      </c>
      <c r="G216" s="18"/>
      <c r="H216" s="18"/>
      <c r="I216" s="18"/>
      <c r="J216" s="18"/>
      <c r="K216" s="18"/>
      <c r="L216" s="72">
        <f>IFERROR(SUM(L204:L215),"")</f>
        <v>2.083333333333301E-2</v>
      </c>
      <c r="M216" s="19" t="s">
        <v>192</v>
      </c>
      <c r="N216" s="28">
        <v>525070</v>
      </c>
    </row>
    <row r="217" spans="1:14" ht="18" customHeight="1">
      <c r="A217" s="98" t="s">
        <v>194</v>
      </c>
      <c r="B217" s="98"/>
      <c r="C217" s="98"/>
      <c r="D217" s="98"/>
      <c r="E217" s="22">
        <f>E203+E216</f>
        <v>159</v>
      </c>
      <c r="F217" s="22">
        <f>F203+F216</f>
        <v>636</v>
      </c>
      <c r="G217" s="21"/>
      <c r="H217" s="21"/>
      <c r="I217" s="21"/>
      <c r="J217" s="21"/>
      <c r="K217" s="21"/>
      <c r="L217" s="73">
        <f>IFERROR(L203+L216,"")</f>
        <v>0.38194444444444398</v>
      </c>
      <c r="M217" s="22" t="s">
        <v>195</v>
      </c>
      <c r="N217" s="31">
        <f>IFERROR(N203+N216,"")</f>
        <v>671380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6</v>
      </c>
      <c r="F218" s="12">
        <f t="shared" ref="F218:F229" si="48">IF(E218="","",E218*4)</f>
        <v>24</v>
      </c>
      <c r="G218" s="10" t="s">
        <v>20</v>
      </c>
      <c r="H218" s="10" t="s">
        <v>85</v>
      </c>
      <c r="I218" s="10" t="s">
        <v>126</v>
      </c>
      <c r="J218" s="13">
        <v>0.3125</v>
      </c>
      <c r="K218" s="13">
        <v>0.375</v>
      </c>
      <c r="L218" s="70">
        <f t="shared" ref="L218:L229" si="49">IFERROR(IF(K218="","",IF(K218&gt;=J218,K218-J218,K218+1-J218)),"")</f>
        <v>6.25E-2</v>
      </c>
      <c r="M218" s="29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38</v>
      </c>
      <c r="E219" s="11">
        <v>0</v>
      </c>
      <c r="F219" s="17">
        <f t="shared" si="48"/>
        <v>0</v>
      </c>
      <c r="G219" s="16" t="s">
        <v>20</v>
      </c>
      <c r="H219" s="16" t="s">
        <v>135</v>
      </c>
      <c r="I219" s="16" t="s">
        <v>142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29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38</v>
      </c>
      <c r="E220" s="11">
        <v>3</v>
      </c>
      <c r="F220" s="12">
        <f t="shared" si="48"/>
        <v>12</v>
      </c>
      <c r="G220" s="10" t="s">
        <v>20</v>
      </c>
      <c r="H220" s="10" t="s">
        <v>31</v>
      </c>
      <c r="I220" s="10" t="s">
        <v>51</v>
      </c>
      <c r="J220" s="13">
        <v>0.58333333333333304</v>
      </c>
      <c r="K220" s="13">
        <v>0.67777777777777803</v>
      </c>
      <c r="L220" s="70">
        <f t="shared" si="49"/>
        <v>9.4444444444444997E-2</v>
      </c>
      <c r="M220" s="29" t="s">
        <v>243</v>
      </c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38</v>
      </c>
      <c r="E221" s="11">
        <v>4</v>
      </c>
      <c r="F221" s="17">
        <f t="shared" si="48"/>
        <v>16</v>
      </c>
      <c r="G221" s="16" t="s">
        <v>20</v>
      </c>
      <c r="H221" s="16" t="s">
        <v>31</v>
      </c>
      <c r="I221" s="16" t="s">
        <v>123</v>
      </c>
      <c r="J221" s="13">
        <v>0.69305555555555598</v>
      </c>
      <c r="K221" s="13">
        <v>0.73472222222222205</v>
      </c>
      <c r="L221" s="71">
        <f t="shared" si="49"/>
        <v>4.1666666666666075E-2</v>
      </c>
      <c r="M221" s="29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38</v>
      </c>
      <c r="E222" s="11">
        <v>13</v>
      </c>
      <c r="F222" s="12">
        <f t="shared" si="48"/>
        <v>52</v>
      </c>
      <c r="G222" s="10"/>
      <c r="H222" s="10"/>
      <c r="I222" s="10"/>
      <c r="J222" s="13"/>
      <c r="K222" s="13"/>
      <c r="L222" s="70" t="str">
        <f t="shared" si="49"/>
        <v/>
      </c>
      <c r="M222" s="29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38</v>
      </c>
      <c r="E223" s="11">
        <v>8</v>
      </c>
      <c r="F223" s="17">
        <f t="shared" si="48"/>
        <v>32</v>
      </c>
      <c r="G223" s="16"/>
      <c r="H223" s="16"/>
      <c r="I223" s="16"/>
      <c r="J223" s="13"/>
      <c r="K223" s="13"/>
      <c r="L223" s="71" t="str">
        <f t="shared" si="49"/>
        <v/>
      </c>
      <c r="M223" s="29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38</v>
      </c>
      <c r="E224" s="11">
        <v>8</v>
      </c>
      <c r="F224" s="12">
        <f t="shared" si="48"/>
        <v>32</v>
      </c>
      <c r="G224" s="10"/>
      <c r="H224" s="10"/>
      <c r="I224" s="10"/>
      <c r="J224" s="13"/>
      <c r="K224" s="13"/>
      <c r="L224" s="70" t="str">
        <f t="shared" si="49"/>
        <v/>
      </c>
      <c r="M224" s="29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38</v>
      </c>
      <c r="E225" s="11">
        <v>7</v>
      </c>
      <c r="F225" s="17">
        <f t="shared" si="48"/>
        <v>28</v>
      </c>
      <c r="G225" s="16"/>
      <c r="H225" s="16"/>
      <c r="I225" s="16"/>
      <c r="J225" s="13"/>
      <c r="K225" s="13"/>
      <c r="L225" s="71" t="str">
        <f t="shared" si="49"/>
        <v/>
      </c>
      <c r="M225" s="29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38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29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38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29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38</v>
      </c>
      <c r="E228" s="11">
        <v>8</v>
      </c>
      <c r="F228" s="12">
        <f t="shared" si="48"/>
        <v>32</v>
      </c>
      <c r="G228" s="10"/>
      <c r="H228" s="10"/>
      <c r="I228" s="10"/>
      <c r="J228" s="13"/>
      <c r="K228" s="13"/>
      <c r="L228" s="70" t="str">
        <f t="shared" si="49"/>
        <v/>
      </c>
      <c r="M228" s="29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38</v>
      </c>
      <c r="E229" s="11">
        <v>3</v>
      </c>
      <c r="F229" s="17">
        <f t="shared" si="48"/>
        <v>12</v>
      </c>
      <c r="G229" s="16"/>
      <c r="H229" s="16"/>
      <c r="I229" s="16"/>
      <c r="J229" s="13"/>
      <c r="K229" s="13"/>
      <c r="L229" s="71" t="str">
        <f t="shared" si="49"/>
        <v/>
      </c>
      <c r="M229" s="29"/>
      <c r="N229" s="30"/>
    </row>
    <row r="230" spans="1:14" ht="15.75" customHeight="1">
      <c r="A230" s="105" t="s">
        <v>191</v>
      </c>
      <c r="B230" s="105"/>
      <c r="C230" s="105"/>
      <c r="D230" s="105"/>
      <c r="E230" s="19">
        <f>SUM(E218:E229)</f>
        <v>60</v>
      </c>
      <c r="F230" s="19">
        <f>SUM(F218:F229)</f>
        <v>240</v>
      </c>
      <c r="G230" s="18"/>
      <c r="H230" s="18"/>
      <c r="I230" s="18"/>
      <c r="J230" s="18"/>
      <c r="K230" s="18"/>
      <c r="L230" s="72">
        <f>IFERROR(SUM(L218:L229),"")</f>
        <v>0.22500000000000009</v>
      </c>
      <c r="M230" s="19" t="s">
        <v>192</v>
      </c>
      <c r="N230" s="20">
        <v>413290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38</v>
      </c>
      <c r="E231" s="11">
        <v>10</v>
      </c>
      <c r="F231" s="17">
        <f t="shared" ref="F231:F242" si="51">IF(E231="","",E231*4)</f>
        <v>40</v>
      </c>
      <c r="G231" s="16" t="s">
        <v>18</v>
      </c>
      <c r="H231" s="16" t="s">
        <v>149</v>
      </c>
      <c r="I231" s="16" t="s">
        <v>122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29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38</v>
      </c>
      <c r="E232" s="11">
        <v>6</v>
      </c>
      <c r="F232" s="12">
        <f t="shared" si="51"/>
        <v>24</v>
      </c>
      <c r="G232" s="10"/>
      <c r="H232" s="10"/>
      <c r="I232" s="10"/>
      <c r="J232" s="13"/>
      <c r="K232" s="13"/>
      <c r="L232" s="70" t="str">
        <f t="shared" si="52"/>
        <v/>
      </c>
      <c r="M232" s="29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38</v>
      </c>
      <c r="E233" s="11">
        <v>8</v>
      </c>
      <c r="F233" s="17">
        <f t="shared" si="51"/>
        <v>32</v>
      </c>
      <c r="G233" s="16"/>
      <c r="H233" s="16"/>
      <c r="I233" s="16"/>
      <c r="J233" s="13"/>
      <c r="K233" s="13"/>
      <c r="L233" s="71" t="str">
        <f t="shared" si="52"/>
        <v/>
      </c>
      <c r="M233" s="29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38</v>
      </c>
      <c r="E234" s="11">
        <v>5</v>
      </c>
      <c r="F234" s="12">
        <f t="shared" si="51"/>
        <v>20</v>
      </c>
      <c r="G234" s="10"/>
      <c r="H234" s="10"/>
      <c r="I234" s="10"/>
      <c r="J234" s="13"/>
      <c r="K234" s="13"/>
      <c r="L234" s="70" t="str">
        <f t="shared" si="52"/>
        <v/>
      </c>
      <c r="M234" s="29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38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29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38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29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38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29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38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29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38</v>
      </c>
      <c r="E239" s="11">
        <v>5</v>
      </c>
      <c r="F239" s="17">
        <f t="shared" si="51"/>
        <v>20</v>
      </c>
      <c r="G239" s="16"/>
      <c r="H239" s="16"/>
      <c r="I239" s="16"/>
      <c r="J239" s="13"/>
      <c r="K239" s="13"/>
      <c r="L239" s="71" t="str">
        <f t="shared" si="52"/>
        <v/>
      </c>
      <c r="M239" s="29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38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29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38</v>
      </c>
      <c r="E241" s="11">
        <v>8</v>
      </c>
      <c r="F241" s="17">
        <f t="shared" si="51"/>
        <v>32</v>
      </c>
      <c r="G241" s="16"/>
      <c r="H241" s="16"/>
      <c r="I241" s="16"/>
      <c r="J241" s="13"/>
      <c r="K241" s="13"/>
      <c r="L241" s="71" t="str">
        <f t="shared" si="52"/>
        <v/>
      </c>
      <c r="M241" s="29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38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29"/>
      <c r="N242" s="30"/>
    </row>
    <row r="243" spans="1:14" ht="15.75" customHeight="1">
      <c r="A243" s="105" t="s">
        <v>193</v>
      </c>
      <c r="B243" s="105"/>
      <c r="C243" s="105"/>
      <c r="D243" s="105"/>
      <c r="E243" s="19">
        <f>SUM(E231:E242)</f>
        <v>61</v>
      </c>
      <c r="F243" s="19">
        <f>SUM(F231:F242)</f>
        <v>244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192</v>
      </c>
      <c r="N243" s="20">
        <v>244000</v>
      </c>
    </row>
    <row r="244" spans="1:14" ht="18" customHeight="1">
      <c r="A244" s="98" t="s">
        <v>194</v>
      </c>
      <c r="B244" s="98"/>
      <c r="C244" s="98"/>
      <c r="D244" s="98"/>
      <c r="E244" s="22">
        <f>E230+E243</f>
        <v>121</v>
      </c>
      <c r="F244" s="22">
        <f>F230+F243</f>
        <v>484</v>
      </c>
      <c r="G244" s="21"/>
      <c r="H244" s="21"/>
      <c r="I244" s="21"/>
      <c r="J244" s="21"/>
      <c r="K244" s="21"/>
      <c r="L244" s="73">
        <f>IFERROR(L230+L243,"")</f>
        <v>0.3083333333333334</v>
      </c>
      <c r="M244" s="22" t="s">
        <v>195</v>
      </c>
      <c r="N244" s="31">
        <f>IFERROR(N230+N243,"")</f>
        <v>657290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15</v>
      </c>
      <c r="F245" s="17">
        <f t="shared" ref="F245:F256" si="54">IF(E245="","",E245*4)</f>
        <v>60</v>
      </c>
      <c r="G245" s="16" t="s">
        <v>20</v>
      </c>
      <c r="H245" s="16" t="s">
        <v>39</v>
      </c>
      <c r="I245" s="16" t="s">
        <v>56</v>
      </c>
      <c r="J245" s="13">
        <v>0.41319444444444398</v>
      </c>
      <c r="K245" s="13">
        <v>0.4375</v>
      </c>
      <c r="L245" s="71">
        <f t="shared" ref="L245:L256" si="55">IFERROR(IF(K245="","",IF(K245&gt;=J245,K245-J245,K245+1-J245)),"")</f>
        <v>2.4305555555556024E-2</v>
      </c>
      <c r="M245" s="29"/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8</v>
      </c>
      <c r="F246" s="12">
        <f t="shared" si="54"/>
        <v>32</v>
      </c>
      <c r="G246" s="10" t="s">
        <v>19</v>
      </c>
      <c r="H246" s="10" t="s">
        <v>151</v>
      </c>
      <c r="I246" s="10" t="s">
        <v>27</v>
      </c>
      <c r="J246" s="13">
        <v>0.58333333333333337</v>
      </c>
      <c r="K246" s="13">
        <v>0.625</v>
      </c>
      <c r="L246" s="70">
        <f t="shared" si="55"/>
        <v>4.166666666666663E-2</v>
      </c>
      <c r="M246" s="29" t="s">
        <v>244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21</v>
      </c>
      <c r="F247" s="17">
        <f t="shared" si="54"/>
        <v>84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29" t="s">
        <v>245</v>
      </c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7</v>
      </c>
      <c r="F248" s="12">
        <f t="shared" si="54"/>
        <v>28</v>
      </c>
      <c r="G248" s="10"/>
      <c r="H248" s="10"/>
      <c r="I248" s="10"/>
      <c r="J248" s="13"/>
      <c r="K248" s="13"/>
      <c r="L248" s="70" t="str">
        <f t="shared" si="55"/>
        <v/>
      </c>
      <c r="M248" s="29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15</v>
      </c>
      <c r="F249" s="17">
        <f t="shared" si="54"/>
        <v>60</v>
      </c>
      <c r="G249" s="16"/>
      <c r="H249" s="16"/>
      <c r="I249" s="16"/>
      <c r="J249" s="13"/>
      <c r="K249" s="13"/>
      <c r="L249" s="71" t="str">
        <f t="shared" si="55"/>
        <v/>
      </c>
      <c r="M249" s="29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15</v>
      </c>
      <c r="F250" s="12">
        <f t="shared" si="54"/>
        <v>60</v>
      </c>
      <c r="G250" s="10"/>
      <c r="H250" s="10"/>
      <c r="I250" s="10"/>
      <c r="J250" s="13"/>
      <c r="K250" s="13"/>
      <c r="L250" s="70" t="str">
        <f t="shared" si="55"/>
        <v/>
      </c>
      <c r="M250" s="29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13</v>
      </c>
      <c r="F251" s="17">
        <f t="shared" si="54"/>
        <v>52</v>
      </c>
      <c r="G251" s="16"/>
      <c r="H251" s="16"/>
      <c r="I251" s="16"/>
      <c r="J251" s="13"/>
      <c r="K251" s="13"/>
      <c r="L251" s="71" t="str">
        <f t="shared" si="55"/>
        <v/>
      </c>
      <c r="M251" s="29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29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29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0</v>
      </c>
      <c r="F254" s="12">
        <f t="shared" si="54"/>
        <v>0</v>
      </c>
      <c r="G254" s="10"/>
      <c r="H254" s="10"/>
      <c r="I254" s="10"/>
      <c r="J254" s="13"/>
      <c r="K254" s="13"/>
      <c r="L254" s="70" t="str">
        <f t="shared" si="55"/>
        <v/>
      </c>
      <c r="M254" s="29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0</v>
      </c>
      <c r="F255" s="17">
        <f t="shared" si="54"/>
        <v>0</v>
      </c>
      <c r="G255" s="16"/>
      <c r="H255" s="16"/>
      <c r="I255" s="16"/>
      <c r="J255" s="13"/>
      <c r="K255" s="13"/>
      <c r="L255" s="71" t="str">
        <f t="shared" si="55"/>
        <v/>
      </c>
      <c r="M255" s="29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0</v>
      </c>
      <c r="F256" s="12">
        <f t="shared" si="54"/>
        <v>0</v>
      </c>
      <c r="G256" s="10"/>
      <c r="H256" s="10"/>
      <c r="I256" s="10"/>
      <c r="J256" s="13"/>
      <c r="K256" s="13"/>
      <c r="L256" s="70" t="str">
        <f t="shared" si="55"/>
        <v/>
      </c>
      <c r="M256" s="29"/>
      <c r="N256" s="30"/>
    </row>
    <row r="257" spans="1:14" ht="15.75" customHeight="1">
      <c r="A257" s="105" t="s">
        <v>191</v>
      </c>
      <c r="B257" s="105"/>
      <c r="C257" s="105"/>
      <c r="D257" s="105"/>
      <c r="E257" s="19">
        <f>SUM(E245:E256)</f>
        <v>94</v>
      </c>
      <c r="F257" s="19">
        <f>SUM(F245:F256)</f>
        <v>376</v>
      </c>
      <c r="G257" s="18"/>
      <c r="H257" s="18"/>
      <c r="I257" s="18"/>
      <c r="J257" s="18"/>
      <c r="K257" s="18"/>
      <c r="L257" s="72">
        <f>IFERROR(SUM(L245:L256),"")</f>
        <v>7.152777777777819E-2</v>
      </c>
      <c r="M257" s="19" t="s">
        <v>192</v>
      </c>
      <c r="N257" s="20">
        <v>399590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2</v>
      </c>
      <c r="F258" s="12">
        <f t="shared" ref="F258:F269" si="57">IF(E258="","",E258*4)</f>
        <v>8</v>
      </c>
      <c r="G258" s="10" t="s">
        <v>20</v>
      </c>
      <c r="H258" s="10"/>
      <c r="I258" s="10" t="s">
        <v>126</v>
      </c>
      <c r="J258" s="13">
        <v>0.82986111111111116</v>
      </c>
      <c r="K258" s="13">
        <v>0.83680555555555558</v>
      </c>
      <c r="L258" s="70">
        <f t="shared" ref="L258:L269" si="58">IFERROR(IF(K258="","",IF(K258&gt;=J258,K258-J258,K258+1-J258)),"")</f>
        <v>6.9444444444444198E-3</v>
      </c>
      <c r="M258" s="11" t="s">
        <v>246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0</v>
      </c>
      <c r="F259" s="17">
        <f t="shared" si="57"/>
        <v>0</v>
      </c>
      <c r="G259" s="16" t="s">
        <v>18</v>
      </c>
      <c r="H259" s="16" t="s">
        <v>135</v>
      </c>
      <c r="I259" s="16" t="s">
        <v>79</v>
      </c>
      <c r="J259" s="13">
        <v>0.83680555555555558</v>
      </c>
      <c r="K259" s="13">
        <v>0.29166666666666669</v>
      </c>
      <c r="L259" s="71">
        <f t="shared" si="58"/>
        <v>0.45486111111111116</v>
      </c>
      <c r="M259" s="29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0</v>
      </c>
      <c r="F260" s="12">
        <f t="shared" si="57"/>
        <v>0</v>
      </c>
      <c r="G260" s="16"/>
      <c r="H260" s="10"/>
      <c r="I260" s="16"/>
      <c r="J260" s="13"/>
      <c r="K260" s="13"/>
      <c r="L260" s="70" t="str">
        <f t="shared" si="58"/>
        <v/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0</v>
      </c>
      <c r="F261" s="17">
        <f t="shared" si="57"/>
        <v>0</v>
      </c>
      <c r="G261" s="16"/>
      <c r="H261" s="16"/>
      <c r="I261" s="16"/>
      <c r="J261" s="13"/>
      <c r="K261" s="13"/>
      <c r="L261" s="71" t="str">
        <f t="shared" si="58"/>
        <v/>
      </c>
      <c r="M261" s="29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29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29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29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0</v>
      </c>
      <c r="F267" s="17">
        <f t="shared" si="57"/>
        <v>0</v>
      </c>
      <c r="G267" s="16"/>
      <c r="H267" s="16"/>
      <c r="I267" s="16"/>
      <c r="J267" s="13"/>
      <c r="K267" s="13"/>
      <c r="L267" s="71" t="str">
        <f t="shared" si="58"/>
        <v/>
      </c>
      <c r="M267" s="29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0</v>
      </c>
      <c r="F268" s="12">
        <f t="shared" si="57"/>
        <v>0</v>
      </c>
      <c r="G268" s="10"/>
      <c r="H268" s="10"/>
      <c r="I268" s="10"/>
      <c r="J268" s="13"/>
      <c r="K268" s="13"/>
      <c r="L268" s="70" t="str">
        <f t="shared" si="58"/>
        <v/>
      </c>
      <c r="M268" s="29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0</v>
      </c>
      <c r="F269" s="17">
        <f t="shared" si="57"/>
        <v>0</v>
      </c>
      <c r="G269" s="16"/>
      <c r="H269" s="16"/>
      <c r="I269" s="16"/>
      <c r="J269" s="13"/>
      <c r="K269" s="13"/>
      <c r="L269" s="71" t="str">
        <f t="shared" si="58"/>
        <v/>
      </c>
      <c r="M269" s="29"/>
      <c r="N269" s="30"/>
    </row>
    <row r="270" spans="1:14" ht="15.75" customHeight="1">
      <c r="A270" s="105" t="s">
        <v>193</v>
      </c>
      <c r="B270" s="105"/>
      <c r="C270" s="105"/>
      <c r="D270" s="105"/>
      <c r="E270" s="19">
        <f>SUM(E258:E269)</f>
        <v>2</v>
      </c>
      <c r="F270" s="19">
        <f>SUM(F258:F269)</f>
        <v>8</v>
      </c>
      <c r="G270" s="18"/>
      <c r="H270" s="18"/>
      <c r="I270" s="18"/>
      <c r="J270" s="18"/>
      <c r="K270" s="18"/>
      <c r="L270" s="72">
        <f>IFERROR(SUM(L258:L269),"")</f>
        <v>0.46180555555555558</v>
      </c>
      <c r="M270" s="19" t="s">
        <v>192</v>
      </c>
      <c r="N270" s="20">
        <v>8130</v>
      </c>
    </row>
    <row r="271" spans="1:14" ht="18" customHeight="1">
      <c r="A271" s="98" t="s">
        <v>194</v>
      </c>
      <c r="B271" s="98"/>
      <c r="C271" s="98"/>
      <c r="D271" s="98"/>
      <c r="E271" s="22">
        <f>E257+E270</f>
        <v>96</v>
      </c>
      <c r="F271" s="22">
        <f>F257+F270</f>
        <v>384</v>
      </c>
      <c r="G271" s="21"/>
      <c r="H271" s="21"/>
      <c r="I271" s="21"/>
      <c r="J271" s="21"/>
      <c r="K271" s="21"/>
      <c r="L271" s="73">
        <f>IFERROR(L257+L270,"")</f>
        <v>0.53333333333333377</v>
      </c>
      <c r="M271" s="22" t="s">
        <v>195</v>
      </c>
      <c r="N271" s="31">
        <f>IFERROR(N257+N270,"")</f>
        <v>407720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1</v>
      </c>
      <c r="F272" s="12">
        <f t="shared" ref="F272:F283" si="60">IF(E272="","",E272*4)</f>
        <v>4</v>
      </c>
      <c r="G272" s="10" t="s">
        <v>19</v>
      </c>
      <c r="H272" s="10" t="s">
        <v>141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29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135</v>
      </c>
      <c r="I273" s="16" t="s">
        <v>79</v>
      </c>
      <c r="J273" s="13">
        <v>0.375</v>
      </c>
      <c r="K273" s="13">
        <v>0.47916666666666669</v>
      </c>
      <c r="L273" s="71">
        <f t="shared" si="61"/>
        <v>0.10416666666666669</v>
      </c>
      <c r="M273" s="29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31</v>
      </c>
      <c r="I274" s="10" t="s">
        <v>50</v>
      </c>
      <c r="J274" s="13">
        <v>0.57222222222222219</v>
      </c>
      <c r="K274" s="13">
        <v>0.6118055555555556</v>
      </c>
      <c r="L274" s="70">
        <f t="shared" si="61"/>
        <v>3.9583333333333415E-2</v>
      </c>
      <c r="M274" s="29" t="s">
        <v>247</v>
      </c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/>
      <c r="H275" s="16"/>
      <c r="I275" s="16"/>
      <c r="J275" s="13"/>
      <c r="K275" s="13"/>
      <c r="L275" s="71" t="str">
        <f t="shared" si="61"/>
        <v/>
      </c>
      <c r="M275" s="29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5</v>
      </c>
      <c r="F276" s="12">
        <f t="shared" si="60"/>
        <v>20</v>
      </c>
      <c r="G276" s="10"/>
      <c r="H276" s="10"/>
      <c r="I276" s="10"/>
      <c r="J276" s="13"/>
      <c r="K276" s="13"/>
      <c r="L276" s="70" t="str">
        <f t="shared" si="61"/>
        <v/>
      </c>
      <c r="M276" s="29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15</v>
      </c>
      <c r="F277" s="17">
        <f t="shared" si="60"/>
        <v>60</v>
      </c>
      <c r="G277" s="16"/>
      <c r="H277" s="16"/>
      <c r="I277" s="16"/>
      <c r="J277" s="13"/>
      <c r="K277" s="13"/>
      <c r="L277" s="71" t="str">
        <f t="shared" si="61"/>
        <v/>
      </c>
      <c r="M277" s="29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11</v>
      </c>
      <c r="F278" s="12">
        <f t="shared" si="60"/>
        <v>44</v>
      </c>
      <c r="G278" s="10"/>
      <c r="H278" s="10"/>
      <c r="I278" s="10"/>
      <c r="J278" s="13"/>
      <c r="K278" s="13"/>
      <c r="L278" s="70" t="str">
        <f t="shared" si="61"/>
        <v/>
      </c>
      <c r="M278" s="29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30</v>
      </c>
      <c r="E279" s="11">
        <v>3</v>
      </c>
      <c r="F279" s="17">
        <f t="shared" si="60"/>
        <v>12</v>
      </c>
      <c r="G279" s="16"/>
      <c r="H279" s="16"/>
      <c r="I279" s="16"/>
      <c r="J279" s="13"/>
      <c r="K279" s="13"/>
      <c r="L279" s="71" t="str">
        <f t="shared" si="61"/>
        <v/>
      </c>
      <c r="M279" s="29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11</v>
      </c>
      <c r="F280" s="12">
        <f t="shared" si="60"/>
        <v>44</v>
      </c>
      <c r="G280" s="10"/>
      <c r="H280" s="10"/>
      <c r="I280" s="10"/>
      <c r="J280" s="13"/>
      <c r="K280" s="13"/>
      <c r="L280" s="70" t="str">
        <f t="shared" si="61"/>
        <v/>
      </c>
      <c r="M280" s="29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12</v>
      </c>
      <c r="F281" s="17">
        <f t="shared" si="60"/>
        <v>48</v>
      </c>
      <c r="G281" s="16"/>
      <c r="H281" s="16"/>
      <c r="I281" s="16"/>
      <c r="J281" s="13"/>
      <c r="K281" s="13"/>
      <c r="L281" s="71" t="str">
        <f t="shared" si="61"/>
        <v/>
      </c>
      <c r="M281" s="29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15</v>
      </c>
      <c r="F282" s="12">
        <f t="shared" si="60"/>
        <v>60</v>
      </c>
      <c r="G282" s="10"/>
      <c r="H282" s="10"/>
      <c r="I282" s="10"/>
      <c r="J282" s="13"/>
      <c r="K282" s="13"/>
      <c r="L282" s="70" t="str">
        <f t="shared" si="61"/>
        <v/>
      </c>
      <c r="M282" s="29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19</v>
      </c>
      <c r="F283" s="17">
        <f t="shared" si="60"/>
        <v>76</v>
      </c>
      <c r="G283" s="16"/>
      <c r="H283" s="16"/>
      <c r="I283" s="16"/>
      <c r="J283" s="13"/>
      <c r="K283" s="13"/>
      <c r="L283" s="71" t="str">
        <f t="shared" si="61"/>
        <v/>
      </c>
      <c r="M283" s="29"/>
      <c r="N283" s="30"/>
    </row>
    <row r="284" spans="1:14" ht="15.75" customHeight="1">
      <c r="A284" s="105" t="s">
        <v>191</v>
      </c>
      <c r="B284" s="105"/>
      <c r="C284" s="105"/>
      <c r="D284" s="105"/>
      <c r="E284" s="19">
        <f>SUM(E272:E283)</f>
        <v>92</v>
      </c>
      <c r="F284" s="19">
        <f>SUM(F272:F283)</f>
        <v>368</v>
      </c>
      <c r="G284" s="18"/>
      <c r="H284" s="18"/>
      <c r="I284" s="18"/>
      <c r="J284" s="18"/>
      <c r="K284" s="18"/>
      <c r="L284" s="72">
        <f>IFERROR(SUM(L272:L283),"")</f>
        <v>0.21319444444444458</v>
      </c>
      <c r="M284" s="19" t="s">
        <v>192</v>
      </c>
      <c r="N284" s="20">
        <v>329950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10</v>
      </c>
      <c r="F285" s="17">
        <f t="shared" ref="F285:F296" si="63">IF(E285="","",E285*4)</f>
        <v>40</v>
      </c>
      <c r="G285" s="16"/>
      <c r="H285" s="16"/>
      <c r="I285" s="16"/>
      <c r="J285" s="13"/>
      <c r="K285" s="13"/>
      <c r="L285" s="71" t="str">
        <f t="shared" ref="L285:L296" si="64">IFERROR(IF(K285="","",IF(K285&gt;=J285,K285-J285,K285+1-J285)),"")</f>
        <v/>
      </c>
      <c r="M285" s="29"/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15</v>
      </c>
      <c r="F286" s="12">
        <f t="shared" si="63"/>
        <v>60</v>
      </c>
      <c r="G286" s="10"/>
      <c r="H286" s="10"/>
      <c r="I286" s="10"/>
      <c r="J286" s="13"/>
      <c r="K286" s="13"/>
      <c r="L286" s="70" t="str">
        <f t="shared" si="64"/>
        <v/>
      </c>
      <c r="M286" s="29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5</v>
      </c>
      <c r="F287" s="17">
        <f t="shared" si="63"/>
        <v>20</v>
      </c>
      <c r="G287" s="16"/>
      <c r="H287" s="16"/>
      <c r="I287" s="16"/>
      <c r="J287" s="13"/>
      <c r="K287" s="13"/>
      <c r="L287" s="71" t="str">
        <f t="shared" si="64"/>
        <v/>
      </c>
      <c r="M287" s="29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15</v>
      </c>
      <c r="F288" s="12">
        <f t="shared" si="63"/>
        <v>60</v>
      </c>
      <c r="G288" s="10"/>
      <c r="H288" s="10"/>
      <c r="I288" s="10"/>
      <c r="J288" s="13"/>
      <c r="K288" s="13"/>
      <c r="L288" s="70" t="str">
        <f t="shared" si="64"/>
        <v/>
      </c>
      <c r="M288" s="29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10</v>
      </c>
      <c r="F289" s="17">
        <f t="shared" si="63"/>
        <v>40</v>
      </c>
      <c r="G289" s="16"/>
      <c r="H289" s="16"/>
      <c r="I289" s="16"/>
      <c r="J289" s="13"/>
      <c r="K289" s="13"/>
      <c r="L289" s="71" t="str">
        <f t="shared" si="64"/>
        <v/>
      </c>
      <c r="M289" s="29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0" t="str">
        <f t="shared" si="64"/>
        <v/>
      </c>
      <c r="M290" s="29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6</v>
      </c>
      <c r="F291" s="17">
        <f t="shared" si="63"/>
        <v>24</v>
      </c>
      <c r="G291" s="16"/>
      <c r="H291" s="16"/>
      <c r="I291" s="16"/>
      <c r="J291" s="13"/>
      <c r="K291" s="13"/>
      <c r="L291" s="71" t="str">
        <f t="shared" si="64"/>
        <v/>
      </c>
      <c r="M291" s="29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10</v>
      </c>
      <c r="F292" s="12">
        <f t="shared" si="63"/>
        <v>40</v>
      </c>
      <c r="G292" s="10"/>
      <c r="H292" s="10"/>
      <c r="I292" s="10"/>
      <c r="J292" s="13"/>
      <c r="K292" s="13"/>
      <c r="L292" s="70" t="str">
        <f t="shared" si="64"/>
        <v/>
      </c>
      <c r="M292" s="29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9</v>
      </c>
      <c r="F293" s="17">
        <f t="shared" si="63"/>
        <v>36</v>
      </c>
      <c r="G293" s="16"/>
      <c r="H293" s="16"/>
      <c r="I293" s="16"/>
      <c r="J293" s="13"/>
      <c r="K293" s="13"/>
      <c r="L293" s="71" t="str">
        <f t="shared" si="64"/>
        <v/>
      </c>
      <c r="M293" s="29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5</v>
      </c>
      <c r="F294" s="12">
        <f t="shared" si="63"/>
        <v>20</v>
      </c>
      <c r="G294" s="10"/>
      <c r="H294" s="10"/>
      <c r="I294" s="10"/>
      <c r="J294" s="13"/>
      <c r="K294" s="13"/>
      <c r="L294" s="70" t="str">
        <f t="shared" si="64"/>
        <v/>
      </c>
      <c r="M294" s="29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29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10</v>
      </c>
      <c r="F296" s="12">
        <f t="shared" si="63"/>
        <v>40</v>
      </c>
      <c r="G296" s="10"/>
      <c r="H296" s="10"/>
      <c r="I296" s="10"/>
      <c r="J296" s="13"/>
      <c r="K296" s="13"/>
      <c r="L296" s="70" t="str">
        <f t="shared" si="64"/>
        <v/>
      </c>
      <c r="M296" s="29"/>
      <c r="N296" s="30"/>
    </row>
    <row r="297" spans="1:14" ht="15.75" customHeight="1">
      <c r="A297" s="105" t="s">
        <v>193</v>
      </c>
      <c r="B297" s="105"/>
      <c r="C297" s="105"/>
      <c r="D297" s="105"/>
      <c r="E297" s="19">
        <f>SUM(E285:E296)</f>
        <v>100</v>
      </c>
      <c r="F297" s="19">
        <f>SUM(F285:F296)</f>
        <v>400</v>
      </c>
      <c r="G297" s="18"/>
      <c r="H297" s="18"/>
      <c r="I297" s="18"/>
      <c r="J297" s="18"/>
      <c r="K297" s="18"/>
      <c r="L297" s="72">
        <f>IFERROR(SUM(L285:L296),"")</f>
        <v>0</v>
      </c>
      <c r="M297" s="19" t="s">
        <v>192</v>
      </c>
      <c r="N297" s="20">
        <f>229280+228660</f>
        <v>457940</v>
      </c>
    </row>
    <row r="298" spans="1:14" ht="18" customHeight="1">
      <c r="A298" s="98" t="s">
        <v>194</v>
      </c>
      <c r="B298" s="98"/>
      <c r="C298" s="98"/>
      <c r="D298" s="98"/>
      <c r="E298" s="22">
        <f>E284+E297</f>
        <v>192</v>
      </c>
      <c r="F298" s="22">
        <f>F284+F297</f>
        <v>768</v>
      </c>
      <c r="G298" s="21"/>
      <c r="H298" s="21"/>
      <c r="I298" s="21"/>
      <c r="J298" s="21"/>
      <c r="K298" s="21"/>
      <c r="L298" s="73">
        <f>IFERROR(L284+L297,"")</f>
        <v>0.21319444444444458</v>
      </c>
      <c r="M298" s="22" t="s">
        <v>195</v>
      </c>
      <c r="N298" s="31">
        <f>IFERROR(N284+N297,"")</f>
        <v>787890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30</v>
      </c>
      <c r="E299" s="11">
        <v>0</v>
      </c>
      <c r="F299" s="17">
        <f t="shared" ref="F299:F310" si="66">IF(E299="","",E299*4)</f>
        <v>0</v>
      </c>
      <c r="G299" s="16" t="s">
        <v>19</v>
      </c>
      <c r="H299" s="16" t="s">
        <v>39</v>
      </c>
      <c r="I299" s="16" t="s">
        <v>27</v>
      </c>
      <c r="J299" s="13">
        <v>0.29166666666666669</v>
      </c>
      <c r="K299" s="13">
        <v>0.47916666666666669</v>
      </c>
      <c r="L299" s="71">
        <f t="shared" ref="L299:L310" si="67">IFERROR(IF(K299="","",IF(K299&gt;=J299,K299-J299,K299+1-J299)),"")</f>
        <v>0.1875</v>
      </c>
      <c r="M299" s="29" t="s">
        <v>248</v>
      </c>
      <c r="N299" s="30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16" t="s">
        <v>30</v>
      </c>
      <c r="E300" s="11">
        <v>0</v>
      </c>
      <c r="F300" s="12">
        <f t="shared" si="66"/>
        <v>0</v>
      </c>
      <c r="G300" s="10" t="s">
        <v>19</v>
      </c>
      <c r="H300" s="10" t="s">
        <v>39</v>
      </c>
      <c r="I300" s="10" t="s">
        <v>35</v>
      </c>
      <c r="J300" s="13">
        <v>0.48472222222222222</v>
      </c>
      <c r="K300" s="13">
        <v>0.51041666666666663</v>
      </c>
      <c r="L300" s="70">
        <f t="shared" si="67"/>
        <v>2.5694444444444409E-2</v>
      </c>
      <c r="M300" s="29" t="s">
        <v>249</v>
      </c>
      <c r="N300" s="30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16" t="s">
        <v>30</v>
      </c>
      <c r="E301" s="11">
        <v>0</v>
      </c>
      <c r="F301" s="17">
        <f t="shared" si="66"/>
        <v>0</v>
      </c>
      <c r="G301" s="16" t="s">
        <v>19</v>
      </c>
      <c r="H301" s="16" t="s">
        <v>31</v>
      </c>
      <c r="I301" s="16" t="s">
        <v>27</v>
      </c>
      <c r="J301" s="13">
        <v>0.59722222222222221</v>
      </c>
      <c r="K301" s="13">
        <v>0.625</v>
      </c>
      <c r="L301" s="71">
        <f t="shared" si="67"/>
        <v>2.777777777777779E-2</v>
      </c>
      <c r="M301" s="29" t="s">
        <v>249</v>
      </c>
      <c r="N301" s="30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16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29" t="s">
        <v>250</v>
      </c>
      <c r="N302" s="30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16" t="s">
        <v>30</v>
      </c>
      <c r="E303" s="11">
        <v>0</v>
      </c>
      <c r="F303" s="17">
        <f t="shared" si="66"/>
        <v>0</v>
      </c>
      <c r="G303" s="16"/>
      <c r="H303" s="16"/>
      <c r="I303" s="16"/>
      <c r="J303" s="13"/>
      <c r="K303" s="13"/>
      <c r="L303" s="71" t="str">
        <f t="shared" si="67"/>
        <v/>
      </c>
      <c r="M303" s="29"/>
      <c r="N303" s="30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16" t="s">
        <v>30</v>
      </c>
      <c r="E304" s="11">
        <v>7</v>
      </c>
      <c r="F304" s="12">
        <f t="shared" si="66"/>
        <v>28</v>
      </c>
      <c r="G304" s="10"/>
      <c r="H304" s="10"/>
      <c r="I304" s="10"/>
      <c r="J304" s="13"/>
      <c r="K304" s="13"/>
      <c r="L304" s="70" t="str">
        <f t="shared" si="67"/>
        <v/>
      </c>
      <c r="M304" s="29"/>
      <c r="N304" s="30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16" t="s">
        <v>30</v>
      </c>
      <c r="E305" s="11">
        <v>15</v>
      </c>
      <c r="F305" s="17">
        <f t="shared" si="66"/>
        <v>60</v>
      </c>
      <c r="G305" s="16"/>
      <c r="H305" s="16"/>
      <c r="I305" s="16"/>
      <c r="J305" s="13"/>
      <c r="K305" s="13"/>
      <c r="L305" s="71" t="str">
        <f t="shared" si="67"/>
        <v/>
      </c>
      <c r="M305" s="29"/>
      <c r="N305" s="30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16" t="s">
        <v>30</v>
      </c>
      <c r="E306" s="11">
        <v>3</v>
      </c>
      <c r="F306" s="12">
        <f t="shared" si="66"/>
        <v>12</v>
      </c>
      <c r="G306" s="10"/>
      <c r="H306" s="10"/>
      <c r="I306" s="10"/>
      <c r="J306" s="13"/>
      <c r="K306" s="13"/>
      <c r="L306" s="70" t="str">
        <f t="shared" si="67"/>
        <v/>
      </c>
      <c r="M306" s="29"/>
      <c r="N306" s="30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16" t="s">
        <v>30</v>
      </c>
      <c r="E307" s="11">
        <v>9</v>
      </c>
      <c r="F307" s="17">
        <f t="shared" si="66"/>
        <v>36</v>
      </c>
      <c r="G307" s="16"/>
      <c r="H307" s="16"/>
      <c r="I307" s="16"/>
      <c r="J307" s="13"/>
      <c r="K307" s="13"/>
      <c r="L307" s="71" t="str">
        <f t="shared" si="67"/>
        <v/>
      </c>
      <c r="M307" s="29"/>
      <c r="N307" s="30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16" t="s">
        <v>30</v>
      </c>
      <c r="E308" s="11">
        <v>10</v>
      </c>
      <c r="F308" s="12">
        <f t="shared" si="66"/>
        <v>40</v>
      </c>
      <c r="G308" s="10"/>
      <c r="H308" s="10"/>
      <c r="I308" s="10"/>
      <c r="J308" s="13"/>
      <c r="K308" s="13"/>
      <c r="L308" s="70" t="str">
        <f t="shared" si="67"/>
        <v/>
      </c>
      <c r="M308" s="29"/>
      <c r="N308" s="30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16" t="s">
        <v>30</v>
      </c>
      <c r="E309" s="11">
        <v>10</v>
      </c>
      <c r="F309" s="17">
        <f t="shared" si="66"/>
        <v>40</v>
      </c>
      <c r="G309" s="16"/>
      <c r="H309" s="16"/>
      <c r="I309" s="16"/>
      <c r="J309" s="13"/>
      <c r="K309" s="13"/>
      <c r="L309" s="71" t="str">
        <f t="shared" si="67"/>
        <v/>
      </c>
      <c r="M309" s="29"/>
      <c r="N309" s="30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16" t="s">
        <v>30</v>
      </c>
      <c r="E310" s="11"/>
      <c r="F310" s="12" t="str">
        <f t="shared" si="66"/>
        <v/>
      </c>
      <c r="G310" s="10"/>
      <c r="H310" s="10"/>
      <c r="I310" s="10"/>
      <c r="J310" s="13"/>
      <c r="K310" s="13"/>
      <c r="L310" s="70" t="str">
        <f t="shared" si="67"/>
        <v/>
      </c>
      <c r="M310" s="29"/>
      <c r="N310" s="30"/>
    </row>
    <row r="311" spans="1:14" ht="15.75" customHeight="1">
      <c r="A311" s="105" t="s">
        <v>191</v>
      </c>
      <c r="B311" s="105"/>
      <c r="C311" s="105"/>
      <c r="D311" s="105"/>
      <c r="E311" s="19">
        <f>SUM(E299:E310)</f>
        <v>64</v>
      </c>
      <c r="F311" s="19">
        <f>SUM(F299:F310)</f>
        <v>256</v>
      </c>
      <c r="G311" s="18"/>
      <c r="H311" s="18"/>
      <c r="I311" s="18"/>
      <c r="J311" s="18"/>
      <c r="K311" s="18"/>
      <c r="L311" s="72">
        <f>IFERROR(SUM(L299:L310),"")</f>
        <v>0.2409722222222222</v>
      </c>
      <c r="M311" s="19" t="s">
        <v>192</v>
      </c>
      <c r="N311" s="20">
        <v>340420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29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5</v>
      </c>
      <c r="F313" s="17">
        <f t="shared" si="69"/>
        <v>20</v>
      </c>
      <c r="G313" s="16"/>
      <c r="H313" s="16"/>
      <c r="I313" s="16"/>
      <c r="J313" s="13"/>
      <c r="K313" s="13"/>
      <c r="L313" s="71" t="str">
        <f t="shared" si="70"/>
        <v/>
      </c>
      <c r="M313" s="29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6</v>
      </c>
      <c r="F314" s="12">
        <f t="shared" si="69"/>
        <v>24</v>
      </c>
      <c r="G314" s="10"/>
      <c r="H314" s="10"/>
      <c r="I314" s="10"/>
      <c r="J314" s="13"/>
      <c r="K314" s="13"/>
      <c r="L314" s="70" t="str">
        <f t="shared" si="70"/>
        <v/>
      </c>
      <c r="M314" s="29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8</v>
      </c>
      <c r="F315" s="17">
        <f t="shared" si="69"/>
        <v>32</v>
      </c>
      <c r="G315" s="16"/>
      <c r="H315" s="16"/>
      <c r="I315" s="16"/>
      <c r="J315" s="13"/>
      <c r="K315" s="13"/>
      <c r="L315" s="71" t="str">
        <f t="shared" si="70"/>
        <v/>
      </c>
      <c r="M315" s="29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29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10</v>
      </c>
      <c r="F317" s="17">
        <f t="shared" si="69"/>
        <v>40</v>
      </c>
      <c r="G317" s="16"/>
      <c r="H317" s="16"/>
      <c r="I317" s="16"/>
      <c r="J317" s="13"/>
      <c r="K317" s="13"/>
      <c r="L317" s="71" t="str">
        <f t="shared" si="70"/>
        <v/>
      </c>
      <c r="M317" s="29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29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12</v>
      </c>
      <c r="F319" s="17">
        <f t="shared" si="69"/>
        <v>48</v>
      </c>
      <c r="G319" s="16" t="s">
        <v>19</v>
      </c>
      <c r="H319" s="16" t="s">
        <v>39</v>
      </c>
      <c r="I319" s="16" t="s">
        <v>27</v>
      </c>
      <c r="J319" s="13">
        <v>0.14722222222222223</v>
      </c>
      <c r="K319" s="13">
        <v>0.17847222222222223</v>
      </c>
      <c r="L319" s="71">
        <f t="shared" si="70"/>
        <v>3.125E-2</v>
      </c>
      <c r="M319" s="29" t="s">
        <v>251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32</v>
      </c>
      <c r="F320" s="12">
        <f t="shared" si="69"/>
        <v>128</v>
      </c>
      <c r="G320" s="10" t="s">
        <v>16</v>
      </c>
      <c r="H320" s="10" t="s">
        <v>39</v>
      </c>
      <c r="I320" s="10" t="s">
        <v>48</v>
      </c>
      <c r="J320" s="13">
        <v>0.19166666666666668</v>
      </c>
      <c r="K320" s="13">
        <v>0.2048611111111111</v>
      </c>
      <c r="L320" s="70">
        <f t="shared" si="70"/>
        <v>1.3194444444444425E-2</v>
      </c>
      <c r="M320" s="29" t="s">
        <v>252</v>
      </c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147</v>
      </c>
      <c r="I321" s="16" t="s">
        <v>114</v>
      </c>
      <c r="J321" s="13">
        <v>0.20972222222222223</v>
      </c>
      <c r="K321" s="13">
        <v>0.22013888888888888</v>
      </c>
      <c r="L321" s="71">
        <f t="shared" si="70"/>
        <v>1.0416666666666657E-2</v>
      </c>
      <c r="M321" s="29" t="s">
        <v>253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18</v>
      </c>
      <c r="F322" s="12">
        <f t="shared" si="69"/>
        <v>72</v>
      </c>
      <c r="G322" s="10" t="s">
        <v>20</v>
      </c>
      <c r="H322" s="10" t="s">
        <v>47</v>
      </c>
      <c r="I322" s="10" t="s">
        <v>56</v>
      </c>
      <c r="J322" s="13">
        <v>0.25416666666666665</v>
      </c>
      <c r="K322" s="13">
        <v>0.26527777777777778</v>
      </c>
      <c r="L322" s="70">
        <f t="shared" si="70"/>
        <v>1.1111111111111127E-2</v>
      </c>
      <c r="M322" s="29" t="s">
        <v>254</v>
      </c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29"/>
      <c r="N323" s="30"/>
    </row>
    <row r="324" spans="1:14" ht="15.75" customHeight="1">
      <c r="A324" s="105" t="s">
        <v>193</v>
      </c>
      <c r="B324" s="105"/>
      <c r="C324" s="105"/>
      <c r="D324" s="105"/>
      <c r="E324" s="19">
        <f>SUM(E312:E323)</f>
        <v>123</v>
      </c>
      <c r="F324" s="19">
        <f>SUM(F312:F323)</f>
        <v>492</v>
      </c>
      <c r="G324" s="18"/>
      <c r="H324" s="18"/>
      <c r="I324" s="18"/>
      <c r="J324" s="18"/>
      <c r="K324" s="18"/>
      <c r="L324" s="72">
        <f>IFERROR(SUM(L312:L323),"")</f>
        <v>6.597222222222221E-2</v>
      </c>
      <c r="M324" s="19" t="s">
        <v>192</v>
      </c>
      <c r="N324" s="20">
        <f>217310+197670</f>
        <v>414980</v>
      </c>
    </row>
    <row r="325" spans="1:14" ht="18" customHeight="1">
      <c r="A325" s="98" t="s">
        <v>194</v>
      </c>
      <c r="B325" s="98"/>
      <c r="C325" s="98"/>
      <c r="D325" s="98"/>
      <c r="E325" s="22">
        <f>E311+E324</f>
        <v>187</v>
      </c>
      <c r="F325" s="22">
        <f>F311+F324</f>
        <v>748</v>
      </c>
      <c r="G325" s="21"/>
      <c r="H325" s="21"/>
      <c r="I325" s="21"/>
      <c r="J325" s="21"/>
      <c r="K325" s="21"/>
      <c r="L325" s="73">
        <f>IFERROR(L311+L324,"")</f>
        <v>0.30694444444444441</v>
      </c>
      <c r="M325" s="22" t="s">
        <v>195</v>
      </c>
      <c r="N325" s="31">
        <f>IFERROR(N311+N324,"")</f>
        <v>755400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31</v>
      </c>
      <c r="I326" s="10" t="s">
        <v>27</v>
      </c>
      <c r="J326" s="13">
        <v>0.39583333333333331</v>
      </c>
      <c r="K326" s="13">
        <v>0.45277777777777778</v>
      </c>
      <c r="L326" s="70">
        <f t="shared" ref="L326:L337" si="73">IFERROR(IF(K326="","",IF(K326&gt;=J326,K326-J326,K326+1-J326)),"")</f>
        <v>5.6944444444444464E-2</v>
      </c>
      <c r="M326" s="29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12</v>
      </c>
      <c r="F327" s="17">
        <f t="shared" si="72"/>
        <v>48</v>
      </c>
      <c r="G327" s="16" t="s">
        <v>18</v>
      </c>
      <c r="H327" s="16" t="s">
        <v>112</v>
      </c>
      <c r="I327" s="16" t="s">
        <v>126</v>
      </c>
      <c r="J327" s="13">
        <v>0.5</v>
      </c>
      <c r="K327" s="13">
        <v>0.53125</v>
      </c>
      <c r="L327" s="71">
        <f t="shared" si="73"/>
        <v>3.125E-2</v>
      </c>
      <c r="M327" s="29" t="s">
        <v>255</v>
      </c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13</v>
      </c>
      <c r="F328" s="12">
        <f t="shared" si="72"/>
        <v>52</v>
      </c>
      <c r="G328" s="10" t="s">
        <v>17</v>
      </c>
      <c r="H328" s="10" t="s">
        <v>112</v>
      </c>
      <c r="I328" s="10" t="s">
        <v>41</v>
      </c>
      <c r="J328" s="13">
        <v>0.60138888888888886</v>
      </c>
      <c r="K328" s="13">
        <v>0.62083333333333335</v>
      </c>
      <c r="L328" s="70">
        <f t="shared" si="73"/>
        <v>1.9444444444444486E-2</v>
      </c>
      <c r="M328" s="29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0</v>
      </c>
      <c r="F329" s="17">
        <f t="shared" si="72"/>
        <v>0</v>
      </c>
      <c r="G329" s="16" t="s">
        <v>19</v>
      </c>
      <c r="H329" s="16" t="s">
        <v>39</v>
      </c>
      <c r="I329" s="16" t="s">
        <v>27</v>
      </c>
      <c r="J329" s="13">
        <v>0.64583333333333337</v>
      </c>
      <c r="K329" s="13">
        <v>0.6791666666666667</v>
      </c>
      <c r="L329" s="71">
        <f t="shared" si="73"/>
        <v>3.3333333333333326E-2</v>
      </c>
      <c r="M329" s="29" t="s">
        <v>256</v>
      </c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4</v>
      </c>
      <c r="F330" s="12">
        <f t="shared" si="72"/>
        <v>16</v>
      </c>
      <c r="G330" s="10" t="s">
        <v>17</v>
      </c>
      <c r="H330" s="10" t="s">
        <v>112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29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17</v>
      </c>
      <c r="F331" s="17">
        <f t="shared" si="72"/>
        <v>68</v>
      </c>
      <c r="G331" s="16"/>
      <c r="H331" s="16"/>
      <c r="I331" s="16"/>
      <c r="J331" s="13"/>
      <c r="K331" s="13"/>
      <c r="L331" s="71" t="str">
        <f t="shared" si="73"/>
        <v/>
      </c>
      <c r="M331" s="29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16</v>
      </c>
      <c r="F332" s="12">
        <f t="shared" si="72"/>
        <v>64</v>
      </c>
      <c r="G332" s="10"/>
      <c r="H332" s="10"/>
      <c r="I332" s="10"/>
      <c r="J332" s="13"/>
      <c r="K332" s="13"/>
      <c r="L332" s="70" t="str">
        <f t="shared" si="73"/>
        <v/>
      </c>
      <c r="M332" s="29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6</v>
      </c>
      <c r="F333" s="17">
        <f t="shared" si="72"/>
        <v>24</v>
      </c>
      <c r="G333" s="16"/>
      <c r="H333" s="16"/>
      <c r="I333" s="16"/>
      <c r="J333" s="13"/>
      <c r="K333" s="13"/>
      <c r="L333" s="71" t="str">
        <f t="shared" si="73"/>
        <v/>
      </c>
      <c r="M333" s="29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11</v>
      </c>
      <c r="F334" s="12">
        <f t="shared" si="72"/>
        <v>44</v>
      </c>
      <c r="G334" s="10"/>
      <c r="H334" s="10"/>
      <c r="I334" s="10"/>
      <c r="J334" s="13"/>
      <c r="K334" s="13"/>
      <c r="L334" s="70" t="str">
        <f t="shared" si="73"/>
        <v/>
      </c>
      <c r="M334" s="29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10</v>
      </c>
      <c r="F335" s="17">
        <f t="shared" si="72"/>
        <v>40</v>
      </c>
      <c r="G335" s="16"/>
      <c r="H335" s="16"/>
      <c r="I335" s="16"/>
      <c r="J335" s="13"/>
      <c r="K335" s="13"/>
      <c r="L335" s="71" t="str">
        <f t="shared" si="73"/>
        <v/>
      </c>
      <c r="M335" s="29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8</v>
      </c>
      <c r="F336" s="12">
        <f t="shared" si="72"/>
        <v>32</v>
      </c>
      <c r="G336" s="10"/>
      <c r="H336" s="10"/>
      <c r="I336" s="10"/>
      <c r="J336" s="13"/>
      <c r="K336" s="13"/>
      <c r="L336" s="70" t="str">
        <f t="shared" si="73"/>
        <v/>
      </c>
      <c r="M336" s="29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29"/>
      <c r="N337" s="30"/>
    </row>
    <row r="338" spans="1:14" ht="15.75" customHeight="1">
      <c r="A338" s="105" t="s">
        <v>191</v>
      </c>
      <c r="B338" s="105"/>
      <c r="C338" s="105"/>
      <c r="D338" s="105"/>
      <c r="E338" s="19">
        <f>SUM(E326:E337)</f>
        <v>116</v>
      </c>
      <c r="F338" s="19">
        <f>SUM(F326:F337)</f>
        <v>464</v>
      </c>
      <c r="G338" s="18"/>
      <c r="H338" s="18"/>
      <c r="I338" s="18"/>
      <c r="J338" s="18"/>
      <c r="K338" s="18"/>
      <c r="L338" s="72">
        <f>IFERROR(SUM(L326:L337),"")</f>
        <v>0.14097222222222228</v>
      </c>
      <c r="M338" s="19" t="s">
        <v>192</v>
      </c>
      <c r="N338" s="20">
        <f>39870+453420</f>
        <v>493290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 t="s">
        <v>147</v>
      </c>
      <c r="I339" s="16" t="s">
        <v>114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29" t="s">
        <v>257</v>
      </c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23</v>
      </c>
      <c r="F340" s="12">
        <f t="shared" si="75"/>
        <v>92</v>
      </c>
      <c r="G340" s="10" t="s">
        <v>20</v>
      </c>
      <c r="H340" s="10" t="s">
        <v>151</v>
      </c>
      <c r="I340" s="10" t="s">
        <v>111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29" t="s">
        <v>258</v>
      </c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12</v>
      </c>
      <c r="F341" s="17">
        <f t="shared" si="75"/>
        <v>48</v>
      </c>
      <c r="G341" s="16"/>
      <c r="H341" s="16"/>
      <c r="I341" s="16"/>
      <c r="J341" s="13"/>
      <c r="K341" s="13"/>
      <c r="L341" s="71" t="str">
        <f t="shared" si="76"/>
        <v/>
      </c>
      <c r="M341" s="29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11</v>
      </c>
      <c r="F342" s="12">
        <f t="shared" si="75"/>
        <v>44</v>
      </c>
      <c r="G342" s="10"/>
      <c r="H342" s="10"/>
      <c r="I342" s="10"/>
      <c r="J342" s="13"/>
      <c r="K342" s="13"/>
      <c r="L342" s="70" t="str">
        <f t="shared" si="76"/>
        <v/>
      </c>
      <c r="M342" s="29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10</v>
      </c>
      <c r="F343" s="17">
        <f t="shared" si="75"/>
        <v>40</v>
      </c>
      <c r="G343" s="16"/>
      <c r="H343" s="16"/>
      <c r="I343" s="16"/>
      <c r="J343" s="13"/>
      <c r="K343" s="13"/>
      <c r="L343" s="71" t="str">
        <f t="shared" si="76"/>
        <v/>
      </c>
      <c r="M343" s="29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6" t="s">
        <v>22</v>
      </c>
      <c r="E344" s="11">
        <v>15</v>
      </c>
      <c r="F344" s="12">
        <f t="shared" si="75"/>
        <v>60</v>
      </c>
      <c r="G344" s="10"/>
      <c r="H344" s="10"/>
      <c r="I344" s="10"/>
      <c r="J344" s="13"/>
      <c r="K344" s="13"/>
      <c r="L344" s="70" t="str">
        <f t="shared" si="76"/>
        <v/>
      </c>
      <c r="M344" s="29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6" t="s">
        <v>38</v>
      </c>
      <c r="E345" s="11">
        <v>7</v>
      </c>
      <c r="F345" s="17">
        <f t="shared" si="75"/>
        <v>28</v>
      </c>
      <c r="G345" s="16"/>
      <c r="H345" s="16"/>
      <c r="I345" s="16"/>
      <c r="J345" s="13"/>
      <c r="K345" s="13"/>
      <c r="L345" s="71" t="str">
        <f t="shared" si="76"/>
        <v/>
      </c>
      <c r="M345" s="29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6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29"/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6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29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6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29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6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29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6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29"/>
      <c r="N350" s="30"/>
    </row>
    <row r="351" spans="1:14" ht="15.75" customHeight="1">
      <c r="A351" s="105" t="s">
        <v>193</v>
      </c>
      <c r="B351" s="105"/>
      <c r="C351" s="105"/>
      <c r="D351" s="105"/>
      <c r="E351" s="19">
        <f>SUM(E339:E350)</f>
        <v>78</v>
      </c>
      <c r="F351" s="19">
        <f>SUM(F339:F350)</f>
        <v>312</v>
      </c>
      <c r="G351" s="18"/>
      <c r="H351" s="18"/>
      <c r="I351" s="18"/>
      <c r="J351" s="18"/>
      <c r="K351" s="18"/>
      <c r="L351" s="72">
        <f>IFERROR(SUM(L339:L350),"")</f>
        <v>0.25000000000000011</v>
      </c>
      <c r="M351" s="19" t="s">
        <v>192</v>
      </c>
      <c r="N351" s="20">
        <f>135270+304860</f>
        <v>440130</v>
      </c>
    </row>
    <row r="352" spans="1:14" ht="18" customHeight="1">
      <c r="A352" s="98" t="s">
        <v>194</v>
      </c>
      <c r="B352" s="98"/>
      <c r="C352" s="98"/>
      <c r="D352" s="98"/>
      <c r="E352" s="22">
        <f>E338+E351</f>
        <v>194</v>
      </c>
      <c r="F352" s="22">
        <f>F338+F351</f>
        <v>776</v>
      </c>
      <c r="G352" s="21"/>
      <c r="H352" s="21"/>
      <c r="I352" s="21"/>
      <c r="J352" s="21"/>
      <c r="K352" s="21"/>
      <c r="L352" s="73">
        <f>IFERROR(L338+L351,"")</f>
        <v>0.39097222222222239</v>
      </c>
      <c r="M352" s="22" t="s">
        <v>195</v>
      </c>
      <c r="N352" s="31">
        <f>IFERROR(N338+N351,"")</f>
        <v>933420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38</v>
      </c>
      <c r="E353" s="11">
        <v>7</v>
      </c>
      <c r="F353" s="17">
        <f t="shared" ref="F353:F364" si="78">IF(E353="","",E353*4)</f>
        <v>28</v>
      </c>
      <c r="G353" s="16" t="s">
        <v>19</v>
      </c>
      <c r="H353" s="16" t="s">
        <v>39</v>
      </c>
      <c r="I353" s="16" t="s">
        <v>35</v>
      </c>
      <c r="J353" s="13">
        <v>0.40138888888888891</v>
      </c>
      <c r="K353" s="13">
        <v>0.43402777777777779</v>
      </c>
      <c r="L353" s="71">
        <f t="shared" ref="L353:L364" si="79">IFERROR(IF(K353="","",IF(K353&gt;=J353,K353-J353,K353+1-J353)),"")</f>
        <v>3.2638888888888884E-2</v>
      </c>
      <c r="M353" s="29" t="s">
        <v>259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38</v>
      </c>
      <c r="E354" s="11">
        <v>6</v>
      </c>
      <c r="F354" s="12">
        <f t="shared" si="78"/>
        <v>24</v>
      </c>
      <c r="G354" s="16" t="s">
        <v>19</v>
      </c>
      <c r="H354" s="16" t="s">
        <v>31</v>
      </c>
      <c r="I354" s="16" t="s">
        <v>27</v>
      </c>
      <c r="J354" s="13">
        <v>0.68402777777777779</v>
      </c>
      <c r="K354" s="13">
        <v>0.71875</v>
      </c>
      <c r="L354" s="70">
        <f t="shared" si="79"/>
        <v>3.472222222222221E-2</v>
      </c>
      <c r="M354" s="29" t="s">
        <v>260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38</v>
      </c>
      <c r="E355" s="11">
        <v>3</v>
      </c>
      <c r="F355" s="17">
        <f t="shared" si="78"/>
        <v>12</v>
      </c>
      <c r="G355" s="16" t="s">
        <v>19</v>
      </c>
      <c r="H355" s="16" t="s">
        <v>39</v>
      </c>
      <c r="I355" s="16" t="s">
        <v>27</v>
      </c>
      <c r="J355" s="13">
        <v>0.68402777777777779</v>
      </c>
      <c r="K355" s="13">
        <v>0.71875</v>
      </c>
      <c r="L355" s="71">
        <f t="shared" si="79"/>
        <v>3.472222222222221E-2</v>
      </c>
      <c r="M355" s="29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38</v>
      </c>
      <c r="E356" s="11">
        <v>0</v>
      </c>
      <c r="F356" s="12">
        <f t="shared" si="78"/>
        <v>0</v>
      </c>
      <c r="G356" s="10" t="s">
        <v>20</v>
      </c>
      <c r="H356" s="10" t="s">
        <v>147</v>
      </c>
      <c r="I356" s="10" t="s">
        <v>114</v>
      </c>
      <c r="J356" s="13"/>
      <c r="K356" s="13"/>
      <c r="L356" s="70" t="str">
        <f t="shared" si="79"/>
        <v/>
      </c>
      <c r="M356" s="29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38</v>
      </c>
      <c r="E357" s="11">
        <v>6</v>
      </c>
      <c r="F357" s="17">
        <f t="shared" si="78"/>
        <v>24</v>
      </c>
      <c r="G357" s="16"/>
      <c r="H357" s="16"/>
      <c r="I357" s="16"/>
      <c r="J357" s="13"/>
      <c r="K357" s="13"/>
      <c r="L357" s="71" t="str">
        <f t="shared" si="79"/>
        <v/>
      </c>
      <c r="M357" s="29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38</v>
      </c>
      <c r="E358" s="11">
        <v>6</v>
      </c>
      <c r="F358" s="12">
        <f t="shared" si="78"/>
        <v>24</v>
      </c>
      <c r="G358" s="16"/>
      <c r="H358" s="16"/>
      <c r="I358" s="16"/>
      <c r="J358" s="13"/>
      <c r="K358" s="13"/>
      <c r="L358" s="70" t="str">
        <f t="shared" si="79"/>
        <v/>
      </c>
      <c r="M358" s="29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38</v>
      </c>
      <c r="E359" s="11">
        <v>5</v>
      </c>
      <c r="F359" s="17">
        <f t="shared" si="78"/>
        <v>20</v>
      </c>
      <c r="G359" s="16"/>
      <c r="H359" s="16"/>
      <c r="I359" s="16"/>
      <c r="J359" s="13"/>
      <c r="K359" s="13"/>
      <c r="L359" s="71" t="str">
        <f t="shared" si="79"/>
        <v/>
      </c>
      <c r="M359" s="29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38</v>
      </c>
      <c r="E360" s="11">
        <v>7</v>
      </c>
      <c r="F360" s="12">
        <f t="shared" si="78"/>
        <v>28</v>
      </c>
      <c r="G360" s="16"/>
      <c r="H360" s="16"/>
      <c r="I360" s="16"/>
      <c r="J360" s="13"/>
      <c r="K360" s="13"/>
      <c r="L360" s="70" t="str">
        <f t="shared" si="79"/>
        <v/>
      </c>
      <c r="M360" s="29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 t="s">
        <v>261</v>
      </c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13</v>
      </c>
      <c r="F362" s="12">
        <f t="shared" si="78"/>
        <v>52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12</v>
      </c>
      <c r="F363" s="17">
        <f t="shared" si="78"/>
        <v>48</v>
      </c>
      <c r="G363" s="16"/>
      <c r="H363" s="16"/>
      <c r="I363" s="16"/>
      <c r="J363" s="13"/>
      <c r="K363" s="13"/>
      <c r="L363" s="71" t="str">
        <f t="shared" si="79"/>
        <v/>
      </c>
      <c r="M363" s="29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4</v>
      </c>
      <c r="F364" s="12">
        <f t="shared" si="78"/>
        <v>16</v>
      </c>
      <c r="G364" s="10"/>
      <c r="H364" s="10"/>
      <c r="I364" s="10"/>
      <c r="J364" s="13"/>
      <c r="K364" s="13"/>
      <c r="L364" s="70" t="str">
        <f t="shared" si="79"/>
        <v/>
      </c>
      <c r="M364" s="29"/>
      <c r="N364" s="30"/>
    </row>
    <row r="365" spans="1:14" ht="15.75" customHeight="1">
      <c r="A365" s="105" t="s">
        <v>191</v>
      </c>
      <c r="B365" s="105"/>
      <c r="C365" s="105"/>
      <c r="D365" s="105"/>
      <c r="E365" s="19">
        <f>SUM(E353:E364)</f>
        <v>72</v>
      </c>
      <c r="F365" s="19">
        <f>SUM(F353:F364)</f>
        <v>288</v>
      </c>
      <c r="G365" s="18"/>
      <c r="H365" s="18"/>
      <c r="I365" s="18"/>
      <c r="J365" s="18"/>
      <c r="K365" s="18"/>
      <c r="L365" s="72">
        <f>IFERROR(SUM(L353:L364),"")</f>
        <v>0.1020833333333333</v>
      </c>
      <c r="M365" s="19" t="s">
        <v>192</v>
      </c>
      <c r="N365" s="20">
        <f>264260+141380</f>
        <v>405640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7</v>
      </c>
      <c r="F366" s="12">
        <f t="shared" ref="F366:F377" si="81">IF(E366="","",E366*4)</f>
        <v>28</v>
      </c>
      <c r="G366" s="10" t="s">
        <v>20</v>
      </c>
      <c r="H366" s="10" t="s">
        <v>31</v>
      </c>
      <c r="I366" s="10" t="s">
        <v>62</v>
      </c>
      <c r="J366" s="13">
        <v>0.92361111111111116</v>
      </c>
      <c r="K366" s="13">
        <v>0.9375</v>
      </c>
      <c r="L366" s="70">
        <f t="shared" ref="L366:L377" si="82">IFERROR(IF(K366="","",IF(K366&gt;=J366,K366-J366,K366+1-J366)),"")</f>
        <v>1.388888888888884E-2</v>
      </c>
      <c r="M366" s="29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20</v>
      </c>
      <c r="F367" s="17">
        <f t="shared" si="81"/>
        <v>80</v>
      </c>
      <c r="G367" s="16" t="s">
        <v>16</v>
      </c>
      <c r="H367" s="16" t="s">
        <v>31</v>
      </c>
      <c r="I367" s="16" t="s">
        <v>48</v>
      </c>
      <c r="J367" s="13">
        <v>0.9375</v>
      </c>
      <c r="K367" s="13">
        <v>0.94791666666666663</v>
      </c>
      <c r="L367" s="71">
        <f t="shared" si="82"/>
        <v>1.041666666666663E-2</v>
      </c>
      <c r="M367" s="29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7</v>
      </c>
      <c r="F368" s="12">
        <f t="shared" si="81"/>
        <v>28</v>
      </c>
      <c r="G368" s="10" t="s">
        <v>19</v>
      </c>
      <c r="H368" s="10" t="s">
        <v>151</v>
      </c>
      <c r="I368" s="10" t="s">
        <v>27</v>
      </c>
      <c r="J368" s="13">
        <v>0.1388888888888889</v>
      </c>
      <c r="K368" s="13">
        <v>0.16666666666666666</v>
      </c>
      <c r="L368" s="70">
        <f t="shared" si="82"/>
        <v>2.7777777777777762E-2</v>
      </c>
      <c r="M368" s="29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6</v>
      </c>
      <c r="F369" s="17">
        <f t="shared" si="81"/>
        <v>24</v>
      </c>
      <c r="G369" s="16"/>
      <c r="H369" s="16"/>
      <c r="I369" s="16"/>
      <c r="J369" s="13"/>
      <c r="K369" s="13"/>
      <c r="L369" s="71" t="str">
        <f t="shared" si="82"/>
        <v/>
      </c>
      <c r="M369" s="29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15</v>
      </c>
      <c r="F370" s="12">
        <f t="shared" si="81"/>
        <v>60</v>
      </c>
      <c r="G370" s="10"/>
      <c r="H370" s="10"/>
      <c r="I370" s="10"/>
      <c r="J370" s="13"/>
      <c r="K370" s="13"/>
      <c r="L370" s="70" t="str">
        <f t="shared" si="82"/>
        <v/>
      </c>
      <c r="M370" s="29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12</v>
      </c>
      <c r="F371" s="17">
        <f t="shared" si="81"/>
        <v>48</v>
      </c>
      <c r="G371" s="16"/>
      <c r="H371" s="16"/>
      <c r="I371" s="16"/>
      <c r="J371" s="13"/>
      <c r="K371" s="13"/>
      <c r="L371" s="71" t="str">
        <f t="shared" si="82"/>
        <v/>
      </c>
      <c r="M371" s="29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10</v>
      </c>
      <c r="F372" s="12">
        <f t="shared" si="81"/>
        <v>40</v>
      </c>
      <c r="G372" s="10"/>
      <c r="H372" s="10"/>
      <c r="I372" s="10"/>
      <c r="J372" s="13"/>
      <c r="K372" s="13"/>
      <c r="L372" s="70" t="str">
        <f t="shared" si="82"/>
        <v/>
      </c>
      <c r="M372" s="29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14</v>
      </c>
      <c r="F373" s="17">
        <f t="shared" si="81"/>
        <v>56</v>
      </c>
      <c r="G373" s="16"/>
      <c r="H373" s="16"/>
      <c r="I373" s="16"/>
      <c r="J373" s="13"/>
      <c r="K373" s="13"/>
      <c r="L373" s="71" t="str">
        <f t="shared" si="82"/>
        <v/>
      </c>
      <c r="M373" s="29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6</v>
      </c>
      <c r="F374" s="12">
        <f t="shared" si="81"/>
        <v>24</v>
      </c>
      <c r="G374" s="10"/>
      <c r="H374" s="10"/>
      <c r="I374" s="16"/>
      <c r="J374" s="13"/>
      <c r="K374" s="13"/>
      <c r="L374" s="70" t="str">
        <f t="shared" si="82"/>
        <v/>
      </c>
      <c r="M374" s="29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10</v>
      </c>
      <c r="F375" s="17">
        <f t="shared" si="81"/>
        <v>40</v>
      </c>
      <c r="G375" s="16"/>
      <c r="H375" s="16"/>
      <c r="I375" s="16"/>
      <c r="J375" s="13"/>
      <c r="K375" s="13"/>
      <c r="L375" s="71" t="str">
        <f t="shared" si="82"/>
        <v/>
      </c>
      <c r="M375" s="29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8</v>
      </c>
      <c r="F376" s="12">
        <f t="shared" si="81"/>
        <v>32</v>
      </c>
      <c r="G376" s="10"/>
      <c r="H376" s="10"/>
      <c r="I376" s="10"/>
      <c r="J376" s="13"/>
      <c r="K376" s="13"/>
      <c r="L376" s="70" t="str">
        <f t="shared" si="82"/>
        <v/>
      </c>
      <c r="M376" s="29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5</v>
      </c>
      <c r="F377" s="17">
        <f t="shared" si="81"/>
        <v>20</v>
      </c>
      <c r="G377" s="16"/>
      <c r="H377" s="16"/>
      <c r="I377" s="16"/>
      <c r="J377" s="13"/>
      <c r="K377" s="13"/>
      <c r="L377" s="71" t="str">
        <f t="shared" si="82"/>
        <v/>
      </c>
      <c r="M377" s="29"/>
      <c r="N377" s="30"/>
    </row>
    <row r="378" spans="1:14" ht="15.75" customHeight="1">
      <c r="A378" s="105" t="s">
        <v>193</v>
      </c>
      <c r="B378" s="105"/>
      <c r="C378" s="105"/>
      <c r="D378" s="105"/>
      <c r="E378" s="19">
        <f>SUM(E366:E377)</f>
        <v>120</v>
      </c>
      <c r="F378" s="19">
        <f>SUM(F366:F377)</f>
        <v>480</v>
      </c>
      <c r="G378" s="18"/>
      <c r="H378" s="18"/>
      <c r="I378" s="18"/>
      <c r="J378" s="18"/>
      <c r="K378" s="18"/>
      <c r="L378" s="72">
        <f>IFERROR(SUM(L366:L377),"")</f>
        <v>5.2083333333333232E-2</v>
      </c>
      <c r="M378" s="19" t="s">
        <v>192</v>
      </c>
      <c r="N378" s="20">
        <f>291750+291000</f>
        <v>582750</v>
      </c>
    </row>
    <row r="379" spans="1:14" ht="18" customHeight="1">
      <c r="A379" s="98" t="s">
        <v>194</v>
      </c>
      <c r="B379" s="98"/>
      <c r="C379" s="98"/>
      <c r="D379" s="98"/>
      <c r="E379" s="22">
        <f>E365+E378</f>
        <v>192</v>
      </c>
      <c r="F379" s="22">
        <f>F365+F378</f>
        <v>768</v>
      </c>
      <c r="G379" s="21"/>
      <c r="H379" s="21"/>
      <c r="I379" s="21"/>
      <c r="J379" s="21"/>
      <c r="K379" s="21"/>
      <c r="L379" s="73">
        <f>IFERROR(L365+L378,"")</f>
        <v>0.15416666666666654</v>
      </c>
      <c r="M379" s="22" t="s">
        <v>195</v>
      </c>
      <c r="N379" s="31">
        <f>IFERROR(N365+N378,"")</f>
        <v>988390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13</v>
      </c>
      <c r="F380" s="12">
        <f t="shared" ref="F380:F391" si="84">IF(E380="","",E380*4)</f>
        <v>52</v>
      </c>
      <c r="G380" s="10" t="s">
        <v>18</v>
      </c>
      <c r="H380" s="10" t="s">
        <v>39</v>
      </c>
      <c r="I380" s="10" t="s">
        <v>152</v>
      </c>
      <c r="J380" s="13">
        <v>0.41666666666666669</v>
      </c>
      <c r="K380" s="13">
        <v>0.79166666666666663</v>
      </c>
      <c r="L380" s="70">
        <f t="shared" ref="L380:L391" si="85">IFERROR(IF(K380="","",IF(K380&gt;=J380,K380-J380,K380+1-J380)),"")</f>
        <v>0.37499999999999994</v>
      </c>
      <c r="M380" s="29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8</v>
      </c>
      <c r="F381" s="17">
        <f t="shared" si="84"/>
        <v>32</v>
      </c>
      <c r="G381" s="16"/>
      <c r="H381" s="16"/>
      <c r="I381" s="16"/>
      <c r="J381" s="13"/>
      <c r="K381" s="13"/>
      <c r="L381" s="71" t="str">
        <f t="shared" si="85"/>
        <v/>
      </c>
      <c r="M381" s="29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0"/>
      <c r="J382" s="13"/>
      <c r="K382" s="13"/>
      <c r="L382" s="70" t="str">
        <f t="shared" si="85"/>
        <v/>
      </c>
      <c r="M382" s="29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0</v>
      </c>
      <c r="F383" s="17">
        <f t="shared" si="84"/>
        <v>0</v>
      </c>
      <c r="G383" s="16"/>
      <c r="H383" s="16"/>
      <c r="I383" s="16"/>
      <c r="J383" s="13"/>
      <c r="K383" s="13"/>
      <c r="L383" s="71" t="str">
        <f t="shared" si="85"/>
        <v/>
      </c>
      <c r="M383" s="29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0</v>
      </c>
      <c r="F384" s="12">
        <f t="shared" si="84"/>
        <v>0</v>
      </c>
      <c r="G384" s="10"/>
      <c r="H384" s="10"/>
      <c r="I384" s="10"/>
      <c r="J384" s="13"/>
      <c r="K384" s="13"/>
      <c r="L384" s="70" t="str">
        <f t="shared" si="85"/>
        <v/>
      </c>
      <c r="M384" s="29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0</v>
      </c>
      <c r="F385" s="17">
        <f t="shared" si="84"/>
        <v>0</v>
      </c>
      <c r="G385" s="16"/>
      <c r="H385" s="16"/>
      <c r="I385" s="16"/>
      <c r="J385" s="13"/>
      <c r="K385" s="13"/>
      <c r="L385" s="71" t="str">
        <f t="shared" si="85"/>
        <v/>
      </c>
      <c r="M385" s="29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0</v>
      </c>
      <c r="F386" s="12">
        <f t="shared" si="84"/>
        <v>0</v>
      </c>
      <c r="G386" s="10"/>
      <c r="H386" s="10"/>
      <c r="I386" s="10"/>
      <c r="J386" s="13"/>
      <c r="K386" s="13"/>
      <c r="L386" s="70" t="str">
        <f t="shared" si="85"/>
        <v/>
      </c>
      <c r="M386" s="29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0</v>
      </c>
      <c r="F387" s="17">
        <f t="shared" si="84"/>
        <v>0</v>
      </c>
      <c r="G387" s="16"/>
      <c r="H387" s="16"/>
      <c r="I387" s="16"/>
      <c r="J387" s="13"/>
      <c r="K387" s="13"/>
      <c r="L387" s="71" t="str">
        <f t="shared" si="85"/>
        <v/>
      </c>
      <c r="M387" s="29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0</v>
      </c>
      <c r="F388" s="12">
        <f t="shared" si="84"/>
        <v>0</v>
      </c>
      <c r="G388" s="10"/>
      <c r="H388" s="10"/>
      <c r="I388" s="10"/>
      <c r="J388" s="13"/>
      <c r="K388" s="13"/>
      <c r="L388" s="70" t="str">
        <f t="shared" si="85"/>
        <v/>
      </c>
      <c r="M388" s="29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0</v>
      </c>
      <c r="F389" s="17">
        <f t="shared" si="84"/>
        <v>0</v>
      </c>
      <c r="G389" s="16"/>
      <c r="H389" s="16"/>
      <c r="I389" s="16"/>
      <c r="J389" s="13"/>
      <c r="K389" s="13"/>
      <c r="L389" s="71" t="str">
        <f t="shared" si="85"/>
        <v/>
      </c>
      <c r="M389" s="29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0</v>
      </c>
      <c r="F390" s="12">
        <f t="shared" si="84"/>
        <v>0</v>
      </c>
      <c r="G390" s="10"/>
      <c r="H390" s="10"/>
      <c r="I390" s="10"/>
      <c r="J390" s="13"/>
      <c r="K390" s="13"/>
      <c r="L390" s="70" t="str">
        <f t="shared" si="85"/>
        <v/>
      </c>
      <c r="M390" s="29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0</v>
      </c>
      <c r="F391" s="17">
        <f t="shared" si="84"/>
        <v>0</v>
      </c>
      <c r="G391" s="16"/>
      <c r="H391" s="16"/>
      <c r="I391" s="16"/>
      <c r="J391" s="13"/>
      <c r="K391" s="13"/>
      <c r="L391" s="71" t="str">
        <f t="shared" si="85"/>
        <v/>
      </c>
      <c r="M391" s="29"/>
      <c r="N391" s="30"/>
    </row>
    <row r="392" spans="1:14" ht="15.75" customHeight="1">
      <c r="A392" s="105" t="s">
        <v>191</v>
      </c>
      <c r="B392" s="105"/>
      <c r="C392" s="105"/>
      <c r="D392" s="105"/>
      <c r="E392" s="19">
        <f>SUM(E380:E391)</f>
        <v>29</v>
      </c>
      <c r="F392" s="19">
        <f>SUM(F380:F391)</f>
        <v>116</v>
      </c>
      <c r="G392" s="18"/>
      <c r="H392" s="18"/>
      <c r="I392" s="18"/>
      <c r="J392" s="18"/>
      <c r="K392" s="18"/>
      <c r="L392" s="72">
        <f>IFERROR(SUM(L380:L391),"")</f>
        <v>0.37499999999999994</v>
      </c>
      <c r="M392" s="19" t="s">
        <v>192</v>
      </c>
      <c r="N392" s="20">
        <v>116280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0</v>
      </c>
      <c r="F393" s="17">
        <f t="shared" ref="F393:F404" si="87">IF(E393="","",E393*4)</f>
        <v>0</v>
      </c>
      <c r="G393" s="16" t="s">
        <v>18</v>
      </c>
      <c r="H393" s="16" t="s">
        <v>39</v>
      </c>
      <c r="I393" s="16" t="s">
        <v>152</v>
      </c>
      <c r="J393" s="13"/>
      <c r="K393" s="13"/>
      <c r="L393" s="71" t="str">
        <f t="shared" ref="L393:L404" si="88">IFERROR(IF(K393="","",IF(K393&gt;=J393,K393-J393,K393+1-J393)),"")</f>
        <v/>
      </c>
      <c r="M393" s="29" t="s">
        <v>262</v>
      </c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5</v>
      </c>
      <c r="F394" s="12">
        <f t="shared" si="87"/>
        <v>20</v>
      </c>
      <c r="G394" s="10" t="s">
        <v>17</v>
      </c>
      <c r="H394" s="10" t="s">
        <v>157</v>
      </c>
      <c r="I394" s="10" t="s">
        <v>59</v>
      </c>
      <c r="J394" s="13">
        <v>0.91319444444444442</v>
      </c>
      <c r="K394" s="13">
        <v>0.92361111111111116</v>
      </c>
      <c r="L394" s="70">
        <f t="shared" si="88"/>
        <v>1.0416666666666741E-2</v>
      </c>
      <c r="M394" s="29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2</v>
      </c>
      <c r="F395" s="17">
        <f t="shared" si="87"/>
        <v>8</v>
      </c>
      <c r="G395" s="16"/>
      <c r="H395" s="16"/>
      <c r="I395" s="16"/>
      <c r="J395" s="13"/>
      <c r="K395" s="13"/>
      <c r="L395" s="71" t="str">
        <f t="shared" si="88"/>
        <v/>
      </c>
      <c r="M395" s="29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4</v>
      </c>
      <c r="F396" s="12">
        <f t="shared" si="87"/>
        <v>16</v>
      </c>
      <c r="G396" s="10"/>
      <c r="H396" s="10"/>
      <c r="I396" s="10"/>
      <c r="J396" s="13"/>
      <c r="K396" s="13"/>
      <c r="L396" s="70" t="str">
        <f t="shared" si="88"/>
        <v/>
      </c>
      <c r="M396" s="29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8</v>
      </c>
      <c r="F397" s="17">
        <f t="shared" si="87"/>
        <v>32</v>
      </c>
      <c r="G397" s="16"/>
      <c r="H397" s="16"/>
      <c r="I397" s="16"/>
      <c r="J397" s="13"/>
      <c r="K397" s="13"/>
      <c r="L397" s="71" t="str">
        <f t="shared" si="88"/>
        <v/>
      </c>
      <c r="M397" s="29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5</v>
      </c>
      <c r="F398" s="12">
        <f t="shared" si="87"/>
        <v>20</v>
      </c>
      <c r="G398" s="10"/>
      <c r="H398" s="10"/>
      <c r="I398" s="10"/>
      <c r="J398" s="13"/>
      <c r="K398" s="13"/>
      <c r="L398" s="70" t="str">
        <f t="shared" si="88"/>
        <v/>
      </c>
      <c r="M398" s="29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3</v>
      </c>
      <c r="F399" s="17">
        <f t="shared" si="87"/>
        <v>12</v>
      </c>
      <c r="G399" s="16"/>
      <c r="H399" s="16"/>
      <c r="I399" s="16"/>
      <c r="J399" s="13"/>
      <c r="K399" s="13"/>
      <c r="L399" s="71" t="str">
        <f t="shared" si="88"/>
        <v/>
      </c>
      <c r="M399" s="29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3</v>
      </c>
      <c r="F400" s="12">
        <f t="shared" si="87"/>
        <v>12</v>
      </c>
      <c r="G400" s="10"/>
      <c r="H400" s="10"/>
      <c r="I400" s="10"/>
      <c r="J400" s="13"/>
      <c r="K400" s="13"/>
      <c r="L400" s="70" t="str">
        <f t="shared" si="88"/>
        <v/>
      </c>
      <c r="M400" s="29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13</v>
      </c>
      <c r="F401" s="17">
        <f t="shared" si="87"/>
        <v>52</v>
      </c>
      <c r="G401" s="16" t="s">
        <v>19</v>
      </c>
      <c r="H401" s="16" t="s">
        <v>31</v>
      </c>
      <c r="I401" s="16" t="s">
        <v>27</v>
      </c>
      <c r="J401" s="13">
        <v>0.16527777777777777</v>
      </c>
      <c r="K401" s="13">
        <v>0.18611111111111112</v>
      </c>
      <c r="L401" s="71">
        <f t="shared" si="88"/>
        <v>2.0833333333333343E-2</v>
      </c>
      <c r="M401" s="29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4</v>
      </c>
      <c r="F402" s="12">
        <f t="shared" si="87"/>
        <v>16</v>
      </c>
      <c r="G402" s="10" t="s">
        <v>17</v>
      </c>
      <c r="H402" s="10" t="s">
        <v>108</v>
      </c>
      <c r="I402" s="10" t="s">
        <v>33</v>
      </c>
      <c r="J402" s="13"/>
      <c r="K402" s="13"/>
      <c r="L402" s="70" t="str">
        <f t="shared" si="88"/>
        <v/>
      </c>
      <c r="M402" s="29" t="s">
        <v>263</v>
      </c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5</v>
      </c>
      <c r="F403" s="17">
        <f t="shared" si="87"/>
        <v>20</v>
      </c>
      <c r="G403" s="16"/>
      <c r="H403" s="16"/>
      <c r="I403" s="16"/>
      <c r="J403" s="13"/>
      <c r="K403" s="13"/>
      <c r="L403" s="71" t="str">
        <f t="shared" si="88"/>
        <v/>
      </c>
      <c r="M403" s="29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5</v>
      </c>
      <c r="F404" s="12">
        <f t="shared" si="87"/>
        <v>20</v>
      </c>
      <c r="G404" s="10"/>
      <c r="H404" s="10"/>
      <c r="I404" s="10"/>
      <c r="J404" s="13"/>
      <c r="K404" s="13"/>
      <c r="L404" s="70" t="str">
        <f t="shared" si="88"/>
        <v/>
      </c>
      <c r="M404" s="29"/>
      <c r="N404" s="30"/>
    </row>
    <row r="405" spans="1:14" ht="15.75" customHeight="1">
      <c r="A405" s="105" t="s">
        <v>193</v>
      </c>
      <c r="B405" s="105"/>
      <c r="C405" s="105"/>
      <c r="D405" s="105"/>
      <c r="E405" s="19">
        <f>SUM(E393:E404)</f>
        <v>57</v>
      </c>
      <c r="F405" s="19">
        <f>SUM(F393:F404)</f>
        <v>228</v>
      </c>
      <c r="G405" s="18"/>
      <c r="H405" s="18"/>
      <c r="I405" s="18"/>
      <c r="J405" s="18"/>
      <c r="K405" s="18"/>
      <c r="L405" s="72">
        <f>IFERROR(SUM(L393:L404),"")</f>
        <v>3.1250000000000083E-2</v>
      </c>
      <c r="M405" s="19" t="s">
        <v>192</v>
      </c>
      <c r="N405" s="20">
        <v>305810</v>
      </c>
    </row>
    <row r="406" spans="1:14" ht="18" customHeight="1">
      <c r="A406" s="98" t="s">
        <v>194</v>
      </c>
      <c r="B406" s="98"/>
      <c r="C406" s="98"/>
      <c r="D406" s="98"/>
      <c r="E406" s="22">
        <f>E392+E405</f>
        <v>86</v>
      </c>
      <c r="F406" s="22">
        <f>F392+F405</f>
        <v>344</v>
      </c>
      <c r="G406" s="21"/>
      <c r="H406" s="21"/>
      <c r="I406" s="21"/>
      <c r="J406" s="21"/>
      <c r="K406" s="21"/>
      <c r="L406" s="73">
        <f>IFERROR(L392+L405,"")</f>
        <v>0.40625</v>
      </c>
      <c r="M406" s="22" t="s">
        <v>195</v>
      </c>
      <c r="N406" s="31">
        <f>IFERROR(N392+N405,"")</f>
        <v>422090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12</v>
      </c>
      <c r="F407" s="17">
        <f t="shared" ref="F407:F418" si="90">IF(E407="","",E407*4)</f>
        <v>48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29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11</v>
      </c>
      <c r="F408" s="12">
        <f t="shared" si="90"/>
        <v>44</v>
      </c>
      <c r="G408" s="10"/>
      <c r="H408" s="10"/>
      <c r="I408" s="10"/>
      <c r="J408" s="13"/>
      <c r="K408" s="13"/>
      <c r="L408" s="70" t="str">
        <f t="shared" si="91"/>
        <v/>
      </c>
      <c r="M408" s="29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112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29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18</v>
      </c>
      <c r="H410" s="10" t="s">
        <v>31</v>
      </c>
      <c r="I410" s="10" t="s">
        <v>155</v>
      </c>
      <c r="J410" s="13">
        <v>0.59444444444444444</v>
      </c>
      <c r="K410" s="13">
        <v>0.6958333333333333</v>
      </c>
      <c r="L410" s="70">
        <f t="shared" si="91"/>
        <v>0.10138888888888886</v>
      </c>
      <c r="M410" s="29" t="s">
        <v>264</v>
      </c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 t="s">
        <v>20</v>
      </c>
      <c r="H411" s="16" t="s">
        <v>31</v>
      </c>
      <c r="I411" s="16" t="s">
        <v>126</v>
      </c>
      <c r="J411" s="13">
        <v>0.72152777777777777</v>
      </c>
      <c r="K411" s="13">
        <v>0.72499999999999998</v>
      </c>
      <c r="L411" s="71">
        <f t="shared" si="91"/>
        <v>3.4722222222222099E-3</v>
      </c>
      <c r="M411" s="29" t="s">
        <v>265</v>
      </c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11</v>
      </c>
      <c r="F412" s="12">
        <f t="shared" si="90"/>
        <v>44</v>
      </c>
      <c r="G412" s="10" t="s">
        <v>20</v>
      </c>
      <c r="H412" s="10" t="s">
        <v>39</v>
      </c>
      <c r="I412" s="10" t="s">
        <v>266</v>
      </c>
      <c r="J412" s="13">
        <v>0.72916666666666663</v>
      </c>
      <c r="K412" s="13"/>
      <c r="L412" s="70" t="str">
        <f t="shared" si="91"/>
        <v/>
      </c>
      <c r="M412" s="29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6</v>
      </c>
      <c r="F413" s="17">
        <f t="shared" si="90"/>
        <v>24</v>
      </c>
      <c r="G413" s="16"/>
      <c r="H413" s="16"/>
      <c r="I413" s="16"/>
      <c r="J413" s="13"/>
      <c r="K413" s="13"/>
      <c r="L413" s="71" t="str">
        <f t="shared" si="91"/>
        <v/>
      </c>
      <c r="M413" s="29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0</v>
      </c>
      <c r="F414" s="12">
        <f t="shared" si="90"/>
        <v>0</v>
      </c>
      <c r="G414" s="10"/>
      <c r="H414" s="10"/>
      <c r="I414" s="10"/>
      <c r="J414" s="13"/>
      <c r="K414" s="13"/>
      <c r="L414" s="70" t="str">
        <f t="shared" si="91"/>
        <v/>
      </c>
      <c r="M414" s="29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5</v>
      </c>
      <c r="F415" s="17">
        <f t="shared" si="90"/>
        <v>20</v>
      </c>
      <c r="G415" s="16"/>
      <c r="H415" s="16"/>
      <c r="I415" s="16"/>
      <c r="J415" s="13"/>
      <c r="K415" s="13"/>
      <c r="L415" s="71" t="str">
        <f t="shared" si="91"/>
        <v/>
      </c>
      <c r="M415" s="29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9</v>
      </c>
      <c r="F416" s="12">
        <f t="shared" si="90"/>
        <v>36</v>
      </c>
      <c r="G416" s="10"/>
      <c r="H416" s="10"/>
      <c r="I416" s="10"/>
      <c r="J416" s="13"/>
      <c r="K416" s="13"/>
      <c r="L416" s="70" t="str">
        <f t="shared" si="91"/>
        <v/>
      </c>
      <c r="M416" s="29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2</v>
      </c>
      <c r="F417" s="17">
        <f t="shared" si="90"/>
        <v>8</v>
      </c>
      <c r="G417" s="16"/>
      <c r="H417" s="16"/>
      <c r="I417" s="16"/>
      <c r="J417" s="13"/>
      <c r="K417" s="13"/>
      <c r="L417" s="71" t="str">
        <f t="shared" si="91"/>
        <v/>
      </c>
      <c r="M417" s="29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30</v>
      </c>
      <c r="E418" s="11">
        <v>0</v>
      </c>
      <c r="F418" s="12">
        <f t="shared" si="90"/>
        <v>0</v>
      </c>
      <c r="G418" s="10"/>
      <c r="H418" s="10"/>
      <c r="I418" s="10"/>
      <c r="J418" s="13"/>
      <c r="K418" s="13"/>
      <c r="L418" s="70" t="str">
        <f t="shared" si="91"/>
        <v/>
      </c>
      <c r="M418" s="29"/>
      <c r="N418" s="30"/>
    </row>
    <row r="419" spans="1:14" ht="15.75" customHeight="1">
      <c r="A419" s="105" t="s">
        <v>191</v>
      </c>
      <c r="B419" s="105"/>
      <c r="C419" s="105"/>
      <c r="D419" s="105"/>
      <c r="E419" s="19">
        <f>SUM(E407:E418)</f>
        <v>82</v>
      </c>
      <c r="F419" s="19">
        <f>SUM(F407:F418)</f>
        <v>328</v>
      </c>
      <c r="G419" s="18"/>
      <c r="H419" s="18"/>
      <c r="I419" s="18"/>
      <c r="J419" s="18"/>
      <c r="K419" s="18"/>
      <c r="L419" s="72">
        <f>IFERROR(SUM(L407:L418),"")</f>
        <v>0.11180555555555555</v>
      </c>
      <c r="M419" s="19" t="s">
        <v>192</v>
      </c>
      <c r="N419" s="20">
        <v>333610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5</v>
      </c>
      <c r="F420" s="12">
        <f t="shared" ref="F420:F431" si="93">IF(E420="","",E420*4)</f>
        <v>20</v>
      </c>
      <c r="G420" s="10" t="s">
        <v>18</v>
      </c>
      <c r="H420" s="10" t="s">
        <v>39</v>
      </c>
      <c r="I420" s="10" t="s">
        <v>122</v>
      </c>
      <c r="J420" s="13">
        <v>0.8125</v>
      </c>
      <c r="K420" s="13">
        <v>0.86111111111111116</v>
      </c>
      <c r="L420" s="70">
        <f t="shared" ref="L420:L431" si="94">IFERROR(IF(K420="","",IF(K420&gt;=J420,K420-J420,K420+1-J420)),"")</f>
        <v>4.861111111111116E-2</v>
      </c>
      <c r="M420" s="29" t="s">
        <v>267</v>
      </c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3</v>
      </c>
      <c r="F421" s="17">
        <f t="shared" si="93"/>
        <v>12</v>
      </c>
      <c r="G421" s="16" t="s">
        <v>19</v>
      </c>
      <c r="H421" s="16" t="s">
        <v>31</v>
      </c>
      <c r="I421" s="16" t="s">
        <v>27</v>
      </c>
      <c r="J421" s="13">
        <v>1.0416666666666666E-2</v>
      </c>
      <c r="K421" s="13">
        <v>3.8194444444444448E-2</v>
      </c>
      <c r="L421" s="71">
        <f t="shared" si="94"/>
        <v>2.7777777777777783E-2</v>
      </c>
      <c r="M421" s="29" t="s">
        <v>268</v>
      </c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29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27</v>
      </c>
      <c r="F423" s="17">
        <f t="shared" si="93"/>
        <v>108</v>
      </c>
      <c r="G423" s="16"/>
      <c r="H423" s="16"/>
      <c r="I423" s="16"/>
      <c r="J423" s="13"/>
      <c r="K423" s="13"/>
      <c r="L423" s="71" t="str">
        <f t="shared" si="94"/>
        <v/>
      </c>
      <c r="M423" s="29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17</v>
      </c>
      <c r="F424" s="12">
        <f t="shared" si="93"/>
        <v>68</v>
      </c>
      <c r="G424" s="10"/>
      <c r="H424" s="10"/>
      <c r="I424" s="10"/>
      <c r="J424" s="13"/>
      <c r="K424" s="13"/>
      <c r="L424" s="70" t="str">
        <f t="shared" si="94"/>
        <v/>
      </c>
      <c r="M424" s="29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5</v>
      </c>
      <c r="F425" s="17">
        <f t="shared" si="93"/>
        <v>20</v>
      </c>
      <c r="G425" s="16"/>
      <c r="H425" s="16"/>
      <c r="I425" s="16"/>
      <c r="J425" s="13"/>
      <c r="K425" s="13"/>
      <c r="L425" s="71" t="str">
        <f t="shared" si="94"/>
        <v/>
      </c>
      <c r="M425" s="29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18</v>
      </c>
      <c r="F426" s="12">
        <f t="shared" si="93"/>
        <v>72</v>
      </c>
      <c r="G426" s="10"/>
      <c r="H426" s="10"/>
      <c r="I426" s="10"/>
      <c r="J426" s="13"/>
      <c r="K426" s="13"/>
      <c r="L426" s="70" t="str">
        <f t="shared" si="94"/>
        <v/>
      </c>
      <c r="M426" s="29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10</v>
      </c>
      <c r="F427" s="17">
        <f t="shared" si="93"/>
        <v>40</v>
      </c>
      <c r="G427" s="16"/>
      <c r="H427" s="16"/>
      <c r="I427" s="16"/>
      <c r="J427" s="13"/>
      <c r="K427" s="13"/>
      <c r="L427" s="71" t="str">
        <f t="shared" si="94"/>
        <v/>
      </c>
      <c r="M427" s="29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9</v>
      </c>
      <c r="F428" s="12">
        <f t="shared" si="93"/>
        <v>36</v>
      </c>
      <c r="G428" s="10"/>
      <c r="H428" s="10"/>
      <c r="I428" s="10"/>
      <c r="J428" s="13"/>
      <c r="K428" s="13"/>
      <c r="L428" s="70" t="str">
        <f t="shared" si="94"/>
        <v/>
      </c>
      <c r="M428" s="29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16</v>
      </c>
      <c r="F429" s="17">
        <f t="shared" si="93"/>
        <v>64</v>
      </c>
      <c r="G429" s="16"/>
      <c r="H429" s="16"/>
      <c r="I429" s="16"/>
      <c r="J429" s="13"/>
      <c r="K429" s="13"/>
      <c r="L429" s="71" t="str">
        <f t="shared" si="94"/>
        <v/>
      </c>
      <c r="M429" s="29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11</v>
      </c>
      <c r="F430" s="12">
        <f t="shared" si="93"/>
        <v>44</v>
      </c>
      <c r="G430" s="10"/>
      <c r="H430" s="10"/>
      <c r="I430" s="10"/>
      <c r="J430" s="13"/>
      <c r="K430" s="13"/>
      <c r="L430" s="70" t="str">
        <f t="shared" si="94"/>
        <v/>
      </c>
      <c r="M430" s="29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6</v>
      </c>
      <c r="F431" s="17">
        <f t="shared" si="93"/>
        <v>24</v>
      </c>
      <c r="G431" s="16"/>
      <c r="H431" s="16"/>
      <c r="I431" s="16"/>
      <c r="J431" s="13"/>
      <c r="K431" s="13"/>
      <c r="L431" s="71" t="str">
        <f t="shared" si="94"/>
        <v/>
      </c>
      <c r="M431" s="29"/>
      <c r="N431" s="30"/>
    </row>
    <row r="432" spans="1:14" ht="15.75" customHeight="1">
      <c r="A432" s="105" t="s">
        <v>193</v>
      </c>
      <c r="B432" s="105"/>
      <c r="C432" s="105"/>
      <c r="D432" s="105"/>
      <c r="E432" s="19">
        <f>SUM(E420:E431)</f>
        <v>132</v>
      </c>
      <c r="F432" s="19">
        <f>SUM(F420:F431)</f>
        <v>528</v>
      </c>
      <c r="G432" s="18"/>
      <c r="H432" s="18"/>
      <c r="I432" s="18"/>
      <c r="J432" s="18"/>
      <c r="K432" s="18"/>
      <c r="L432" s="72">
        <f>IFERROR(SUM(L420:L431),"")</f>
        <v>7.6388888888888951E-2</v>
      </c>
      <c r="M432" s="19" t="s">
        <v>192</v>
      </c>
      <c r="N432" s="20">
        <v>522180</v>
      </c>
    </row>
    <row r="433" spans="1:14" ht="18" customHeight="1">
      <c r="A433" s="98" t="s">
        <v>194</v>
      </c>
      <c r="B433" s="98"/>
      <c r="C433" s="98"/>
      <c r="D433" s="98"/>
      <c r="E433" s="22">
        <f>E419+E432</f>
        <v>214</v>
      </c>
      <c r="F433" s="22">
        <f>F419+F432</f>
        <v>856</v>
      </c>
      <c r="G433" s="21"/>
      <c r="H433" s="21"/>
      <c r="I433" s="21"/>
      <c r="J433" s="21"/>
      <c r="K433" s="21"/>
      <c r="L433" s="73">
        <f>IFERROR(L419+L432,"")</f>
        <v>0.1881944444444445</v>
      </c>
      <c r="M433" s="22" t="s">
        <v>195</v>
      </c>
      <c r="N433" s="31">
        <f>IFERROR(N419+N432,"")</f>
        <v>855790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9</v>
      </c>
      <c r="F434" s="12">
        <f t="shared" ref="F434:F445" si="96">IF(E434="","",E434*4)</f>
        <v>36</v>
      </c>
      <c r="G434" s="10" t="s">
        <v>18</v>
      </c>
      <c r="H434" s="10" t="s">
        <v>39</v>
      </c>
      <c r="I434" s="10" t="s">
        <v>269</v>
      </c>
      <c r="J434" s="13">
        <v>0.31944444444444442</v>
      </c>
      <c r="K434" s="13">
        <v>0.34027777777777779</v>
      </c>
      <c r="L434" s="70">
        <f t="shared" ref="L434:L445" si="97">IFERROR(IF(K434="","",IF(K434&gt;=J434,K434-J434,K434+1-J434)),"")</f>
        <v>2.083333333333337E-2</v>
      </c>
      <c r="M434" s="29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 t="s">
        <v>19</v>
      </c>
      <c r="H435" s="16" t="s">
        <v>39</v>
      </c>
      <c r="I435" s="16" t="s">
        <v>27</v>
      </c>
      <c r="J435" s="13">
        <v>0.34027777777777779</v>
      </c>
      <c r="K435" s="13">
        <v>0.36458333333333331</v>
      </c>
      <c r="L435" s="71">
        <f t="shared" si="97"/>
        <v>2.4305555555555525E-2</v>
      </c>
      <c r="M435" s="29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3</v>
      </c>
      <c r="F436" s="12">
        <f t="shared" si="96"/>
        <v>12</v>
      </c>
      <c r="G436" s="10" t="s">
        <v>18</v>
      </c>
      <c r="H436" s="10" t="s">
        <v>39</v>
      </c>
      <c r="I436" s="10" t="s">
        <v>270</v>
      </c>
      <c r="J436" s="13">
        <v>0.36458333333333331</v>
      </c>
      <c r="K436" s="13">
        <v>0.37638888888888888</v>
      </c>
      <c r="L436" s="70">
        <f t="shared" si="97"/>
        <v>1.1805555555555569E-2</v>
      </c>
      <c r="M436" s="29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1</v>
      </c>
      <c r="F437" s="17">
        <f t="shared" si="96"/>
        <v>4</v>
      </c>
      <c r="G437" s="16" t="s">
        <v>20</v>
      </c>
      <c r="H437" s="16" t="s">
        <v>31</v>
      </c>
      <c r="I437" s="16" t="s">
        <v>51</v>
      </c>
      <c r="J437" s="13">
        <v>0.43402777777777779</v>
      </c>
      <c r="K437" s="13">
        <v>0.48333333333333334</v>
      </c>
      <c r="L437" s="71">
        <f t="shared" si="97"/>
        <v>4.9305555555555547E-2</v>
      </c>
      <c r="M437" s="29"/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16</v>
      </c>
      <c r="F438" s="12">
        <f t="shared" si="96"/>
        <v>64</v>
      </c>
      <c r="G438" s="10" t="s">
        <v>18</v>
      </c>
      <c r="H438" s="10" t="s">
        <v>39</v>
      </c>
      <c r="I438" s="10" t="s">
        <v>113</v>
      </c>
      <c r="J438" s="13">
        <v>0.63194444444444442</v>
      </c>
      <c r="K438" s="13">
        <v>0.66805555555555551</v>
      </c>
      <c r="L438" s="70">
        <f t="shared" si="97"/>
        <v>3.6111111111111094E-2</v>
      </c>
      <c r="M438" s="29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5</v>
      </c>
      <c r="F439" s="17">
        <f t="shared" si="96"/>
        <v>20</v>
      </c>
      <c r="G439" s="16" t="s">
        <v>18</v>
      </c>
      <c r="H439" s="16" t="s">
        <v>141</v>
      </c>
      <c r="I439" s="16" t="s">
        <v>122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271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10</v>
      </c>
      <c r="F440" s="12">
        <f t="shared" si="96"/>
        <v>40</v>
      </c>
      <c r="G440" s="10"/>
      <c r="H440" s="10"/>
      <c r="I440" s="10"/>
      <c r="J440" s="13"/>
      <c r="K440" s="13"/>
      <c r="L440" s="70" t="str">
        <f t="shared" si="97"/>
        <v/>
      </c>
      <c r="M440" s="29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16</v>
      </c>
      <c r="F441" s="17">
        <f t="shared" si="96"/>
        <v>64</v>
      </c>
      <c r="G441" s="16"/>
      <c r="H441" s="16"/>
      <c r="I441" s="16"/>
      <c r="J441" s="13"/>
      <c r="K441" s="13"/>
      <c r="L441" s="71" t="str">
        <f t="shared" si="97"/>
        <v/>
      </c>
      <c r="M441" s="29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3</v>
      </c>
      <c r="F442" s="12">
        <f t="shared" si="96"/>
        <v>12</v>
      </c>
      <c r="G442" s="10"/>
      <c r="H442" s="10"/>
      <c r="I442" s="10"/>
      <c r="J442" s="13"/>
      <c r="K442" s="13"/>
      <c r="L442" s="70" t="str">
        <f t="shared" si="97"/>
        <v/>
      </c>
      <c r="M442" s="29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9</v>
      </c>
      <c r="F443" s="17">
        <f t="shared" si="96"/>
        <v>36</v>
      </c>
      <c r="G443" s="16"/>
      <c r="H443" s="16"/>
      <c r="I443" s="16"/>
      <c r="J443" s="13"/>
      <c r="K443" s="13"/>
      <c r="L443" s="71" t="str">
        <f t="shared" si="97"/>
        <v/>
      </c>
      <c r="M443" s="29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10</v>
      </c>
      <c r="F444" s="12">
        <f t="shared" si="96"/>
        <v>40</v>
      </c>
      <c r="G444" s="10"/>
      <c r="H444" s="10"/>
      <c r="I444" s="10"/>
      <c r="J444" s="13"/>
      <c r="K444" s="13"/>
      <c r="L444" s="70" t="str">
        <f t="shared" si="97"/>
        <v/>
      </c>
      <c r="M444" s="29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11</v>
      </c>
      <c r="F445" s="17">
        <f t="shared" si="96"/>
        <v>44</v>
      </c>
      <c r="G445" s="16"/>
      <c r="H445" s="16"/>
      <c r="I445" s="16"/>
      <c r="J445" s="13"/>
      <c r="K445" s="13"/>
      <c r="L445" s="71" t="str">
        <f t="shared" si="97"/>
        <v/>
      </c>
      <c r="M445" s="29"/>
      <c r="N445" s="30"/>
    </row>
    <row r="446" spans="1:14" ht="15.75" customHeight="1">
      <c r="A446" s="105" t="s">
        <v>191</v>
      </c>
      <c r="B446" s="105"/>
      <c r="C446" s="105"/>
      <c r="D446" s="105"/>
      <c r="E446" s="19">
        <f>SUM(E434:E445)</f>
        <v>101</v>
      </c>
      <c r="F446" s="19">
        <f>SUM(F434:F445)</f>
        <v>404</v>
      </c>
      <c r="G446" s="18"/>
      <c r="H446" s="18"/>
      <c r="I446" s="18"/>
      <c r="J446" s="18"/>
      <c r="K446" s="18"/>
      <c r="L446" s="72">
        <f>IFERROR(SUM(L434:L445),"")</f>
        <v>0.16319444444444436</v>
      </c>
      <c r="M446" s="19" t="s">
        <v>192</v>
      </c>
      <c r="N446" s="20">
        <v>426830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12</v>
      </c>
      <c r="F447" s="17">
        <f t="shared" ref="F447:F458" si="99">IF(E447="","",E447*4)</f>
        <v>48</v>
      </c>
      <c r="G447" s="16" t="s">
        <v>18</v>
      </c>
      <c r="H447" s="16" t="s">
        <v>31</v>
      </c>
      <c r="I447" s="16" t="s">
        <v>148</v>
      </c>
      <c r="J447" s="13">
        <v>0.85069444444444442</v>
      </c>
      <c r="K447" s="13">
        <v>0.90972222222222221</v>
      </c>
      <c r="L447" s="71">
        <f t="shared" ref="L447:L458" si="100">IFERROR(IF(K447="","",IF(K447&gt;=J447,K447-J447,K447+1-J447)),"")</f>
        <v>5.902777777777779E-2</v>
      </c>
      <c r="M447" s="29" t="s">
        <v>272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6</v>
      </c>
      <c r="F448" s="12">
        <f t="shared" si="99"/>
        <v>24</v>
      </c>
      <c r="G448" s="10" t="s">
        <v>17</v>
      </c>
      <c r="H448" s="10"/>
      <c r="I448" s="16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29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0</v>
      </c>
      <c r="F449" s="17">
        <f t="shared" si="99"/>
        <v>0</v>
      </c>
      <c r="G449" s="16" t="s">
        <v>19</v>
      </c>
      <c r="H449" s="16" t="s">
        <v>151</v>
      </c>
      <c r="I449" s="16" t="s">
        <v>27</v>
      </c>
      <c r="J449" s="13">
        <v>6.3194444444444442E-2</v>
      </c>
      <c r="K449" s="13">
        <v>8.3333333333333329E-2</v>
      </c>
      <c r="L449" s="71">
        <f t="shared" si="100"/>
        <v>2.0138888888888887E-2</v>
      </c>
      <c r="M449" s="29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18</v>
      </c>
      <c r="F450" s="12">
        <f t="shared" si="99"/>
        <v>72</v>
      </c>
      <c r="G450" s="10" t="s">
        <v>20</v>
      </c>
      <c r="H450" s="10" t="s">
        <v>149</v>
      </c>
      <c r="I450" s="10" t="s">
        <v>79</v>
      </c>
      <c r="J450" s="13">
        <v>0.25</v>
      </c>
      <c r="K450" s="13">
        <v>0.2638888888888889</v>
      </c>
      <c r="L450" s="70">
        <f t="shared" si="100"/>
        <v>1.3888888888888895E-2</v>
      </c>
      <c r="M450" s="29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10</v>
      </c>
      <c r="F451" s="17">
        <f t="shared" si="99"/>
        <v>40</v>
      </c>
      <c r="G451" s="16"/>
      <c r="H451" s="16"/>
      <c r="I451" s="16"/>
      <c r="J451" s="13"/>
      <c r="K451" s="13"/>
      <c r="L451" s="71" t="str">
        <f t="shared" si="100"/>
        <v/>
      </c>
      <c r="M451" s="29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29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29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14</v>
      </c>
      <c r="F454" s="12">
        <f t="shared" si="99"/>
        <v>56</v>
      </c>
      <c r="G454" s="10"/>
      <c r="H454" s="10"/>
      <c r="I454" s="10"/>
      <c r="J454" s="13"/>
      <c r="K454" s="13"/>
      <c r="L454" s="70" t="str">
        <f t="shared" si="100"/>
        <v/>
      </c>
      <c r="M454" s="29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8</v>
      </c>
      <c r="F455" s="17">
        <f t="shared" si="99"/>
        <v>32</v>
      </c>
      <c r="G455" s="16"/>
      <c r="H455" s="16"/>
      <c r="I455" s="16"/>
      <c r="J455" s="13"/>
      <c r="K455" s="13"/>
      <c r="L455" s="71" t="str">
        <f t="shared" si="100"/>
        <v/>
      </c>
      <c r="M455" s="29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12</v>
      </c>
      <c r="F456" s="12">
        <f t="shared" si="99"/>
        <v>48</v>
      </c>
      <c r="G456" s="10"/>
      <c r="H456" s="10"/>
      <c r="I456" s="10"/>
      <c r="J456" s="13"/>
      <c r="K456" s="13"/>
      <c r="L456" s="70" t="str">
        <f t="shared" si="100"/>
        <v/>
      </c>
      <c r="M456" s="29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8</v>
      </c>
      <c r="F457" s="17">
        <f t="shared" si="99"/>
        <v>32</v>
      </c>
      <c r="G457" s="16"/>
      <c r="H457" s="16"/>
      <c r="I457" s="16"/>
      <c r="J457" s="13"/>
      <c r="K457" s="13"/>
      <c r="L457" s="71" t="str">
        <f t="shared" si="100"/>
        <v/>
      </c>
      <c r="M457" s="29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10</v>
      </c>
      <c r="F458" s="12">
        <f t="shared" si="99"/>
        <v>40</v>
      </c>
      <c r="G458" s="10"/>
      <c r="H458" s="10"/>
      <c r="I458" s="10"/>
      <c r="J458" s="13"/>
      <c r="K458" s="13"/>
      <c r="L458" s="70" t="str">
        <f t="shared" si="100"/>
        <v/>
      </c>
      <c r="M458" s="29"/>
      <c r="N458" s="30"/>
    </row>
    <row r="459" spans="1:14" ht="15.75" customHeight="1">
      <c r="A459" s="105" t="s">
        <v>193</v>
      </c>
      <c r="B459" s="105"/>
      <c r="C459" s="105"/>
      <c r="D459" s="105"/>
      <c r="E459" s="19">
        <f>SUM(E447:E458)</f>
        <v>102</v>
      </c>
      <c r="F459" s="19">
        <f>SUM(F447:F458)</f>
        <v>408</v>
      </c>
      <c r="G459" s="18"/>
      <c r="H459" s="18"/>
      <c r="I459" s="18"/>
      <c r="J459" s="18"/>
      <c r="K459" s="18"/>
      <c r="L459" s="72">
        <f>IFERROR(SUM(L447:L458),"")</f>
        <v>0.13125000000000003</v>
      </c>
      <c r="M459" s="19" t="s">
        <v>192</v>
      </c>
      <c r="N459" s="20">
        <v>560220</v>
      </c>
    </row>
    <row r="460" spans="1:14" ht="18" customHeight="1">
      <c r="A460" s="98" t="s">
        <v>194</v>
      </c>
      <c r="B460" s="98"/>
      <c r="C460" s="98"/>
      <c r="D460" s="98"/>
      <c r="E460" s="22">
        <f>E446+E459</f>
        <v>203</v>
      </c>
      <c r="F460" s="22">
        <f>F446+F459</f>
        <v>812</v>
      </c>
      <c r="G460" s="21"/>
      <c r="H460" s="21"/>
      <c r="I460" s="21"/>
      <c r="J460" s="21"/>
      <c r="K460" s="21"/>
      <c r="L460" s="73">
        <f>IFERROR(L446+L459,"")</f>
        <v>0.2944444444444444</v>
      </c>
      <c r="M460" s="22" t="s">
        <v>195</v>
      </c>
      <c r="N460" s="31">
        <f>IFERROR(N446+N459,"")</f>
        <v>987050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19</v>
      </c>
      <c r="F461" s="17">
        <f t="shared" ref="F461:F472" si="102">IF(E461="","",E461*4)</f>
        <v>76</v>
      </c>
      <c r="G461" s="16" t="s">
        <v>18</v>
      </c>
      <c r="H461" s="16" t="s">
        <v>130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29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9</v>
      </c>
      <c r="F462" s="12">
        <f t="shared" si="102"/>
        <v>36</v>
      </c>
      <c r="G462" s="10" t="s">
        <v>19</v>
      </c>
      <c r="H462" s="10" t="s">
        <v>39</v>
      </c>
      <c r="I462" s="10" t="s">
        <v>35</v>
      </c>
      <c r="J462" s="13">
        <v>0.52083333333333337</v>
      </c>
      <c r="K462" s="13">
        <v>0.5625</v>
      </c>
      <c r="L462" s="70">
        <f t="shared" si="103"/>
        <v>4.166666666666663E-2</v>
      </c>
      <c r="M462" s="29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4</v>
      </c>
      <c r="F463" s="17">
        <f t="shared" si="102"/>
        <v>16</v>
      </c>
      <c r="G463" s="67" t="s">
        <v>18</v>
      </c>
      <c r="H463" s="67" t="s">
        <v>39</v>
      </c>
      <c r="I463" s="67" t="s">
        <v>158</v>
      </c>
      <c r="J463" s="13">
        <v>0.52083333333333337</v>
      </c>
      <c r="K463" s="13">
        <v>0.5395833333333333</v>
      </c>
      <c r="L463" s="71">
        <f t="shared" si="103"/>
        <v>1.8749999999999933E-2</v>
      </c>
      <c r="M463" s="29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13</v>
      </c>
      <c r="F464" s="12">
        <f t="shared" si="102"/>
        <v>52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3"/>
        <v>1.5972222222222165E-2</v>
      </c>
      <c r="M464" s="29"/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17</v>
      </c>
      <c r="F465" s="17">
        <f t="shared" si="102"/>
        <v>68</v>
      </c>
      <c r="G465" s="16" t="s">
        <v>18</v>
      </c>
      <c r="H465" s="16" t="s">
        <v>115</v>
      </c>
      <c r="I465" s="16" t="s">
        <v>273</v>
      </c>
      <c r="J465" s="13">
        <v>0.70833333333333337</v>
      </c>
      <c r="K465" s="13" t="s">
        <v>274</v>
      </c>
      <c r="L465" s="71" t="str">
        <f t="shared" si="103"/>
        <v/>
      </c>
      <c r="M465" s="29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4</v>
      </c>
      <c r="F466" s="12">
        <f t="shared" si="102"/>
        <v>16</v>
      </c>
      <c r="G466" s="10"/>
      <c r="H466" s="10"/>
      <c r="I466" s="10"/>
      <c r="J466" s="13"/>
      <c r="K466" s="13"/>
      <c r="L466" s="70" t="str">
        <f t="shared" si="103"/>
        <v/>
      </c>
      <c r="M466" s="29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13</v>
      </c>
      <c r="F467" s="17">
        <f t="shared" si="102"/>
        <v>52</v>
      </c>
      <c r="G467" s="16"/>
      <c r="H467" s="16"/>
      <c r="I467" s="16"/>
      <c r="J467" s="13"/>
      <c r="K467" s="13"/>
      <c r="L467" s="71" t="str">
        <f t="shared" si="103"/>
        <v/>
      </c>
      <c r="M467" s="29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25</v>
      </c>
      <c r="F468" s="12">
        <f t="shared" si="102"/>
        <v>100</v>
      </c>
      <c r="G468" s="10"/>
      <c r="H468" s="10"/>
      <c r="I468" s="10"/>
      <c r="J468" s="13"/>
      <c r="K468" s="13"/>
      <c r="L468" s="70" t="str">
        <f t="shared" si="103"/>
        <v/>
      </c>
      <c r="M468" s="29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11</v>
      </c>
      <c r="F469" s="17">
        <f t="shared" si="102"/>
        <v>44</v>
      </c>
      <c r="G469" s="16"/>
      <c r="H469" s="16"/>
      <c r="I469" s="16"/>
      <c r="J469" s="13"/>
      <c r="K469" s="13"/>
      <c r="L469" s="71" t="str">
        <f t="shared" si="103"/>
        <v/>
      </c>
      <c r="M469" s="29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20</v>
      </c>
      <c r="F470" s="12">
        <f t="shared" si="102"/>
        <v>80</v>
      </c>
      <c r="G470" s="10"/>
      <c r="H470" s="10"/>
      <c r="I470" s="10"/>
      <c r="J470" s="13"/>
      <c r="K470" s="13"/>
      <c r="L470" s="70" t="str">
        <f t="shared" si="103"/>
        <v/>
      </c>
      <c r="M470" s="29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8</v>
      </c>
      <c r="F471" s="17">
        <f t="shared" si="102"/>
        <v>32</v>
      </c>
      <c r="G471" s="16"/>
      <c r="H471" s="16"/>
      <c r="I471" s="16"/>
      <c r="J471" s="13"/>
      <c r="K471" s="13"/>
      <c r="L471" s="71" t="str">
        <f t="shared" si="103"/>
        <v/>
      </c>
      <c r="M471" s="29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29" t="s">
        <v>275</v>
      </c>
      <c r="N472" s="30"/>
    </row>
    <row r="473" spans="1:14" ht="15.75" customHeight="1">
      <c r="A473" s="105" t="s">
        <v>191</v>
      </c>
      <c r="B473" s="105"/>
      <c r="C473" s="105"/>
      <c r="D473" s="105"/>
      <c r="E473" s="19">
        <f>SUM(E461:E472)</f>
        <v>143</v>
      </c>
      <c r="F473" s="19">
        <f>SUM(F461:F472)</f>
        <v>572</v>
      </c>
      <c r="G473" s="18"/>
      <c r="H473" s="18"/>
      <c r="I473" s="18"/>
      <c r="J473" s="18"/>
      <c r="K473" s="18"/>
      <c r="L473" s="72">
        <f>IFERROR(SUM(L461:L472),"")</f>
        <v>9.7222222222222043E-2</v>
      </c>
      <c r="M473" s="19" t="s">
        <v>192</v>
      </c>
      <c r="N473" s="20">
        <v>544800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11</v>
      </c>
      <c r="F474" s="12">
        <f t="shared" ref="F474:F485" si="105">IF(E474="","",E474*4)</f>
        <v>44</v>
      </c>
      <c r="G474" s="10" t="s">
        <v>19</v>
      </c>
      <c r="H474" s="10" t="s">
        <v>151</v>
      </c>
      <c r="I474" s="10" t="s">
        <v>27</v>
      </c>
      <c r="J474" s="13">
        <v>0.81944444444444442</v>
      </c>
      <c r="K474" s="13">
        <v>0.84375</v>
      </c>
      <c r="L474" s="70">
        <f t="shared" ref="L474:L485" si="106">IFERROR(IF(K474="","",IF(K474&gt;=J474,K474-J474,K474+1-J474)),"")</f>
        <v>2.430555555555558E-2</v>
      </c>
      <c r="M474" s="29" t="s">
        <v>276</v>
      </c>
      <c r="N474" s="30">
        <v>1</v>
      </c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6" t="s">
        <v>21</v>
      </c>
      <c r="D475" s="10" t="s">
        <v>30</v>
      </c>
      <c r="E475" s="11">
        <v>5</v>
      </c>
      <c r="F475" s="17">
        <f t="shared" si="105"/>
        <v>20</v>
      </c>
      <c r="G475" s="16" t="s">
        <v>20</v>
      </c>
      <c r="H475" s="16" t="s">
        <v>31</v>
      </c>
      <c r="I475" s="16" t="s">
        <v>28</v>
      </c>
      <c r="J475" s="13">
        <v>0.86250000000000004</v>
      </c>
      <c r="K475" s="13">
        <v>0.87291666666666667</v>
      </c>
      <c r="L475" s="71">
        <f t="shared" si="106"/>
        <v>1.041666666666663E-2</v>
      </c>
      <c r="M475" s="29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6" t="s">
        <v>21</v>
      </c>
      <c r="D476" s="10" t="s">
        <v>30</v>
      </c>
      <c r="E476" s="11">
        <v>10</v>
      </c>
      <c r="F476" s="12">
        <f t="shared" si="105"/>
        <v>40</v>
      </c>
      <c r="G476" s="10" t="s">
        <v>19</v>
      </c>
      <c r="H476" s="10" t="s">
        <v>31</v>
      </c>
      <c r="I476" s="16" t="s">
        <v>27</v>
      </c>
      <c r="J476" s="13">
        <v>2.0833333333333332E-2</v>
      </c>
      <c r="K476" s="13">
        <v>5.9027777777777776E-2</v>
      </c>
      <c r="L476" s="70">
        <f t="shared" si="106"/>
        <v>3.8194444444444448E-2</v>
      </c>
      <c r="M476" s="29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6" t="s">
        <v>21</v>
      </c>
      <c r="D477" s="10" t="s">
        <v>30</v>
      </c>
      <c r="E477" s="11">
        <v>11</v>
      </c>
      <c r="F477" s="17">
        <f t="shared" si="105"/>
        <v>44</v>
      </c>
      <c r="G477" s="16" t="s">
        <v>20</v>
      </c>
      <c r="H477" s="16" t="s">
        <v>115</v>
      </c>
      <c r="I477" s="16" t="s">
        <v>20</v>
      </c>
      <c r="J477" s="13">
        <v>0.1388888888888889</v>
      </c>
      <c r="K477" s="13">
        <v>0.14722222222222223</v>
      </c>
      <c r="L477" s="71">
        <f t="shared" si="106"/>
        <v>8.3333333333333315E-3</v>
      </c>
      <c r="M477" s="29" t="s">
        <v>277</v>
      </c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6" t="s">
        <v>21</v>
      </c>
      <c r="D478" s="10" t="s">
        <v>30</v>
      </c>
      <c r="E478" s="11">
        <v>4</v>
      </c>
      <c r="F478" s="12">
        <f t="shared" si="105"/>
        <v>16</v>
      </c>
      <c r="G478" s="10"/>
      <c r="H478" s="10"/>
      <c r="I478" s="10"/>
      <c r="J478" s="13"/>
      <c r="K478" s="13"/>
      <c r="L478" s="70" t="str">
        <f t="shared" si="106"/>
        <v/>
      </c>
      <c r="M478" s="29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6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29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6" t="s">
        <v>21</v>
      </c>
      <c r="D480" s="10" t="s">
        <v>30</v>
      </c>
      <c r="E480" s="11">
        <v>1</v>
      </c>
      <c r="F480" s="12">
        <f t="shared" si="105"/>
        <v>4</v>
      </c>
      <c r="G480" s="10"/>
      <c r="H480" s="10"/>
      <c r="I480" s="10"/>
      <c r="J480" s="13"/>
      <c r="K480" s="13"/>
      <c r="L480" s="70" t="str">
        <f t="shared" si="106"/>
        <v/>
      </c>
      <c r="M480" s="29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6" t="s">
        <v>21</v>
      </c>
      <c r="D481" s="10" t="s">
        <v>30</v>
      </c>
      <c r="E481" s="11">
        <v>8</v>
      </c>
      <c r="F481" s="17">
        <f t="shared" si="105"/>
        <v>32</v>
      </c>
      <c r="G481" s="16"/>
      <c r="H481" s="16"/>
      <c r="I481" s="16"/>
      <c r="J481" s="13"/>
      <c r="K481" s="13"/>
      <c r="L481" s="71" t="str">
        <f t="shared" si="106"/>
        <v/>
      </c>
      <c r="M481" s="29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6" t="s">
        <v>21</v>
      </c>
      <c r="D482" s="10" t="s">
        <v>30</v>
      </c>
      <c r="E482" s="11">
        <v>11</v>
      </c>
      <c r="F482" s="12">
        <f t="shared" si="105"/>
        <v>44</v>
      </c>
      <c r="G482" s="10"/>
      <c r="H482" s="10"/>
      <c r="I482" s="10"/>
      <c r="J482" s="13"/>
      <c r="K482" s="13"/>
      <c r="L482" s="70" t="str">
        <f t="shared" si="106"/>
        <v/>
      </c>
      <c r="M482" s="29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6" t="s">
        <v>21</v>
      </c>
      <c r="D483" s="10" t="s">
        <v>30</v>
      </c>
      <c r="E483" s="11">
        <v>11</v>
      </c>
      <c r="F483" s="17">
        <f t="shared" si="105"/>
        <v>44</v>
      </c>
      <c r="G483" s="16"/>
      <c r="H483" s="16"/>
      <c r="I483" s="16"/>
      <c r="J483" s="13"/>
      <c r="K483" s="13"/>
      <c r="L483" s="71" t="str">
        <f t="shared" si="106"/>
        <v/>
      </c>
      <c r="M483" s="29"/>
      <c r="N483" s="30"/>
    </row>
    <row r="484" spans="1:14" ht="15" customHeight="1">
      <c r="A484" s="58">
        <v>46191</v>
      </c>
      <c r="B484" s="9">
        <f t="shared" si="107"/>
        <v>1.25</v>
      </c>
      <c r="C484" s="16" t="s">
        <v>21</v>
      </c>
      <c r="D484" s="10" t="s">
        <v>30</v>
      </c>
      <c r="E484" s="11">
        <v>14</v>
      </c>
      <c r="F484" s="12">
        <f t="shared" si="105"/>
        <v>56</v>
      </c>
      <c r="G484" s="10"/>
      <c r="H484" s="10"/>
      <c r="I484" s="10"/>
      <c r="J484" s="13"/>
      <c r="K484" s="13"/>
      <c r="L484" s="70" t="str">
        <f t="shared" si="106"/>
        <v/>
      </c>
      <c r="M484" s="29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6" t="s">
        <v>21</v>
      </c>
      <c r="D485" s="10" t="s">
        <v>30</v>
      </c>
      <c r="E485" s="11">
        <v>8</v>
      </c>
      <c r="F485" s="17">
        <f t="shared" si="105"/>
        <v>32</v>
      </c>
      <c r="G485" s="16"/>
      <c r="H485" s="16"/>
      <c r="I485" s="16"/>
      <c r="J485" s="13"/>
      <c r="K485" s="13"/>
      <c r="L485" s="71" t="str">
        <f t="shared" si="106"/>
        <v/>
      </c>
      <c r="M485" s="29"/>
      <c r="N485" s="30"/>
    </row>
    <row r="486" spans="1:14" ht="15.75" customHeight="1">
      <c r="A486" s="105" t="s">
        <v>193</v>
      </c>
      <c r="B486" s="105"/>
      <c r="C486" s="105"/>
      <c r="D486" s="105"/>
      <c r="E486" s="19">
        <f>SUM(E474:E485)</f>
        <v>100</v>
      </c>
      <c r="F486" s="19">
        <f>SUM(F474:F485)</f>
        <v>400</v>
      </c>
      <c r="G486" s="18"/>
      <c r="H486" s="18"/>
      <c r="I486" s="18"/>
      <c r="J486" s="18"/>
      <c r="K486" s="18"/>
      <c r="L486" s="72">
        <f>IFERROR(SUM(L474:L485),"")</f>
        <v>8.1249999999999989E-2</v>
      </c>
      <c r="M486" s="19" t="s">
        <v>192</v>
      </c>
      <c r="N486" s="20">
        <v>400000</v>
      </c>
    </row>
    <row r="487" spans="1:14" ht="18" customHeight="1">
      <c r="A487" s="98" t="s">
        <v>194</v>
      </c>
      <c r="B487" s="98"/>
      <c r="C487" s="98"/>
      <c r="D487" s="98"/>
      <c r="E487" s="22">
        <f>E473+E486</f>
        <v>243</v>
      </c>
      <c r="F487" s="22">
        <f>F473+F486</f>
        <v>972</v>
      </c>
      <c r="G487" s="21"/>
      <c r="H487" s="21"/>
      <c r="I487" s="21"/>
      <c r="J487" s="21"/>
      <c r="K487" s="21"/>
      <c r="L487" s="73">
        <f>IFERROR(L473+L486,"")</f>
        <v>0.17847222222222203</v>
      </c>
      <c r="M487" s="22" t="s">
        <v>195</v>
      </c>
      <c r="N487" s="31">
        <f>IFERROR(N473+N486,"")</f>
        <v>944800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79">
        <v>8</v>
      </c>
      <c r="F488" s="12">
        <f>IF(E488="","",E488*4)</f>
        <v>32</v>
      </c>
      <c r="G488" s="10" t="s">
        <v>18</v>
      </c>
      <c r="H488" s="10" t="s">
        <v>31</v>
      </c>
      <c r="I488" s="10" t="s">
        <v>34</v>
      </c>
      <c r="J488" s="13">
        <v>0.30208333333333331</v>
      </c>
      <c r="K488" s="13">
        <v>0.57638888888888884</v>
      </c>
      <c r="L488" s="70">
        <f t="shared" ref="L488:L499" si="108">IFERROR(IF(K488="","",IF(K488&gt;=J488,K488-J488,K488+1-J488)),"")</f>
        <v>0.27430555555555552</v>
      </c>
      <c r="M488" s="29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>IF(E489="","",E489*4)</f>
        <v>0</v>
      </c>
      <c r="G489" s="16"/>
      <c r="H489" s="16"/>
      <c r="I489" s="16"/>
      <c r="J489" s="13"/>
      <c r="K489" s="13"/>
      <c r="L489" s="71" t="str">
        <f t="shared" si="108"/>
        <v/>
      </c>
      <c r="M489" s="29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4</v>
      </c>
      <c r="F490" s="12">
        <f t="shared" ref="F490:F499" si="110">IF(E490="","",E490*4)</f>
        <v>16</v>
      </c>
      <c r="G490" s="10"/>
      <c r="H490" s="10"/>
      <c r="I490" s="10"/>
      <c r="J490" s="13"/>
      <c r="K490" s="13"/>
      <c r="L490" s="70" t="str">
        <f t="shared" si="108"/>
        <v/>
      </c>
      <c r="M490" s="29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v>0</v>
      </c>
      <c r="G491" s="16"/>
      <c r="H491" s="16"/>
      <c r="I491" s="16"/>
      <c r="J491" s="13"/>
      <c r="K491" s="13"/>
      <c r="L491" s="71" t="str">
        <f t="shared" si="108"/>
        <v/>
      </c>
      <c r="M491" s="29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9</v>
      </c>
      <c r="F492" s="12">
        <f t="shared" si="110"/>
        <v>36</v>
      </c>
      <c r="G492" s="10" t="s">
        <v>20</v>
      </c>
      <c r="H492" s="10" t="s">
        <v>52</v>
      </c>
      <c r="I492" s="10" t="s">
        <v>27</v>
      </c>
      <c r="J492" s="13">
        <v>0.49375000000000002</v>
      </c>
      <c r="K492" s="13">
        <v>0.51527777777777772</v>
      </c>
      <c r="L492" s="70">
        <f t="shared" si="108"/>
        <v>2.1527777777777701E-2</v>
      </c>
      <c r="M492" s="29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10</v>
      </c>
      <c r="F493" s="17">
        <f t="shared" si="110"/>
        <v>40</v>
      </c>
      <c r="G493" s="16" t="s">
        <v>19</v>
      </c>
      <c r="H493" s="10" t="s">
        <v>57</v>
      </c>
      <c r="I493" s="16" t="s">
        <v>35</v>
      </c>
      <c r="J493" s="13">
        <v>0.49375000000000002</v>
      </c>
      <c r="K493" s="13">
        <v>0.51527777777777772</v>
      </c>
      <c r="L493" s="71">
        <f t="shared" si="108"/>
        <v>2.1527777777777701E-2</v>
      </c>
      <c r="M493" s="29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 t="s">
        <v>20</v>
      </c>
      <c r="H494" s="10" t="s">
        <v>47</v>
      </c>
      <c r="I494" s="10"/>
      <c r="J494" s="13">
        <v>0.52083333333333337</v>
      </c>
      <c r="K494" s="13">
        <v>0.55000000000000004</v>
      </c>
      <c r="L494" s="70">
        <f t="shared" si="108"/>
        <v>2.9166666666666674E-2</v>
      </c>
      <c r="M494" s="29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13</v>
      </c>
      <c r="F495" s="17">
        <f t="shared" si="110"/>
        <v>52</v>
      </c>
      <c r="G495" s="16" t="s">
        <v>19</v>
      </c>
      <c r="H495" s="10" t="s">
        <v>31</v>
      </c>
      <c r="I495" s="16" t="s">
        <v>27</v>
      </c>
      <c r="J495" s="13">
        <v>0.65625</v>
      </c>
      <c r="K495" s="13">
        <v>0.67361111111111116</v>
      </c>
      <c r="L495" s="71">
        <f t="shared" si="108"/>
        <v>1.736111111111116E-2</v>
      </c>
      <c r="M495" s="29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4</v>
      </c>
      <c r="F496" s="12">
        <f t="shared" si="110"/>
        <v>16</v>
      </c>
      <c r="G496" s="10" t="s">
        <v>19</v>
      </c>
      <c r="H496" s="10" t="s">
        <v>39</v>
      </c>
      <c r="I496" s="10" t="s">
        <v>27</v>
      </c>
      <c r="J496" s="13">
        <v>0.65625</v>
      </c>
      <c r="K496" s="13"/>
      <c r="L496" s="70" t="str">
        <f t="shared" si="108"/>
        <v/>
      </c>
      <c r="M496" s="29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>
        <v>8</v>
      </c>
      <c r="F497" s="17">
        <f t="shared" si="110"/>
        <v>32</v>
      </c>
      <c r="G497" s="16"/>
      <c r="H497" s="16"/>
      <c r="I497" s="16"/>
      <c r="J497" s="13"/>
      <c r="K497" s="13"/>
      <c r="L497" s="71" t="str">
        <f t="shared" si="108"/>
        <v/>
      </c>
      <c r="M497" s="29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0</v>
      </c>
      <c r="F498" s="12">
        <f t="shared" si="110"/>
        <v>0</v>
      </c>
      <c r="G498" s="10"/>
      <c r="H498" s="10"/>
      <c r="I498" s="10"/>
      <c r="J498" s="13"/>
      <c r="K498" s="13"/>
      <c r="L498" s="70" t="str">
        <f t="shared" si="108"/>
        <v/>
      </c>
      <c r="M498" s="29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>
        <v>8</v>
      </c>
      <c r="F499" s="17">
        <f t="shared" si="110"/>
        <v>32</v>
      </c>
      <c r="G499" s="16"/>
      <c r="H499" s="16"/>
      <c r="I499" s="16"/>
      <c r="J499" s="13"/>
      <c r="K499" s="13"/>
      <c r="L499" s="71" t="str">
        <f t="shared" si="108"/>
        <v/>
      </c>
      <c r="M499" s="29"/>
      <c r="N499" s="30"/>
    </row>
    <row r="500" spans="1:14" ht="15.75" customHeight="1">
      <c r="A500" s="105" t="s">
        <v>191</v>
      </c>
      <c r="B500" s="105"/>
      <c r="C500" s="105"/>
      <c r="D500" s="105"/>
      <c r="E500" s="19">
        <f>SUM(E488:E499)</f>
        <v>69</v>
      </c>
      <c r="F500" s="19">
        <f>SUM(F488:F499)</f>
        <v>276</v>
      </c>
      <c r="G500" s="18"/>
      <c r="H500" s="18"/>
      <c r="I500" s="18"/>
      <c r="J500" s="18"/>
      <c r="K500" s="18"/>
      <c r="L500" s="72">
        <f>IFERROR(SUM(L488:L499),"")</f>
        <v>0.36388888888888876</v>
      </c>
      <c r="M500" s="19" t="s">
        <v>192</v>
      </c>
      <c r="N500" s="20">
        <f>92570+255950+56000</f>
        <v>404520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18</v>
      </c>
      <c r="F501" s="17">
        <f t="shared" ref="F501:F512" si="111">IF(E501="","",E501*4)</f>
        <v>72</v>
      </c>
      <c r="G501" s="16" t="s">
        <v>19</v>
      </c>
      <c r="H501" s="16" t="s">
        <v>151</v>
      </c>
      <c r="I501" s="16" t="s">
        <v>27</v>
      </c>
      <c r="J501" s="13">
        <v>0.92500000000000004</v>
      </c>
      <c r="K501" s="13">
        <v>0.94097222222222221</v>
      </c>
      <c r="L501" s="71">
        <f t="shared" ref="L501:L512" si="112">IFERROR(IF(K501="","",IF(K501&gt;=J501,K501-J501,K501+1-J501)),"")</f>
        <v>1.5972222222222165E-2</v>
      </c>
      <c r="M501" s="29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16</v>
      </c>
      <c r="F502" s="12">
        <f t="shared" si="111"/>
        <v>64</v>
      </c>
      <c r="G502" s="10" t="s">
        <v>19</v>
      </c>
      <c r="H502" s="10" t="s">
        <v>151</v>
      </c>
      <c r="I502" s="10" t="s">
        <v>27</v>
      </c>
      <c r="J502" s="13">
        <v>6.9444444444444448E-2</v>
      </c>
      <c r="K502" s="13">
        <v>9.0277777777777776E-2</v>
      </c>
      <c r="L502" s="70">
        <f t="shared" si="112"/>
        <v>2.0833333333333329E-2</v>
      </c>
      <c r="M502" s="29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15</v>
      </c>
      <c r="F503" s="17">
        <f t="shared" si="111"/>
        <v>60</v>
      </c>
      <c r="G503" s="16" t="s">
        <v>18</v>
      </c>
      <c r="H503" s="16" t="s">
        <v>39</v>
      </c>
      <c r="I503" s="16" t="s">
        <v>148</v>
      </c>
      <c r="J503" s="13">
        <v>0.1763888888888889</v>
      </c>
      <c r="K503" s="13">
        <v>0.20416666666666666</v>
      </c>
      <c r="L503" s="71">
        <f t="shared" si="112"/>
        <v>2.7777777777777762E-2</v>
      </c>
      <c r="M503" s="29" t="s">
        <v>278</v>
      </c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21</v>
      </c>
      <c r="F504" s="12">
        <f t="shared" si="111"/>
        <v>84</v>
      </c>
      <c r="G504" s="10" t="s">
        <v>17</v>
      </c>
      <c r="H504" s="10"/>
      <c r="I504" s="10" t="s">
        <v>86</v>
      </c>
      <c r="J504" s="13">
        <v>0.27083333333333331</v>
      </c>
      <c r="K504" s="13">
        <v>0.29166666666666669</v>
      </c>
      <c r="L504" s="70">
        <f t="shared" si="112"/>
        <v>2.083333333333337E-2</v>
      </c>
      <c r="M504" s="29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16</v>
      </c>
      <c r="F505" s="17">
        <f t="shared" si="111"/>
        <v>64</v>
      </c>
      <c r="G505" s="16"/>
      <c r="H505" s="16"/>
      <c r="I505" s="16"/>
      <c r="J505" s="13"/>
      <c r="K505" s="13"/>
      <c r="L505" s="71" t="str">
        <f t="shared" si="112"/>
        <v/>
      </c>
      <c r="M505" s="29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20</v>
      </c>
      <c r="F506" s="12">
        <f t="shared" si="111"/>
        <v>80</v>
      </c>
      <c r="G506" s="10"/>
      <c r="H506" s="10"/>
      <c r="I506" s="10"/>
      <c r="J506" s="13"/>
      <c r="K506" s="13"/>
      <c r="L506" s="70" t="str">
        <f t="shared" si="112"/>
        <v/>
      </c>
      <c r="M506" s="29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18</v>
      </c>
      <c r="F507" s="17">
        <f t="shared" si="111"/>
        <v>72</v>
      </c>
      <c r="G507" s="16"/>
      <c r="H507" s="16"/>
      <c r="I507" s="16"/>
      <c r="J507" s="13"/>
      <c r="K507" s="13"/>
      <c r="L507" s="71" t="str">
        <f t="shared" si="112"/>
        <v/>
      </c>
      <c r="M507" s="29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17</v>
      </c>
      <c r="F508" s="12">
        <f t="shared" si="111"/>
        <v>68</v>
      </c>
      <c r="G508" s="10"/>
      <c r="H508" s="10"/>
      <c r="I508" s="10"/>
      <c r="J508" s="13"/>
      <c r="K508" s="13"/>
      <c r="L508" s="70" t="str">
        <f t="shared" si="112"/>
        <v/>
      </c>
      <c r="M508" s="29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17</v>
      </c>
      <c r="F509" s="17">
        <f t="shared" si="111"/>
        <v>68</v>
      </c>
      <c r="G509" s="16"/>
      <c r="H509" s="16"/>
      <c r="I509" s="16"/>
      <c r="J509" s="13"/>
      <c r="K509" s="13"/>
      <c r="L509" s="71" t="str">
        <f t="shared" si="112"/>
        <v/>
      </c>
      <c r="M509" s="29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5</v>
      </c>
      <c r="F510" s="12">
        <f t="shared" si="111"/>
        <v>20</v>
      </c>
      <c r="G510" s="10"/>
      <c r="H510" s="10"/>
      <c r="I510" s="10"/>
      <c r="J510" s="13"/>
      <c r="K510" s="13"/>
      <c r="L510" s="70" t="str">
        <f t="shared" si="112"/>
        <v/>
      </c>
      <c r="M510" s="29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15</v>
      </c>
      <c r="F511" s="17">
        <f t="shared" si="111"/>
        <v>60</v>
      </c>
      <c r="G511" s="16"/>
      <c r="H511" s="16"/>
      <c r="I511" s="16"/>
      <c r="J511" s="13"/>
      <c r="K511" s="13"/>
      <c r="L511" s="71" t="str">
        <f t="shared" si="112"/>
        <v/>
      </c>
      <c r="M511" s="29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11</v>
      </c>
      <c r="F512" s="12">
        <f t="shared" si="111"/>
        <v>44</v>
      </c>
      <c r="G512" s="10"/>
      <c r="H512" s="10"/>
      <c r="I512" s="10"/>
      <c r="J512" s="13"/>
      <c r="K512" s="13"/>
      <c r="L512" s="70" t="str">
        <f t="shared" si="112"/>
        <v/>
      </c>
      <c r="M512" s="29"/>
      <c r="N512" s="30"/>
    </row>
    <row r="513" spans="1:14" ht="15.75" customHeight="1">
      <c r="A513" s="105" t="s">
        <v>193</v>
      </c>
      <c r="B513" s="105"/>
      <c r="C513" s="105"/>
      <c r="D513" s="105"/>
      <c r="E513" s="19">
        <f>SUM(E501:E512)</f>
        <v>189</v>
      </c>
      <c r="F513" s="19">
        <f>SUM(F501:F512)</f>
        <v>756</v>
      </c>
      <c r="G513" s="18"/>
      <c r="H513" s="18"/>
      <c r="I513" s="18"/>
      <c r="J513" s="18"/>
      <c r="K513" s="18"/>
      <c r="L513" s="72">
        <f>IFERROR(SUM(L501:L512),"")</f>
        <v>8.5416666666666627E-2</v>
      </c>
      <c r="M513" s="19" t="s">
        <v>192</v>
      </c>
      <c r="N513" s="20">
        <f>1031250+71560</f>
        <v>1102810</v>
      </c>
    </row>
    <row r="514" spans="1:14" ht="18" customHeight="1">
      <c r="A514" s="98" t="s">
        <v>194</v>
      </c>
      <c r="B514" s="98"/>
      <c r="C514" s="98"/>
      <c r="D514" s="98"/>
      <c r="E514" s="22">
        <f>E500+E513</f>
        <v>258</v>
      </c>
      <c r="F514" s="22">
        <f>F500+F513</f>
        <v>1032</v>
      </c>
      <c r="G514" s="21"/>
      <c r="H514" s="21"/>
      <c r="I514" s="21"/>
      <c r="J514" s="21"/>
      <c r="K514" s="21"/>
      <c r="L514" s="73">
        <f>IFERROR(L500+L513,"")</f>
        <v>0.4493055555555554</v>
      </c>
      <c r="M514" s="22" t="s">
        <v>195</v>
      </c>
      <c r="N514" s="31">
        <f>IFERROR(N500+N513,"")</f>
        <v>1507330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5">IFERROR(IF(K515="","",IF(K515&gt;=J515,K515-J515,K515+1-J515)),"")</f>
        <v>0.15486111111111112</v>
      </c>
      <c r="M515" s="29" t="s">
        <v>213</v>
      </c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16" t="s">
        <v>17</v>
      </c>
      <c r="H516" s="10"/>
      <c r="I516" s="16" t="s">
        <v>86</v>
      </c>
      <c r="J516" s="13"/>
      <c r="K516" s="13"/>
      <c r="L516" s="70" t="str">
        <f t="shared" si="115"/>
        <v/>
      </c>
      <c r="M516" s="29" t="s">
        <v>213</v>
      </c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>
        <v>1</v>
      </c>
      <c r="F517" s="17">
        <f t="shared" si="114"/>
        <v>4</v>
      </c>
      <c r="G517" s="16" t="s">
        <v>17</v>
      </c>
      <c r="H517" s="16"/>
      <c r="I517" s="16" t="s">
        <v>86</v>
      </c>
      <c r="J517" s="13"/>
      <c r="K517" s="13"/>
      <c r="L517" s="71" t="str">
        <f t="shared" si="115"/>
        <v/>
      </c>
      <c r="M517" s="29" t="s">
        <v>213</v>
      </c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>
        <v>6</v>
      </c>
      <c r="F518" s="12">
        <f t="shared" si="114"/>
        <v>24</v>
      </c>
      <c r="G518" s="10" t="s">
        <v>19</v>
      </c>
      <c r="H518" s="10" t="s">
        <v>31</v>
      </c>
      <c r="I518" s="10" t="s">
        <v>27</v>
      </c>
      <c r="J518" s="13">
        <v>0.54513888888888884</v>
      </c>
      <c r="K518" s="13">
        <v>0.56944444444444442</v>
      </c>
      <c r="L518" s="70">
        <f t="shared" si="115"/>
        <v>2.430555555555558E-2</v>
      </c>
      <c r="M518" s="29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18</v>
      </c>
      <c r="F519" s="17">
        <f t="shared" si="114"/>
        <v>72</v>
      </c>
      <c r="G519" s="16" t="s">
        <v>19</v>
      </c>
      <c r="H519" s="16" t="s">
        <v>39</v>
      </c>
      <c r="I519" s="16" t="s">
        <v>27</v>
      </c>
      <c r="J519" s="13">
        <v>0.54513888888888884</v>
      </c>
      <c r="K519" s="13">
        <v>0.56944444444444442</v>
      </c>
      <c r="L519" s="71">
        <f t="shared" si="115"/>
        <v>2.430555555555558E-2</v>
      </c>
      <c r="M519" s="29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3</v>
      </c>
      <c r="F520" s="12">
        <f t="shared" si="114"/>
        <v>12</v>
      </c>
      <c r="G520" s="10"/>
      <c r="H520" s="10"/>
      <c r="I520" s="10"/>
      <c r="J520" s="13"/>
      <c r="K520" s="13"/>
      <c r="L520" s="70" t="str">
        <f t="shared" si="115"/>
        <v/>
      </c>
      <c r="M520" s="29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11</v>
      </c>
      <c r="F521" s="17">
        <f t="shared" si="114"/>
        <v>44</v>
      </c>
      <c r="G521" s="16"/>
      <c r="H521" s="16"/>
      <c r="I521" s="16"/>
      <c r="J521" s="13"/>
      <c r="K521" s="13"/>
      <c r="L521" s="71" t="str">
        <f t="shared" si="115"/>
        <v/>
      </c>
      <c r="M521" s="29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14</v>
      </c>
      <c r="F522" s="12">
        <f t="shared" si="114"/>
        <v>56</v>
      </c>
      <c r="G522" s="10"/>
      <c r="H522" s="10"/>
      <c r="I522" s="10"/>
      <c r="J522" s="13"/>
      <c r="K522" s="13"/>
      <c r="L522" s="70" t="str">
        <f t="shared" si="115"/>
        <v/>
      </c>
      <c r="M522" s="29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12</v>
      </c>
      <c r="F523" s="17">
        <f t="shared" si="114"/>
        <v>48</v>
      </c>
      <c r="G523" s="16"/>
      <c r="H523" s="16"/>
      <c r="I523" s="16"/>
      <c r="J523" s="13"/>
      <c r="K523" s="13"/>
      <c r="L523" s="71" t="str">
        <f t="shared" si="115"/>
        <v/>
      </c>
      <c r="M523" s="29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17</v>
      </c>
      <c r="F524" s="12">
        <f t="shared" si="114"/>
        <v>68</v>
      </c>
      <c r="G524" s="10"/>
      <c r="H524" s="10"/>
      <c r="I524" s="10"/>
      <c r="J524" s="13"/>
      <c r="K524" s="13"/>
      <c r="L524" s="70" t="str">
        <f t="shared" si="115"/>
        <v/>
      </c>
      <c r="M524" s="29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12</v>
      </c>
      <c r="F525" s="17">
        <f t="shared" si="114"/>
        <v>48</v>
      </c>
      <c r="G525" s="16"/>
      <c r="H525" s="16"/>
      <c r="I525" s="16"/>
      <c r="J525" s="13"/>
      <c r="K525" s="13"/>
      <c r="L525" s="71" t="str">
        <f t="shared" si="115"/>
        <v/>
      </c>
      <c r="M525" s="29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5</v>
      </c>
      <c r="F526" s="12">
        <f t="shared" si="114"/>
        <v>20</v>
      </c>
      <c r="G526" s="10"/>
      <c r="H526" s="10"/>
      <c r="I526" s="10"/>
      <c r="J526" s="13"/>
      <c r="K526" s="13"/>
      <c r="L526" s="70" t="str">
        <f t="shared" si="115"/>
        <v/>
      </c>
      <c r="M526" s="29"/>
      <c r="N526" s="30"/>
    </row>
    <row r="527" spans="1:14" ht="15.75" customHeight="1">
      <c r="A527" s="105" t="s">
        <v>191</v>
      </c>
      <c r="B527" s="105"/>
      <c r="C527" s="105"/>
      <c r="D527" s="105"/>
      <c r="E527" s="19">
        <f>SUM(E515:E526)</f>
        <v>99</v>
      </c>
      <c r="F527" s="19">
        <f>SUM(F515:F526)</f>
        <v>396</v>
      </c>
      <c r="G527" s="18"/>
      <c r="H527" s="18"/>
      <c r="I527" s="18"/>
      <c r="J527" s="18"/>
      <c r="K527" s="18"/>
      <c r="L527" s="72">
        <f>IFERROR(SUM(L515:L526),"")</f>
        <v>0.20347222222222228</v>
      </c>
      <c r="M527" s="19" t="s">
        <v>192</v>
      </c>
      <c r="N527" s="20">
        <v>396000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18</v>
      </c>
      <c r="H528" s="10" t="s">
        <v>31</v>
      </c>
      <c r="I528" s="10" t="s">
        <v>170</v>
      </c>
      <c r="J528" s="13">
        <v>0.8</v>
      </c>
      <c r="K528" s="13">
        <v>0.90972222222222221</v>
      </c>
      <c r="L528" s="70">
        <f t="shared" ref="L528:L539" si="118">IFERROR(IF(K528="","",IF(K528&gt;=J528,K528-J528,K528+1-J528)),"")</f>
        <v>0.10972222222222217</v>
      </c>
      <c r="M528" s="29" t="s">
        <v>279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0</v>
      </c>
      <c r="F529" s="17">
        <f t="shared" si="117"/>
        <v>0</v>
      </c>
      <c r="G529" s="16" t="s">
        <v>20</v>
      </c>
      <c r="H529" s="16" t="s">
        <v>141</v>
      </c>
      <c r="I529" s="16" t="s">
        <v>126</v>
      </c>
      <c r="J529" s="13">
        <v>0.8125</v>
      </c>
      <c r="K529" s="13">
        <v>0.84305555555555556</v>
      </c>
      <c r="L529" s="71">
        <f t="shared" si="118"/>
        <v>3.0555555555555558E-2</v>
      </c>
      <c r="M529" s="29" t="s">
        <v>280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0</v>
      </c>
      <c r="F530" s="12">
        <f t="shared" si="117"/>
        <v>0</v>
      </c>
      <c r="G530" s="10" t="s">
        <v>19</v>
      </c>
      <c r="H530" s="10" t="s">
        <v>39</v>
      </c>
      <c r="I530" s="10" t="s">
        <v>93</v>
      </c>
      <c r="J530" s="13">
        <v>0.94930555555555551</v>
      </c>
      <c r="K530" s="13">
        <v>0.97916666666666663</v>
      </c>
      <c r="L530" s="70">
        <f t="shared" si="118"/>
        <v>2.9861111111111116E-2</v>
      </c>
      <c r="M530" s="29" t="s">
        <v>281</v>
      </c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11</v>
      </c>
      <c r="F531" s="17">
        <f t="shared" si="117"/>
        <v>44</v>
      </c>
      <c r="G531" s="16" t="s">
        <v>17</v>
      </c>
      <c r="H531" s="16" t="s">
        <v>127</v>
      </c>
      <c r="I531" s="16" t="s">
        <v>41</v>
      </c>
      <c r="J531" s="13">
        <v>5.1388888888888887E-2</v>
      </c>
      <c r="K531" s="13">
        <v>0.11319444444444444</v>
      </c>
      <c r="L531" s="71">
        <f t="shared" si="118"/>
        <v>6.1805555555555558E-2</v>
      </c>
      <c r="M531" s="29" t="s">
        <v>282</v>
      </c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17</v>
      </c>
      <c r="H532" s="10" t="s">
        <v>80</v>
      </c>
      <c r="I532" s="10" t="s">
        <v>25</v>
      </c>
      <c r="J532" s="13">
        <v>5.1388888888888887E-2</v>
      </c>
      <c r="K532" s="13">
        <v>9.0277777777777776E-2</v>
      </c>
      <c r="L532" s="70">
        <f t="shared" si="118"/>
        <v>3.888888888888889E-2</v>
      </c>
      <c r="M532" s="29" t="s">
        <v>283</v>
      </c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14</v>
      </c>
      <c r="F533" s="17">
        <f t="shared" si="117"/>
        <v>56</v>
      </c>
      <c r="G533" s="16" t="s">
        <v>17</v>
      </c>
      <c r="H533" s="16" t="s">
        <v>85</v>
      </c>
      <c r="I533" s="16" t="s">
        <v>25</v>
      </c>
      <c r="J533" s="13">
        <v>5.1388888888888887E-2</v>
      </c>
      <c r="K533" s="13">
        <v>9.0277777777777776E-2</v>
      </c>
      <c r="L533" s="71">
        <f t="shared" si="118"/>
        <v>3.888888888888889E-2</v>
      </c>
      <c r="M533" s="29" t="s">
        <v>283</v>
      </c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8</v>
      </c>
      <c r="F534" s="12">
        <f t="shared" si="117"/>
        <v>32</v>
      </c>
      <c r="G534" s="10" t="s">
        <v>20</v>
      </c>
      <c r="H534" s="10" t="s">
        <v>149</v>
      </c>
      <c r="I534" s="10" t="s">
        <v>74</v>
      </c>
      <c r="J534" s="13">
        <v>0.22222222222222221</v>
      </c>
      <c r="K534" s="13">
        <v>0.23680555555555555</v>
      </c>
      <c r="L534" s="70">
        <f t="shared" si="118"/>
        <v>1.4583333333333337E-2</v>
      </c>
      <c r="M534" s="29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29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11</v>
      </c>
      <c r="F536" s="12">
        <f t="shared" si="117"/>
        <v>44</v>
      </c>
      <c r="G536" s="10"/>
      <c r="H536" s="10"/>
      <c r="I536" s="10"/>
      <c r="J536" s="13"/>
      <c r="K536" s="13"/>
      <c r="L536" s="70" t="str">
        <f t="shared" si="118"/>
        <v/>
      </c>
      <c r="M536" s="29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13</v>
      </c>
      <c r="F537" s="17">
        <f t="shared" si="117"/>
        <v>52</v>
      </c>
      <c r="G537" s="16"/>
      <c r="H537" s="16"/>
      <c r="I537" s="16"/>
      <c r="J537" s="13"/>
      <c r="K537" s="13"/>
      <c r="L537" s="71" t="str">
        <f t="shared" si="118"/>
        <v/>
      </c>
      <c r="M537" s="29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9</v>
      </c>
      <c r="F538" s="12">
        <f t="shared" si="117"/>
        <v>36</v>
      </c>
      <c r="G538" s="10"/>
      <c r="H538" s="10"/>
      <c r="I538" s="10"/>
      <c r="J538" s="13"/>
      <c r="K538" s="13"/>
      <c r="L538" s="70" t="str">
        <f t="shared" si="118"/>
        <v/>
      </c>
      <c r="M538" s="29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5</v>
      </c>
      <c r="F539" s="17">
        <f t="shared" si="117"/>
        <v>20</v>
      </c>
      <c r="G539" s="16"/>
      <c r="H539" s="16"/>
      <c r="I539" s="16"/>
      <c r="J539" s="13"/>
      <c r="K539" s="13"/>
      <c r="L539" s="71" t="str">
        <f t="shared" si="118"/>
        <v/>
      </c>
      <c r="M539" s="29"/>
      <c r="N539" s="30"/>
    </row>
    <row r="540" spans="1:14" ht="15.75" customHeight="1">
      <c r="A540" s="105" t="s">
        <v>193</v>
      </c>
      <c r="B540" s="105"/>
      <c r="C540" s="105"/>
      <c r="D540" s="105"/>
      <c r="E540" s="19">
        <f>SUM(E528:E539)</f>
        <v>80</v>
      </c>
      <c r="F540" s="19">
        <f>SUM(F528:F539)</f>
        <v>320</v>
      </c>
      <c r="G540" s="18"/>
      <c r="H540" s="18"/>
      <c r="I540" s="18"/>
      <c r="J540" s="18"/>
      <c r="K540" s="18"/>
      <c r="L540" s="72">
        <f>IFERROR(SUM(L528:L539),"")</f>
        <v>0.32430555555555546</v>
      </c>
      <c r="M540" s="19" t="s">
        <v>192</v>
      </c>
      <c r="N540" s="20">
        <v>504470</v>
      </c>
    </row>
    <row r="541" spans="1:14" ht="18" customHeight="1">
      <c r="A541" s="98" t="s">
        <v>194</v>
      </c>
      <c r="B541" s="98"/>
      <c r="C541" s="98"/>
      <c r="D541" s="98"/>
      <c r="E541" s="22">
        <f>E527+E540</f>
        <v>179</v>
      </c>
      <c r="F541" s="22">
        <f>F527+F540</f>
        <v>716</v>
      </c>
      <c r="G541" s="21"/>
      <c r="H541" s="21"/>
      <c r="I541" s="21"/>
      <c r="J541" s="21"/>
      <c r="K541" s="21"/>
      <c r="L541" s="73">
        <f>IFERROR(L527+L540,"")</f>
        <v>0.52777777777777768</v>
      </c>
      <c r="M541" s="22" t="s">
        <v>195</v>
      </c>
      <c r="N541" s="31">
        <f>IFERROR(N527+N540,"")</f>
        <v>900470</v>
      </c>
    </row>
    <row r="542" spans="1:14" ht="15" customHeight="1">
      <c r="A542" s="58">
        <v>46194</v>
      </c>
      <c r="B542" s="9">
        <v>0.33333333333333298</v>
      </c>
      <c r="C542" s="16" t="s">
        <v>45</v>
      </c>
      <c r="D542" s="10" t="s">
        <v>30</v>
      </c>
      <c r="E542" s="11">
        <v>8</v>
      </c>
      <c r="F542" s="12">
        <f t="shared" ref="F542:F553" si="120">IF(E542="","",E542*4)</f>
        <v>32</v>
      </c>
      <c r="G542" s="10" t="s">
        <v>19</v>
      </c>
      <c r="H542" s="10" t="s">
        <v>31</v>
      </c>
      <c r="I542" s="10" t="s">
        <v>27</v>
      </c>
      <c r="J542" s="13">
        <v>0.31666666666666665</v>
      </c>
      <c r="K542" s="13">
        <v>0.35416666666666669</v>
      </c>
      <c r="L542" s="70">
        <f t="shared" ref="L542:L553" si="121">IFERROR(IF(K542="","",IF(K542&gt;=J542,K542-J542,K542+1-J542)),"")</f>
        <v>3.7500000000000033E-2</v>
      </c>
      <c r="M542" s="29"/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6" t="s">
        <v>45</v>
      </c>
      <c r="D543" s="10" t="s">
        <v>30</v>
      </c>
      <c r="E543" s="11">
        <v>0</v>
      </c>
      <c r="F543" s="17">
        <f t="shared" si="120"/>
        <v>0</v>
      </c>
      <c r="G543" s="16" t="s">
        <v>19</v>
      </c>
      <c r="H543" s="10" t="s">
        <v>39</v>
      </c>
      <c r="I543" s="16" t="s">
        <v>27</v>
      </c>
      <c r="J543" s="13">
        <v>0.31666666666666665</v>
      </c>
      <c r="K543" s="13">
        <v>0.35416666666666669</v>
      </c>
      <c r="L543" s="71">
        <f t="shared" si="121"/>
        <v>3.7500000000000033E-2</v>
      </c>
      <c r="M543" s="29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6" t="s">
        <v>45</v>
      </c>
      <c r="D544" s="10" t="s">
        <v>30</v>
      </c>
      <c r="E544" s="11">
        <v>19</v>
      </c>
      <c r="F544" s="12">
        <f t="shared" si="120"/>
        <v>76</v>
      </c>
      <c r="G544" s="10" t="s">
        <v>20</v>
      </c>
      <c r="H544" s="10"/>
      <c r="I544" s="10" t="s">
        <v>20</v>
      </c>
      <c r="J544" s="13">
        <v>0.31666666666666665</v>
      </c>
      <c r="K544" s="13">
        <v>0.35416666666666669</v>
      </c>
      <c r="L544" s="70">
        <f t="shared" si="121"/>
        <v>3.7500000000000033E-2</v>
      </c>
      <c r="M544" s="29" t="s">
        <v>284</v>
      </c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6" t="s">
        <v>45</v>
      </c>
      <c r="D545" s="10" t="s">
        <v>30</v>
      </c>
      <c r="E545" s="11">
        <v>10</v>
      </c>
      <c r="F545" s="17">
        <f t="shared" si="120"/>
        <v>40</v>
      </c>
      <c r="G545" s="16" t="s">
        <v>18</v>
      </c>
      <c r="H545" s="16" t="s">
        <v>31</v>
      </c>
      <c r="I545" s="16" t="s">
        <v>87</v>
      </c>
      <c r="J545" s="13">
        <v>0.70833333333333337</v>
      </c>
      <c r="K545" s="13"/>
      <c r="L545" s="71" t="str">
        <f t="shared" si="121"/>
        <v/>
      </c>
      <c r="M545" s="29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6" t="s">
        <v>45</v>
      </c>
      <c r="D546" s="10" t="s">
        <v>30</v>
      </c>
      <c r="E546" s="11">
        <v>12</v>
      </c>
      <c r="F546" s="12">
        <f t="shared" si="120"/>
        <v>48</v>
      </c>
      <c r="G546" s="10" t="s">
        <v>18</v>
      </c>
      <c r="H546" s="10" t="s">
        <v>39</v>
      </c>
      <c r="I546" s="10" t="s">
        <v>87</v>
      </c>
      <c r="J546" s="13">
        <v>0.70833333333333337</v>
      </c>
      <c r="K546" s="13"/>
      <c r="L546" s="70" t="str">
        <f t="shared" si="121"/>
        <v/>
      </c>
      <c r="M546" s="29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6" t="s">
        <v>45</v>
      </c>
      <c r="D547" s="10" t="s">
        <v>30</v>
      </c>
      <c r="E547" s="11">
        <v>11</v>
      </c>
      <c r="F547" s="17">
        <f t="shared" si="120"/>
        <v>44</v>
      </c>
      <c r="G547" s="16"/>
      <c r="H547" s="16"/>
      <c r="I547" s="16"/>
      <c r="J547" s="13"/>
      <c r="K547" s="13"/>
      <c r="L547" s="71" t="str">
        <f t="shared" si="121"/>
        <v/>
      </c>
      <c r="M547" s="29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6" t="s">
        <v>45</v>
      </c>
      <c r="D548" s="10" t="s">
        <v>30</v>
      </c>
      <c r="E548" s="11">
        <v>13</v>
      </c>
      <c r="F548" s="12">
        <f t="shared" si="120"/>
        <v>52</v>
      </c>
      <c r="G548" s="10"/>
      <c r="H548" s="10"/>
      <c r="I548" s="10"/>
      <c r="J548" s="13"/>
      <c r="K548" s="13"/>
      <c r="L548" s="70" t="str">
        <f t="shared" si="121"/>
        <v/>
      </c>
      <c r="M548" s="29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6" t="s">
        <v>45</v>
      </c>
      <c r="D549" s="10" t="s">
        <v>30</v>
      </c>
      <c r="E549" s="11">
        <v>10</v>
      </c>
      <c r="F549" s="17">
        <f t="shared" si="120"/>
        <v>40</v>
      </c>
      <c r="G549" s="16"/>
      <c r="H549" s="16"/>
      <c r="I549" s="16"/>
      <c r="J549" s="13"/>
      <c r="K549" s="13"/>
      <c r="L549" s="71" t="str">
        <f t="shared" si="121"/>
        <v/>
      </c>
      <c r="M549" s="29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6" t="s">
        <v>45</v>
      </c>
      <c r="D550" s="10" t="s">
        <v>30</v>
      </c>
      <c r="E550" s="11">
        <v>12</v>
      </c>
      <c r="F550" s="12">
        <f t="shared" si="120"/>
        <v>48</v>
      </c>
      <c r="G550" s="10"/>
      <c r="H550" s="10"/>
      <c r="I550" s="10"/>
      <c r="J550" s="13"/>
      <c r="K550" s="13"/>
      <c r="L550" s="70" t="str">
        <f t="shared" si="121"/>
        <v/>
      </c>
      <c r="M550" s="29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6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29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6" t="s">
        <v>45</v>
      </c>
      <c r="D552" s="10" t="s">
        <v>30</v>
      </c>
      <c r="E552" s="11">
        <v>0</v>
      </c>
      <c r="F552" s="12">
        <f t="shared" si="120"/>
        <v>0</v>
      </c>
      <c r="G552" s="10"/>
      <c r="H552" s="10"/>
      <c r="I552" s="10"/>
      <c r="J552" s="13"/>
      <c r="K552" s="13"/>
      <c r="L552" s="70" t="str">
        <f t="shared" si="121"/>
        <v/>
      </c>
      <c r="M552" s="29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6" t="s">
        <v>45</v>
      </c>
      <c r="D553" s="10" t="s">
        <v>30</v>
      </c>
      <c r="E553" s="11">
        <v>0</v>
      </c>
      <c r="F553" s="17">
        <f t="shared" si="120"/>
        <v>0</v>
      </c>
      <c r="G553" s="16"/>
      <c r="H553" s="16"/>
      <c r="I553" s="16"/>
      <c r="J553" s="13"/>
      <c r="K553" s="13"/>
      <c r="L553" s="71" t="str">
        <f t="shared" si="121"/>
        <v/>
      </c>
      <c r="M553" s="29"/>
      <c r="N553" s="30"/>
    </row>
    <row r="554" spans="1:14" ht="15.75" customHeight="1">
      <c r="A554" s="105" t="s">
        <v>191</v>
      </c>
      <c r="B554" s="105"/>
      <c r="C554" s="105"/>
      <c r="D554" s="105"/>
      <c r="E554" s="19">
        <f>SUM(E542:E553)</f>
        <v>95</v>
      </c>
      <c r="F554" s="19">
        <f>SUM(F542:F553)</f>
        <v>380</v>
      </c>
      <c r="G554" s="18"/>
      <c r="H554" s="18"/>
      <c r="I554" s="18"/>
      <c r="J554" s="18"/>
      <c r="K554" s="18"/>
      <c r="L554" s="72">
        <f>IFERROR(SUM(L542:L553),"")</f>
        <v>0.1125000000000001</v>
      </c>
      <c r="M554" s="19" t="s">
        <v>192</v>
      </c>
      <c r="N554" s="20">
        <v>354670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0</v>
      </c>
      <c r="F555" s="17">
        <f t="shared" ref="F555:F566" si="123">IF(E555="","",E555*4)</f>
        <v>0</v>
      </c>
      <c r="G555" s="16" t="s">
        <v>18</v>
      </c>
      <c r="H555" s="16" t="s">
        <v>127</v>
      </c>
      <c r="I555" s="16" t="s">
        <v>87</v>
      </c>
      <c r="J555" s="13">
        <v>0.79166666666666663</v>
      </c>
      <c r="K555" s="13">
        <v>0.29166666666666669</v>
      </c>
      <c r="L555" s="71">
        <f t="shared" ref="L555:L566" si="124">IFERROR(IF(K555="","",IF(K555&gt;=J555,K555-J555,K555+1-J555)),"")</f>
        <v>0.50000000000000011</v>
      </c>
      <c r="M555" s="29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0</v>
      </c>
      <c r="F556" s="12">
        <f t="shared" si="123"/>
        <v>0</v>
      </c>
      <c r="G556" s="10" t="s">
        <v>19</v>
      </c>
      <c r="H556" s="10" t="s">
        <v>151</v>
      </c>
      <c r="I556" s="10" t="s">
        <v>27</v>
      </c>
      <c r="J556" s="13">
        <v>0.92777777777777781</v>
      </c>
      <c r="K556" s="13">
        <v>0.95833333333333337</v>
      </c>
      <c r="L556" s="70">
        <f t="shared" si="124"/>
        <v>3.0555555555555558E-2</v>
      </c>
      <c r="M556" s="29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0</v>
      </c>
      <c r="F557" s="17">
        <f t="shared" si="123"/>
        <v>0</v>
      </c>
      <c r="G557" s="16"/>
      <c r="H557" s="16"/>
      <c r="I557" s="16"/>
      <c r="J557" s="13"/>
      <c r="K557" s="13"/>
      <c r="L557" s="71" t="str">
        <f t="shared" si="124"/>
        <v/>
      </c>
      <c r="M557" s="29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0</v>
      </c>
      <c r="F558" s="12">
        <f t="shared" si="123"/>
        <v>0</v>
      </c>
      <c r="G558" s="10"/>
      <c r="H558" s="10"/>
      <c r="I558" s="10"/>
      <c r="J558" s="13"/>
      <c r="K558" s="13"/>
      <c r="L558" s="70" t="str">
        <f t="shared" si="124"/>
        <v/>
      </c>
      <c r="M558" s="29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0</v>
      </c>
      <c r="F559" s="17">
        <f t="shared" si="123"/>
        <v>0</v>
      </c>
      <c r="G559" s="16"/>
      <c r="H559" s="16"/>
      <c r="I559" s="16"/>
      <c r="J559" s="13"/>
      <c r="K559" s="13"/>
      <c r="L559" s="71" t="str">
        <f t="shared" si="124"/>
        <v/>
      </c>
      <c r="M559" s="29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0</v>
      </c>
      <c r="F560" s="12">
        <f t="shared" si="123"/>
        <v>0</v>
      </c>
      <c r="G560" s="10"/>
      <c r="H560" s="10"/>
      <c r="I560" s="10"/>
      <c r="J560" s="13"/>
      <c r="K560" s="13"/>
      <c r="L560" s="70" t="str">
        <f t="shared" si="124"/>
        <v/>
      </c>
      <c r="M560" s="29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0</v>
      </c>
      <c r="F561" s="17">
        <f t="shared" si="123"/>
        <v>0</v>
      </c>
      <c r="G561" s="16"/>
      <c r="H561" s="16"/>
      <c r="I561" s="16"/>
      <c r="J561" s="13"/>
      <c r="K561" s="13"/>
      <c r="L561" s="71" t="str">
        <f t="shared" si="124"/>
        <v/>
      </c>
      <c r="M561" s="29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0</v>
      </c>
      <c r="F562" s="12">
        <f t="shared" si="123"/>
        <v>0</v>
      </c>
      <c r="G562" s="10"/>
      <c r="H562" s="10"/>
      <c r="I562" s="10"/>
      <c r="J562" s="13"/>
      <c r="K562" s="13"/>
      <c r="L562" s="70" t="str">
        <f t="shared" si="124"/>
        <v/>
      </c>
      <c r="M562" s="29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0</v>
      </c>
      <c r="F563" s="17">
        <f t="shared" si="123"/>
        <v>0</v>
      </c>
      <c r="G563" s="16"/>
      <c r="H563" s="16"/>
      <c r="I563" s="16"/>
      <c r="J563" s="13"/>
      <c r="K563" s="13"/>
      <c r="L563" s="71" t="str">
        <f t="shared" si="124"/>
        <v/>
      </c>
      <c r="M563" s="29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0</v>
      </c>
      <c r="F564" s="12">
        <f t="shared" si="123"/>
        <v>0</v>
      </c>
      <c r="G564" s="10"/>
      <c r="H564" s="10"/>
      <c r="I564" s="10"/>
      <c r="J564" s="13"/>
      <c r="K564" s="13"/>
      <c r="L564" s="70" t="str">
        <f t="shared" si="124"/>
        <v/>
      </c>
      <c r="M564" s="29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0</v>
      </c>
      <c r="F565" s="17">
        <f t="shared" si="123"/>
        <v>0</v>
      </c>
      <c r="G565" s="16"/>
      <c r="H565" s="16"/>
      <c r="I565" s="16"/>
      <c r="J565" s="13"/>
      <c r="K565" s="13"/>
      <c r="L565" s="71" t="str">
        <f t="shared" si="124"/>
        <v/>
      </c>
      <c r="M565" s="29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0</v>
      </c>
      <c r="F566" s="12">
        <f t="shared" si="123"/>
        <v>0</v>
      </c>
      <c r="G566" s="10"/>
      <c r="H566" s="10"/>
      <c r="I566" s="10"/>
      <c r="J566" s="13"/>
      <c r="K566" s="13"/>
      <c r="L566" s="70" t="str">
        <f t="shared" si="124"/>
        <v/>
      </c>
      <c r="M566" s="29"/>
      <c r="N566" s="30"/>
    </row>
    <row r="567" spans="1:14" ht="15.75" customHeight="1">
      <c r="A567" s="105" t="s">
        <v>193</v>
      </c>
      <c r="B567" s="105"/>
      <c r="C567" s="105"/>
      <c r="D567" s="105"/>
      <c r="E567" s="19">
        <f>SUM(E555:E566)</f>
        <v>0</v>
      </c>
      <c r="F567" s="19">
        <f>SUM(F555:F566)</f>
        <v>0</v>
      </c>
      <c r="G567" s="18"/>
      <c r="H567" s="18"/>
      <c r="I567" s="18"/>
      <c r="J567" s="18"/>
      <c r="K567" s="18"/>
      <c r="L567" s="72">
        <f>IFERROR(SUM(L555:L566),"")</f>
        <v>0.53055555555555567</v>
      </c>
      <c r="M567" s="19" t="s">
        <v>192</v>
      </c>
      <c r="N567" s="20">
        <v>0</v>
      </c>
    </row>
    <row r="568" spans="1:14" ht="18" customHeight="1">
      <c r="A568" s="98" t="s">
        <v>194</v>
      </c>
      <c r="B568" s="98"/>
      <c r="C568" s="98"/>
      <c r="D568" s="98"/>
      <c r="E568" s="22">
        <f>E554+E567</f>
        <v>95</v>
      </c>
      <c r="F568" s="22">
        <f>F554+F567</f>
        <v>380</v>
      </c>
      <c r="G568" s="21"/>
      <c r="H568" s="21"/>
      <c r="I568" s="21"/>
      <c r="J568" s="21"/>
      <c r="K568" s="21"/>
      <c r="L568" s="73">
        <f>IFERROR(L554+L567,"")</f>
        <v>0.64305555555555571</v>
      </c>
      <c r="M568" s="22" t="s">
        <v>195</v>
      </c>
      <c r="N568" s="31">
        <f>IFERROR(N554+N567,"")</f>
        <v>354670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6">IF(E569="","",E569*4)</f>
        <v>0</v>
      </c>
      <c r="G569" s="16" t="s">
        <v>18</v>
      </c>
      <c r="H569" s="16" t="s">
        <v>130</v>
      </c>
      <c r="I569" s="16" t="s">
        <v>109</v>
      </c>
      <c r="J569" s="13">
        <v>0.29166666666666669</v>
      </c>
      <c r="K569" s="13">
        <v>0.79166666666666663</v>
      </c>
      <c r="L569" s="71">
        <f t="shared" ref="L569:L580" si="127">IFERROR(IF(K569="","",IF(K569&gt;=J569,K569-J569,K569+1-J569)),"")</f>
        <v>0.49999999999999994</v>
      </c>
      <c r="M569" s="29"/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0</v>
      </c>
      <c r="F570" s="12">
        <f t="shared" si="126"/>
        <v>0</v>
      </c>
      <c r="G570" s="10"/>
      <c r="H570" s="10"/>
      <c r="I570" s="10"/>
      <c r="J570" s="13"/>
      <c r="K570" s="13"/>
      <c r="L570" s="70" t="str">
        <f t="shared" si="127"/>
        <v/>
      </c>
      <c r="M570" s="29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0</v>
      </c>
      <c r="F571" s="17">
        <f t="shared" si="126"/>
        <v>0</v>
      </c>
      <c r="G571" s="16"/>
      <c r="H571" s="16"/>
      <c r="I571" s="16"/>
      <c r="J571" s="13"/>
      <c r="K571" s="13"/>
      <c r="L571" s="71" t="str">
        <f t="shared" si="127"/>
        <v/>
      </c>
      <c r="M571" s="29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0</v>
      </c>
      <c r="F572" s="12">
        <f t="shared" si="126"/>
        <v>0</v>
      </c>
      <c r="G572" s="10"/>
      <c r="H572" s="10"/>
      <c r="I572" s="10"/>
      <c r="J572" s="13"/>
      <c r="K572" s="13"/>
      <c r="L572" s="70" t="str">
        <f t="shared" si="127"/>
        <v/>
      </c>
      <c r="M572" s="29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0</v>
      </c>
      <c r="F573" s="17">
        <f t="shared" si="126"/>
        <v>0</v>
      </c>
      <c r="G573" s="16"/>
      <c r="H573" s="16"/>
      <c r="I573" s="16"/>
      <c r="J573" s="13"/>
      <c r="K573" s="13"/>
      <c r="L573" s="71" t="str">
        <f t="shared" si="127"/>
        <v/>
      </c>
      <c r="M573" s="29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0</v>
      </c>
      <c r="F574" s="12">
        <f t="shared" si="126"/>
        <v>0</v>
      </c>
      <c r="G574" s="10"/>
      <c r="H574" s="10"/>
      <c r="I574" s="10"/>
      <c r="J574" s="13"/>
      <c r="K574" s="13"/>
      <c r="L574" s="70" t="str">
        <f t="shared" si="127"/>
        <v/>
      </c>
      <c r="M574" s="29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29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2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29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11">
        <v>0</v>
      </c>
      <c r="F577" s="17">
        <f t="shared" si="126"/>
        <v>0</v>
      </c>
      <c r="G577" s="16"/>
      <c r="H577" s="16"/>
      <c r="I577" s="16"/>
      <c r="J577" s="13"/>
      <c r="K577" s="13"/>
      <c r="L577" s="71" t="str">
        <f t="shared" si="127"/>
        <v/>
      </c>
      <c r="M577" s="29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6"/>
        <v>0</v>
      </c>
      <c r="G578" s="10"/>
      <c r="H578" s="10"/>
      <c r="I578" s="10"/>
      <c r="J578" s="13"/>
      <c r="K578" s="13"/>
      <c r="L578" s="70" t="str">
        <f t="shared" si="127"/>
        <v/>
      </c>
      <c r="M578" s="29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6"/>
        <v>0</v>
      </c>
      <c r="G579" s="16"/>
      <c r="H579" s="16"/>
      <c r="I579" s="16"/>
      <c r="J579" s="13"/>
      <c r="K579" s="13"/>
      <c r="L579" s="71" t="str">
        <f t="shared" si="127"/>
        <v/>
      </c>
      <c r="M579" s="29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0</v>
      </c>
      <c r="F580" s="12">
        <f t="shared" si="126"/>
        <v>0</v>
      </c>
      <c r="G580" s="10"/>
      <c r="H580" s="10"/>
      <c r="I580" s="10"/>
      <c r="J580" s="13"/>
      <c r="K580" s="13"/>
      <c r="L580" s="70" t="str">
        <f t="shared" si="127"/>
        <v/>
      </c>
      <c r="M580" s="29"/>
      <c r="N580" s="30"/>
    </row>
    <row r="581" spans="1:14" ht="15.75" customHeight="1">
      <c r="A581" s="105" t="s">
        <v>191</v>
      </c>
      <c r="B581" s="105"/>
      <c r="C581" s="105"/>
      <c r="D581" s="105"/>
      <c r="E581" s="19">
        <f>SUM(E569:E580)</f>
        <v>0</v>
      </c>
      <c r="F581" s="19">
        <f>SUM(F569:F580)</f>
        <v>0</v>
      </c>
      <c r="G581" s="18"/>
      <c r="H581" s="18"/>
      <c r="I581" s="18"/>
      <c r="J581" s="18"/>
      <c r="K581" s="18"/>
      <c r="L581" s="72">
        <f>IFERROR(SUM(L569:L580),"")</f>
        <v>0.49999999999999994</v>
      </c>
      <c r="M581" s="19" t="s">
        <v>192</v>
      </c>
      <c r="N581" s="20">
        <v>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18</v>
      </c>
      <c r="H582" s="10" t="s">
        <v>130</v>
      </c>
      <c r="I582" s="10" t="s">
        <v>109</v>
      </c>
      <c r="J582" s="13">
        <v>0.79166666666666663</v>
      </c>
      <c r="K582" s="13">
        <v>1.8055555555555554E-2</v>
      </c>
      <c r="L582" s="70">
        <f t="shared" ref="L582:L593" si="130">IFERROR(IF(K582="","",IF(K582&gt;=J582,K582-J582,K582+1-J582)),"")</f>
        <v>0.22638888888888886</v>
      </c>
      <c r="M582" s="29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29"/>
        <v>0</v>
      </c>
      <c r="G583" s="16" t="s">
        <v>20</v>
      </c>
      <c r="H583" s="16" t="s">
        <v>141</v>
      </c>
      <c r="I583" s="16" t="s">
        <v>126</v>
      </c>
      <c r="J583" s="13">
        <v>0.13541666666666666</v>
      </c>
      <c r="K583" s="13">
        <v>0.29166666666666669</v>
      </c>
      <c r="L583" s="71">
        <f t="shared" si="130"/>
        <v>0.15625000000000003</v>
      </c>
      <c r="M583" s="29" t="s">
        <v>285</v>
      </c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0</v>
      </c>
      <c r="F584" s="12">
        <f t="shared" si="129"/>
        <v>0</v>
      </c>
      <c r="G584" s="10"/>
      <c r="H584" s="10"/>
      <c r="I584" s="10"/>
      <c r="J584" s="13"/>
      <c r="K584" s="13"/>
      <c r="L584" s="70" t="str">
        <f t="shared" si="130"/>
        <v/>
      </c>
      <c r="M584" s="29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0</v>
      </c>
      <c r="F585" s="17">
        <f t="shared" si="129"/>
        <v>0</v>
      </c>
      <c r="G585" s="16"/>
      <c r="H585" s="16"/>
      <c r="I585" s="16"/>
      <c r="J585" s="13"/>
      <c r="K585" s="13"/>
      <c r="L585" s="71" t="str">
        <f t="shared" si="130"/>
        <v/>
      </c>
      <c r="M585" s="29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0</v>
      </c>
      <c r="F586" s="12">
        <f t="shared" si="129"/>
        <v>0</v>
      </c>
      <c r="G586" s="10"/>
      <c r="H586" s="10"/>
      <c r="I586" s="10"/>
      <c r="J586" s="13"/>
      <c r="K586" s="13"/>
      <c r="L586" s="70" t="str">
        <f t="shared" si="130"/>
        <v/>
      </c>
      <c r="M586" s="29"/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8</v>
      </c>
      <c r="F587" s="17">
        <f t="shared" si="129"/>
        <v>32</v>
      </c>
      <c r="G587" s="16"/>
      <c r="H587" s="16"/>
      <c r="I587" s="16"/>
      <c r="J587" s="13"/>
      <c r="K587" s="13"/>
      <c r="L587" s="71" t="str">
        <f t="shared" si="130"/>
        <v/>
      </c>
      <c r="M587" s="29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18</v>
      </c>
      <c r="F588" s="12">
        <f t="shared" si="129"/>
        <v>72</v>
      </c>
      <c r="G588" s="10"/>
      <c r="H588" s="10"/>
      <c r="I588" s="10"/>
      <c r="J588" s="13"/>
      <c r="K588" s="13"/>
      <c r="L588" s="70" t="str">
        <f t="shared" si="130"/>
        <v/>
      </c>
      <c r="M588" s="29"/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14</v>
      </c>
      <c r="F589" s="17">
        <f t="shared" si="129"/>
        <v>56</v>
      </c>
      <c r="G589" s="16"/>
      <c r="H589" s="16"/>
      <c r="I589" s="16"/>
      <c r="J589" s="13"/>
      <c r="K589" s="13"/>
      <c r="L589" s="71" t="str">
        <f t="shared" si="130"/>
        <v/>
      </c>
      <c r="M589" s="29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4</v>
      </c>
      <c r="F590" s="12">
        <f t="shared" si="129"/>
        <v>16</v>
      </c>
      <c r="G590" s="10"/>
      <c r="H590" s="10"/>
      <c r="I590" s="10"/>
      <c r="J590" s="13"/>
      <c r="K590" s="13"/>
      <c r="L590" s="70" t="str">
        <f t="shared" si="130"/>
        <v/>
      </c>
      <c r="M590" s="29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0</v>
      </c>
      <c r="F591" s="17">
        <f t="shared" si="129"/>
        <v>0</v>
      </c>
      <c r="G591" s="16"/>
      <c r="H591" s="16"/>
      <c r="I591" s="16"/>
      <c r="J591" s="13"/>
      <c r="K591" s="13"/>
      <c r="L591" s="71" t="str">
        <f t="shared" si="130"/>
        <v/>
      </c>
      <c r="M591" s="29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0</v>
      </c>
      <c r="F592" s="12">
        <f t="shared" si="129"/>
        <v>0</v>
      </c>
      <c r="G592" s="10"/>
      <c r="H592" s="10"/>
      <c r="I592" s="10"/>
      <c r="J592" s="13"/>
      <c r="K592" s="13"/>
      <c r="L592" s="70" t="str">
        <f t="shared" si="130"/>
        <v/>
      </c>
      <c r="M592" s="29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29"/>
      <c r="N593" s="30"/>
    </row>
    <row r="594" spans="1:14" ht="15.75" customHeight="1">
      <c r="A594" s="105" t="s">
        <v>193</v>
      </c>
      <c r="B594" s="105"/>
      <c r="C594" s="105"/>
      <c r="D594" s="105"/>
      <c r="E594" s="19">
        <f>SUM(E582:E593)</f>
        <v>44</v>
      </c>
      <c r="F594" s="19">
        <f>SUM(F582:F593)</f>
        <v>176</v>
      </c>
      <c r="G594" s="18"/>
      <c r="H594" s="18"/>
      <c r="I594" s="18"/>
      <c r="J594" s="18"/>
      <c r="K594" s="18"/>
      <c r="L594" s="72">
        <f>IFERROR(SUM(L582:L593),"")</f>
        <v>0.38263888888888886</v>
      </c>
      <c r="M594" s="19" t="s">
        <v>192</v>
      </c>
      <c r="N594" s="20">
        <v>258960</v>
      </c>
    </row>
    <row r="595" spans="1:14" ht="18" customHeight="1">
      <c r="A595" s="98" t="s">
        <v>194</v>
      </c>
      <c r="B595" s="98"/>
      <c r="C595" s="98"/>
      <c r="D595" s="98"/>
      <c r="E595" s="22">
        <f>E581+E594</f>
        <v>44</v>
      </c>
      <c r="F595" s="22">
        <f>F581+F594</f>
        <v>176</v>
      </c>
      <c r="G595" s="21"/>
      <c r="H595" s="21"/>
      <c r="I595" s="21"/>
      <c r="J595" s="21"/>
      <c r="K595" s="21"/>
      <c r="L595" s="73">
        <f>IFERROR(L581+L594,"")</f>
        <v>0.88263888888888875</v>
      </c>
      <c r="M595" s="22" t="s">
        <v>195</v>
      </c>
      <c r="N595" s="31">
        <f>IFERROR(N581+N594,"")</f>
        <v>258960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2">IF(E596="","",E596*4)</f>
        <v>0</v>
      </c>
      <c r="G596" s="10" t="s">
        <v>18</v>
      </c>
      <c r="H596" s="10"/>
      <c r="I596" s="10" t="s">
        <v>172</v>
      </c>
      <c r="J596" s="13">
        <v>0.29166666666666669</v>
      </c>
      <c r="K596" s="13">
        <v>0.34722222222222221</v>
      </c>
      <c r="L596" s="70">
        <f t="shared" ref="L596:L607" si="133">IFERROR(IF(K596="","",IF(K596&gt;=J596,K596-J596,K596+1-J596)),"")</f>
        <v>5.5555555555555525E-2</v>
      </c>
      <c r="M596" s="29" t="s">
        <v>286</v>
      </c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28</v>
      </c>
      <c r="F597" s="17">
        <f t="shared" si="132"/>
        <v>112</v>
      </c>
      <c r="G597" s="16" t="s">
        <v>20</v>
      </c>
      <c r="H597" s="16" t="s">
        <v>39</v>
      </c>
      <c r="I597" s="16" t="s">
        <v>36</v>
      </c>
      <c r="J597" s="13">
        <v>0.39444444444444443</v>
      </c>
      <c r="K597" s="13">
        <v>0.40694444444444444</v>
      </c>
      <c r="L597" s="71">
        <f t="shared" si="133"/>
        <v>1.2500000000000011E-2</v>
      </c>
      <c r="M597" s="29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21</v>
      </c>
      <c r="F598" s="12">
        <f t="shared" si="132"/>
        <v>84</v>
      </c>
      <c r="G598" s="10" t="s">
        <v>19</v>
      </c>
      <c r="H598" s="10" t="s">
        <v>31</v>
      </c>
      <c r="I598" s="10" t="s">
        <v>27</v>
      </c>
      <c r="J598" s="13">
        <v>0.43055555555555558</v>
      </c>
      <c r="K598" s="13">
        <v>0.47222222222222221</v>
      </c>
      <c r="L598" s="70">
        <f t="shared" si="133"/>
        <v>4.166666666666663E-2</v>
      </c>
      <c r="M598" s="29" t="s">
        <v>287</v>
      </c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2"/>
        <v>0</v>
      </c>
      <c r="G599" s="16" t="s">
        <v>18</v>
      </c>
      <c r="H599" s="16" t="s">
        <v>39</v>
      </c>
      <c r="I599" s="16" t="s">
        <v>148</v>
      </c>
      <c r="J599" s="13">
        <v>0.55347222222222225</v>
      </c>
      <c r="K599" s="13">
        <v>0.58611111111111114</v>
      </c>
      <c r="L599" s="71">
        <f t="shared" si="133"/>
        <v>3.2638888888888884E-2</v>
      </c>
      <c r="M599" s="29" t="s">
        <v>288</v>
      </c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7</v>
      </c>
      <c r="F600" s="12">
        <f t="shared" si="132"/>
        <v>28</v>
      </c>
      <c r="G600" s="10" t="s">
        <v>20</v>
      </c>
      <c r="H600" s="10" t="s">
        <v>31</v>
      </c>
      <c r="I600" s="10" t="s">
        <v>28</v>
      </c>
      <c r="J600" s="13">
        <v>0.64236111111111116</v>
      </c>
      <c r="K600" s="13">
        <v>0.6479166666666667</v>
      </c>
      <c r="L600" s="70">
        <f t="shared" si="133"/>
        <v>5.5555555555555358E-3</v>
      </c>
      <c r="M600" s="29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11</v>
      </c>
      <c r="F601" s="17">
        <f t="shared" si="132"/>
        <v>44</v>
      </c>
      <c r="G601" s="16"/>
      <c r="H601" s="16"/>
      <c r="I601" s="16"/>
      <c r="J601" s="13"/>
      <c r="K601" s="13"/>
      <c r="L601" s="71" t="str">
        <f t="shared" si="133"/>
        <v/>
      </c>
      <c r="M601" s="29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7</v>
      </c>
      <c r="F602" s="12">
        <f t="shared" si="132"/>
        <v>28</v>
      </c>
      <c r="G602" s="10"/>
      <c r="H602" s="10"/>
      <c r="I602" s="10"/>
      <c r="J602" s="13"/>
      <c r="K602" s="13"/>
      <c r="L602" s="70" t="str">
        <f t="shared" si="133"/>
        <v/>
      </c>
      <c r="M602" s="29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16</v>
      </c>
      <c r="F603" s="17">
        <f t="shared" si="132"/>
        <v>64</v>
      </c>
      <c r="G603" s="16"/>
      <c r="H603" s="16"/>
      <c r="I603" s="16"/>
      <c r="J603" s="13"/>
      <c r="K603" s="13"/>
      <c r="L603" s="71" t="str">
        <f t="shared" si="133"/>
        <v/>
      </c>
      <c r="M603" s="29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16</v>
      </c>
      <c r="F604" s="12">
        <f t="shared" si="132"/>
        <v>64</v>
      </c>
      <c r="G604" s="10"/>
      <c r="H604" s="10"/>
      <c r="I604" s="10"/>
      <c r="J604" s="13"/>
      <c r="K604" s="13"/>
      <c r="L604" s="70" t="str">
        <f t="shared" si="133"/>
        <v/>
      </c>
      <c r="M604" s="29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16</v>
      </c>
      <c r="F605" s="17">
        <f t="shared" si="132"/>
        <v>64</v>
      </c>
      <c r="G605" s="16"/>
      <c r="H605" s="16"/>
      <c r="I605" s="16"/>
      <c r="J605" s="13"/>
      <c r="K605" s="13"/>
      <c r="L605" s="71" t="str">
        <f t="shared" si="133"/>
        <v/>
      </c>
      <c r="M605" s="29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22</v>
      </c>
      <c r="F606" s="12">
        <f t="shared" si="132"/>
        <v>88</v>
      </c>
      <c r="G606" s="10"/>
      <c r="H606" s="10"/>
      <c r="I606" s="10"/>
      <c r="J606" s="13"/>
      <c r="K606" s="13"/>
      <c r="L606" s="70" t="str">
        <f t="shared" si="133"/>
        <v/>
      </c>
      <c r="M606" s="29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10</v>
      </c>
      <c r="F607" s="17">
        <f t="shared" si="132"/>
        <v>40</v>
      </c>
      <c r="G607" s="16"/>
      <c r="H607" s="16"/>
      <c r="I607" s="16"/>
      <c r="J607" s="13"/>
      <c r="K607" s="13"/>
      <c r="L607" s="71" t="str">
        <f t="shared" si="133"/>
        <v/>
      </c>
      <c r="M607" s="29"/>
      <c r="N607" s="30"/>
    </row>
    <row r="608" spans="1:14" ht="15.75" customHeight="1">
      <c r="A608" s="105" t="s">
        <v>191</v>
      </c>
      <c r="B608" s="105"/>
      <c r="C608" s="105"/>
      <c r="D608" s="105"/>
      <c r="E608" s="19">
        <f>SUM(E596:E607)</f>
        <v>154</v>
      </c>
      <c r="F608" s="19">
        <f>SUM(F596:F607)</f>
        <v>616</v>
      </c>
      <c r="G608" s="18"/>
      <c r="H608" s="18"/>
      <c r="I608" s="18"/>
      <c r="J608" s="18"/>
      <c r="K608" s="18"/>
      <c r="L608" s="72">
        <f>IFERROR(SUM(L596:L607),"")</f>
        <v>0.14791666666666659</v>
      </c>
      <c r="M608" s="19" t="s">
        <v>192</v>
      </c>
      <c r="N608" s="20">
        <v>682730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18</v>
      </c>
      <c r="F609" s="17">
        <v>72</v>
      </c>
      <c r="G609" s="16" t="s">
        <v>18</v>
      </c>
      <c r="H609" s="16" t="s">
        <v>151</v>
      </c>
      <c r="I609" s="16" t="s">
        <v>162</v>
      </c>
      <c r="J609" s="13">
        <v>0.86875000000000002</v>
      </c>
      <c r="K609" s="13">
        <v>0.93611111111111112</v>
      </c>
      <c r="L609" s="71">
        <f t="shared" ref="L609:L620" si="135">IFERROR(IF(K609="","",IF(K609&gt;=J609,K609-J609,K609+1-J609)),"")</f>
        <v>6.7361111111111094E-2</v>
      </c>
      <c r="M609" s="29" t="s">
        <v>289</v>
      </c>
      <c r="N609" s="30"/>
    </row>
    <row r="610" spans="1:14" ht="15" customHeight="1">
      <c r="A610" s="58">
        <v>46196</v>
      </c>
      <c r="B610" s="9">
        <f t="shared" ref="B610:B620" si="136">B609+TIME(0,60,0)</f>
        <v>0.87499999999999967</v>
      </c>
      <c r="C610" s="16" t="s">
        <v>29</v>
      </c>
      <c r="D610" s="16" t="s">
        <v>30</v>
      </c>
      <c r="E610" s="11">
        <v>14</v>
      </c>
      <c r="F610" s="12">
        <f t="shared" ref="F609:F620" si="137">IF(E610="","",E610*4)</f>
        <v>56</v>
      </c>
      <c r="G610" s="10" t="s">
        <v>20</v>
      </c>
      <c r="H610" s="10" t="s">
        <v>39</v>
      </c>
      <c r="I610" s="10" t="s">
        <v>51</v>
      </c>
      <c r="J610" s="13">
        <v>2.0833333333333332E-2</v>
      </c>
      <c r="K610" s="13">
        <v>2.7083333333333334E-2</v>
      </c>
      <c r="L610" s="70">
        <f t="shared" si="135"/>
        <v>6.2500000000000021E-3</v>
      </c>
      <c r="M610" s="29"/>
      <c r="N610" s="30"/>
    </row>
    <row r="611" spans="1:14" ht="15" customHeight="1">
      <c r="A611" s="59">
        <v>46196</v>
      </c>
      <c r="B611" s="15">
        <f t="shared" si="136"/>
        <v>0.9166666666666663</v>
      </c>
      <c r="C611" s="16" t="s">
        <v>29</v>
      </c>
      <c r="D611" s="16" t="s">
        <v>30</v>
      </c>
      <c r="E611" s="11">
        <v>5</v>
      </c>
      <c r="F611" s="17">
        <f t="shared" si="137"/>
        <v>20</v>
      </c>
      <c r="G611" s="16" t="s">
        <v>18</v>
      </c>
      <c r="H611" s="16" t="s">
        <v>31</v>
      </c>
      <c r="I611" s="16" t="s">
        <v>158</v>
      </c>
      <c r="J611" s="13">
        <v>9.375E-2</v>
      </c>
      <c r="K611" s="13">
        <v>0.10416666666666667</v>
      </c>
      <c r="L611" s="71">
        <f t="shared" si="135"/>
        <v>1.0416666666666671E-2</v>
      </c>
      <c r="M611" s="29"/>
      <c r="N611" s="30"/>
    </row>
    <row r="612" spans="1:14" ht="15" customHeight="1">
      <c r="A612" s="58">
        <v>46196</v>
      </c>
      <c r="B612" s="9">
        <f t="shared" si="136"/>
        <v>0.95833333333333293</v>
      </c>
      <c r="C612" s="16" t="s">
        <v>29</v>
      </c>
      <c r="D612" s="16" t="s">
        <v>30</v>
      </c>
      <c r="E612" s="11">
        <v>13</v>
      </c>
      <c r="F612" s="12">
        <f t="shared" si="137"/>
        <v>52</v>
      </c>
      <c r="G612" s="10" t="s">
        <v>20</v>
      </c>
      <c r="H612" s="10" t="s">
        <v>31</v>
      </c>
      <c r="I612" s="10" t="s">
        <v>51</v>
      </c>
      <c r="J612" s="13">
        <v>0.125</v>
      </c>
      <c r="K612" s="13">
        <v>0.18055555555555555</v>
      </c>
      <c r="L612" s="70">
        <f t="shared" si="135"/>
        <v>5.5555555555555552E-2</v>
      </c>
      <c r="M612" s="29" t="s">
        <v>290</v>
      </c>
      <c r="N612" s="30"/>
    </row>
    <row r="613" spans="1:14" ht="15" customHeight="1">
      <c r="A613" s="59">
        <v>46196</v>
      </c>
      <c r="B613" s="15">
        <f t="shared" si="136"/>
        <v>0.99999999999999956</v>
      </c>
      <c r="C613" s="16" t="s">
        <v>29</v>
      </c>
      <c r="D613" s="16" t="s">
        <v>30</v>
      </c>
      <c r="E613" s="11">
        <v>11</v>
      </c>
      <c r="F613" s="17">
        <f t="shared" si="137"/>
        <v>44</v>
      </c>
      <c r="G613" s="16"/>
      <c r="H613" s="16"/>
      <c r="I613" s="10"/>
      <c r="J613" s="13"/>
      <c r="K613" s="13"/>
      <c r="L613" s="71" t="str">
        <f t="shared" si="135"/>
        <v/>
      </c>
      <c r="M613" s="29"/>
      <c r="N613" s="30"/>
    </row>
    <row r="614" spans="1:14" ht="15" customHeight="1">
      <c r="A614" s="58">
        <v>46196</v>
      </c>
      <c r="B614" s="9">
        <f t="shared" si="136"/>
        <v>1.0416666666666663</v>
      </c>
      <c r="C614" s="16" t="s">
        <v>29</v>
      </c>
      <c r="D614" s="16" t="s">
        <v>30</v>
      </c>
      <c r="E614" s="11">
        <v>9</v>
      </c>
      <c r="F614" s="12">
        <f t="shared" si="137"/>
        <v>36</v>
      </c>
      <c r="G614" s="10"/>
      <c r="H614" s="10"/>
      <c r="I614" s="10"/>
      <c r="J614" s="13"/>
      <c r="K614" s="13"/>
      <c r="L614" s="70" t="str">
        <f t="shared" si="135"/>
        <v/>
      </c>
      <c r="M614" s="29"/>
      <c r="N614" s="30"/>
    </row>
    <row r="615" spans="1:14" ht="15" customHeight="1">
      <c r="A615" s="59">
        <v>46196</v>
      </c>
      <c r="B615" s="15">
        <f t="shared" si="136"/>
        <v>1.083333333333333</v>
      </c>
      <c r="C615" s="16" t="s">
        <v>29</v>
      </c>
      <c r="D615" s="16" t="s">
        <v>30</v>
      </c>
      <c r="E615" s="11">
        <v>14</v>
      </c>
      <c r="F615" s="12">
        <f t="shared" ref="F615" si="138">IF(E615="","",E615*4)</f>
        <v>56</v>
      </c>
      <c r="G615" s="16"/>
      <c r="H615" s="16"/>
      <c r="I615" s="16"/>
      <c r="J615" s="13"/>
      <c r="K615" s="13"/>
      <c r="L615" s="71" t="str">
        <f t="shared" si="135"/>
        <v/>
      </c>
      <c r="M615" s="29"/>
      <c r="N615" s="30"/>
    </row>
    <row r="616" spans="1:14" ht="15" customHeight="1">
      <c r="A616" s="58">
        <v>46196</v>
      </c>
      <c r="B616" s="9">
        <f t="shared" si="136"/>
        <v>1.1249999999999998</v>
      </c>
      <c r="C616" s="16" t="s">
        <v>29</v>
      </c>
      <c r="D616" s="16" t="s">
        <v>30</v>
      </c>
      <c r="E616" s="11">
        <v>5</v>
      </c>
      <c r="F616" s="12">
        <f t="shared" si="137"/>
        <v>20</v>
      </c>
      <c r="G616" s="10"/>
      <c r="H616" s="10"/>
      <c r="I616" s="10"/>
      <c r="J616" s="13"/>
      <c r="K616" s="13"/>
      <c r="L616" s="70" t="str">
        <f t="shared" si="135"/>
        <v/>
      </c>
      <c r="M616" s="29"/>
      <c r="N616" s="30"/>
    </row>
    <row r="617" spans="1:14" ht="15" customHeight="1">
      <c r="A617" s="59">
        <v>46196</v>
      </c>
      <c r="B617" s="15">
        <f t="shared" si="136"/>
        <v>1.1666666666666665</v>
      </c>
      <c r="C617" s="16" t="s">
        <v>29</v>
      </c>
      <c r="D617" s="16" t="s">
        <v>30</v>
      </c>
      <c r="E617" s="11">
        <v>3</v>
      </c>
      <c r="F617" s="17">
        <f t="shared" si="137"/>
        <v>12</v>
      </c>
      <c r="G617" s="16"/>
      <c r="H617" s="16"/>
      <c r="I617" s="16"/>
      <c r="J617" s="13"/>
      <c r="K617" s="13"/>
      <c r="L617" s="71" t="str">
        <f t="shared" si="135"/>
        <v/>
      </c>
      <c r="M617" s="29"/>
      <c r="N617" s="30"/>
    </row>
    <row r="618" spans="1:14" ht="15" customHeight="1">
      <c r="A618" s="58">
        <v>46196</v>
      </c>
      <c r="B618" s="9">
        <f t="shared" si="136"/>
        <v>1.2083333333333333</v>
      </c>
      <c r="C618" s="16" t="s">
        <v>29</v>
      </c>
      <c r="D618" s="16" t="s">
        <v>30</v>
      </c>
      <c r="E618" s="11">
        <v>10</v>
      </c>
      <c r="F618" s="12">
        <f t="shared" si="137"/>
        <v>40</v>
      </c>
      <c r="G618" s="10"/>
      <c r="H618" s="10"/>
      <c r="I618" s="10"/>
      <c r="J618" s="13"/>
      <c r="K618" s="13"/>
      <c r="L618" s="70" t="str">
        <f t="shared" si="135"/>
        <v/>
      </c>
      <c r="M618" s="29"/>
      <c r="N618" s="30"/>
    </row>
    <row r="619" spans="1:14" ht="15" customHeight="1">
      <c r="A619" s="59">
        <v>46196</v>
      </c>
      <c r="B619" s="15">
        <f t="shared" si="136"/>
        <v>1.25</v>
      </c>
      <c r="C619" s="16" t="s">
        <v>29</v>
      </c>
      <c r="D619" s="16" t="s">
        <v>30</v>
      </c>
      <c r="E619" s="11">
        <v>8</v>
      </c>
      <c r="F619" s="17">
        <f t="shared" si="137"/>
        <v>32</v>
      </c>
      <c r="G619" s="16"/>
      <c r="H619" s="16"/>
      <c r="I619" s="16"/>
      <c r="J619" s="13"/>
      <c r="K619" s="13"/>
      <c r="L619" s="71" t="str">
        <f t="shared" si="135"/>
        <v/>
      </c>
      <c r="M619" s="29"/>
      <c r="N619" s="30"/>
    </row>
    <row r="620" spans="1:14" ht="15" customHeight="1">
      <c r="A620" s="58">
        <v>46196</v>
      </c>
      <c r="B620" s="9">
        <f t="shared" si="136"/>
        <v>1.2916666666666667</v>
      </c>
      <c r="C620" s="16" t="s">
        <v>29</v>
      </c>
      <c r="D620" s="16" t="s">
        <v>30</v>
      </c>
      <c r="E620" s="11">
        <v>8</v>
      </c>
      <c r="F620" s="12">
        <f t="shared" si="137"/>
        <v>32</v>
      </c>
      <c r="G620" s="10"/>
      <c r="H620" s="10"/>
      <c r="I620" s="10"/>
      <c r="J620" s="13"/>
      <c r="K620" s="13"/>
      <c r="L620" s="70" t="str">
        <f t="shared" si="135"/>
        <v/>
      </c>
      <c r="M620" s="29"/>
      <c r="N620" s="30"/>
    </row>
    <row r="621" spans="1:14" ht="15.75" customHeight="1">
      <c r="A621" s="105" t="s">
        <v>193</v>
      </c>
      <c r="B621" s="105"/>
      <c r="C621" s="105"/>
      <c r="D621" s="105"/>
      <c r="E621" s="19">
        <f>SUM(E609:E620)</f>
        <v>118</v>
      </c>
      <c r="F621" s="19">
        <f>SUM(F609:F620)</f>
        <v>472</v>
      </c>
      <c r="G621" s="18"/>
      <c r="H621" s="18"/>
      <c r="I621" s="18"/>
      <c r="J621" s="18"/>
      <c r="K621" s="18"/>
      <c r="L621" s="72">
        <f>IFERROR(SUM(L609:L620),"")</f>
        <v>0.13958333333333334</v>
      </c>
      <c r="M621" s="19" t="s">
        <v>192</v>
      </c>
      <c r="N621" s="20">
        <v>687740</v>
      </c>
    </row>
    <row r="622" spans="1:14" ht="18" customHeight="1">
      <c r="A622" s="98" t="s">
        <v>194</v>
      </c>
      <c r="B622" s="98"/>
      <c r="C622" s="98"/>
      <c r="D622" s="98"/>
      <c r="E622" s="22">
        <f>E608+E621</f>
        <v>272</v>
      </c>
      <c r="F622" s="22">
        <f>F608+F621</f>
        <v>1088</v>
      </c>
      <c r="G622" s="21"/>
      <c r="H622" s="21"/>
      <c r="I622" s="21"/>
      <c r="J622" s="21"/>
      <c r="K622" s="21"/>
      <c r="L622" s="73">
        <f>IFERROR(L608+L621,"")</f>
        <v>0.28749999999999992</v>
      </c>
      <c r="M622" s="22" t="s">
        <v>195</v>
      </c>
      <c r="N622" s="31">
        <f>N608+N621</f>
        <v>1370470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24</v>
      </c>
      <c r="F623" s="17">
        <f t="shared" ref="F623:F634" si="139">IF(E623="","",E623*4)</f>
        <v>96</v>
      </c>
      <c r="G623" s="16" t="s">
        <v>19</v>
      </c>
      <c r="H623" s="16" t="s">
        <v>151</v>
      </c>
      <c r="I623" s="10" t="s">
        <v>27</v>
      </c>
      <c r="J623" s="13">
        <v>0.50208333333333333</v>
      </c>
      <c r="K623" s="13">
        <v>0.52222222222222225</v>
      </c>
      <c r="L623" s="71">
        <f t="shared" ref="L623:L634" si="140">IFERROR(IF(K623="","",IF(K623&gt;=J623,K623-J623,K623+1-J623)),"")</f>
        <v>2.0138888888888928E-2</v>
      </c>
      <c r="M623" s="29"/>
      <c r="N623" s="30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16" t="s">
        <v>30</v>
      </c>
      <c r="E624" s="11">
        <v>15</v>
      </c>
      <c r="F624" s="12">
        <f t="shared" si="139"/>
        <v>60</v>
      </c>
      <c r="G624" s="10" t="s">
        <v>19</v>
      </c>
      <c r="H624" s="10" t="s">
        <v>31</v>
      </c>
      <c r="I624" s="10" t="s">
        <v>27</v>
      </c>
      <c r="J624" s="13">
        <v>0.56666666666666665</v>
      </c>
      <c r="K624" s="13">
        <v>0.58333333333333337</v>
      </c>
      <c r="L624" s="70">
        <f t="shared" si="140"/>
        <v>1.6666666666666718E-2</v>
      </c>
      <c r="M624" s="29"/>
      <c r="N624" s="30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16" t="s">
        <v>30</v>
      </c>
      <c r="E625" s="11">
        <v>15</v>
      </c>
      <c r="F625" s="17">
        <f t="shared" si="139"/>
        <v>60</v>
      </c>
      <c r="G625" s="16" t="s">
        <v>20</v>
      </c>
      <c r="H625" s="16" t="s">
        <v>31</v>
      </c>
      <c r="I625" s="16" t="s">
        <v>28</v>
      </c>
      <c r="J625" s="13">
        <v>0.61805555555555558</v>
      </c>
      <c r="K625" s="13">
        <v>0.68055555555555558</v>
      </c>
      <c r="L625" s="71">
        <f t="shared" si="140"/>
        <v>6.25E-2</v>
      </c>
      <c r="M625" s="29" t="s">
        <v>291</v>
      </c>
      <c r="N625" s="30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16" t="s">
        <v>30</v>
      </c>
      <c r="E626" s="11">
        <v>7</v>
      </c>
      <c r="F626" s="12">
        <f t="shared" si="139"/>
        <v>28</v>
      </c>
      <c r="G626" s="10" t="s">
        <v>19</v>
      </c>
      <c r="H626" s="10" t="s">
        <v>31</v>
      </c>
      <c r="I626" s="10" t="s">
        <v>27</v>
      </c>
      <c r="J626" s="13">
        <v>0.70486111111111116</v>
      </c>
      <c r="K626" s="13">
        <v>0.72430555555555554</v>
      </c>
      <c r="L626" s="70">
        <f t="shared" si="140"/>
        <v>1.9444444444444375E-2</v>
      </c>
      <c r="M626" s="29"/>
      <c r="N626" s="30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16" t="s">
        <v>30</v>
      </c>
      <c r="E627" s="11">
        <v>18</v>
      </c>
      <c r="F627" s="17">
        <f t="shared" si="139"/>
        <v>72</v>
      </c>
      <c r="G627" s="16" t="s">
        <v>19</v>
      </c>
      <c r="H627" s="16" t="s">
        <v>31</v>
      </c>
      <c r="I627" s="16" t="s">
        <v>35</v>
      </c>
      <c r="J627" s="13">
        <v>0.74305555555555558</v>
      </c>
      <c r="K627" s="13">
        <v>0.76388888888888884</v>
      </c>
      <c r="L627" s="71">
        <f t="shared" si="140"/>
        <v>2.0833333333333259E-2</v>
      </c>
      <c r="M627" s="29"/>
      <c r="N627" s="30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16" t="s">
        <v>30</v>
      </c>
      <c r="E628" s="11">
        <v>4</v>
      </c>
      <c r="F628" s="12">
        <f t="shared" si="139"/>
        <v>16</v>
      </c>
      <c r="G628" s="10"/>
      <c r="H628" s="10"/>
      <c r="I628" s="10"/>
      <c r="J628" s="13"/>
      <c r="K628" s="13"/>
      <c r="L628" s="70" t="str">
        <f t="shared" si="140"/>
        <v/>
      </c>
      <c r="M628" s="29"/>
      <c r="N628" s="30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16" t="s">
        <v>30</v>
      </c>
      <c r="E629" s="11">
        <v>15</v>
      </c>
      <c r="F629" s="17">
        <f t="shared" si="139"/>
        <v>60</v>
      </c>
      <c r="G629" s="16"/>
      <c r="H629" s="16"/>
      <c r="I629" s="16"/>
      <c r="J629" s="13"/>
      <c r="K629" s="13"/>
      <c r="L629" s="71" t="str">
        <f t="shared" si="140"/>
        <v/>
      </c>
      <c r="M629" s="29"/>
      <c r="N629" s="30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16" t="s">
        <v>30</v>
      </c>
      <c r="E630" s="11">
        <v>8</v>
      </c>
      <c r="F630" s="12">
        <f t="shared" si="139"/>
        <v>32</v>
      </c>
      <c r="G630" s="10"/>
      <c r="H630" s="10"/>
      <c r="I630" s="10"/>
      <c r="J630" s="13"/>
      <c r="K630" s="13"/>
      <c r="L630" s="70" t="str">
        <f t="shared" si="140"/>
        <v/>
      </c>
      <c r="M630" s="29"/>
      <c r="N630" s="30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16" t="s">
        <v>30</v>
      </c>
      <c r="E631" s="11">
        <v>0</v>
      </c>
      <c r="F631" s="17">
        <f t="shared" si="139"/>
        <v>0</v>
      </c>
      <c r="G631" s="16"/>
      <c r="H631" s="16"/>
      <c r="I631" s="16"/>
      <c r="J631" s="13"/>
      <c r="K631" s="13"/>
      <c r="L631" s="71" t="str">
        <f t="shared" si="140"/>
        <v/>
      </c>
      <c r="M631" s="29"/>
      <c r="N631" s="30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16" t="s">
        <v>30</v>
      </c>
      <c r="E632" s="11">
        <v>0</v>
      </c>
      <c r="F632" s="12">
        <f t="shared" si="139"/>
        <v>0</v>
      </c>
      <c r="G632" s="10"/>
      <c r="H632" s="10"/>
      <c r="I632" s="10"/>
      <c r="J632" s="13"/>
      <c r="K632" s="13"/>
      <c r="L632" s="70" t="str">
        <f t="shared" si="140"/>
        <v/>
      </c>
      <c r="M632" s="29"/>
      <c r="N632" s="30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16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29"/>
      <c r="N633" s="30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16" t="s">
        <v>30</v>
      </c>
      <c r="E634" s="11">
        <v>1</v>
      </c>
      <c r="F634" s="12">
        <f t="shared" si="139"/>
        <v>4</v>
      </c>
      <c r="G634" s="10"/>
      <c r="H634" s="10"/>
      <c r="I634" s="10"/>
      <c r="J634" s="13"/>
      <c r="K634" s="13"/>
      <c r="L634" s="70" t="str">
        <f t="shared" si="140"/>
        <v/>
      </c>
      <c r="M634" s="29"/>
      <c r="N634" s="30"/>
    </row>
    <row r="635" spans="1:14" ht="15.75" customHeight="1">
      <c r="A635" s="105" t="s">
        <v>191</v>
      </c>
      <c r="B635" s="105"/>
      <c r="C635" s="105"/>
      <c r="D635" s="105"/>
      <c r="E635" s="19">
        <f>SUM(E623:E634)</f>
        <v>110</v>
      </c>
      <c r="F635" s="19">
        <f>SUM(F623:F634)</f>
        <v>440</v>
      </c>
      <c r="G635" s="18"/>
      <c r="H635" s="18"/>
      <c r="I635" s="18"/>
      <c r="J635" s="18"/>
      <c r="K635" s="18"/>
      <c r="L635" s="72">
        <f>IFERROR(SUM(L623:L634),"")</f>
        <v>0.13958333333333328</v>
      </c>
      <c r="M635" s="19" t="s">
        <v>192</v>
      </c>
      <c r="N635" s="89">
        <v>565490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151</v>
      </c>
      <c r="I636" s="10" t="s">
        <v>51</v>
      </c>
      <c r="J636" s="13">
        <v>0.79166666666666663</v>
      </c>
      <c r="K636" s="13">
        <v>0.83333333333333337</v>
      </c>
      <c r="L636" s="70">
        <f t="shared" ref="L636:L647" si="143">IFERROR(IF(K636="","",IF(K636&gt;=J636,K636-J636,K636+1-J636)),"")</f>
        <v>4.1666666666666741E-2</v>
      </c>
      <c r="M636" s="29" t="s">
        <v>292</v>
      </c>
      <c r="N636" s="30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10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39</v>
      </c>
      <c r="I637" s="16" t="s">
        <v>162</v>
      </c>
      <c r="J637" s="13">
        <v>0.84375</v>
      </c>
      <c r="K637" s="13">
        <v>0.98611111111111116</v>
      </c>
      <c r="L637" s="71">
        <f t="shared" si="143"/>
        <v>0.14236111111111116</v>
      </c>
      <c r="M637" s="29" t="s">
        <v>293</v>
      </c>
      <c r="N637" s="30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10" t="s">
        <v>30</v>
      </c>
      <c r="E638" s="11">
        <v>0</v>
      </c>
      <c r="F638" s="12">
        <f t="shared" si="142"/>
        <v>0</v>
      </c>
      <c r="G638" s="10" t="s">
        <v>18</v>
      </c>
      <c r="H638" s="10" t="s">
        <v>31</v>
      </c>
      <c r="I638" s="10" t="s">
        <v>162</v>
      </c>
      <c r="J638" s="13">
        <v>6.9444444444444441E-3</v>
      </c>
      <c r="K638" s="13">
        <v>0.29166666666666669</v>
      </c>
      <c r="L638" s="70">
        <f t="shared" si="143"/>
        <v>0.28472222222222227</v>
      </c>
      <c r="M638" s="29" t="s">
        <v>294</v>
      </c>
      <c r="N638" s="30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10" t="s">
        <v>30</v>
      </c>
      <c r="E639" s="11">
        <v>0</v>
      </c>
      <c r="F639" s="17">
        <f t="shared" si="142"/>
        <v>0</v>
      </c>
      <c r="G639" s="16" t="s">
        <v>20</v>
      </c>
      <c r="H639" s="16" t="s">
        <v>39</v>
      </c>
      <c r="I639" s="16" t="s">
        <v>51</v>
      </c>
      <c r="J639" s="13">
        <v>0.18541666666666667</v>
      </c>
      <c r="K639" s="13">
        <v>0.18888888888888888</v>
      </c>
      <c r="L639" s="71">
        <f t="shared" si="143"/>
        <v>3.4722222222222099E-3</v>
      </c>
      <c r="M639" s="29"/>
      <c r="N639" s="30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2"/>
        <v>0</v>
      </c>
      <c r="G640" s="10"/>
      <c r="H640" s="10"/>
      <c r="I640" s="10"/>
      <c r="J640" s="13"/>
      <c r="K640" s="13"/>
      <c r="L640" s="70" t="str">
        <f t="shared" si="143"/>
        <v/>
      </c>
      <c r="M640" s="29"/>
      <c r="N640" s="30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10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29"/>
      <c r="N641" s="30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10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29"/>
      <c r="N642" s="30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10" t="s">
        <v>30</v>
      </c>
      <c r="E643" s="11">
        <v>6</v>
      </c>
      <c r="F643" s="17">
        <f t="shared" si="142"/>
        <v>24</v>
      </c>
      <c r="G643" s="16"/>
      <c r="H643" s="16"/>
      <c r="I643" s="16"/>
      <c r="J643" s="13"/>
      <c r="K643" s="13"/>
      <c r="L643" s="71" t="str">
        <f t="shared" si="143"/>
        <v/>
      </c>
      <c r="M643" s="29"/>
      <c r="N643" s="30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10" t="s">
        <v>30</v>
      </c>
      <c r="E644" s="11">
        <v>1</v>
      </c>
      <c r="F644" s="12">
        <f t="shared" si="142"/>
        <v>4</v>
      </c>
      <c r="G644" s="10"/>
      <c r="H644" s="10"/>
      <c r="I644" s="10"/>
      <c r="J644" s="13"/>
      <c r="K644" s="13"/>
      <c r="L644" s="70" t="str">
        <f t="shared" si="143"/>
        <v/>
      </c>
      <c r="M644" s="29"/>
      <c r="N644" s="30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10" t="s">
        <v>30</v>
      </c>
      <c r="E645" s="11">
        <v>3</v>
      </c>
      <c r="F645" s="17">
        <f t="shared" si="142"/>
        <v>12</v>
      </c>
      <c r="G645" s="16"/>
      <c r="H645" s="16"/>
      <c r="I645" s="16"/>
      <c r="J645" s="13"/>
      <c r="K645" s="13"/>
      <c r="L645" s="71" t="str">
        <f t="shared" si="143"/>
        <v/>
      </c>
      <c r="M645" s="29"/>
      <c r="N645" s="30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10" t="s">
        <v>30</v>
      </c>
      <c r="E646" s="11">
        <v>9</v>
      </c>
      <c r="F646" s="12">
        <f t="shared" si="142"/>
        <v>36</v>
      </c>
      <c r="G646" s="10"/>
      <c r="H646" s="10"/>
      <c r="I646" s="10"/>
      <c r="J646" s="13"/>
      <c r="K646" s="13"/>
      <c r="L646" s="70" t="str">
        <f t="shared" si="143"/>
        <v/>
      </c>
      <c r="M646" s="29"/>
      <c r="N646" s="30"/>
    </row>
    <row r="647" spans="1:14" ht="15" customHeight="1">
      <c r="A647" s="59">
        <v>46197</v>
      </c>
      <c r="B647" s="15">
        <f t="shared" si="144"/>
        <v>1.2916666666666667</v>
      </c>
      <c r="C647" s="16" t="s">
        <v>29</v>
      </c>
      <c r="D647" s="10" t="s">
        <v>30</v>
      </c>
      <c r="E647" s="11">
        <v>8</v>
      </c>
      <c r="F647" s="17">
        <f t="shared" si="142"/>
        <v>32</v>
      </c>
      <c r="G647" s="16"/>
      <c r="H647" s="16"/>
      <c r="I647" s="16"/>
      <c r="J647" s="13"/>
      <c r="K647" s="13"/>
      <c r="L647" s="71" t="str">
        <f t="shared" si="143"/>
        <v/>
      </c>
      <c r="M647" s="29"/>
      <c r="N647" s="30"/>
    </row>
    <row r="648" spans="1:14" ht="15.75" customHeight="1">
      <c r="A648" s="105" t="s">
        <v>193</v>
      </c>
      <c r="B648" s="105"/>
      <c r="C648" s="105"/>
      <c r="D648" s="105"/>
      <c r="E648" s="19">
        <f>SUM(E636:E647)</f>
        <v>27</v>
      </c>
      <c r="F648" s="19">
        <f>SUM(F636:F647)</f>
        <v>108</v>
      </c>
      <c r="G648" s="18"/>
      <c r="H648" s="18"/>
      <c r="I648" s="18"/>
      <c r="J648" s="18"/>
      <c r="K648" s="18"/>
      <c r="L648" s="72">
        <f>IFERROR(SUM(L636:L647),"")</f>
        <v>0.47222222222222238</v>
      </c>
      <c r="M648" s="19" t="s">
        <v>192</v>
      </c>
      <c r="N648" s="20">
        <f>47050+58630</f>
        <v>105680</v>
      </c>
    </row>
    <row r="649" spans="1:14" ht="18" customHeight="1">
      <c r="A649" s="98" t="s">
        <v>194</v>
      </c>
      <c r="B649" s="98"/>
      <c r="C649" s="98"/>
      <c r="D649" s="98"/>
      <c r="E649" s="22">
        <f>E635+E648</f>
        <v>137</v>
      </c>
      <c r="F649" s="22">
        <f>F635+F648</f>
        <v>548</v>
      </c>
      <c r="G649" s="21"/>
      <c r="H649" s="21"/>
      <c r="I649" s="21"/>
      <c r="J649" s="21"/>
      <c r="K649" s="21"/>
      <c r="L649" s="73">
        <f>IFERROR(L635+L648,"")</f>
        <v>0.61180555555555571</v>
      </c>
      <c r="M649" s="22" t="s">
        <v>195</v>
      </c>
      <c r="N649" s="31">
        <f>N635+N648</f>
        <v>671170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7</v>
      </c>
      <c r="F650" s="12">
        <f t="shared" ref="F650:F661" si="145">IF(E650="","",E650*4)</f>
        <v>28</v>
      </c>
      <c r="G650" s="16" t="s">
        <v>18</v>
      </c>
      <c r="H650" s="16" t="s">
        <v>135</v>
      </c>
      <c r="I650" s="16" t="s">
        <v>122</v>
      </c>
      <c r="J650" s="13">
        <v>0.45833333333333331</v>
      </c>
      <c r="K650" s="13">
        <v>0.50694444444444442</v>
      </c>
      <c r="L650" s="70">
        <f t="shared" ref="L650:L661" si="146">IFERROR(IF(K650="","",IF(K650&gt;=J650,K650-J650,K650+1-J650)),"")</f>
        <v>4.8611111111111105E-2</v>
      </c>
      <c r="M650" s="29"/>
      <c r="N650" s="30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5"/>
        <v>12</v>
      </c>
      <c r="G651" s="16" t="s">
        <v>18</v>
      </c>
      <c r="H651" s="16" t="s">
        <v>130</v>
      </c>
      <c r="I651" s="16" t="s">
        <v>97</v>
      </c>
      <c r="J651" s="13">
        <v>0.56944444444444442</v>
      </c>
      <c r="K651" s="13">
        <v>0.77777777777777779</v>
      </c>
      <c r="L651" s="71">
        <f t="shared" si="146"/>
        <v>0.20833333333333337</v>
      </c>
      <c r="M651" s="29"/>
      <c r="N651" s="30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10" t="s">
        <v>30</v>
      </c>
      <c r="E652" s="11">
        <v>8</v>
      </c>
      <c r="F652" s="17">
        <f t="shared" si="145"/>
        <v>32</v>
      </c>
      <c r="G652" s="10"/>
      <c r="H652" s="10"/>
      <c r="I652" s="10"/>
      <c r="J652" s="13"/>
      <c r="K652" s="13"/>
      <c r="L652" s="70" t="str">
        <f t="shared" si="146"/>
        <v/>
      </c>
      <c r="M652" s="29"/>
      <c r="N652" s="30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10" t="s">
        <v>30</v>
      </c>
      <c r="E653" s="11">
        <v>6</v>
      </c>
      <c r="F653" s="17">
        <f t="shared" si="145"/>
        <v>24</v>
      </c>
      <c r="G653" s="16"/>
      <c r="H653" s="16"/>
      <c r="I653" s="16"/>
      <c r="J653" s="13"/>
      <c r="K653" s="13"/>
      <c r="L653" s="71" t="str">
        <f t="shared" si="146"/>
        <v/>
      </c>
      <c r="M653" s="29"/>
      <c r="N653" s="30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10" t="s">
        <v>30</v>
      </c>
      <c r="E654" s="11">
        <v>0</v>
      </c>
      <c r="F654" s="12">
        <f t="shared" si="145"/>
        <v>0</v>
      </c>
      <c r="G654" s="10"/>
      <c r="H654" s="10"/>
      <c r="I654" s="10"/>
      <c r="J654" s="13"/>
      <c r="K654" s="13"/>
      <c r="L654" s="70" t="str">
        <f t="shared" si="146"/>
        <v/>
      </c>
      <c r="M654" s="29"/>
      <c r="N654" s="30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10" t="s">
        <v>30</v>
      </c>
      <c r="E655" s="11">
        <v>0</v>
      </c>
      <c r="F655" s="17">
        <f t="shared" si="145"/>
        <v>0</v>
      </c>
      <c r="G655" s="16"/>
      <c r="H655" s="16"/>
      <c r="I655" s="16"/>
      <c r="J655" s="13"/>
      <c r="K655" s="13"/>
      <c r="L655" s="71" t="str">
        <f t="shared" si="146"/>
        <v/>
      </c>
      <c r="M655" s="29"/>
      <c r="N655" s="30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10" t="s">
        <v>30</v>
      </c>
      <c r="E656" s="11">
        <v>2</v>
      </c>
      <c r="F656" s="12">
        <f t="shared" si="145"/>
        <v>8</v>
      </c>
      <c r="G656" s="10"/>
      <c r="H656" s="10"/>
      <c r="I656" s="10"/>
      <c r="J656" s="13"/>
      <c r="K656" s="13"/>
      <c r="L656" s="70" t="str">
        <f t="shared" si="146"/>
        <v/>
      </c>
      <c r="M656" s="29"/>
      <c r="N656" s="30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10" t="s">
        <v>30</v>
      </c>
      <c r="E657" s="11">
        <v>1</v>
      </c>
      <c r="F657" s="17">
        <f t="shared" si="145"/>
        <v>4</v>
      </c>
      <c r="G657" s="16"/>
      <c r="H657" s="16"/>
      <c r="I657" s="16"/>
      <c r="J657" s="13"/>
      <c r="K657" s="13"/>
      <c r="L657" s="71" t="str">
        <f t="shared" si="146"/>
        <v/>
      </c>
      <c r="M657" s="29"/>
      <c r="N657" s="30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10" t="s">
        <v>30</v>
      </c>
      <c r="E658" s="11">
        <v>0</v>
      </c>
      <c r="F658" s="12">
        <f t="shared" si="145"/>
        <v>0</v>
      </c>
      <c r="G658" s="10"/>
      <c r="H658" s="10"/>
      <c r="I658" s="10"/>
      <c r="J658" s="13"/>
      <c r="K658" s="13"/>
      <c r="L658" s="70" t="str">
        <f t="shared" si="146"/>
        <v/>
      </c>
      <c r="M658" s="29"/>
      <c r="N658" s="30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10" t="s">
        <v>30</v>
      </c>
      <c r="E659" s="11">
        <v>0</v>
      </c>
      <c r="F659" s="17">
        <f t="shared" si="145"/>
        <v>0</v>
      </c>
      <c r="G659" s="16"/>
      <c r="H659" s="16"/>
      <c r="I659" s="16"/>
      <c r="J659" s="13"/>
      <c r="K659" s="13"/>
      <c r="L659" s="71" t="str">
        <f t="shared" si="146"/>
        <v/>
      </c>
      <c r="M659" s="29"/>
      <c r="N659" s="30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10" t="s">
        <v>30</v>
      </c>
      <c r="E660" s="11">
        <v>0</v>
      </c>
      <c r="F660" s="12">
        <f t="shared" si="145"/>
        <v>0</v>
      </c>
      <c r="G660" s="10"/>
      <c r="H660" s="10"/>
      <c r="I660" s="10"/>
      <c r="J660" s="13"/>
      <c r="K660" s="13"/>
      <c r="L660" s="70" t="str">
        <f t="shared" si="146"/>
        <v/>
      </c>
      <c r="M660" s="29"/>
      <c r="N660" s="30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10" t="s">
        <v>30</v>
      </c>
      <c r="E661" s="11">
        <v>0</v>
      </c>
      <c r="F661" s="17">
        <f t="shared" si="145"/>
        <v>0</v>
      </c>
      <c r="G661" s="16"/>
      <c r="H661" s="16"/>
      <c r="I661" s="16"/>
      <c r="J661" s="13"/>
      <c r="K661" s="13"/>
      <c r="L661" s="71" t="str">
        <f t="shared" si="146"/>
        <v/>
      </c>
      <c r="M661" s="29"/>
      <c r="N661" s="30"/>
    </row>
    <row r="662" spans="1:14" ht="15.75" customHeight="1">
      <c r="A662" s="105" t="s">
        <v>191</v>
      </c>
      <c r="B662" s="105"/>
      <c r="C662" s="105"/>
      <c r="D662" s="105"/>
      <c r="E662" s="19">
        <f>SUM(E650:E661)</f>
        <v>27</v>
      </c>
      <c r="F662" s="19">
        <f>SUM(F650:F661)</f>
        <v>108</v>
      </c>
      <c r="G662" s="18"/>
      <c r="H662" s="18"/>
      <c r="I662" s="18"/>
      <c r="J662" s="18"/>
      <c r="K662" s="18"/>
      <c r="L662" s="72">
        <f>IFERROR(SUM(L650:L661),"")</f>
        <v>0.25694444444444448</v>
      </c>
      <c r="M662" s="19" t="s">
        <v>192</v>
      </c>
      <c r="N662" s="20">
        <v>127580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30</v>
      </c>
      <c r="E663" s="11">
        <v>13</v>
      </c>
      <c r="F663" s="17">
        <f t="shared" ref="F663:F674" si="148">IF(E663="","",E663*4)</f>
        <v>52</v>
      </c>
      <c r="G663" s="16" t="s">
        <v>19</v>
      </c>
      <c r="H663" s="16" t="s">
        <v>39</v>
      </c>
      <c r="I663" s="16" t="s">
        <v>27</v>
      </c>
      <c r="J663" s="13">
        <v>0.85416666666666663</v>
      </c>
      <c r="K663" s="13">
        <v>0.91666666666666663</v>
      </c>
      <c r="L663" s="71">
        <f t="shared" ref="L663:L674" si="149">IFERROR(IF(K663="","",IF(K663&gt;=J663,K663-J663,K663+1-J663)),"")</f>
        <v>6.25E-2</v>
      </c>
      <c r="M663" s="29" t="s">
        <v>295</v>
      </c>
      <c r="N663" s="30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16" t="s">
        <v>30</v>
      </c>
      <c r="E664" s="11">
        <v>10</v>
      </c>
      <c r="F664" s="12">
        <f t="shared" si="148"/>
        <v>40</v>
      </c>
      <c r="G664" s="10" t="s">
        <v>17</v>
      </c>
      <c r="H664" s="10" t="s">
        <v>39</v>
      </c>
      <c r="I664" s="10" t="s">
        <v>91</v>
      </c>
      <c r="J664" s="13">
        <v>0.85416666666666663</v>
      </c>
      <c r="K664" s="13">
        <v>0.95833333333333337</v>
      </c>
      <c r="L664" s="70">
        <f t="shared" si="149"/>
        <v>0.10416666666666674</v>
      </c>
      <c r="M664" s="29" t="s">
        <v>296</v>
      </c>
      <c r="N664" s="30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16" t="s">
        <v>30</v>
      </c>
      <c r="E665" s="11">
        <v>0</v>
      </c>
      <c r="F665" s="17">
        <f t="shared" si="148"/>
        <v>0</v>
      </c>
      <c r="G665" s="16" t="s">
        <v>20</v>
      </c>
      <c r="H665" s="16" t="s">
        <v>31</v>
      </c>
      <c r="I665" s="16" t="s">
        <v>51</v>
      </c>
      <c r="J665" s="13">
        <v>0.95972222222222225</v>
      </c>
      <c r="K665" s="13">
        <v>0.96458333333333335</v>
      </c>
      <c r="L665" s="71">
        <f t="shared" si="149"/>
        <v>4.8611111111110938E-3</v>
      </c>
      <c r="M665" s="29"/>
      <c r="N665" s="30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16" t="s">
        <v>30</v>
      </c>
      <c r="E666" s="11">
        <v>0</v>
      </c>
      <c r="F666" s="12">
        <f t="shared" si="148"/>
        <v>0</v>
      </c>
      <c r="G666" s="10" t="s">
        <v>20</v>
      </c>
      <c r="H666" s="10"/>
      <c r="I666" s="10" t="s">
        <v>123</v>
      </c>
      <c r="J666" s="13">
        <v>0.99236111111111114</v>
      </c>
      <c r="K666" s="13">
        <v>0.99513888888888891</v>
      </c>
      <c r="L666" s="70">
        <f t="shared" si="149"/>
        <v>2.7777777777777679E-3</v>
      </c>
      <c r="M666" s="29"/>
      <c r="N666" s="30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16" t="s">
        <v>30</v>
      </c>
      <c r="E667" s="11">
        <v>10</v>
      </c>
      <c r="F667" s="17">
        <f t="shared" si="148"/>
        <v>40</v>
      </c>
      <c r="G667" s="16" t="s">
        <v>20</v>
      </c>
      <c r="H667" s="16" t="s">
        <v>31</v>
      </c>
      <c r="I667" s="16" t="s">
        <v>56</v>
      </c>
      <c r="J667" s="13">
        <v>6.5972222222222224E-2</v>
      </c>
      <c r="K667" s="13">
        <v>9.4444444444444442E-2</v>
      </c>
      <c r="L667" s="71">
        <f t="shared" si="149"/>
        <v>2.8472222222222218E-2</v>
      </c>
      <c r="M667" s="29"/>
      <c r="N667" s="30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16" t="s">
        <v>30</v>
      </c>
      <c r="E668" s="11">
        <v>13</v>
      </c>
      <c r="F668" s="12">
        <f t="shared" si="148"/>
        <v>52</v>
      </c>
      <c r="G668" s="10" t="s">
        <v>20</v>
      </c>
      <c r="H668" s="10" t="s">
        <v>80</v>
      </c>
      <c r="I668" s="10" t="s">
        <v>167</v>
      </c>
      <c r="J668" s="13">
        <v>0.10416666666666667</v>
      </c>
      <c r="K668" s="13">
        <v>0.1361111111111111</v>
      </c>
      <c r="L668" s="70">
        <f t="shared" si="149"/>
        <v>3.1944444444444428E-2</v>
      </c>
      <c r="M668" s="29"/>
      <c r="N668" s="30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16" t="s">
        <v>30</v>
      </c>
      <c r="E669" s="11">
        <v>10</v>
      </c>
      <c r="F669" s="17">
        <f t="shared" si="148"/>
        <v>40</v>
      </c>
      <c r="G669" s="16" t="s">
        <v>20</v>
      </c>
      <c r="H669" s="16" t="s">
        <v>85</v>
      </c>
      <c r="I669" s="16" t="s">
        <v>167</v>
      </c>
      <c r="J669" s="13">
        <v>0.13263888888888889</v>
      </c>
      <c r="K669" s="13">
        <v>0.13958333333333334</v>
      </c>
      <c r="L669" s="71">
        <f t="shared" si="149"/>
        <v>6.9444444444444475E-3</v>
      </c>
      <c r="M669" s="29"/>
      <c r="N669" s="30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16" t="s">
        <v>30</v>
      </c>
      <c r="E670" s="11">
        <v>13</v>
      </c>
      <c r="F670" s="12">
        <f t="shared" si="148"/>
        <v>52</v>
      </c>
      <c r="G670" s="10" t="s">
        <v>20</v>
      </c>
      <c r="H670" s="10" t="s">
        <v>39</v>
      </c>
      <c r="I670" s="10" t="s">
        <v>51</v>
      </c>
      <c r="J670" s="13">
        <v>0.13750000000000001</v>
      </c>
      <c r="K670" s="13">
        <v>0.14374999999999999</v>
      </c>
      <c r="L670" s="70">
        <f t="shared" si="149"/>
        <v>6.2499999999999778E-3</v>
      </c>
      <c r="M670" s="29"/>
      <c r="N670" s="30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16" t="s">
        <v>30</v>
      </c>
      <c r="E671" s="11">
        <v>17</v>
      </c>
      <c r="F671" s="17">
        <f t="shared" si="148"/>
        <v>68</v>
      </c>
      <c r="G671" s="16" t="s">
        <v>20</v>
      </c>
      <c r="H671" s="16"/>
      <c r="I671" s="16" t="s">
        <v>123</v>
      </c>
      <c r="J671" s="13">
        <v>0.16388888888888889</v>
      </c>
      <c r="K671" s="13">
        <v>0.16597222222222222</v>
      </c>
      <c r="L671" s="71">
        <f t="shared" si="149"/>
        <v>2.0833333333333259E-3</v>
      </c>
      <c r="M671" s="29"/>
      <c r="N671" s="30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16" t="s">
        <v>30</v>
      </c>
      <c r="E672" s="11">
        <v>29</v>
      </c>
      <c r="F672" s="12">
        <f t="shared" si="148"/>
        <v>116</v>
      </c>
      <c r="G672" s="10" t="s">
        <v>20</v>
      </c>
      <c r="H672" s="10" t="s">
        <v>39</v>
      </c>
      <c r="I672" s="10" t="s">
        <v>123</v>
      </c>
      <c r="J672" s="13">
        <v>0.22500000000000001</v>
      </c>
      <c r="K672" s="13">
        <v>0.27430555555555558</v>
      </c>
      <c r="L672" s="70">
        <f t="shared" si="149"/>
        <v>4.9305555555555575E-2</v>
      </c>
      <c r="M672" s="29" t="s">
        <v>297</v>
      </c>
      <c r="N672" s="30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16" t="s">
        <v>30</v>
      </c>
      <c r="E673" s="11">
        <v>14</v>
      </c>
      <c r="F673" s="17">
        <f t="shared" si="148"/>
        <v>56</v>
      </c>
      <c r="G673" s="16"/>
      <c r="H673" s="16"/>
      <c r="I673" s="16"/>
      <c r="J673" s="13"/>
      <c r="K673" s="13"/>
      <c r="L673" s="71" t="str">
        <f t="shared" si="149"/>
        <v/>
      </c>
      <c r="M673" s="29"/>
      <c r="N673" s="30"/>
    </row>
    <row r="674" spans="1:14" ht="15" customHeight="1">
      <c r="A674" s="58">
        <v>46198</v>
      </c>
      <c r="B674" s="9">
        <f t="shared" si="150"/>
        <v>1.2916666666666667</v>
      </c>
      <c r="C674" s="16" t="s">
        <v>29</v>
      </c>
      <c r="D674" s="16" t="s">
        <v>30</v>
      </c>
      <c r="E674" s="11">
        <v>0</v>
      </c>
      <c r="F674" s="12">
        <f t="shared" si="148"/>
        <v>0</v>
      </c>
      <c r="G674" s="10"/>
      <c r="H674" s="10"/>
      <c r="I674" s="10"/>
      <c r="J674" s="13"/>
      <c r="K674" s="13"/>
      <c r="L674" s="70" t="str">
        <f t="shared" si="149"/>
        <v/>
      </c>
      <c r="M674" s="29"/>
      <c r="N674" s="30"/>
    </row>
    <row r="675" spans="1:14" ht="15.75" customHeight="1">
      <c r="A675" s="105" t="s">
        <v>193</v>
      </c>
      <c r="B675" s="105"/>
      <c r="C675" s="105"/>
      <c r="D675" s="105"/>
      <c r="E675" s="19">
        <f>SUM(E663:E674)</f>
        <v>129</v>
      </c>
      <c r="F675" s="19">
        <f>SUM(F663:F674)</f>
        <v>516</v>
      </c>
      <c r="G675" s="18"/>
      <c r="H675" s="18"/>
      <c r="I675" s="18"/>
      <c r="J675" s="18"/>
      <c r="K675" s="18"/>
      <c r="L675" s="72">
        <f>IFERROR(SUM(L663:L674),"")</f>
        <v>0.2993055555555556</v>
      </c>
      <c r="M675" s="19" t="s">
        <v>192</v>
      </c>
      <c r="N675" s="20">
        <v>546550</v>
      </c>
    </row>
    <row r="676" spans="1:14" ht="18" customHeight="1">
      <c r="A676" s="98" t="s">
        <v>194</v>
      </c>
      <c r="B676" s="98"/>
      <c r="C676" s="98"/>
      <c r="D676" s="98"/>
      <c r="E676" s="22">
        <f>E662+E675</f>
        <v>156</v>
      </c>
      <c r="F676" s="22">
        <f>F662+F675</f>
        <v>624</v>
      </c>
      <c r="G676" s="21"/>
      <c r="H676" s="21"/>
      <c r="I676" s="21"/>
      <c r="J676" s="21"/>
      <c r="K676" s="21"/>
      <c r="L676" s="73">
        <f>IFERROR(L662+L675,"")</f>
        <v>0.55625000000000013</v>
      </c>
      <c r="M676" s="22" t="s">
        <v>195</v>
      </c>
      <c r="N676" s="31">
        <f>IFERROR(N662+N675,"")</f>
        <v>674130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30</v>
      </c>
      <c r="E677" s="11">
        <v>6</v>
      </c>
      <c r="F677" s="17">
        <f t="shared" ref="F677:F688" si="151">IF(E677="","",E677*4)</f>
        <v>24</v>
      </c>
      <c r="G677" s="16" t="s">
        <v>19</v>
      </c>
      <c r="H677" s="16" t="s">
        <v>151</v>
      </c>
      <c r="I677" s="16" t="s">
        <v>27</v>
      </c>
      <c r="J677" s="13">
        <v>0.30208333333333331</v>
      </c>
      <c r="K677" s="13">
        <v>0.33958333333333335</v>
      </c>
      <c r="L677" s="71">
        <f t="shared" ref="L677:L688" si="152">IFERROR(IF(K677="","",IF(K677&gt;=J677,K677-J677,K677+1-J677)),"")</f>
        <v>3.7500000000000033E-2</v>
      </c>
      <c r="M677" s="29"/>
      <c r="N677" s="30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16" t="s">
        <v>30</v>
      </c>
      <c r="E678" s="11">
        <v>16</v>
      </c>
      <c r="F678" s="12">
        <f t="shared" si="151"/>
        <v>64</v>
      </c>
      <c r="G678" s="10" t="s">
        <v>20</v>
      </c>
      <c r="H678" s="10" t="s">
        <v>39</v>
      </c>
      <c r="I678" s="10" t="s">
        <v>123</v>
      </c>
      <c r="J678" s="13">
        <v>0.3576388888888889</v>
      </c>
      <c r="K678" s="13">
        <v>0.3611111111111111</v>
      </c>
      <c r="L678" s="71">
        <f t="shared" si="152"/>
        <v>3.4722222222222099E-3</v>
      </c>
      <c r="M678" s="29"/>
      <c r="N678" s="30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16" t="s">
        <v>30</v>
      </c>
      <c r="E679" s="11">
        <v>13</v>
      </c>
      <c r="F679" s="17">
        <f t="shared" si="151"/>
        <v>52</v>
      </c>
      <c r="G679" s="16" t="s">
        <v>18</v>
      </c>
      <c r="H679" s="16" t="s">
        <v>31</v>
      </c>
      <c r="I679" s="16" t="s">
        <v>148</v>
      </c>
      <c r="J679" s="13">
        <v>0.3888888888888889</v>
      </c>
      <c r="K679" s="13">
        <v>0.44444444444444442</v>
      </c>
      <c r="L679" s="71">
        <f t="shared" si="152"/>
        <v>5.5555555555555525E-2</v>
      </c>
      <c r="M679" s="29" t="s">
        <v>298</v>
      </c>
      <c r="N679" s="30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16" t="s">
        <v>30</v>
      </c>
      <c r="E680" s="11">
        <v>4</v>
      </c>
      <c r="F680" s="12">
        <f t="shared" si="151"/>
        <v>16</v>
      </c>
      <c r="G680" s="10" t="s">
        <v>18</v>
      </c>
      <c r="H680" s="10" t="s">
        <v>151</v>
      </c>
      <c r="I680" s="10" t="s">
        <v>158</v>
      </c>
      <c r="J680" s="13">
        <v>0.52430555555555558</v>
      </c>
      <c r="K680" s="13">
        <v>0.53472222222222221</v>
      </c>
      <c r="L680" s="71">
        <f t="shared" si="152"/>
        <v>1.041666666666663E-2</v>
      </c>
      <c r="M680" s="29"/>
      <c r="N680" s="30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16" t="s">
        <v>30</v>
      </c>
      <c r="E681" s="11">
        <v>12</v>
      </c>
      <c r="F681" s="17">
        <f t="shared" si="151"/>
        <v>48</v>
      </c>
      <c r="G681" s="16"/>
      <c r="H681" s="16"/>
      <c r="I681" s="16"/>
      <c r="J681" s="13"/>
      <c r="K681" s="13"/>
      <c r="L681" s="71" t="str">
        <f t="shared" si="152"/>
        <v/>
      </c>
      <c r="M681" s="29"/>
      <c r="N681" s="30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16" t="s">
        <v>30</v>
      </c>
      <c r="E682" s="11">
        <v>12</v>
      </c>
      <c r="F682" s="12">
        <f t="shared" si="151"/>
        <v>48</v>
      </c>
      <c r="G682" s="10"/>
      <c r="H682" s="10"/>
      <c r="I682" s="10"/>
      <c r="J682" s="13"/>
      <c r="K682" s="13"/>
      <c r="L682" s="71" t="str">
        <f t="shared" si="152"/>
        <v/>
      </c>
      <c r="M682" s="29"/>
      <c r="N682" s="30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16" t="s">
        <v>30</v>
      </c>
      <c r="E683" s="11">
        <v>12</v>
      </c>
      <c r="F683" s="17">
        <f t="shared" si="151"/>
        <v>48</v>
      </c>
      <c r="G683" s="16"/>
      <c r="H683" s="16"/>
      <c r="I683" s="16"/>
      <c r="J683" s="13"/>
      <c r="K683" s="13"/>
      <c r="L683" s="71" t="str">
        <f t="shared" si="152"/>
        <v/>
      </c>
      <c r="M683" s="29"/>
      <c r="N683" s="30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16" t="s">
        <v>30</v>
      </c>
      <c r="E684" s="11">
        <v>10</v>
      </c>
      <c r="F684" s="12">
        <f t="shared" si="151"/>
        <v>40</v>
      </c>
      <c r="G684" s="10"/>
      <c r="H684" s="10"/>
      <c r="I684" s="10"/>
      <c r="J684" s="13"/>
      <c r="K684" s="13"/>
      <c r="L684" s="70" t="str">
        <f t="shared" si="152"/>
        <v/>
      </c>
      <c r="M684" s="29"/>
      <c r="N684" s="30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16" t="s">
        <v>30</v>
      </c>
      <c r="E685" s="11">
        <v>24</v>
      </c>
      <c r="F685" s="17">
        <f t="shared" si="151"/>
        <v>96</v>
      </c>
      <c r="G685" s="16"/>
      <c r="H685" s="16"/>
      <c r="I685" s="16"/>
      <c r="J685" s="13"/>
      <c r="K685" s="13"/>
      <c r="L685" s="71" t="str">
        <f t="shared" si="152"/>
        <v/>
      </c>
      <c r="M685" s="29"/>
      <c r="N685" s="30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16" t="s">
        <v>30</v>
      </c>
      <c r="E686" s="11">
        <v>7</v>
      </c>
      <c r="F686" s="12">
        <f t="shared" si="151"/>
        <v>28</v>
      </c>
      <c r="G686" s="10"/>
      <c r="H686" s="10"/>
      <c r="I686" s="10"/>
      <c r="J686" s="13"/>
      <c r="K686" s="13"/>
      <c r="L686" s="70" t="str">
        <f t="shared" si="152"/>
        <v/>
      </c>
      <c r="M686" s="29"/>
      <c r="N686" s="30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1"/>
        <v>40</v>
      </c>
      <c r="G687" s="16"/>
      <c r="H687" s="16"/>
      <c r="I687" s="16"/>
      <c r="J687" s="13"/>
      <c r="K687" s="13"/>
      <c r="L687" s="71" t="str">
        <f t="shared" si="152"/>
        <v/>
      </c>
      <c r="M687" s="29"/>
      <c r="N687" s="30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76" t="s">
        <v>30</v>
      </c>
      <c r="E688" s="11">
        <v>4</v>
      </c>
      <c r="F688" s="12">
        <f t="shared" si="151"/>
        <v>16</v>
      </c>
      <c r="G688" s="10"/>
      <c r="H688" s="10"/>
      <c r="I688" s="10"/>
      <c r="J688" s="13"/>
      <c r="K688" s="13"/>
      <c r="L688" s="70" t="str">
        <f t="shared" si="152"/>
        <v/>
      </c>
      <c r="M688" s="29"/>
      <c r="N688" s="30"/>
    </row>
    <row r="689" spans="1:14" ht="15.75" customHeight="1">
      <c r="A689" s="105" t="s">
        <v>191</v>
      </c>
      <c r="B689" s="105"/>
      <c r="C689" s="105"/>
      <c r="D689" s="105"/>
      <c r="E689" s="19">
        <f>SUM(E677:E688)</f>
        <v>130</v>
      </c>
      <c r="F689" s="19">
        <f>SUM(F677:F688)</f>
        <v>520</v>
      </c>
      <c r="G689" s="18"/>
      <c r="H689" s="18"/>
      <c r="I689" s="18"/>
      <c r="J689" s="18"/>
      <c r="K689" s="18"/>
      <c r="L689" s="72">
        <f>IFERROR(SUM(L677:L688),"")</f>
        <v>0.1069444444444444</v>
      </c>
      <c r="M689" s="19" t="s">
        <v>192</v>
      </c>
      <c r="N689" s="20">
        <v>628720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15</v>
      </c>
      <c r="F690" s="12">
        <f t="shared" ref="F690:F701" si="154">IF(E690="","",E690*4)</f>
        <v>60</v>
      </c>
      <c r="G690" s="10" t="s">
        <v>20</v>
      </c>
      <c r="H690" s="10" t="s">
        <v>39</v>
      </c>
      <c r="I690" s="10" t="s">
        <v>51</v>
      </c>
      <c r="J690" s="13">
        <v>0.86805555555555558</v>
      </c>
      <c r="K690" s="13">
        <v>0.87083333333333335</v>
      </c>
      <c r="L690" s="70">
        <f t="shared" ref="L690:L701" si="155">IFERROR(IF(K690="","",IF(K690&gt;=J690,K690-J690,K690+1-J690)),"")</f>
        <v>2.7777777777777679E-3</v>
      </c>
      <c r="M690" s="29"/>
      <c r="N690" s="30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10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151</v>
      </c>
      <c r="I691" s="16" t="s">
        <v>27</v>
      </c>
      <c r="J691" s="13">
        <v>0.88402777777777775</v>
      </c>
      <c r="K691" s="13">
        <v>0.95763888888888893</v>
      </c>
      <c r="L691" s="71">
        <f t="shared" si="155"/>
        <v>7.3611111111111183E-2</v>
      </c>
      <c r="M691" s="29" t="s">
        <v>299</v>
      </c>
      <c r="N691" s="30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10" t="s">
        <v>22</v>
      </c>
      <c r="E692" s="11">
        <v>2</v>
      </c>
      <c r="F692" s="12">
        <f t="shared" si="154"/>
        <v>8</v>
      </c>
      <c r="G692" s="10" t="s">
        <v>19</v>
      </c>
      <c r="H692" s="10" t="s">
        <v>31</v>
      </c>
      <c r="I692" s="10" t="s">
        <v>50</v>
      </c>
      <c r="J692" s="13">
        <v>3.5416666666666666E-2</v>
      </c>
      <c r="K692" s="13">
        <v>7.9861111111111105E-2</v>
      </c>
      <c r="L692" s="70">
        <f t="shared" si="155"/>
        <v>4.4444444444444439E-2</v>
      </c>
      <c r="M692" s="29" t="s">
        <v>300</v>
      </c>
      <c r="N692" s="30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10" t="s">
        <v>22</v>
      </c>
      <c r="E693" s="11">
        <v>0</v>
      </c>
      <c r="F693" s="17">
        <f t="shared" si="154"/>
        <v>0</v>
      </c>
      <c r="G693" s="16" t="s">
        <v>20</v>
      </c>
      <c r="H693" s="16"/>
      <c r="I693" s="16" t="s">
        <v>123</v>
      </c>
      <c r="J693" s="13">
        <v>0.12777777777777777</v>
      </c>
      <c r="K693" s="13">
        <v>0.16875000000000001</v>
      </c>
      <c r="L693" s="71">
        <f t="shared" si="155"/>
        <v>4.0972222222222243E-2</v>
      </c>
      <c r="M693" s="29"/>
      <c r="N693" s="30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4"/>
        <v>16</v>
      </c>
      <c r="G694" s="10"/>
      <c r="H694" s="10"/>
      <c r="I694" s="10"/>
      <c r="J694" s="13"/>
      <c r="K694" s="13"/>
      <c r="L694" s="70" t="str">
        <f t="shared" si="155"/>
        <v/>
      </c>
      <c r="M694" s="29"/>
      <c r="N694" s="30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10" t="s">
        <v>22</v>
      </c>
      <c r="E695" s="11">
        <v>18</v>
      </c>
      <c r="F695" s="17">
        <f t="shared" si="154"/>
        <v>72</v>
      </c>
      <c r="G695" s="16"/>
      <c r="H695" s="16"/>
      <c r="I695" s="16"/>
      <c r="J695" s="13"/>
      <c r="K695" s="13"/>
      <c r="L695" s="71" t="str">
        <f t="shared" si="155"/>
        <v/>
      </c>
      <c r="M695" s="29"/>
      <c r="N695" s="30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10" t="s">
        <v>22</v>
      </c>
      <c r="E696" s="11">
        <v>0</v>
      </c>
      <c r="F696" s="12">
        <f t="shared" si="154"/>
        <v>0</v>
      </c>
      <c r="G696" s="10"/>
      <c r="H696" s="10"/>
      <c r="I696" s="10"/>
      <c r="J696" s="13"/>
      <c r="K696" s="13"/>
      <c r="L696" s="70" t="str">
        <f t="shared" si="155"/>
        <v/>
      </c>
      <c r="M696" s="29"/>
      <c r="N696" s="30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10" t="s">
        <v>22</v>
      </c>
      <c r="E697" s="11">
        <v>7</v>
      </c>
      <c r="F697" s="17">
        <f t="shared" si="154"/>
        <v>28</v>
      </c>
      <c r="G697" s="16"/>
      <c r="H697" s="16"/>
      <c r="I697" s="16"/>
      <c r="J697" s="13"/>
      <c r="K697" s="13"/>
      <c r="L697" s="71" t="str">
        <f t="shared" si="155"/>
        <v/>
      </c>
      <c r="M697" s="29"/>
      <c r="N697" s="30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10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29"/>
      <c r="N698" s="30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10" t="s">
        <v>22</v>
      </c>
      <c r="E699" s="11">
        <v>17</v>
      </c>
      <c r="F699" s="17">
        <f t="shared" si="154"/>
        <v>68</v>
      </c>
      <c r="G699" s="16"/>
      <c r="H699" s="16"/>
      <c r="I699" s="16"/>
      <c r="J699" s="13"/>
      <c r="K699" s="13"/>
      <c r="L699" s="71" t="str">
        <f t="shared" si="155"/>
        <v/>
      </c>
      <c r="M699" s="29"/>
      <c r="N699" s="30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10" t="s">
        <v>22</v>
      </c>
      <c r="E700" s="11">
        <v>18</v>
      </c>
      <c r="F700" s="12">
        <f t="shared" si="154"/>
        <v>72</v>
      </c>
      <c r="G700" s="10"/>
      <c r="H700" s="10"/>
      <c r="I700" s="10"/>
      <c r="J700" s="13"/>
      <c r="K700" s="13"/>
      <c r="L700" s="70" t="str">
        <f t="shared" si="155"/>
        <v/>
      </c>
      <c r="M700" s="29"/>
      <c r="N700" s="30"/>
    </row>
    <row r="701" spans="1:14" ht="15" customHeight="1">
      <c r="A701" s="59">
        <v>46199</v>
      </c>
      <c r="B701" s="15">
        <f t="shared" si="156"/>
        <v>1.2916666666666667</v>
      </c>
      <c r="C701" s="16" t="s">
        <v>29</v>
      </c>
      <c r="D701" s="10" t="s">
        <v>22</v>
      </c>
      <c r="E701" s="11">
        <v>1</v>
      </c>
      <c r="F701" s="17">
        <f t="shared" si="154"/>
        <v>4</v>
      </c>
      <c r="G701" s="16"/>
      <c r="H701" s="16"/>
      <c r="I701" s="16"/>
      <c r="J701" s="13"/>
      <c r="K701" s="13"/>
      <c r="L701" s="71" t="str">
        <f t="shared" si="155"/>
        <v/>
      </c>
      <c r="M701" s="29"/>
      <c r="N701" s="30"/>
    </row>
    <row r="702" spans="1:14" ht="15.75" customHeight="1">
      <c r="A702" s="105" t="s">
        <v>193</v>
      </c>
      <c r="B702" s="105"/>
      <c r="C702" s="105"/>
      <c r="D702" s="105"/>
      <c r="E702" s="19">
        <f>SUM(E690:E701)</f>
        <v>102</v>
      </c>
      <c r="F702" s="19">
        <f>SUM(F690:F701)</f>
        <v>408</v>
      </c>
      <c r="G702" s="18"/>
      <c r="H702" s="18"/>
      <c r="I702" s="18"/>
      <c r="J702" s="18"/>
      <c r="K702" s="18"/>
      <c r="L702" s="72">
        <f>IFERROR(SUM(L690:L701),"")</f>
        <v>0.16180555555555565</v>
      </c>
      <c r="M702" s="19" t="s">
        <v>192</v>
      </c>
      <c r="N702" s="20">
        <f>430070+116100</f>
        <v>546170</v>
      </c>
    </row>
    <row r="703" spans="1:14" ht="18" customHeight="1">
      <c r="A703" s="98" t="s">
        <v>194</v>
      </c>
      <c r="B703" s="98"/>
      <c r="C703" s="98"/>
      <c r="D703" s="98"/>
      <c r="E703" s="22">
        <f>E689+E702</f>
        <v>232</v>
      </c>
      <c r="F703" s="22">
        <f>F689+F702</f>
        <v>928</v>
      </c>
      <c r="G703" s="21"/>
      <c r="H703" s="21"/>
      <c r="I703" s="21"/>
      <c r="J703" s="21"/>
      <c r="K703" s="21"/>
      <c r="L703" s="73">
        <f>IFERROR(L689+L702,"")</f>
        <v>0.26875000000000004</v>
      </c>
      <c r="M703" s="22" t="s">
        <v>195</v>
      </c>
      <c r="N703" s="31">
        <f>IFERROR(N689+N702,"")</f>
        <v>1174890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14</v>
      </c>
      <c r="F704" s="12">
        <f t="shared" ref="F704:F715" si="157">IF(E704="","",E704*4)</f>
        <v>56</v>
      </c>
      <c r="G704" s="10" t="s">
        <v>19</v>
      </c>
      <c r="H704" s="10" t="s">
        <v>151</v>
      </c>
      <c r="I704" s="10" t="s">
        <v>27</v>
      </c>
      <c r="J704" s="13">
        <v>0.41666666666666669</v>
      </c>
      <c r="K704" s="13">
        <v>0.44097222222222221</v>
      </c>
      <c r="L704" s="70">
        <f t="shared" ref="L704:L715" si="158">IFERROR(IF(K704="","",IF(K704&gt;=J704,K704-J704,K704+1-J704)),"")</f>
        <v>2.4305555555555525E-2</v>
      </c>
      <c r="M704" s="29"/>
      <c r="N704" s="30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10" t="s">
        <v>22</v>
      </c>
      <c r="E705" s="11">
        <v>16</v>
      </c>
      <c r="F705" s="17">
        <f t="shared" si="157"/>
        <v>64</v>
      </c>
      <c r="G705" s="16" t="s">
        <v>19</v>
      </c>
      <c r="H705" s="16" t="s">
        <v>31</v>
      </c>
      <c r="I705" s="16" t="s">
        <v>50</v>
      </c>
      <c r="J705" s="13">
        <v>0.47569444444444442</v>
      </c>
      <c r="K705" s="13">
        <v>0.52708333333333335</v>
      </c>
      <c r="L705" s="71">
        <f>IFERROR(IF(K705="","",IF(K705&gt;=J705,K705-J705,K705+1-J705)),"")</f>
        <v>5.1388888888888928E-2</v>
      </c>
      <c r="M705" s="29"/>
      <c r="N705" s="30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10" t="s">
        <v>22</v>
      </c>
      <c r="E706" s="11">
        <v>6</v>
      </c>
      <c r="F706" s="12">
        <f t="shared" si="157"/>
        <v>24</v>
      </c>
      <c r="G706" s="10" t="s">
        <v>20</v>
      </c>
      <c r="H706" s="10" t="s">
        <v>31</v>
      </c>
      <c r="I706" s="10" t="s">
        <v>28</v>
      </c>
      <c r="J706" s="13" t="s">
        <v>301</v>
      </c>
      <c r="K706" s="13">
        <v>0.65833333333333333</v>
      </c>
      <c r="L706" s="70" t="str">
        <f>IFERROR(IF(K706="","",IF(K706&gt;=J706,K706-J706,K706+1-J706)),"")</f>
        <v/>
      </c>
      <c r="M706" s="29"/>
      <c r="N706" s="30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10" t="s">
        <v>22</v>
      </c>
      <c r="E707" s="11">
        <v>11</v>
      </c>
      <c r="F707" s="17">
        <f t="shared" si="157"/>
        <v>44</v>
      </c>
      <c r="G707" s="16" t="s">
        <v>20</v>
      </c>
      <c r="H707" s="16" t="s">
        <v>31</v>
      </c>
      <c r="I707" s="16" t="s">
        <v>28</v>
      </c>
      <c r="J707" s="13">
        <v>0.68055555555555558</v>
      </c>
      <c r="K707" s="13">
        <v>0.7</v>
      </c>
      <c r="L707" s="71">
        <f t="shared" si="158"/>
        <v>1.9444444444444375E-2</v>
      </c>
      <c r="M707" s="29"/>
      <c r="N707" s="30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10" t="s">
        <v>22</v>
      </c>
      <c r="E708" s="11">
        <v>7</v>
      </c>
      <c r="F708" s="12">
        <f t="shared" si="157"/>
        <v>28</v>
      </c>
      <c r="G708" s="10" t="s">
        <v>19</v>
      </c>
      <c r="H708" s="10" t="s">
        <v>31</v>
      </c>
      <c r="I708" s="10" t="s">
        <v>50</v>
      </c>
      <c r="J708" s="13">
        <v>0.75486111111111109</v>
      </c>
      <c r="K708" s="13">
        <v>0.79166666666666663</v>
      </c>
      <c r="L708" s="70">
        <f t="shared" si="158"/>
        <v>3.6805555555555536E-2</v>
      </c>
      <c r="M708" s="29"/>
      <c r="N708" s="30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10" t="s">
        <v>22</v>
      </c>
      <c r="E709" s="11">
        <v>8</v>
      </c>
      <c r="F709" s="17">
        <f t="shared" si="157"/>
        <v>32</v>
      </c>
      <c r="G709" s="16"/>
      <c r="H709" s="16"/>
      <c r="I709" s="16"/>
      <c r="J709" s="13"/>
      <c r="K709" s="13"/>
      <c r="L709" s="71" t="str">
        <f t="shared" si="158"/>
        <v/>
      </c>
      <c r="M709" s="29"/>
      <c r="N709" s="30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10" t="s">
        <v>22</v>
      </c>
      <c r="E710" s="11">
        <v>22</v>
      </c>
      <c r="F710" s="12">
        <f t="shared" si="157"/>
        <v>88</v>
      </c>
      <c r="G710" s="10"/>
      <c r="H710" s="10"/>
      <c r="I710" s="10"/>
      <c r="J710" s="13"/>
      <c r="K710" s="13"/>
      <c r="L710" s="70" t="str">
        <f t="shared" si="158"/>
        <v/>
      </c>
      <c r="M710" s="29"/>
      <c r="N710" s="30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10" t="s">
        <v>22</v>
      </c>
      <c r="E711" s="11">
        <v>12</v>
      </c>
      <c r="F711" s="17">
        <f t="shared" si="157"/>
        <v>48</v>
      </c>
      <c r="G711" s="16"/>
      <c r="H711" s="16"/>
      <c r="I711" s="16"/>
      <c r="J711" s="13"/>
      <c r="K711" s="13"/>
      <c r="L711" s="71" t="str">
        <f t="shared" si="158"/>
        <v/>
      </c>
      <c r="M711" s="29"/>
      <c r="N711" s="30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10" t="s">
        <v>22</v>
      </c>
      <c r="E712" s="11">
        <v>3</v>
      </c>
      <c r="F712" s="12">
        <f t="shared" si="157"/>
        <v>12</v>
      </c>
      <c r="G712" s="10"/>
      <c r="H712" s="10"/>
      <c r="I712" s="10"/>
      <c r="J712" s="13"/>
      <c r="K712" s="13"/>
      <c r="L712" s="70" t="str">
        <f t="shared" si="158"/>
        <v/>
      </c>
      <c r="M712" s="29"/>
      <c r="N712" s="30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10" t="s">
        <v>22</v>
      </c>
      <c r="E713" s="11">
        <v>13</v>
      </c>
      <c r="F713" s="17">
        <f t="shared" si="157"/>
        <v>52</v>
      </c>
      <c r="G713" s="16"/>
      <c r="H713" s="16"/>
      <c r="I713" s="16"/>
      <c r="J713" s="13"/>
      <c r="K713" s="13"/>
      <c r="L713" s="71" t="str">
        <f t="shared" si="158"/>
        <v/>
      </c>
      <c r="M713" s="29"/>
      <c r="N713" s="30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10" t="s">
        <v>22</v>
      </c>
      <c r="E714" s="11">
        <v>19</v>
      </c>
      <c r="F714" s="12">
        <f t="shared" si="157"/>
        <v>76</v>
      </c>
      <c r="G714" s="10"/>
      <c r="H714" s="10"/>
      <c r="I714" s="10"/>
      <c r="J714" s="13"/>
      <c r="K714" s="13"/>
      <c r="L714" s="70" t="str">
        <f t="shared" si="158"/>
        <v/>
      </c>
      <c r="M714" s="29"/>
      <c r="N714" s="30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10" t="s">
        <v>22</v>
      </c>
      <c r="E715" s="11">
        <v>2</v>
      </c>
      <c r="F715" s="17">
        <f t="shared" si="157"/>
        <v>8</v>
      </c>
      <c r="G715" s="16"/>
      <c r="H715" s="16"/>
      <c r="I715" s="16"/>
      <c r="J715" s="13"/>
      <c r="K715" s="13"/>
      <c r="L715" s="71" t="str">
        <f t="shared" si="158"/>
        <v/>
      </c>
      <c r="M715" s="29"/>
      <c r="N715" s="30"/>
    </row>
    <row r="716" spans="1:14" ht="15.75" customHeight="1">
      <c r="A716" s="106" t="s">
        <v>191</v>
      </c>
      <c r="B716" s="107"/>
      <c r="C716" s="107"/>
      <c r="D716" s="108"/>
      <c r="E716" s="19">
        <v>133</v>
      </c>
      <c r="F716" s="19">
        <f>SUM(F704:F715)</f>
        <v>532</v>
      </c>
      <c r="G716" s="18"/>
      <c r="H716" s="18"/>
      <c r="I716" s="18"/>
      <c r="J716" s="18"/>
      <c r="K716" s="18"/>
      <c r="L716" s="72">
        <f>IFERROR(SUM(L704:L715),"")</f>
        <v>0.13194444444444436</v>
      </c>
      <c r="M716" s="19" t="s">
        <v>192</v>
      </c>
      <c r="N716" s="20">
        <v>670160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3</v>
      </c>
      <c r="F717" s="12">
        <f t="shared" ref="F717:F728" si="160">IF(E717="","",E717*4)</f>
        <v>12</v>
      </c>
      <c r="G717" s="16" t="s">
        <v>20</v>
      </c>
      <c r="H717" s="16" t="s">
        <v>31</v>
      </c>
      <c r="I717" s="16" t="s">
        <v>36</v>
      </c>
      <c r="J717" s="13">
        <v>0.81597222222222221</v>
      </c>
      <c r="K717" s="13">
        <v>0.82777777777777772</v>
      </c>
      <c r="L717" s="71">
        <f t="shared" ref="L717:L728" si="161">IFERROR(IF(K717="","",IF(K717&gt;=J717,K717-J717,K717+1-J717)),"")</f>
        <v>1.1805555555555514E-2</v>
      </c>
      <c r="M717" s="29"/>
      <c r="N717" s="30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16" t="s">
        <v>30</v>
      </c>
      <c r="E718" s="11">
        <v>14</v>
      </c>
      <c r="F718" s="12">
        <f t="shared" si="160"/>
        <v>56</v>
      </c>
      <c r="G718" s="10" t="s">
        <v>19</v>
      </c>
      <c r="H718" s="10" t="s">
        <v>39</v>
      </c>
      <c r="I718" s="10" t="s">
        <v>27</v>
      </c>
      <c r="J718" s="13">
        <v>0.86458333333333337</v>
      </c>
      <c r="K718" s="13">
        <v>0.875</v>
      </c>
      <c r="L718" s="70">
        <f t="shared" si="161"/>
        <v>1.041666666666663E-2</v>
      </c>
      <c r="M718" s="29"/>
      <c r="N718" s="30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16" t="s">
        <v>30</v>
      </c>
      <c r="E719" s="11">
        <v>2</v>
      </c>
      <c r="F719" s="12">
        <f t="shared" si="160"/>
        <v>8</v>
      </c>
      <c r="G719" s="16" t="s">
        <v>19</v>
      </c>
      <c r="H719" s="16" t="s">
        <v>31</v>
      </c>
      <c r="I719" s="16" t="s">
        <v>50</v>
      </c>
      <c r="J719" s="13">
        <v>0.93402777777777779</v>
      </c>
      <c r="K719" s="13">
        <v>0.98750000000000004</v>
      </c>
      <c r="L719" s="71">
        <f t="shared" si="161"/>
        <v>5.3472222222222254E-2</v>
      </c>
      <c r="M719" s="29"/>
      <c r="N719" s="30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16" t="s">
        <v>30</v>
      </c>
      <c r="E720" s="11">
        <v>1</v>
      </c>
      <c r="F720" s="12">
        <f t="shared" si="160"/>
        <v>4</v>
      </c>
      <c r="G720" s="10" t="s">
        <v>20</v>
      </c>
      <c r="H720" s="10" t="s">
        <v>39</v>
      </c>
      <c r="I720" s="10" t="s">
        <v>28</v>
      </c>
      <c r="J720" s="13">
        <v>0.93402777777777779</v>
      </c>
      <c r="K720" s="13">
        <v>0.98750000000000004</v>
      </c>
      <c r="L720" s="70">
        <f t="shared" si="161"/>
        <v>5.3472222222222254E-2</v>
      </c>
      <c r="M720" s="29"/>
      <c r="N720" s="30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16" t="s">
        <v>30</v>
      </c>
      <c r="E721" s="11">
        <v>2</v>
      </c>
      <c r="F721" s="12">
        <f t="shared" si="160"/>
        <v>8</v>
      </c>
      <c r="G721" s="16" t="s">
        <v>19</v>
      </c>
      <c r="H721" s="16" t="s">
        <v>31</v>
      </c>
      <c r="I721" s="16" t="s">
        <v>50</v>
      </c>
      <c r="J721" s="13">
        <v>0.1875</v>
      </c>
      <c r="K721" s="13">
        <v>0.21180555555555555</v>
      </c>
      <c r="L721" s="71">
        <f t="shared" si="161"/>
        <v>2.4305555555555552E-2</v>
      </c>
      <c r="M721" s="29"/>
      <c r="N721" s="30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16" t="s">
        <v>30</v>
      </c>
      <c r="E722" s="11">
        <v>22</v>
      </c>
      <c r="F722" s="12">
        <f t="shared" si="160"/>
        <v>88</v>
      </c>
      <c r="G722" s="10"/>
      <c r="H722" s="10"/>
      <c r="I722" s="10"/>
      <c r="J722" s="13"/>
      <c r="K722" s="13"/>
      <c r="L722" s="70" t="str">
        <f t="shared" si="161"/>
        <v/>
      </c>
      <c r="M722" s="29"/>
      <c r="N722" s="30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16" t="s">
        <v>30</v>
      </c>
      <c r="E723" s="11">
        <v>10</v>
      </c>
      <c r="F723" s="12">
        <f t="shared" si="160"/>
        <v>40</v>
      </c>
      <c r="G723" s="16"/>
      <c r="H723" s="16"/>
      <c r="I723" s="16"/>
      <c r="J723" s="13"/>
      <c r="K723" s="13"/>
      <c r="L723" s="71" t="str">
        <f t="shared" si="161"/>
        <v/>
      </c>
      <c r="M723" s="29"/>
      <c r="N723" s="30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16" t="s">
        <v>30</v>
      </c>
      <c r="E724" s="11">
        <v>14</v>
      </c>
      <c r="F724" s="12">
        <f t="shared" si="160"/>
        <v>56</v>
      </c>
      <c r="G724" s="10"/>
      <c r="H724" s="10"/>
      <c r="I724" s="10"/>
      <c r="J724" s="13"/>
      <c r="K724" s="13"/>
      <c r="L724" s="70" t="str">
        <f t="shared" si="161"/>
        <v/>
      </c>
      <c r="M724" s="29"/>
      <c r="N724" s="30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16" t="s">
        <v>30</v>
      </c>
      <c r="E725" s="11">
        <v>14</v>
      </c>
      <c r="F725" s="12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29"/>
      <c r="N725" s="30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16" t="s">
        <v>30</v>
      </c>
      <c r="E726" s="11">
        <v>0</v>
      </c>
      <c r="F726" s="12">
        <f t="shared" si="160"/>
        <v>0</v>
      </c>
      <c r="G726" s="10"/>
      <c r="H726" s="10"/>
      <c r="I726" s="10"/>
      <c r="J726" s="13"/>
      <c r="K726" s="13"/>
      <c r="L726" s="70" t="str">
        <f t="shared" si="161"/>
        <v/>
      </c>
      <c r="M726" s="29"/>
      <c r="N726" s="30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16" t="s">
        <v>30</v>
      </c>
      <c r="E727" s="11">
        <v>18</v>
      </c>
      <c r="F727" s="12">
        <f t="shared" si="160"/>
        <v>72</v>
      </c>
      <c r="G727" s="16"/>
      <c r="H727" s="16"/>
      <c r="I727" s="16"/>
      <c r="J727" s="13"/>
      <c r="K727" s="13"/>
      <c r="L727" s="71" t="str">
        <f t="shared" si="161"/>
        <v/>
      </c>
      <c r="M727" s="29"/>
      <c r="N727" s="30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16" t="s">
        <v>30</v>
      </c>
      <c r="E728" s="11">
        <v>10</v>
      </c>
      <c r="F728" s="12">
        <f t="shared" si="160"/>
        <v>40</v>
      </c>
      <c r="G728" s="10"/>
      <c r="H728" s="10"/>
      <c r="I728" s="10"/>
      <c r="J728" s="13"/>
      <c r="K728" s="13"/>
      <c r="L728" s="70" t="str">
        <f t="shared" si="161"/>
        <v/>
      </c>
      <c r="M728" s="29"/>
      <c r="N728" s="30"/>
    </row>
    <row r="729" spans="1:14" ht="15.75" customHeight="1">
      <c r="A729" s="105" t="s">
        <v>193</v>
      </c>
      <c r="B729" s="105"/>
      <c r="C729" s="105"/>
      <c r="D729" s="105"/>
      <c r="E729" s="19">
        <f>SUM(E717:E728)</f>
        <v>110</v>
      </c>
      <c r="F729" s="19">
        <f>SUM(F717:F728)</f>
        <v>440</v>
      </c>
      <c r="G729" s="18"/>
      <c r="H729" s="18"/>
      <c r="I729" s="18"/>
      <c r="J729" s="18"/>
      <c r="K729" s="18"/>
      <c r="L729" s="72">
        <f>IFERROR(SUM(L717:L728),"")</f>
        <v>0.1534722222222222</v>
      </c>
      <c r="M729" s="19" t="s">
        <v>192</v>
      </c>
      <c r="N729" s="20">
        <v>477920</v>
      </c>
    </row>
    <row r="730" spans="1:14" ht="18" customHeight="1">
      <c r="A730" s="98" t="s">
        <v>194</v>
      </c>
      <c r="B730" s="98"/>
      <c r="C730" s="98"/>
      <c r="D730" s="98"/>
      <c r="E730" s="22">
        <f>E717+E729</f>
        <v>113</v>
      </c>
      <c r="F730" s="22">
        <f>F716+F729</f>
        <v>972</v>
      </c>
      <c r="G730" s="21"/>
      <c r="H730" s="21"/>
      <c r="I730" s="21"/>
      <c r="J730" s="21"/>
      <c r="K730" s="21"/>
      <c r="L730" s="73">
        <f>IFERROR(L716+L729,"")</f>
        <v>0.28541666666666654</v>
      </c>
      <c r="M730" s="22" t="s">
        <v>195</v>
      </c>
      <c r="N730" s="31">
        <f>IFERROR(N716+N729,"")</f>
        <v>1148080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27</v>
      </c>
      <c r="F731" s="17">
        <f t="shared" ref="F731:F742" si="163">IF(E731="","",E731*4)</f>
        <v>108</v>
      </c>
      <c r="G731" s="16" t="s">
        <v>17</v>
      </c>
      <c r="H731" s="16"/>
      <c r="I731" s="16" t="s">
        <v>96</v>
      </c>
      <c r="J731" s="13">
        <v>0.37916666666666665</v>
      </c>
      <c r="K731" s="13">
        <v>0.54166666666666663</v>
      </c>
      <c r="L731" s="71">
        <f t="shared" ref="L731:L742" si="164">IFERROR(IF(K731="","",IF(K731&gt;=J731,K731-J731,K731+1-J731)),"")</f>
        <v>0.16249999999999998</v>
      </c>
      <c r="M731" s="29" t="s">
        <v>302</v>
      </c>
      <c r="N731" s="30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16" t="s">
        <v>22</v>
      </c>
      <c r="E732" s="11">
        <v>7</v>
      </c>
      <c r="F732" s="12">
        <f t="shared" si="163"/>
        <v>28</v>
      </c>
      <c r="G732" s="10" t="s">
        <v>19</v>
      </c>
      <c r="H732" s="10" t="s">
        <v>151</v>
      </c>
      <c r="I732" s="16" t="s">
        <v>27</v>
      </c>
      <c r="J732" s="13">
        <v>0.71666666666666667</v>
      </c>
      <c r="K732" s="13">
        <v>0.72986111111111107</v>
      </c>
      <c r="L732" s="70">
        <f t="shared" si="164"/>
        <v>1.3194444444444398E-2</v>
      </c>
      <c r="M732" s="29"/>
      <c r="N732" s="30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3"/>
        <v>0</v>
      </c>
      <c r="G733" s="16"/>
      <c r="H733" s="16"/>
      <c r="I733" s="16"/>
      <c r="J733" s="13"/>
      <c r="K733" s="13"/>
      <c r="L733" s="71" t="str">
        <f t="shared" si="164"/>
        <v/>
      </c>
      <c r="M733" s="29"/>
      <c r="N733" s="30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3"/>
        <v>0</v>
      </c>
      <c r="G734" s="10"/>
      <c r="H734" s="10"/>
      <c r="I734" s="10"/>
      <c r="J734" s="13"/>
      <c r="K734" s="13"/>
      <c r="L734" s="70" t="str">
        <f t="shared" si="164"/>
        <v/>
      </c>
      <c r="M734" s="29"/>
      <c r="N734" s="30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29"/>
      <c r="N735" s="30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16" t="s">
        <v>22</v>
      </c>
      <c r="E736" s="11">
        <v>5</v>
      </c>
      <c r="F736" s="12">
        <f t="shared" si="163"/>
        <v>20</v>
      </c>
      <c r="G736" s="10"/>
      <c r="H736" s="10"/>
      <c r="I736" s="10"/>
      <c r="J736" s="13"/>
      <c r="K736" s="13"/>
      <c r="L736" s="70" t="str">
        <f t="shared" si="164"/>
        <v/>
      </c>
      <c r="M736" s="29"/>
      <c r="N736" s="30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16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29"/>
      <c r="N737" s="30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16" t="s">
        <v>30</v>
      </c>
      <c r="E738" s="11">
        <v>15</v>
      </c>
      <c r="F738" s="12">
        <f t="shared" si="163"/>
        <v>60</v>
      </c>
      <c r="G738" s="10"/>
      <c r="H738" s="10"/>
      <c r="I738" s="10"/>
      <c r="J738" s="13"/>
      <c r="K738" s="13"/>
      <c r="L738" s="70" t="str">
        <f t="shared" si="164"/>
        <v/>
      </c>
      <c r="M738" s="29"/>
      <c r="N738" s="30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16" t="s">
        <v>30</v>
      </c>
      <c r="E739" s="11">
        <v>16</v>
      </c>
      <c r="F739" s="17">
        <f t="shared" si="163"/>
        <v>64</v>
      </c>
      <c r="G739" s="16"/>
      <c r="H739" s="16"/>
      <c r="I739" s="16"/>
      <c r="J739" s="13"/>
      <c r="K739" s="13"/>
      <c r="L739" s="71" t="str">
        <f t="shared" si="164"/>
        <v/>
      </c>
      <c r="M739" s="29"/>
      <c r="N739" s="30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16" t="s">
        <v>30</v>
      </c>
      <c r="E740" s="11">
        <v>11</v>
      </c>
      <c r="F740" s="12">
        <f t="shared" si="163"/>
        <v>44</v>
      </c>
      <c r="G740" s="10"/>
      <c r="H740" s="10"/>
      <c r="I740" s="10"/>
      <c r="J740" s="13"/>
      <c r="K740" s="13"/>
      <c r="L740" s="70" t="str">
        <f t="shared" si="164"/>
        <v/>
      </c>
      <c r="M740" s="29"/>
      <c r="N740" s="30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16" t="s">
        <v>30</v>
      </c>
      <c r="E741" s="11">
        <v>12</v>
      </c>
      <c r="F741" s="17">
        <f t="shared" si="163"/>
        <v>48</v>
      </c>
      <c r="G741" s="16"/>
      <c r="H741" s="16"/>
      <c r="I741" s="16"/>
      <c r="J741" s="13"/>
      <c r="K741" s="13"/>
      <c r="L741" s="71" t="str">
        <f t="shared" si="164"/>
        <v/>
      </c>
      <c r="M741" s="29"/>
      <c r="N741" s="30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16" t="s">
        <v>30</v>
      </c>
      <c r="E742" s="11">
        <v>8</v>
      </c>
      <c r="F742" s="12">
        <f t="shared" si="163"/>
        <v>32</v>
      </c>
      <c r="G742" s="10"/>
      <c r="H742" s="10"/>
      <c r="I742" s="10"/>
      <c r="J742" s="13"/>
      <c r="K742" s="13"/>
      <c r="L742" s="70" t="str">
        <f t="shared" si="164"/>
        <v/>
      </c>
      <c r="M742" s="29"/>
      <c r="N742" s="30"/>
    </row>
    <row r="743" spans="1:14" ht="15.75" customHeight="1">
      <c r="A743" s="105" t="s">
        <v>191</v>
      </c>
      <c r="B743" s="105"/>
      <c r="C743" s="105"/>
      <c r="D743" s="105"/>
      <c r="E743" s="19">
        <f>SUM(E731:E742)</f>
        <v>113</v>
      </c>
      <c r="F743" s="19">
        <f>SUM(F731:F742)</f>
        <v>452</v>
      </c>
      <c r="G743" s="18"/>
      <c r="H743" s="18"/>
      <c r="I743" s="18"/>
      <c r="J743" s="18"/>
      <c r="K743" s="18"/>
      <c r="L743" s="72">
        <f>IFERROR(SUM(L731:L742),"")</f>
        <v>0.17569444444444438</v>
      </c>
      <c r="M743" s="19" t="s">
        <v>192</v>
      </c>
      <c r="N743" s="20">
        <v>427230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10</v>
      </c>
      <c r="F744" s="12">
        <f t="shared" ref="F744:F755" si="166">IF(E744="","",E744*4)</f>
        <v>40</v>
      </c>
      <c r="G744" s="10" t="s">
        <v>17</v>
      </c>
      <c r="H744" s="10" t="s">
        <v>80</v>
      </c>
      <c r="I744" s="16" t="s">
        <v>25</v>
      </c>
      <c r="J744" s="13">
        <v>0.84722222222222221</v>
      </c>
      <c r="K744" s="13">
        <v>0.91666666666666663</v>
      </c>
      <c r="L744" s="71">
        <f t="shared" ref="L744:L755" si="167">IFERROR(IF(K744="","",IF(K744&gt;=J744,K744-J744,K744+1-J744)),"")</f>
        <v>6.944444444444442E-2</v>
      </c>
      <c r="M744" s="29" t="s">
        <v>303</v>
      </c>
      <c r="N744" s="30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6"/>
        <v>0</v>
      </c>
      <c r="G745" s="16" t="s">
        <v>19</v>
      </c>
      <c r="H745" s="16" t="s">
        <v>151</v>
      </c>
      <c r="I745" s="16" t="s">
        <v>27</v>
      </c>
      <c r="J745" s="13">
        <v>0.22222222222222221</v>
      </c>
      <c r="K745" s="13"/>
      <c r="L745" s="71" t="str">
        <f t="shared" si="167"/>
        <v/>
      </c>
      <c r="M745" s="29"/>
      <c r="N745" s="30"/>
    </row>
    <row r="746" spans="1:14" ht="15" customHeight="1">
      <c r="A746" s="58">
        <v>46201</v>
      </c>
      <c r="B746" s="9">
        <f t="shared" si="168"/>
        <v>0.9166666666666663</v>
      </c>
      <c r="C746" s="10" t="s">
        <v>45</v>
      </c>
      <c r="D746" s="10" t="s">
        <v>30</v>
      </c>
      <c r="E746" s="11">
        <v>0</v>
      </c>
      <c r="F746" s="12">
        <f t="shared" si="166"/>
        <v>0</v>
      </c>
      <c r="G746" s="10"/>
      <c r="H746" s="16"/>
      <c r="I746" s="16"/>
      <c r="J746" s="13"/>
      <c r="K746" s="13"/>
      <c r="L746" s="71" t="str">
        <f t="shared" si="167"/>
        <v/>
      </c>
      <c r="M746" s="29"/>
      <c r="N746" s="30"/>
    </row>
    <row r="747" spans="1:14" ht="15" customHeight="1">
      <c r="A747" s="59">
        <v>46201</v>
      </c>
      <c r="B747" s="15">
        <f t="shared" si="168"/>
        <v>0.95833333333333293</v>
      </c>
      <c r="C747" s="10" t="s">
        <v>45</v>
      </c>
      <c r="D747" s="10" t="s">
        <v>30</v>
      </c>
      <c r="E747" s="11">
        <v>0</v>
      </c>
      <c r="F747" s="17">
        <f t="shared" si="166"/>
        <v>0</v>
      </c>
      <c r="G747" s="16"/>
      <c r="H747" s="16"/>
      <c r="I747" s="16"/>
      <c r="J747" s="13"/>
      <c r="K747" s="13"/>
      <c r="L747" s="71" t="str">
        <f t="shared" si="167"/>
        <v/>
      </c>
      <c r="M747" s="29"/>
      <c r="N747" s="30"/>
    </row>
    <row r="748" spans="1:14" ht="15" customHeight="1">
      <c r="A748" s="58">
        <v>46201</v>
      </c>
      <c r="B748" s="9">
        <f t="shared" si="168"/>
        <v>0.99999999999999956</v>
      </c>
      <c r="C748" s="10" t="s">
        <v>45</v>
      </c>
      <c r="D748" s="10" t="s">
        <v>30</v>
      </c>
      <c r="E748" s="11">
        <v>10</v>
      </c>
      <c r="F748" s="12">
        <f t="shared" si="166"/>
        <v>40</v>
      </c>
      <c r="G748" s="10"/>
      <c r="H748" s="16"/>
      <c r="I748" s="16"/>
      <c r="J748" s="13"/>
      <c r="K748" s="13"/>
      <c r="L748" s="71" t="str">
        <f t="shared" si="167"/>
        <v/>
      </c>
      <c r="M748" s="29"/>
      <c r="N748" s="30"/>
    </row>
    <row r="749" spans="1:14" ht="15" customHeight="1">
      <c r="A749" s="59">
        <v>46201</v>
      </c>
      <c r="B749" s="15">
        <f t="shared" si="168"/>
        <v>1.0416666666666663</v>
      </c>
      <c r="C749" s="10" t="s">
        <v>45</v>
      </c>
      <c r="D749" s="10" t="s">
        <v>30</v>
      </c>
      <c r="E749" s="11">
        <v>8</v>
      </c>
      <c r="F749" s="17">
        <f t="shared" si="166"/>
        <v>32</v>
      </c>
      <c r="G749" s="16"/>
      <c r="H749" s="16"/>
      <c r="I749" s="16"/>
      <c r="J749" s="13"/>
      <c r="K749" s="13"/>
      <c r="L749" s="71" t="str">
        <f t="shared" si="167"/>
        <v/>
      </c>
      <c r="M749" s="29"/>
      <c r="N749" s="30"/>
    </row>
    <row r="750" spans="1:14" ht="15" customHeight="1">
      <c r="A750" s="58">
        <v>46201</v>
      </c>
      <c r="B750" s="9">
        <f t="shared" si="168"/>
        <v>1.083333333333333</v>
      </c>
      <c r="C750" s="10" t="s">
        <v>45</v>
      </c>
      <c r="D750" s="10" t="s">
        <v>30</v>
      </c>
      <c r="E750" s="11">
        <v>4</v>
      </c>
      <c r="F750" s="12">
        <f t="shared" si="166"/>
        <v>16</v>
      </c>
      <c r="G750" s="10"/>
      <c r="H750" s="16"/>
      <c r="I750" s="16"/>
      <c r="J750" s="13"/>
      <c r="K750" s="13"/>
      <c r="L750" s="71" t="str">
        <f t="shared" si="167"/>
        <v/>
      </c>
      <c r="M750" s="29"/>
      <c r="N750" s="30"/>
    </row>
    <row r="751" spans="1:14" ht="15" customHeight="1">
      <c r="A751" s="59">
        <v>46201</v>
      </c>
      <c r="B751" s="15">
        <f t="shared" si="168"/>
        <v>1.1249999999999998</v>
      </c>
      <c r="C751" s="10" t="s">
        <v>45</v>
      </c>
      <c r="D751" s="10" t="s">
        <v>30</v>
      </c>
      <c r="E751" s="11">
        <v>13</v>
      </c>
      <c r="F751" s="17">
        <f t="shared" si="166"/>
        <v>52</v>
      </c>
      <c r="G751" s="16"/>
      <c r="H751" s="16"/>
      <c r="I751" s="16"/>
      <c r="J751" s="13"/>
      <c r="K751" s="13"/>
      <c r="L751" s="71" t="str">
        <f t="shared" si="167"/>
        <v/>
      </c>
      <c r="M751" s="29"/>
      <c r="N751" s="30"/>
    </row>
    <row r="752" spans="1:14" ht="15" customHeight="1">
      <c r="A752" s="58">
        <v>46201</v>
      </c>
      <c r="B752" s="9">
        <f t="shared" si="168"/>
        <v>1.1666666666666665</v>
      </c>
      <c r="C752" s="10" t="s">
        <v>45</v>
      </c>
      <c r="D752" s="10" t="s">
        <v>30</v>
      </c>
      <c r="E752" s="11">
        <v>3</v>
      </c>
      <c r="F752" s="12">
        <f t="shared" si="166"/>
        <v>12</v>
      </c>
      <c r="G752" s="10"/>
      <c r="H752" s="16"/>
      <c r="I752" s="16"/>
      <c r="J752" s="13"/>
      <c r="K752" s="13"/>
      <c r="L752" s="71" t="str">
        <f t="shared" si="167"/>
        <v/>
      </c>
      <c r="M752" s="29"/>
      <c r="N752" s="30"/>
    </row>
    <row r="753" spans="1:14" ht="15" customHeight="1">
      <c r="A753" s="59">
        <v>46201</v>
      </c>
      <c r="B753" s="15">
        <f t="shared" si="168"/>
        <v>1.2083333333333333</v>
      </c>
      <c r="C753" s="10" t="s">
        <v>45</v>
      </c>
      <c r="D753" s="10" t="s">
        <v>30</v>
      </c>
      <c r="E753" s="11">
        <v>5</v>
      </c>
      <c r="F753" s="17">
        <f t="shared" si="166"/>
        <v>20</v>
      </c>
      <c r="G753" s="16"/>
      <c r="H753" s="16"/>
      <c r="I753" s="16"/>
      <c r="J753" s="13"/>
      <c r="K753" s="13"/>
      <c r="L753" s="71" t="str">
        <f t="shared" si="167"/>
        <v/>
      </c>
      <c r="M753" s="29"/>
      <c r="N753" s="30"/>
    </row>
    <row r="754" spans="1:14" ht="15" customHeight="1">
      <c r="A754" s="58">
        <v>46201</v>
      </c>
      <c r="B754" s="9">
        <f t="shared" si="168"/>
        <v>1.25</v>
      </c>
      <c r="C754" s="10" t="s">
        <v>45</v>
      </c>
      <c r="D754" s="10" t="s">
        <v>30</v>
      </c>
      <c r="E754" s="11">
        <v>3</v>
      </c>
      <c r="F754" s="12">
        <f t="shared" si="166"/>
        <v>12</v>
      </c>
      <c r="G754" s="10"/>
      <c r="H754" s="16"/>
      <c r="I754" s="16"/>
      <c r="J754" s="13"/>
      <c r="K754" s="13"/>
      <c r="L754" s="71" t="str">
        <f t="shared" si="167"/>
        <v/>
      </c>
      <c r="M754" s="29"/>
      <c r="N754" s="30"/>
    </row>
    <row r="755" spans="1:14" ht="15" customHeight="1">
      <c r="A755" s="59">
        <v>46201</v>
      </c>
      <c r="B755" s="15">
        <f t="shared" si="168"/>
        <v>1.2916666666666667</v>
      </c>
      <c r="C755" s="10" t="s">
        <v>45</v>
      </c>
      <c r="D755" s="10" t="s">
        <v>30</v>
      </c>
      <c r="E755" s="11">
        <v>1</v>
      </c>
      <c r="F755" s="17">
        <f t="shared" si="166"/>
        <v>4</v>
      </c>
      <c r="G755" s="16"/>
      <c r="H755" s="16"/>
      <c r="I755" s="16"/>
      <c r="J755" s="13"/>
      <c r="K755" s="13"/>
      <c r="L755" s="71" t="str">
        <f t="shared" si="167"/>
        <v/>
      </c>
      <c r="M755" s="29"/>
      <c r="N755" s="30"/>
    </row>
    <row r="756" spans="1:14" ht="15.75" customHeight="1">
      <c r="A756" s="105" t="s">
        <v>193</v>
      </c>
      <c r="B756" s="105"/>
      <c r="C756" s="105"/>
      <c r="D756" s="105"/>
      <c r="E756" s="19">
        <f>SUM(E744:E755)</f>
        <v>57</v>
      </c>
      <c r="F756" s="19">
        <f>SUM(F744:F755)</f>
        <v>228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192</v>
      </c>
      <c r="N756" s="20">
        <v>379890</v>
      </c>
    </row>
    <row r="757" spans="1:14" ht="18" customHeight="1">
      <c r="A757" s="98" t="s">
        <v>194</v>
      </c>
      <c r="B757" s="98"/>
      <c r="C757" s="98"/>
      <c r="D757" s="98"/>
      <c r="E757" s="22">
        <f>E743+E756</f>
        <v>170</v>
      </c>
      <c r="F757" s="22">
        <f>F743+F756</f>
        <v>680</v>
      </c>
      <c r="G757" s="21"/>
      <c r="H757" s="21"/>
      <c r="I757" s="21"/>
      <c r="J757" s="21"/>
      <c r="K757" s="21"/>
      <c r="L757" s="73">
        <f>IFERROR(L743+L756,"")</f>
        <v>0.2451388888888888</v>
      </c>
      <c r="M757" s="22" t="s">
        <v>195</v>
      </c>
      <c r="N757" s="31">
        <f>IFERROR(N743+N756,"")</f>
        <v>807120</v>
      </c>
    </row>
    <row r="758" spans="1:14" ht="15" customHeight="1">
      <c r="A758" s="58">
        <v>46202</v>
      </c>
      <c r="B758" s="9">
        <v>0.33333333333333298</v>
      </c>
      <c r="C758" s="10" t="s">
        <v>21</v>
      </c>
      <c r="D758" s="10" t="s">
        <v>30</v>
      </c>
      <c r="E758" s="11">
        <v>13</v>
      </c>
      <c r="F758" s="12">
        <f t="shared" ref="F758:F769" si="169">IF(E758="","",E758*4)</f>
        <v>52</v>
      </c>
      <c r="G758" s="10" t="s">
        <v>18</v>
      </c>
      <c r="H758" s="10" t="s">
        <v>151</v>
      </c>
      <c r="I758" s="10" t="s">
        <v>139</v>
      </c>
      <c r="J758" s="13">
        <v>0.40486111111111112</v>
      </c>
      <c r="K758" s="13">
        <v>0.45833333333333331</v>
      </c>
      <c r="L758" s="70">
        <f t="shared" ref="L758:L769" si="170">IFERROR(IF(K758="","",IF(K758&gt;=J758,K758-J758,K758+1-J758)),"")</f>
        <v>5.3472222222222199E-2</v>
      </c>
      <c r="M758" s="29" t="s">
        <v>304</v>
      </c>
      <c r="N758" s="30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0" t="s">
        <v>21</v>
      </c>
      <c r="D759" s="10" t="s">
        <v>30</v>
      </c>
      <c r="E759" s="11">
        <v>10</v>
      </c>
      <c r="F759" s="17">
        <f t="shared" si="169"/>
        <v>40</v>
      </c>
      <c r="G759" s="16" t="s">
        <v>20</v>
      </c>
      <c r="H759" s="10" t="s">
        <v>151</v>
      </c>
      <c r="I759" s="10" t="s">
        <v>174</v>
      </c>
      <c r="J759" s="13">
        <v>0.68055555555555558</v>
      </c>
      <c r="K759" s="13">
        <v>0.74583333333333335</v>
      </c>
      <c r="L759" s="71">
        <f t="shared" si="170"/>
        <v>6.5277777777777768E-2</v>
      </c>
      <c r="M759" s="29" t="s">
        <v>305</v>
      </c>
      <c r="N759" s="30"/>
    </row>
    <row r="760" spans="1:14" ht="15" customHeight="1">
      <c r="A760" s="58">
        <v>46202</v>
      </c>
      <c r="B760" s="9">
        <f t="shared" si="171"/>
        <v>0.41666666666666635</v>
      </c>
      <c r="C760" s="10" t="s">
        <v>21</v>
      </c>
      <c r="D760" s="10" t="s">
        <v>30</v>
      </c>
      <c r="E760" s="11">
        <v>10</v>
      </c>
      <c r="F760" s="12">
        <f t="shared" si="169"/>
        <v>40</v>
      </c>
      <c r="G760" s="16"/>
      <c r="H760" s="10"/>
      <c r="I760" s="10"/>
      <c r="J760" s="13"/>
      <c r="K760" s="13"/>
      <c r="L760" s="70" t="str">
        <f t="shared" si="170"/>
        <v/>
      </c>
      <c r="M760" s="29"/>
      <c r="N760" s="30"/>
    </row>
    <row r="761" spans="1:14" ht="15" customHeight="1">
      <c r="A761" s="59">
        <v>46202</v>
      </c>
      <c r="B761" s="15">
        <f t="shared" si="171"/>
        <v>0.45833333333333304</v>
      </c>
      <c r="C761" s="10" t="s">
        <v>21</v>
      </c>
      <c r="D761" s="10" t="s">
        <v>30</v>
      </c>
      <c r="E761" s="11">
        <v>2</v>
      </c>
      <c r="F761" s="17">
        <f t="shared" si="169"/>
        <v>8</v>
      </c>
      <c r="H761" s="16"/>
      <c r="I761" s="16"/>
      <c r="J761" s="13"/>
      <c r="K761" s="13"/>
      <c r="L761" s="71" t="str">
        <f t="shared" si="170"/>
        <v/>
      </c>
      <c r="M761" s="29"/>
      <c r="N761" s="30"/>
    </row>
    <row r="762" spans="1:14" ht="15" customHeight="1">
      <c r="A762" s="58">
        <v>46202</v>
      </c>
      <c r="B762" s="9">
        <f t="shared" si="171"/>
        <v>0.49999999999999972</v>
      </c>
      <c r="C762" s="10" t="s">
        <v>21</v>
      </c>
      <c r="D762" s="10" t="s">
        <v>30</v>
      </c>
      <c r="E762" s="11">
        <v>16</v>
      </c>
      <c r="F762" s="12">
        <f t="shared" si="169"/>
        <v>64</v>
      </c>
      <c r="G762" s="10"/>
      <c r="H762" s="10"/>
      <c r="I762" s="10"/>
      <c r="J762" s="13"/>
      <c r="K762" s="13"/>
      <c r="L762" s="70" t="str">
        <f t="shared" si="170"/>
        <v/>
      </c>
      <c r="M762" s="29"/>
      <c r="N762" s="30"/>
    </row>
    <row r="763" spans="1:14" ht="15" customHeight="1">
      <c r="A763" s="59">
        <v>46202</v>
      </c>
      <c r="B763" s="15">
        <f t="shared" si="171"/>
        <v>0.54166666666666641</v>
      </c>
      <c r="C763" s="10" t="s">
        <v>21</v>
      </c>
      <c r="D763" s="10" t="s">
        <v>30</v>
      </c>
      <c r="E763" s="11">
        <v>6</v>
      </c>
      <c r="F763" s="17">
        <f t="shared" si="169"/>
        <v>24</v>
      </c>
      <c r="G763" s="16"/>
      <c r="H763" s="16"/>
      <c r="I763" s="16"/>
      <c r="J763" s="13"/>
      <c r="K763" s="13"/>
      <c r="L763" s="71" t="str">
        <f t="shared" si="170"/>
        <v/>
      </c>
      <c r="M763" s="29"/>
      <c r="N763" s="30"/>
    </row>
    <row r="764" spans="1:14" ht="15" customHeight="1">
      <c r="A764" s="58">
        <v>46202</v>
      </c>
      <c r="B764" s="9">
        <f t="shared" si="171"/>
        <v>0.58333333333333304</v>
      </c>
      <c r="C764" s="10" t="s">
        <v>21</v>
      </c>
      <c r="D764" s="10" t="s">
        <v>30</v>
      </c>
      <c r="E764" s="11">
        <v>4</v>
      </c>
      <c r="F764" s="12">
        <f t="shared" si="169"/>
        <v>16</v>
      </c>
      <c r="G764" s="10"/>
      <c r="H764" s="10"/>
      <c r="I764" s="10"/>
      <c r="J764" s="13"/>
      <c r="K764" s="13"/>
      <c r="L764" s="70" t="str">
        <f t="shared" si="170"/>
        <v/>
      </c>
      <c r="M764" s="29"/>
      <c r="N764" s="30"/>
    </row>
    <row r="765" spans="1:14" ht="15" customHeight="1">
      <c r="A765" s="59">
        <v>46202</v>
      </c>
      <c r="B765" s="15">
        <f t="shared" si="171"/>
        <v>0.62499999999999967</v>
      </c>
      <c r="C765" s="10" t="s">
        <v>21</v>
      </c>
      <c r="D765" s="10" t="s">
        <v>30</v>
      </c>
      <c r="E765" s="11">
        <v>9</v>
      </c>
      <c r="F765" s="17">
        <f t="shared" si="169"/>
        <v>36</v>
      </c>
      <c r="G765" s="16"/>
      <c r="H765" s="16"/>
      <c r="I765" s="16"/>
      <c r="J765" s="13"/>
      <c r="K765" s="13"/>
      <c r="L765" s="71" t="str">
        <f t="shared" si="170"/>
        <v/>
      </c>
      <c r="M765" s="29"/>
      <c r="N765" s="30"/>
    </row>
    <row r="766" spans="1:14" ht="15" customHeight="1">
      <c r="A766" s="58">
        <v>46202</v>
      </c>
      <c r="B766" s="9">
        <f t="shared" si="171"/>
        <v>0.6666666666666663</v>
      </c>
      <c r="C766" s="10" t="s">
        <v>21</v>
      </c>
      <c r="D766" s="10" t="s">
        <v>30</v>
      </c>
      <c r="E766" s="11">
        <v>5</v>
      </c>
      <c r="F766" s="12">
        <f t="shared" si="169"/>
        <v>20</v>
      </c>
      <c r="G766" s="10"/>
      <c r="H766" s="10"/>
      <c r="I766" s="10"/>
      <c r="J766" s="13"/>
      <c r="K766" s="13"/>
      <c r="L766" s="70" t="str">
        <f t="shared" si="170"/>
        <v/>
      </c>
      <c r="M766" s="29"/>
      <c r="N766" s="30"/>
    </row>
    <row r="767" spans="1:14" ht="15" customHeight="1">
      <c r="A767" s="59">
        <v>46202</v>
      </c>
      <c r="B767" s="15">
        <f t="shared" si="171"/>
        <v>0.70833333333333293</v>
      </c>
      <c r="C767" s="10" t="s">
        <v>21</v>
      </c>
      <c r="D767" s="10" t="s">
        <v>30</v>
      </c>
      <c r="E767" s="11">
        <v>5</v>
      </c>
      <c r="F767" s="17">
        <f t="shared" si="169"/>
        <v>20</v>
      </c>
      <c r="G767" s="16"/>
      <c r="H767" s="16"/>
      <c r="I767" s="16"/>
      <c r="J767" s="13"/>
      <c r="K767" s="13"/>
      <c r="L767" s="71" t="str">
        <f t="shared" si="170"/>
        <v/>
      </c>
      <c r="M767" s="29"/>
      <c r="N767" s="30"/>
    </row>
    <row r="768" spans="1:14" ht="15" customHeight="1">
      <c r="A768" s="58">
        <v>46202</v>
      </c>
      <c r="B768" s="9">
        <f t="shared" si="171"/>
        <v>0.74999999999999956</v>
      </c>
      <c r="C768" s="10" t="s">
        <v>21</v>
      </c>
      <c r="D768" s="10" t="s">
        <v>30</v>
      </c>
      <c r="E768" s="11">
        <v>0</v>
      </c>
      <c r="F768" s="12">
        <f t="shared" si="169"/>
        <v>0</v>
      </c>
      <c r="G768" s="10"/>
      <c r="H768" s="10"/>
      <c r="I768" s="10"/>
      <c r="J768" s="13"/>
      <c r="K768" s="13"/>
      <c r="L768" s="70" t="str">
        <f t="shared" si="170"/>
        <v/>
      </c>
      <c r="M768" s="29"/>
      <c r="N768" s="30"/>
    </row>
    <row r="769" spans="1:14" ht="15" customHeight="1">
      <c r="A769" s="59">
        <v>46202</v>
      </c>
      <c r="B769" s="15">
        <f t="shared" si="171"/>
        <v>0.79166666666666619</v>
      </c>
      <c r="C769" s="10" t="s">
        <v>21</v>
      </c>
      <c r="D769" s="10" t="s">
        <v>30</v>
      </c>
      <c r="E769" s="11">
        <v>0</v>
      </c>
      <c r="F769" s="17">
        <f t="shared" si="169"/>
        <v>0</v>
      </c>
      <c r="G769" s="16"/>
      <c r="H769" s="16"/>
      <c r="I769" s="16"/>
      <c r="J769" s="13"/>
      <c r="K769" s="13"/>
      <c r="L769" s="71" t="str">
        <f t="shared" si="170"/>
        <v/>
      </c>
      <c r="M769" s="29"/>
      <c r="N769" s="30"/>
    </row>
    <row r="770" spans="1:14" ht="15.75" customHeight="1">
      <c r="A770" s="105" t="s">
        <v>191</v>
      </c>
      <c r="B770" s="105"/>
      <c r="C770" s="105"/>
      <c r="D770" s="105"/>
      <c r="E770" s="19">
        <f>SUM(E758:E769)</f>
        <v>80</v>
      </c>
      <c r="F770" s="19">
        <f>SUM(F758:F769)</f>
        <v>320</v>
      </c>
      <c r="G770" s="18"/>
      <c r="H770" s="18"/>
      <c r="I770" s="18"/>
      <c r="J770" s="18"/>
      <c r="K770" s="18"/>
      <c r="L770" s="72">
        <f>IFERROR(SUM(L758:L769),"")</f>
        <v>0.11874999999999997</v>
      </c>
      <c r="M770" s="19" t="s">
        <v>192</v>
      </c>
      <c r="N770" s="20">
        <v>309470</v>
      </c>
    </row>
    <row r="771" spans="1:14" ht="15" customHeight="1">
      <c r="A771" s="59">
        <v>46202</v>
      </c>
      <c r="B771" s="15">
        <v>0.83333333333333304</v>
      </c>
      <c r="C771" s="16" t="s">
        <v>45</v>
      </c>
      <c r="D771" s="16" t="s">
        <v>30</v>
      </c>
      <c r="E771" s="11">
        <v>18</v>
      </c>
      <c r="F771" s="17">
        <f t="shared" ref="F771:F782" si="172">IF(E771="","",E771*4)</f>
        <v>72</v>
      </c>
      <c r="G771" s="16" t="s">
        <v>19</v>
      </c>
      <c r="H771" s="16" t="s">
        <v>151</v>
      </c>
      <c r="I771" s="16" t="s">
        <v>27</v>
      </c>
      <c r="J771" s="13">
        <v>0.23958333333333334</v>
      </c>
      <c r="K771" s="13">
        <v>0.25347222222222221</v>
      </c>
      <c r="L771" s="71">
        <f t="shared" ref="L771:L782" si="173">IFERROR(IF(K771="","",IF(K771&gt;=J771,K771-J771,K771+1-J771)),"")</f>
        <v>1.3888888888888867E-2</v>
      </c>
      <c r="M771" s="29"/>
      <c r="N771" s="30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6" t="s">
        <v>45</v>
      </c>
      <c r="D772" s="16" t="s">
        <v>30</v>
      </c>
      <c r="E772" s="11">
        <v>7</v>
      </c>
      <c r="F772" s="17">
        <f t="shared" si="172"/>
        <v>28</v>
      </c>
      <c r="G772" s="10"/>
      <c r="H772" s="10"/>
      <c r="I772" s="10"/>
      <c r="J772" s="13"/>
      <c r="K772" s="13"/>
      <c r="L772" s="70" t="str">
        <f t="shared" si="173"/>
        <v/>
      </c>
      <c r="M772" s="29"/>
      <c r="N772" s="30"/>
    </row>
    <row r="773" spans="1:14" ht="15" customHeight="1">
      <c r="A773" s="59">
        <v>46202</v>
      </c>
      <c r="B773" s="15">
        <f t="shared" si="174"/>
        <v>0.9166666666666663</v>
      </c>
      <c r="C773" s="16" t="s">
        <v>45</v>
      </c>
      <c r="D773" s="16" t="s">
        <v>30</v>
      </c>
      <c r="E773" s="11">
        <v>7</v>
      </c>
      <c r="F773" s="17">
        <f t="shared" si="172"/>
        <v>28</v>
      </c>
      <c r="G773" s="16"/>
      <c r="H773" s="16"/>
      <c r="I773" s="16"/>
      <c r="J773" s="13"/>
      <c r="K773" s="13"/>
      <c r="L773" s="71" t="str">
        <f t="shared" si="173"/>
        <v/>
      </c>
      <c r="M773" s="29"/>
      <c r="N773" s="30"/>
    </row>
    <row r="774" spans="1:14" ht="15" customHeight="1">
      <c r="A774" s="58">
        <v>46202</v>
      </c>
      <c r="B774" s="9">
        <f t="shared" si="174"/>
        <v>0.95833333333333293</v>
      </c>
      <c r="C774" s="16" t="s">
        <v>45</v>
      </c>
      <c r="D774" s="16" t="s">
        <v>30</v>
      </c>
      <c r="E774" s="11">
        <v>7</v>
      </c>
      <c r="F774" s="12">
        <f t="shared" si="172"/>
        <v>28</v>
      </c>
      <c r="G774" s="10"/>
      <c r="H774" s="10"/>
      <c r="I774" s="10"/>
      <c r="J774" s="13"/>
      <c r="K774" s="13"/>
      <c r="L774" s="70" t="str">
        <f t="shared" si="173"/>
        <v/>
      </c>
      <c r="M774" s="29"/>
      <c r="N774" s="30"/>
    </row>
    <row r="775" spans="1:14" ht="15" customHeight="1">
      <c r="A775" s="59">
        <v>46202</v>
      </c>
      <c r="B775" s="15">
        <f t="shared" si="174"/>
        <v>0.99999999999999956</v>
      </c>
      <c r="C775" s="16" t="s">
        <v>45</v>
      </c>
      <c r="D775" s="16" t="s">
        <v>30</v>
      </c>
      <c r="E775" s="11">
        <v>6</v>
      </c>
      <c r="F775" s="17">
        <f t="shared" si="172"/>
        <v>24</v>
      </c>
      <c r="G775" s="16"/>
      <c r="H775" s="16"/>
      <c r="I775" s="16"/>
      <c r="J775" s="13"/>
      <c r="K775" s="13"/>
      <c r="L775" s="71" t="str">
        <f t="shared" si="173"/>
        <v/>
      </c>
      <c r="M775" s="29"/>
      <c r="N775" s="30"/>
    </row>
    <row r="776" spans="1:14" ht="15" customHeight="1">
      <c r="A776" s="58">
        <v>46202</v>
      </c>
      <c r="B776" s="9">
        <f t="shared" si="174"/>
        <v>1.0416666666666663</v>
      </c>
      <c r="C776" s="16" t="s">
        <v>45</v>
      </c>
      <c r="D776" s="16" t="s">
        <v>30</v>
      </c>
      <c r="E776" s="11">
        <v>5</v>
      </c>
      <c r="F776" s="12">
        <f t="shared" si="172"/>
        <v>20</v>
      </c>
      <c r="G776" s="10"/>
      <c r="H776" s="10"/>
      <c r="I776" s="10"/>
      <c r="J776" s="13"/>
      <c r="K776" s="13"/>
      <c r="L776" s="70" t="str">
        <f t="shared" si="173"/>
        <v/>
      </c>
      <c r="M776" s="29"/>
      <c r="N776" s="30"/>
    </row>
    <row r="777" spans="1:14" ht="15" customHeight="1">
      <c r="A777" s="59">
        <v>46202</v>
      </c>
      <c r="B777" s="15">
        <f t="shared" si="174"/>
        <v>1.083333333333333</v>
      </c>
      <c r="C777" s="16" t="s">
        <v>45</v>
      </c>
      <c r="D777" s="16" t="s">
        <v>30</v>
      </c>
      <c r="E777" s="11">
        <v>10</v>
      </c>
      <c r="F777" s="17">
        <f t="shared" si="172"/>
        <v>40</v>
      </c>
      <c r="G777" s="16"/>
      <c r="H777" s="16"/>
      <c r="I777" s="16"/>
      <c r="J777" s="13"/>
      <c r="K777" s="13"/>
      <c r="L777" s="71" t="str">
        <f t="shared" si="173"/>
        <v/>
      </c>
      <c r="M777" s="29"/>
      <c r="N777" s="30"/>
    </row>
    <row r="778" spans="1:14" ht="15" customHeight="1">
      <c r="A778" s="58">
        <v>46202</v>
      </c>
      <c r="B778" s="9">
        <f t="shared" si="174"/>
        <v>1.1249999999999998</v>
      </c>
      <c r="C778" s="16" t="s">
        <v>45</v>
      </c>
      <c r="D778" s="16" t="s">
        <v>30</v>
      </c>
      <c r="E778" s="11">
        <v>7</v>
      </c>
      <c r="F778" s="12">
        <f t="shared" si="172"/>
        <v>28</v>
      </c>
      <c r="G778" s="10"/>
      <c r="H778" s="10"/>
      <c r="I778" s="10"/>
      <c r="J778" s="13"/>
      <c r="K778" s="13"/>
      <c r="L778" s="70" t="str">
        <f t="shared" si="173"/>
        <v/>
      </c>
      <c r="M778" s="29"/>
      <c r="N778" s="30"/>
    </row>
    <row r="779" spans="1:14" ht="15" customHeight="1">
      <c r="A779" s="59">
        <v>46202</v>
      </c>
      <c r="B779" s="15">
        <f t="shared" si="174"/>
        <v>1.1666666666666665</v>
      </c>
      <c r="C779" s="16" t="s">
        <v>45</v>
      </c>
      <c r="D779" s="16" t="s">
        <v>30</v>
      </c>
      <c r="E779" s="11">
        <v>7</v>
      </c>
      <c r="F779" s="17">
        <f t="shared" si="172"/>
        <v>28</v>
      </c>
      <c r="G779" s="16"/>
      <c r="H779" s="16"/>
      <c r="I779" s="16"/>
      <c r="J779" s="13"/>
      <c r="K779" s="13"/>
      <c r="L779" s="71" t="str">
        <f t="shared" si="173"/>
        <v/>
      </c>
      <c r="M779" s="29"/>
      <c r="N779" s="30"/>
    </row>
    <row r="780" spans="1:14" ht="15" customHeight="1">
      <c r="A780" s="58">
        <v>46202</v>
      </c>
      <c r="B780" s="9">
        <f t="shared" si="174"/>
        <v>1.2083333333333333</v>
      </c>
      <c r="C780" s="16" t="s">
        <v>45</v>
      </c>
      <c r="D780" s="16" t="s">
        <v>30</v>
      </c>
      <c r="E780" s="11">
        <v>15</v>
      </c>
      <c r="F780" s="12">
        <f t="shared" si="172"/>
        <v>60</v>
      </c>
      <c r="G780" s="10"/>
      <c r="H780" s="10"/>
      <c r="I780" s="10"/>
      <c r="J780" s="13"/>
      <c r="K780" s="13"/>
      <c r="L780" s="70" t="str">
        <f t="shared" si="173"/>
        <v/>
      </c>
      <c r="M780" s="29"/>
      <c r="N780" s="30"/>
    </row>
    <row r="781" spans="1:14" ht="15" customHeight="1">
      <c r="A781" s="59">
        <v>46202</v>
      </c>
      <c r="B781" s="15">
        <f t="shared" si="174"/>
        <v>1.25</v>
      </c>
      <c r="C781" s="16" t="s">
        <v>45</v>
      </c>
      <c r="D781" s="16" t="s">
        <v>30</v>
      </c>
      <c r="E781" s="11">
        <v>9</v>
      </c>
      <c r="F781" s="17">
        <f t="shared" si="172"/>
        <v>36</v>
      </c>
      <c r="G781" s="16"/>
      <c r="H781" s="16"/>
      <c r="I781" s="16"/>
      <c r="J781" s="13"/>
      <c r="K781" s="13"/>
      <c r="L781" s="71" t="str">
        <f t="shared" si="173"/>
        <v/>
      </c>
      <c r="M781" s="29"/>
      <c r="N781" s="30"/>
    </row>
    <row r="782" spans="1:14" ht="15" customHeight="1">
      <c r="A782" s="58">
        <v>46202</v>
      </c>
      <c r="B782" s="9">
        <f t="shared" si="174"/>
        <v>1.2916666666666667</v>
      </c>
      <c r="C782" s="16" t="s">
        <v>45</v>
      </c>
      <c r="D782" s="16" t="s">
        <v>30</v>
      </c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29"/>
      <c r="N782" s="30"/>
    </row>
    <row r="783" spans="1:14" ht="15.75" customHeight="1">
      <c r="A783" s="105" t="s">
        <v>193</v>
      </c>
      <c r="B783" s="105"/>
      <c r="C783" s="105"/>
      <c r="D783" s="105"/>
      <c r="E783" s="19">
        <f>SUM(E771:E782)</f>
        <v>98</v>
      </c>
      <c r="F783" s="19">
        <f>SUM(F771:F782)</f>
        <v>392</v>
      </c>
      <c r="G783" s="18"/>
      <c r="H783" s="18"/>
      <c r="I783" s="18"/>
      <c r="J783" s="18"/>
      <c r="K783" s="18"/>
      <c r="L783" s="72">
        <f>IFERROR(SUM(L771:L782),"")</f>
        <v>1.3888888888888867E-2</v>
      </c>
      <c r="M783" s="19" t="s">
        <v>192</v>
      </c>
      <c r="N783" s="20"/>
    </row>
    <row r="784" spans="1:14" ht="18" customHeight="1">
      <c r="A784" s="98" t="s">
        <v>194</v>
      </c>
      <c r="B784" s="98"/>
      <c r="C784" s="98"/>
      <c r="D784" s="98"/>
      <c r="E784" s="22">
        <f>E770+E783</f>
        <v>178</v>
      </c>
      <c r="F784" s="22">
        <f>F770+F783</f>
        <v>712</v>
      </c>
      <c r="G784" s="21"/>
      <c r="H784" s="21"/>
      <c r="I784" s="21"/>
      <c r="J784" s="21"/>
      <c r="K784" s="21"/>
      <c r="L784" s="73">
        <f>IFERROR(L770+L783,"")</f>
        <v>0.13263888888888883</v>
      </c>
      <c r="M784" s="22" t="s">
        <v>195</v>
      </c>
      <c r="N784" s="31">
        <f>IFERROR(N770+N783,"")</f>
        <v>309470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6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29"/>
      <c r="N786" s="30"/>
    </row>
    <row r="787" spans="1:14" ht="15" customHeight="1">
      <c r="A787" s="59">
        <v>46203</v>
      </c>
      <c r="B787" s="15">
        <f t="shared" si="176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29"/>
      <c r="N787" s="30"/>
    </row>
    <row r="788" spans="1:14" ht="15" customHeight="1">
      <c r="A788" s="58">
        <v>46203</v>
      </c>
      <c r="B788" s="9">
        <f t="shared" si="176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29"/>
      <c r="N788" s="30"/>
    </row>
    <row r="789" spans="1:14" ht="15" customHeight="1">
      <c r="A789" s="59">
        <v>46203</v>
      </c>
      <c r="B789" s="15">
        <f t="shared" si="176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29"/>
      <c r="N789" s="30"/>
    </row>
    <row r="790" spans="1:14" ht="15" customHeight="1">
      <c r="A790" s="58">
        <v>46203</v>
      </c>
      <c r="B790" s="9">
        <f t="shared" si="176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29"/>
      <c r="N790" s="30"/>
    </row>
    <row r="791" spans="1:14" ht="15" customHeight="1">
      <c r="A791" s="59">
        <v>46203</v>
      </c>
      <c r="B791" s="15">
        <f t="shared" si="176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29"/>
      <c r="N791" s="30"/>
    </row>
    <row r="792" spans="1:14" ht="15" customHeight="1">
      <c r="A792" s="58">
        <v>46203</v>
      </c>
      <c r="B792" s="9">
        <f t="shared" si="176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29"/>
      <c r="N792" s="30"/>
    </row>
    <row r="793" spans="1:14" ht="15" customHeight="1">
      <c r="A793" s="59">
        <v>46203</v>
      </c>
      <c r="B793" s="15">
        <f t="shared" si="176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29"/>
      <c r="N793" s="30"/>
    </row>
    <row r="794" spans="1:14" ht="15" customHeight="1">
      <c r="A794" s="58">
        <v>46203</v>
      </c>
      <c r="B794" s="9">
        <f t="shared" si="176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29"/>
      <c r="N794" s="30"/>
    </row>
    <row r="795" spans="1:14" ht="15" customHeight="1">
      <c r="A795" s="59">
        <v>46203</v>
      </c>
      <c r="B795" s="15">
        <f t="shared" si="176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29"/>
      <c r="N795" s="30"/>
    </row>
    <row r="796" spans="1:14" ht="15" customHeight="1">
      <c r="A796" s="58">
        <v>46203</v>
      </c>
      <c r="B796" s="9">
        <f t="shared" si="176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29"/>
      <c r="N796" s="30"/>
    </row>
    <row r="797" spans="1:14" ht="15.75" customHeight="1">
      <c r="A797" s="105" t="s">
        <v>191</v>
      </c>
      <c r="B797" s="105"/>
      <c r="C797" s="105"/>
      <c r="D797" s="105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192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78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29"/>
      <c r="N799" s="30"/>
    </row>
    <row r="800" spans="1:14" ht="15" customHeight="1">
      <c r="A800" s="58">
        <v>46203</v>
      </c>
      <c r="B800" s="9">
        <f t="shared" si="178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29"/>
      <c r="N800" s="30"/>
    </row>
    <row r="801" spans="1:14" ht="15" customHeight="1">
      <c r="A801" s="59">
        <v>46203</v>
      </c>
      <c r="B801" s="15">
        <f t="shared" si="178"/>
        <v>0.95833333333333293</v>
      </c>
      <c r="C801" s="67"/>
      <c r="D801" s="67"/>
      <c r="E801" s="11"/>
      <c r="F801" s="93" t="str">
        <f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29"/>
      <c r="N801" s="30"/>
    </row>
    <row r="802" spans="1:14" ht="15" customHeight="1">
      <c r="A802" s="58">
        <v>46203</v>
      </c>
      <c r="B802" s="9">
        <f t="shared" si="178"/>
        <v>0.99999999999999956</v>
      </c>
      <c r="C802" s="76"/>
      <c r="D802" s="76"/>
      <c r="E802" s="11"/>
      <c r="F802" s="80" t="str">
        <f t="shared" ref="F798:F809" si="179">IF(E802="","",E802*4)</f>
        <v/>
      </c>
      <c r="G802" s="76"/>
      <c r="H802" s="76"/>
      <c r="I802" s="76"/>
      <c r="J802" s="13"/>
      <c r="K802" s="13"/>
      <c r="L802" s="77" t="str">
        <f t="shared" si="177"/>
        <v/>
      </c>
      <c r="M802" s="29"/>
      <c r="N802" s="30"/>
    </row>
    <row r="803" spans="1:14" ht="15" customHeight="1">
      <c r="A803" s="59">
        <v>46203</v>
      </c>
      <c r="B803" s="15">
        <f t="shared" si="178"/>
        <v>1.0416666666666663</v>
      </c>
      <c r="C803" s="67"/>
      <c r="D803" s="67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29"/>
      <c r="N803" s="30"/>
    </row>
    <row r="804" spans="1:14" ht="15" customHeight="1">
      <c r="A804" s="58">
        <v>46203</v>
      </c>
      <c r="B804" s="9">
        <f t="shared" si="178"/>
        <v>1.083333333333333</v>
      </c>
      <c r="C804" s="76"/>
      <c r="D804" s="76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29"/>
      <c r="N804" s="30"/>
    </row>
    <row r="805" spans="1:14" ht="15" customHeight="1">
      <c r="A805" s="59">
        <v>46203</v>
      </c>
      <c r="B805" s="15">
        <f t="shared" si="178"/>
        <v>1.1249999999999998</v>
      </c>
      <c r="C805" s="67"/>
      <c r="D805" s="67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29"/>
      <c r="N805" s="30"/>
    </row>
    <row r="806" spans="1:14" ht="15" customHeight="1">
      <c r="A806" s="58">
        <v>46203</v>
      </c>
      <c r="B806" s="9">
        <f t="shared" si="178"/>
        <v>1.1666666666666665</v>
      </c>
      <c r="C806" s="76"/>
      <c r="D806" s="76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29"/>
      <c r="N806" s="30"/>
    </row>
    <row r="807" spans="1:14" ht="15" customHeight="1">
      <c r="A807" s="59">
        <v>46203</v>
      </c>
      <c r="B807" s="15">
        <f t="shared" si="178"/>
        <v>1.2083333333333333</v>
      </c>
      <c r="C807" s="67"/>
      <c r="D807" s="67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29"/>
      <c r="N807" s="30"/>
    </row>
    <row r="808" spans="1:14" ht="15" customHeight="1">
      <c r="A808" s="58">
        <v>46203</v>
      </c>
      <c r="B808" s="9">
        <f t="shared" si="178"/>
        <v>1.25</v>
      </c>
      <c r="C808" s="76"/>
      <c r="D808" s="76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29"/>
      <c r="N808" s="30"/>
    </row>
    <row r="809" spans="1:14" ht="15" customHeight="1">
      <c r="A809" s="59">
        <v>46203</v>
      </c>
      <c r="B809" s="15">
        <f t="shared" si="178"/>
        <v>1.2916666666666667</v>
      </c>
      <c r="C809" s="67"/>
      <c r="D809" s="67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29"/>
      <c r="N809" s="30"/>
    </row>
    <row r="810" spans="1:14" ht="15.75" customHeight="1">
      <c r="A810" s="105" t="s">
        <v>193</v>
      </c>
      <c r="B810" s="105"/>
      <c r="C810" s="105"/>
      <c r="D810" s="105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192</v>
      </c>
      <c r="N810" s="20"/>
    </row>
    <row r="811" spans="1:14" ht="18" customHeight="1">
      <c r="A811" s="98" t="s">
        <v>194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195</v>
      </c>
      <c r="N811" s="23">
        <f>IFERROR(N797+N810,"")</f>
        <v>0</v>
      </c>
    </row>
  </sheetData>
  <sheetProtection formatCells="0" formatRows="0" insertColumns="0" insertRows="0" sort="0" autoFilter="0"/>
  <mergeCells count="90">
    <mergeCell ref="A783:D783"/>
    <mergeCell ref="A784:D784"/>
    <mergeCell ref="A797:D797"/>
    <mergeCell ref="A810:D810"/>
    <mergeCell ref="A811:D811"/>
    <mergeCell ref="A730:D730"/>
    <mergeCell ref="A743:D743"/>
    <mergeCell ref="A756:D756"/>
    <mergeCell ref="A757:D757"/>
    <mergeCell ref="A770:D770"/>
    <mergeCell ref="A689:D689"/>
    <mergeCell ref="A702:D702"/>
    <mergeCell ref="A703:D703"/>
    <mergeCell ref="A716:D716"/>
    <mergeCell ref="A729:D729"/>
    <mergeCell ref="A648:D648"/>
    <mergeCell ref="A649:D649"/>
    <mergeCell ref="A662:D662"/>
    <mergeCell ref="A675:D675"/>
    <mergeCell ref="A676:D676"/>
    <mergeCell ref="A595:D595"/>
    <mergeCell ref="A608:D608"/>
    <mergeCell ref="A621:D621"/>
    <mergeCell ref="A622:D622"/>
    <mergeCell ref="A635:D635"/>
    <mergeCell ref="A554:D554"/>
    <mergeCell ref="A567:D567"/>
    <mergeCell ref="A568:D568"/>
    <mergeCell ref="A581:D581"/>
    <mergeCell ref="A594:D594"/>
    <mergeCell ref="A513:D513"/>
    <mergeCell ref="A514:D514"/>
    <mergeCell ref="A527:D527"/>
    <mergeCell ref="A540:D540"/>
    <mergeCell ref="A541:D541"/>
    <mergeCell ref="A460:D460"/>
    <mergeCell ref="A473:D473"/>
    <mergeCell ref="A486:D486"/>
    <mergeCell ref="A487:D487"/>
    <mergeCell ref="A500:D500"/>
    <mergeCell ref="A419:D419"/>
    <mergeCell ref="A432:D432"/>
    <mergeCell ref="A433:D433"/>
    <mergeCell ref="A446:D446"/>
    <mergeCell ref="A459:D459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681 I683:I900" xr:uid="{E4D8C6DE-5EAA-4CC4-B2D9-75E053B04982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7E1F6087-2BE4-4999-A02E-8EF8D0FFD49B}">
          <x14:formula1>
            <xm:f>Cadastro!$E$4:$E$10</xm:f>
          </x14:formula1>
          <x14:formula2>
            <xm:f>0</xm:f>
          </x14:formula2>
          <xm:sqref>H682:I682 G762:G900 G2:G760</xm:sqref>
        </x14:dataValidation>
        <x14:dataValidation type="list" allowBlank="1" showErrorMessage="1" errorTitle="Valor inválido" error="Selecione da lista." xr:uid="{315E14AD-77A1-4CF4-8ADF-1E7207CB4CAB}">
          <x14:formula1>
            <xm:f>Cadastro!$G$4:$G$40</xm:f>
          </x14:formula1>
          <x14:formula2>
            <xm:f>0</xm:f>
          </x14:formula2>
          <xm:sqref>H2:H681 H683:H900</xm:sqref>
        </x14:dataValidation>
        <x14:dataValidation type="list" allowBlank="1" showErrorMessage="1" errorTitle="Valor inválido" error="Selecione da lista." xr:uid="{D16F2A10-0B55-4C3D-A1BE-D015F7B1B202}">
          <x14:formula1>
            <xm:f>Cadastro!$A$4:$A$50</xm:f>
          </x14:formula1>
          <x14:formula2>
            <xm:f>0</xm:f>
          </x14:formula2>
          <xm:sqref>D542:D553 C2:C900</xm:sqref>
        </x14:dataValidation>
        <x14:dataValidation type="list" allowBlank="1" showErrorMessage="1" errorTitle="Valor inválido" error="Selecione da lista." xr:uid="{F8CBD7A6-28F7-4DAA-A64A-E5BF2AC04DB4}">
          <x14:formula1>
            <xm:f>Cadastro!$C$4:$C$10</xm:f>
          </x14:formula1>
          <x14:formula2>
            <xm:f>0</xm:f>
          </x14:formula2>
          <xm:sqref>D2:D900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6"/>
  </sheetPr>
  <dimension ref="A1:N811"/>
  <sheetViews>
    <sheetView showGridLines="0" zoomScale="80" zoomScaleNormal="80" workbookViewId="0">
      <pane ySplit="1" topLeftCell="A769" activePane="bottomLeft" state="frozen"/>
      <selection pane="bottomLeft" activeCell="E782" sqref="E782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0.7109375" style="7" customWidth="1"/>
    <col min="8" max="8" width="30.42578125" style="7" customWidth="1"/>
    <col min="9" max="9" width="46.42578125" style="7" customWidth="1"/>
    <col min="10" max="10" width="12" style="7" customWidth="1"/>
    <col min="11" max="11" width="16.42578125" style="7" customWidth="1"/>
    <col min="12" max="12" width="14" style="74" customWidth="1"/>
    <col min="13" max="13" width="43.7109375" style="7" customWidth="1"/>
    <col min="14" max="14" width="14" style="7" customWidth="1"/>
  </cols>
  <sheetData>
    <row r="1" spans="1:14" ht="37.5" customHeight="1">
      <c r="A1" s="57" t="s">
        <v>7</v>
      </c>
      <c r="B1" s="8" t="s">
        <v>181</v>
      </c>
      <c r="C1" s="8" t="s">
        <v>12</v>
      </c>
      <c r="D1" s="8" t="s">
        <v>13</v>
      </c>
      <c r="E1" s="8" t="s">
        <v>182</v>
      </c>
      <c r="F1" s="8" t="s">
        <v>306</v>
      </c>
      <c r="G1" s="8" t="s">
        <v>14</v>
      </c>
      <c r="H1" s="8" t="s">
        <v>15</v>
      </c>
      <c r="I1" s="8" t="s">
        <v>184</v>
      </c>
      <c r="J1" s="8" t="s">
        <v>185</v>
      </c>
      <c r="K1" s="8" t="s">
        <v>186</v>
      </c>
      <c r="L1" s="69" t="s">
        <v>187</v>
      </c>
      <c r="M1" s="8" t="s">
        <v>188</v>
      </c>
      <c r="N1" s="8" t="s">
        <v>189</v>
      </c>
    </row>
    <row r="2" spans="1:14" ht="15" customHeight="1">
      <c r="A2" s="58">
        <v>46174</v>
      </c>
      <c r="B2" s="9">
        <v>0.33333333333333298</v>
      </c>
      <c r="C2" s="10"/>
      <c r="D2" s="10"/>
      <c r="E2" s="11"/>
      <c r="F2" s="12" t="str">
        <f t="shared" ref="F2:F13" si="0">IF(E2="","",E2*4)</f>
        <v/>
      </c>
      <c r="G2" s="10"/>
      <c r="H2" s="10"/>
      <c r="I2" s="10"/>
      <c r="J2" s="13">
        <v>0.29166666666666702</v>
      </c>
      <c r="K2" s="13">
        <v>0.29097222222222202</v>
      </c>
      <c r="L2" s="70">
        <f t="shared" ref="L2:L13" si="1">IFERROR(IF(K2="","",IF(K2&gt;=J2,K2-J2,K2+1-J2)),"")</f>
        <v>0.999305555555555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/>
      <c r="D3" s="16"/>
      <c r="E3" s="11"/>
      <c r="F3" s="17" t="str">
        <f t="shared" si="0"/>
        <v/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/>
      <c r="D4" s="10"/>
      <c r="E4" s="11"/>
      <c r="F4" s="12" t="str">
        <f t="shared" si="0"/>
        <v/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/>
      <c r="D5" s="16"/>
      <c r="E5" s="11"/>
      <c r="F5" s="17" t="str">
        <f t="shared" si="0"/>
        <v/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/>
      <c r="D6" s="10"/>
      <c r="E6" s="11"/>
      <c r="F6" s="12" t="str">
        <f t="shared" si="0"/>
        <v/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/>
      <c r="D7" s="16"/>
      <c r="E7" s="11"/>
      <c r="F7" s="17" t="str">
        <f t="shared" si="0"/>
        <v/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/>
      <c r="D8" s="10"/>
      <c r="E8" s="11"/>
      <c r="F8" s="12" t="str">
        <f t="shared" si="0"/>
        <v/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/>
      <c r="D9" s="16"/>
      <c r="E9" s="11"/>
      <c r="F9" s="17" t="str">
        <f t="shared" si="0"/>
        <v/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/>
      <c r="D10" s="10"/>
      <c r="E10" s="11"/>
      <c r="F10" s="12" t="str">
        <f t="shared" si="0"/>
        <v/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/>
      <c r="D11" s="16"/>
      <c r="E11" s="11"/>
      <c r="F11" s="17" t="str">
        <f t="shared" si="0"/>
        <v/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/>
      <c r="D12" s="10"/>
      <c r="E12" s="11"/>
      <c r="F12" s="12" t="str">
        <f t="shared" si="0"/>
        <v/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/>
      <c r="D13" s="16"/>
      <c r="E13" s="11"/>
      <c r="F13" s="17" t="str">
        <f t="shared" si="0"/>
        <v/>
      </c>
      <c r="G13" s="16"/>
      <c r="H13" s="16"/>
      <c r="I13" s="16"/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105" t="s">
        <v>191</v>
      </c>
      <c r="B14" s="105"/>
      <c r="C14" s="105"/>
      <c r="D14" s="105"/>
      <c r="E14" s="19">
        <f>SUM(E2:E13)</f>
        <v>0</v>
      </c>
      <c r="F14" s="19">
        <f>SUM(F2:F13)</f>
        <v>0</v>
      </c>
      <c r="G14" s="18"/>
      <c r="H14" s="18"/>
      <c r="I14" s="18"/>
      <c r="J14" s="18"/>
      <c r="K14" s="18"/>
      <c r="L14" s="72">
        <f>IFERROR(SUM(L2:L13),"")</f>
        <v>0.999305555555555</v>
      </c>
      <c r="M14" s="19" t="s">
        <v>192</v>
      </c>
      <c r="N14" s="20"/>
    </row>
    <row r="15" spans="1:14" ht="15" customHeight="1">
      <c r="A15" s="59">
        <v>46174</v>
      </c>
      <c r="B15" s="15">
        <v>0.83333333333333304</v>
      </c>
      <c r="C15" s="16"/>
      <c r="D15" s="16"/>
      <c r="E15" s="11"/>
      <c r="F15" s="17" t="str">
        <f t="shared" ref="F15:F26" si="3">IF(E15="","",E15*4)</f>
        <v/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0"/>
      <c r="D16" s="10"/>
      <c r="E16" s="11"/>
      <c r="F16" s="12" t="str">
        <f t="shared" si="3"/>
        <v/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/>
      <c r="D17" s="16"/>
      <c r="E17" s="11"/>
      <c r="F17" s="17" t="str">
        <f t="shared" si="3"/>
        <v/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0"/>
      <c r="D18" s="10"/>
      <c r="E18" s="11"/>
      <c r="F18" s="12" t="str">
        <f t="shared" si="3"/>
        <v/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/>
      <c r="D19" s="16"/>
      <c r="E19" s="11"/>
      <c r="F19" s="17" t="str">
        <f t="shared" si="3"/>
        <v/>
      </c>
      <c r="G19" s="16"/>
      <c r="H19" s="16"/>
      <c r="I19" s="16"/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0"/>
      <c r="D20" s="10"/>
      <c r="E20" s="11"/>
      <c r="F20" s="12" t="str">
        <f t="shared" si="3"/>
        <v/>
      </c>
      <c r="G20" s="10"/>
      <c r="H20" s="10"/>
      <c r="I20" s="10"/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/>
      <c r="D21" s="16"/>
      <c r="E21" s="11"/>
      <c r="F21" s="17" t="str">
        <f t="shared" si="3"/>
        <v/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0"/>
      <c r="D22" s="10"/>
      <c r="E22" s="11"/>
      <c r="F22" s="12" t="str">
        <f t="shared" si="3"/>
        <v/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/>
      <c r="D23" s="16"/>
      <c r="E23" s="11"/>
      <c r="F23" s="17" t="str">
        <f t="shared" si="3"/>
        <v/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0"/>
      <c r="D24" s="10"/>
      <c r="E24" s="11"/>
      <c r="F24" s="12" t="str">
        <f t="shared" si="3"/>
        <v/>
      </c>
      <c r="G24" s="10"/>
      <c r="H24" s="10"/>
      <c r="I24" s="10"/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/>
      <c r="D25" s="16"/>
      <c r="E25" s="11"/>
      <c r="F25" s="17" t="str">
        <f t="shared" si="3"/>
        <v/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0"/>
      <c r="D26" s="10"/>
      <c r="E26" s="11"/>
      <c r="F26" s="12" t="str">
        <f t="shared" si="3"/>
        <v/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5" t="s">
        <v>193</v>
      </c>
      <c r="B27" s="105"/>
      <c r="C27" s="105"/>
      <c r="D27" s="105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</v>
      </c>
      <c r="M27" s="19" t="s">
        <v>192</v>
      </c>
      <c r="N27" s="20"/>
    </row>
    <row r="28" spans="1:14" ht="18" customHeight="1">
      <c r="A28" s="98" t="s">
        <v>194</v>
      </c>
      <c r="B28" s="98"/>
      <c r="C28" s="98"/>
      <c r="D28" s="98"/>
      <c r="E28" s="22">
        <f>E14+E27</f>
        <v>0</v>
      </c>
      <c r="F28" s="22">
        <f>F14+F27</f>
        <v>0</v>
      </c>
      <c r="G28" s="21"/>
      <c r="H28" s="21"/>
      <c r="I28" s="21"/>
      <c r="J28" s="21"/>
      <c r="K28" s="21"/>
      <c r="L28" s="73">
        <f>IFERROR(L14+L27,"")</f>
        <v>0.999305555555555</v>
      </c>
      <c r="M28" s="22" t="s">
        <v>195</v>
      </c>
      <c r="N28" s="23">
        <f>IFERROR(N14+N27,"")</f>
        <v>0</v>
      </c>
    </row>
    <row r="29" spans="1:14" ht="15" customHeight="1">
      <c r="A29" s="59">
        <v>46175</v>
      </c>
      <c r="B29" s="15">
        <v>0.33333333333333298</v>
      </c>
      <c r="C29" s="16"/>
      <c r="D29" s="16"/>
      <c r="E29" s="11"/>
      <c r="F29" s="17" t="str">
        <f t="shared" ref="F29:F40" si="6">IF(E29="","",E29*4)</f>
        <v/>
      </c>
      <c r="G29" s="16"/>
      <c r="H29" s="16"/>
      <c r="I29" s="16"/>
      <c r="J29" s="13">
        <v>0.29166666666666702</v>
      </c>
      <c r="K29" s="13">
        <v>0.29097222222222202</v>
      </c>
      <c r="L29" s="71">
        <f t="shared" ref="L29:L40" si="7">IFERROR(IF(K29="","",IF(K29&gt;=J29,K29-J29,K29+1-J29)),"")</f>
        <v>0.999305555555555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0"/>
      <c r="D30" s="10"/>
      <c r="E30" s="11"/>
      <c r="F30" s="12" t="str">
        <f t="shared" si="6"/>
        <v/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/>
      <c r="D31" s="16"/>
      <c r="E31" s="11"/>
      <c r="F31" s="17" t="str">
        <f t="shared" si="6"/>
        <v/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0"/>
      <c r="D32" s="10"/>
      <c r="E32" s="11"/>
      <c r="F32" s="12" t="str">
        <f t="shared" si="6"/>
        <v/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/>
      <c r="D33" s="16"/>
      <c r="E33" s="11"/>
      <c r="F33" s="17" t="str">
        <f t="shared" si="6"/>
        <v/>
      </c>
      <c r="G33" s="16"/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0"/>
      <c r="D34" s="10"/>
      <c r="E34" s="11"/>
      <c r="F34" s="12" t="str">
        <f t="shared" si="6"/>
        <v/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/>
      <c r="D35" s="16"/>
      <c r="E35" s="11"/>
      <c r="F35" s="17" t="str">
        <f t="shared" si="6"/>
        <v/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0"/>
      <c r="D36" s="10"/>
      <c r="E36" s="11"/>
      <c r="F36" s="12" t="str">
        <f t="shared" si="6"/>
        <v/>
      </c>
      <c r="G36" s="10"/>
      <c r="H36" s="10"/>
      <c r="I36" s="10"/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/>
      <c r="D37" s="16"/>
      <c r="E37" s="11"/>
      <c r="F37" s="17" t="str">
        <f t="shared" si="6"/>
        <v/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0"/>
      <c r="D38" s="10"/>
      <c r="E38" s="11"/>
      <c r="F38" s="12" t="str">
        <f t="shared" si="6"/>
        <v/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/>
      <c r="D39" s="16"/>
      <c r="E39" s="11"/>
      <c r="F39" s="17" t="str">
        <f t="shared" si="6"/>
        <v/>
      </c>
      <c r="G39" s="16"/>
      <c r="H39" s="16"/>
      <c r="I39" s="16"/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0"/>
      <c r="D40" s="10"/>
      <c r="E40" s="11"/>
      <c r="F40" s="12" t="str">
        <f t="shared" si="6"/>
        <v/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5" t="s">
        <v>191</v>
      </c>
      <c r="B41" s="105"/>
      <c r="C41" s="105"/>
      <c r="D41" s="105"/>
      <c r="E41" s="19">
        <f>SUM(E29:E40)</f>
        <v>0</v>
      </c>
      <c r="F41" s="19">
        <f>SUM(F29:F40)</f>
        <v>0</v>
      </c>
      <c r="G41" s="18"/>
      <c r="H41" s="18"/>
      <c r="I41" s="18"/>
      <c r="J41" s="18"/>
      <c r="K41" s="18"/>
      <c r="L41" s="72">
        <f>IFERROR(SUM(L29:L40),"")</f>
        <v>0.999305555555555</v>
      </c>
      <c r="M41" s="19" t="s">
        <v>192</v>
      </c>
      <c r="N41" s="20"/>
    </row>
    <row r="42" spans="1:14" ht="15" customHeight="1">
      <c r="A42" s="58">
        <v>46175</v>
      </c>
      <c r="B42" s="9">
        <v>0.83333333333333304</v>
      </c>
      <c r="C42" s="10"/>
      <c r="D42" s="10"/>
      <c r="E42" s="11"/>
      <c r="F42" s="12" t="str">
        <f t="shared" ref="F42:F53" si="9">IF(E42="","",E42*4)</f>
        <v/>
      </c>
      <c r="G42" s="10"/>
      <c r="H42" s="10"/>
      <c r="I42" s="10"/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6"/>
      <c r="D43" s="16"/>
      <c r="E43" s="11"/>
      <c r="F43" s="17" t="str">
        <f t="shared" si="9"/>
        <v/>
      </c>
      <c r="G43" s="16"/>
      <c r="H43" s="16"/>
      <c r="I43" s="16"/>
      <c r="J43" s="13"/>
      <c r="K43" s="13"/>
      <c r="L43" s="71" t="str">
        <f t="shared" si="10"/>
        <v/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/>
      <c r="D44" s="10"/>
      <c r="E44" s="11"/>
      <c r="F44" s="12" t="str">
        <f t="shared" si="9"/>
        <v/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6"/>
      <c r="D45" s="16"/>
      <c r="E45" s="11"/>
      <c r="F45" s="17" t="str">
        <f t="shared" si="9"/>
        <v/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/>
      <c r="D46" s="10"/>
      <c r="E46" s="11"/>
      <c r="F46" s="12" t="str">
        <f t="shared" si="9"/>
        <v/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6"/>
      <c r="D47" s="16"/>
      <c r="E47" s="11"/>
      <c r="F47" s="17" t="str">
        <f t="shared" si="9"/>
        <v/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/>
      <c r="D48" s="10"/>
      <c r="E48" s="11"/>
      <c r="F48" s="12" t="str">
        <f t="shared" si="9"/>
        <v/>
      </c>
      <c r="G48" s="10"/>
      <c r="H48" s="10"/>
      <c r="I48" s="10"/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6"/>
      <c r="D49" s="16"/>
      <c r="E49" s="11"/>
      <c r="F49" s="17" t="str">
        <f t="shared" si="9"/>
        <v/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/>
      <c r="D50" s="10"/>
      <c r="E50" s="11"/>
      <c r="F50" s="12" t="str">
        <f t="shared" si="9"/>
        <v/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6"/>
      <c r="D51" s="16"/>
      <c r="E51" s="11"/>
      <c r="F51" s="17" t="str">
        <f t="shared" si="9"/>
        <v/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/>
      <c r="D52" s="10"/>
      <c r="E52" s="11"/>
      <c r="F52" s="12" t="str">
        <f t="shared" si="9"/>
        <v/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6"/>
      <c r="D53" s="16"/>
      <c r="E53" s="11"/>
      <c r="F53" s="17" t="str">
        <f t="shared" si="9"/>
        <v/>
      </c>
      <c r="G53" s="16"/>
      <c r="H53" s="16"/>
      <c r="I53" s="16"/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5" t="s">
        <v>193</v>
      </c>
      <c r="B54" s="105"/>
      <c r="C54" s="105"/>
      <c r="D54" s="105"/>
      <c r="E54" s="19">
        <f>SUM(E42:E53)</f>
        <v>0</v>
      </c>
      <c r="F54" s="19">
        <f>SUM(F42:F53)</f>
        <v>0</v>
      </c>
      <c r="G54" s="18"/>
      <c r="H54" s="18"/>
      <c r="I54" s="18"/>
      <c r="J54" s="18"/>
      <c r="K54" s="18"/>
      <c r="L54" s="72">
        <f>IFERROR(SUM(L42:L53),"")</f>
        <v>0</v>
      </c>
      <c r="M54" s="19" t="s">
        <v>192</v>
      </c>
      <c r="N54" s="20"/>
    </row>
    <row r="55" spans="1:14" ht="18" customHeight="1">
      <c r="A55" s="98" t="s">
        <v>194</v>
      </c>
      <c r="B55" s="98"/>
      <c r="C55" s="98"/>
      <c r="D55" s="98"/>
      <c r="E55" s="22">
        <f>E41+E54</f>
        <v>0</v>
      </c>
      <c r="F55" s="22">
        <f>F41+F54</f>
        <v>0</v>
      </c>
      <c r="G55" s="21"/>
      <c r="H55" s="21"/>
      <c r="I55" s="21"/>
      <c r="J55" s="21"/>
      <c r="K55" s="21"/>
      <c r="L55" s="73">
        <f>IFERROR(L41+L54,"")</f>
        <v>0.999305555555555</v>
      </c>
      <c r="M55" s="22" t="s">
        <v>195</v>
      </c>
      <c r="N55" s="23">
        <f>IFERROR(N41+N54,"")</f>
        <v>0</v>
      </c>
    </row>
    <row r="56" spans="1:14" ht="15" customHeight="1">
      <c r="A56" s="58">
        <v>46176</v>
      </c>
      <c r="B56" s="9">
        <v>0.33333333333333298</v>
      </c>
      <c r="C56" s="10"/>
      <c r="D56" s="10"/>
      <c r="E56" s="11"/>
      <c r="F56" s="12" t="str">
        <f t="shared" ref="F56:F67" si="12">IF(E56="","",E56*4)</f>
        <v/>
      </c>
      <c r="G56" s="10"/>
      <c r="H56" s="10"/>
      <c r="I56" s="10"/>
      <c r="J56" s="13">
        <v>0.29166666666666702</v>
      </c>
      <c r="K56" s="13">
        <v>0.79166666666666696</v>
      </c>
      <c r="L56" s="70">
        <f t="shared" ref="L56:L67" si="13">IFERROR(IF(K56="","",IF(K56&gt;=J56,K56-J56,K56+1-J56)),"")</f>
        <v>0.49999999999999994</v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6"/>
      <c r="D57" s="16"/>
      <c r="E57" s="11"/>
      <c r="F57" s="17" t="str">
        <f t="shared" si="12"/>
        <v/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/>
      <c r="D58" s="10"/>
      <c r="E58" s="11"/>
      <c r="F58" s="12" t="str">
        <f t="shared" si="12"/>
        <v/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6"/>
      <c r="D59" s="16"/>
      <c r="E59" s="11"/>
      <c r="F59" s="17" t="str">
        <f t="shared" si="12"/>
        <v/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/>
      <c r="D60" s="10"/>
      <c r="E60" s="11"/>
      <c r="F60" s="12" t="str">
        <f t="shared" si="12"/>
        <v/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6"/>
      <c r="D61" s="16"/>
      <c r="E61" s="11"/>
      <c r="F61" s="17" t="str">
        <f t="shared" si="12"/>
        <v/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/>
      <c r="D62" s="10"/>
      <c r="E62" s="11"/>
      <c r="F62" s="12" t="str">
        <f t="shared" si="12"/>
        <v/>
      </c>
      <c r="G62" s="10"/>
      <c r="H62" s="10"/>
      <c r="I62" s="10"/>
      <c r="J62" s="13"/>
      <c r="K62" s="13"/>
      <c r="L62" s="70" t="str">
        <f t="shared" si="13"/>
        <v/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6"/>
      <c r="D63" s="16"/>
      <c r="E63" s="11"/>
      <c r="F63" s="17" t="str">
        <f t="shared" si="12"/>
        <v/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/>
      <c r="D64" s="10"/>
      <c r="E64" s="11"/>
      <c r="F64" s="12" t="str">
        <f t="shared" si="12"/>
        <v/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6"/>
      <c r="D65" s="16"/>
      <c r="E65" s="11"/>
      <c r="F65" s="17" t="str">
        <f t="shared" si="12"/>
        <v/>
      </c>
      <c r="G65" s="16"/>
      <c r="H65" s="16"/>
      <c r="I65" s="16"/>
      <c r="J65" s="13"/>
      <c r="K65" s="13"/>
      <c r="L65" s="71" t="str">
        <f t="shared" si="13"/>
        <v/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/>
      <c r="D66" s="10"/>
      <c r="E66" s="11"/>
      <c r="F66" s="12" t="str">
        <f t="shared" si="12"/>
        <v/>
      </c>
      <c r="G66" s="10"/>
      <c r="H66" s="10"/>
      <c r="I66" s="10"/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6"/>
      <c r="D67" s="16"/>
      <c r="E67" s="11"/>
      <c r="F67" s="17" t="str">
        <f t="shared" si="12"/>
        <v/>
      </c>
      <c r="G67" s="16"/>
      <c r="H67" s="16"/>
      <c r="I67" s="16"/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105" t="s">
        <v>191</v>
      </c>
      <c r="B68" s="105"/>
      <c r="C68" s="105"/>
      <c r="D68" s="105"/>
      <c r="E68" s="19">
        <f>SUM(E56:E67)</f>
        <v>0</v>
      </c>
      <c r="F68" s="19">
        <f>SUM(F56:F67)</f>
        <v>0</v>
      </c>
      <c r="G68" s="18"/>
      <c r="H68" s="18"/>
      <c r="I68" s="18"/>
      <c r="J68" s="18"/>
      <c r="K68" s="18"/>
      <c r="L68" s="72">
        <f>IFERROR(SUM(L56:L67),"")</f>
        <v>0.49999999999999994</v>
      </c>
      <c r="M68" s="19" t="s">
        <v>192</v>
      </c>
      <c r="N68" s="20"/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30</v>
      </c>
      <c r="E69" s="36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16" t="s">
        <v>30</v>
      </c>
      <c r="E70" s="36">
        <v>11</v>
      </c>
      <c r="F70" s="12">
        <f t="shared" si="15"/>
        <v>44</v>
      </c>
      <c r="G70" s="10"/>
      <c r="H70" s="10"/>
      <c r="I70" s="10"/>
      <c r="J70" s="13"/>
      <c r="K70" s="13"/>
      <c r="L70" s="70" t="str">
        <f t="shared" si="16"/>
        <v/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16" t="s">
        <v>30</v>
      </c>
      <c r="E71" s="36">
        <v>0</v>
      </c>
      <c r="F71" s="17">
        <f t="shared" si="15"/>
        <v>0</v>
      </c>
      <c r="G71" s="16" t="s">
        <v>18</v>
      </c>
      <c r="H71" s="16" t="s">
        <v>135</v>
      </c>
      <c r="I71" s="16" t="s">
        <v>61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16" t="s">
        <v>30</v>
      </c>
      <c r="E72" s="36">
        <v>5</v>
      </c>
      <c r="F72" s="12">
        <f t="shared" si="15"/>
        <v>20</v>
      </c>
      <c r="G72" s="10"/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16" t="s">
        <v>30</v>
      </c>
      <c r="E73" s="36">
        <v>5</v>
      </c>
      <c r="F73" s="17">
        <f t="shared" si="15"/>
        <v>20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16" t="s">
        <v>30</v>
      </c>
      <c r="E74" s="36">
        <v>5</v>
      </c>
      <c r="F74" s="12">
        <f t="shared" si="15"/>
        <v>20</v>
      </c>
      <c r="G74" s="10" t="s">
        <v>20</v>
      </c>
      <c r="H74" s="10" t="s">
        <v>47</v>
      </c>
      <c r="I74" s="10" t="s">
        <v>126</v>
      </c>
      <c r="J74" s="13">
        <v>4.1666666666666699E-2</v>
      </c>
      <c r="K74" s="13">
        <v>7.4999999999999997E-2</v>
      </c>
      <c r="L74" s="70">
        <f t="shared" si="16"/>
        <v>3.3333333333333298E-2</v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16" t="s">
        <v>30</v>
      </c>
      <c r="E75" s="36">
        <v>1</v>
      </c>
      <c r="F75" s="17">
        <f t="shared" si="15"/>
        <v>4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16" t="s">
        <v>30</v>
      </c>
      <c r="E76" s="36">
        <v>5</v>
      </c>
      <c r="F76" s="12">
        <f t="shared" si="15"/>
        <v>20</v>
      </c>
      <c r="G76" s="10" t="s">
        <v>18</v>
      </c>
      <c r="H76" s="10" t="s">
        <v>47</v>
      </c>
      <c r="I76" s="10" t="s">
        <v>51</v>
      </c>
      <c r="J76" s="13">
        <v>0.125</v>
      </c>
      <c r="K76" s="13">
        <v>0.15069444444444399</v>
      </c>
      <c r="L76" s="70">
        <f t="shared" si="16"/>
        <v>2.5694444444443992E-2</v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16" t="s">
        <v>30</v>
      </c>
      <c r="E77" s="36">
        <v>0</v>
      </c>
      <c r="F77" s="17">
        <f t="shared" si="15"/>
        <v>0</v>
      </c>
      <c r="G77" s="16" t="s">
        <v>20</v>
      </c>
      <c r="H77" s="16" t="s">
        <v>147</v>
      </c>
      <c r="I77" s="16" t="s">
        <v>114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29</v>
      </c>
      <c r="D78" s="16" t="s">
        <v>30</v>
      </c>
      <c r="E78" s="36">
        <v>5</v>
      </c>
      <c r="F78" s="12">
        <f t="shared" si="15"/>
        <v>20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29</v>
      </c>
      <c r="D79" s="16" t="s">
        <v>30</v>
      </c>
      <c r="E79" s="36">
        <v>2</v>
      </c>
      <c r="F79" s="17">
        <f t="shared" si="15"/>
        <v>8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29</v>
      </c>
      <c r="D80" s="16" t="s">
        <v>30</v>
      </c>
      <c r="E80" s="36">
        <v>0</v>
      </c>
      <c r="F80" s="12">
        <f t="shared" si="15"/>
        <v>0</v>
      </c>
      <c r="G80" s="10" t="s">
        <v>20</v>
      </c>
      <c r="H80" s="10" t="s">
        <v>307</v>
      </c>
      <c r="I80" s="10" t="s">
        <v>235</v>
      </c>
      <c r="J80" s="13">
        <v>0.29166666666666702</v>
      </c>
      <c r="K80" s="13">
        <v>0.33333333333333298</v>
      </c>
      <c r="L80" s="70">
        <f t="shared" si="16"/>
        <v>4.1666666666665964E-2</v>
      </c>
      <c r="M80" s="11"/>
      <c r="N80" s="14"/>
    </row>
    <row r="81" spans="1:14" ht="15.75" customHeight="1">
      <c r="A81" s="105" t="s">
        <v>193</v>
      </c>
      <c r="B81" s="105"/>
      <c r="C81" s="105"/>
      <c r="D81" s="105"/>
      <c r="E81" s="19">
        <f>SUM(E69:E80)</f>
        <v>48</v>
      </c>
      <c r="F81" s="19">
        <f>SUM(F69:F80)</f>
        <v>192</v>
      </c>
      <c r="G81" s="18"/>
      <c r="H81" s="18"/>
      <c r="I81" s="18"/>
      <c r="J81" s="18"/>
      <c r="K81" s="18"/>
      <c r="L81" s="72">
        <f>IFERROR(SUM(L69:L80),"")</f>
        <v>0.18402777777777535</v>
      </c>
      <c r="M81" s="19" t="s">
        <v>192</v>
      </c>
      <c r="N81" s="20">
        <v>206440</v>
      </c>
    </row>
    <row r="82" spans="1:14" ht="18" customHeight="1">
      <c r="A82" s="98" t="s">
        <v>194</v>
      </c>
      <c r="B82" s="98"/>
      <c r="C82" s="98"/>
      <c r="D82" s="98"/>
      <c r="E82" s="22">
        <f>E68+E81</f>
        <v>48</v>
      </c>
      <c r="F82" s="22">
        <f>F68+F81</f>
        <v>192</v>
      </c>
      <c r="G82" s="21"/>
      <c r="H82" s="21"/>
      <c r="I82" s="21"/>
      <c r="J82" s="21"/>
      <c r="K82" s="21"/>
      <c r="L82" s="73">
        <f>IFERROR(L68+L81,"")</f>
        <v>0.68402777777777524</v>
      </c>
      <c r="M82" s="22" t="s">
        <v>195</v>
      </c>
      <c r="N82" s="23">
        <f>IFERROR(N68+N81,"")</f>
        <v>206440</v>
      </c>
    </row>
    <row r="83" spans="1:14" ht="15" customHeight="1">
      <c r="A83" s="59">
        <v>46177</v>
      </c>
      <c r="B83" s="15">
        <v>0.33333333333333298</v>
      </c>
      <c r="C83" s="16"/>
      <c r="D83" s="16"/>
      <c r="E83" s="11"/>
      <c r="F83" s="17" t="str">
        <f t="shared" ref="F83:F94" si="18">IF(E83="","",E83*4)</f>
        <v/>
      </c>
      <c r="G83" s="16"/>
      <c r="H83" s="16"/>
      <c r="I83" s="16"/>
      <c r="J83" s="13">
        <v>0.29166666666666702</v>
      </c>
      <c r="K83" s="13">
        <v>0.29097222222222202</v>
      </c>
      <c r="L83" s="71">
        <f t="shared" ref="L83:L94" si="19">IFERROR(IF(K83="","",IF(K83&gt;=J83,K83-J83,K83+1-J83)),"")</f>
        <v>0.999305555555555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0"/>
      <c r="D84" s="10"/>
      <c r="E84" s="11"/>
      <c r="F84" s="12" t="str">
        <f t="shared" si="18"/>
        <v/>
      </c>
      <c r="G84" s="10"/>
      <c r="H84" s="10"/>
      <c r="I84" s="10"/>
      <c r="J84" s="13"/>
      <c r="K84" s="13"/>
      <c r="L84" s="70" t="str">
        <f t="shared" si="19"/>
        <v/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/>
      <c r="D85" s="16"/>
      <c r="E85" s="11"/>
      <c r="F85" s="17" t="str">
        <f t="shared" si="18"/>
        <v/>
      </c>
      <c r="G85" s="16"/>
      <c r="H85" s="16"/>
      <c r="I85" s="16"/>
      <c r="J85" s="13"/>
      <c r="K85" s="13"/>
      <c r="L85" s="71" t="str">
        <f t="shared" si="19"/>
        <v/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0"/>
      <c r="D86" s="10"/>
      <c r="E86" s="11"/>
      <c r="F86" s="12" t="str">
        <f t="shared" si="18"/>
        <v/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/>
      <c r="D87" s="16"/>
      <c r="E87" s="11"/>
      <c r="F87" s="17" t="str">
        <f t="shared" si="18"/>
        <v/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0"/>
      <c r="D88" s="10"/>
      <c r="E88" s="11"/>
      <c r="F88" s="12" t="str">
        <f t="shared" si="18"/>
        <v/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/>
      <c r="D89" s="16"/>
      <c r="E89" s="11"/>
      <c r="F89" s="17" t="str">
        <f t="shared" si="18"/>
        <v/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0"/>
      <c r="D90" s="10"/>
      <c r="E90" s="11"/>
      <c r="F90" s="12" t="str">
        <f t="shared" si="18"/>
        <v/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/>
      <c r="D91" s="16"/>
      <c r="E91" s="11"/>
      <c r="F91" s="17" t="str">
        <f t="shared" si="18"/>
        <v/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0"/>
      <c r="D92" s="10"/>
      <c r="E92" s="11"/>
      <c r="F92" s="12" t="str">
        <f t="shared" si="18"/>
        <v/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/>
      <c r="D93" s="16"/>
      <c r="E93" s="11"/>
      <c r="F93" s="17" t="str">
        <f t="shared" si="18"/>
        <v/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0"/>
      <c r="D94" s="10"/>
      <c r="E94" s="11"/>
      <c r="F94" s="12" t="str">
        <f t="shared" si="18"/>
        <v/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105" t="s">
        <v>191</v>
      </c>
      <c r="B95" s="105"/>
      <c r="C95" s="105"/>
      <c r="D95" s="105"/>
      <c r="E95" s="19">
        <f>SUM(E83:E94)</f>
        <v>0</v>
      </c>
      <c r="F95" s="19">
        <f>SUM(F83:F94)</f>
        <v>0</v>
      </c>
      <c r="G95" s="18"/>
      <c r="H95" s="18"/>
      <c r="I95" s="18"/>
      <c r="J95" s="18"/>
      <c r="K95" s="18"/>
      <c r="L95" s="72">
        <f>IFERROR(SUM(L83:L94),"")</f>
        <v>0.999305555555555</v>
      </c>
      <c r="M95" s="19" t="s">
        <v>192</v>
      </c>
      <c r="N95" s="20"/>
    </row>
    <row r="96" spans="1:14" ht="15" customHeight="1">
      <c r="A96" s="58">
        <v>46177</v>
      </c>
      <c r="B96" s="9">
        <v>0.83333333333333304</v>
      </c>
      <c r="C96" s="10"/>
      <c r="D96" s="10"/>
      <c r="E96" s="11"/>
      <c r="F96" s="12" t="str">
        <f t="shared" ref="F96:F107" si="21">IF(E96="","",E96*4)</f>
        <v/>
      </c>
      <c r="G96" s="10"/>
      <c r="H96" s="10"/>
      <c r="I96" s="10"/>
      <c r="J96" s="13"/>
      <c r="K96" s="13"/>
      <c r="L96" s="70" t="str">
        <f t="shared" ref="L96:L107" si="22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6"/>
      <c r="D97" s="16"/>
      <c r="E97" s="11"/>
      <c r="F97" s="17" t="str">
        <f t="shared" si="21"/>
        <v/>
      </c>
      <c r="G97" s="16"/>
      <c r="H97" s="16"/>
      <c r="I97" s="16"/>
      <c r="J97" s="13"/>
      <c r="K97" s="13"/>
      <c r="L97" s="71" t="str">
        <f t="shared" si="22"/>
        <v/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/>
      <c r="D98" s="10"/>
      <c r="E98" s="11"/>
      <c r="F98" s="12" t="str">
        <f t="shared" si="21"/>
        <v/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6"/>
      <c r="D99" s="16"/>
      <c r="E99" s="11"/>
      <c r="F99" s="17" t="str">
        <f t="shared" si="21"/>
        <v/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/>
      <c r="D100" s="10"/>
      <c r="E100" s="11"/>
      <c r="F100" s="12" t="str">
        <f t="shared" si="21"/>
        <v/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6"/>
      <c r="D101" s="16"/>
      <c r="E101" s="11"/>
      <c r="F101" s="17" t="str">
        <f t="shared" si="21"/>
        <v/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/>
      <c r="D102" s="10"/>
      <c r="E102" s="11"/>
      <c r="F102" s="12" t="str">
        <f t="shared" si="21"/>
        <v/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6"/>
      <c r="D103" s="16"/>
      <c r="E103" s="11"/>
      <c r="F103" s="17" t="str">
        <f t="shared" si="21"/>
        <v/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/>
      <c r="D104" s="10"/>
      <c r="E104" s="11"/>
      <c r="F104" s="12" t="str">
        <f t="shared" si="21"/>
        <v/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6"/>
      <c r="D105" s="16"/>
      <c r="E105" s="11"/>
      <c r="F105" s="17" t="str">
        <f t="shared" si="21"/>
        <v/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/>
      <c r="D106" s="10"/>
      <c r="E106" s="11"/>
      <c r="F106" s="12" t="str">
        <f t="shared" si="21"/>
        <v/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6"/>
      <c r="D107" s="16"/>
      <c r="E107" s="11"/>
      <c r="F107" s="17" t="str">
        <f t="shared" si="21"/>
        <v/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105" t="s">
        <v>193</v>
      </c>
      <c r="B108" s="105"/>
      <c r="C108" s="105"/>
      <c r="D108" s="105"/>
      <c r="E108" s="19">
        <f>SUM(E96:E107)</f>
        <v>0</v>
      </c>
      <c r="F108" s="19">
        <f>SUM(F96:F107)</f>
        <v>0</v>
      </c>
      <c r="G108" s="18"/>
      <c r="H108" s="18"/>
      <c r="I108" s="18"/>
      <c r="J108" s="18"/>
      <c r="K108" s="18"/>
      <c r="L108" s="72">
        <f>IFERROR(SUM(L96:L107),"")</f>
        <v>0</v>
      </c>
      <c r="M108" s="19" t="s">
        <v>192</v>
      </c>
      <c r="N108" s="20"/>
    </row>
    <row r="109" spans="1:14" ht="18" customHeight="1">
      <c r="A109" s="98" t="s">
        <v>194</v>
      </c>
      <c r="B109" s="98"/>
      <c r="C109" s="98"/>
      <c r="D109" s="98"/>
      <c r="E109" s="22">
        <f>E95+E108</f>
        <v>0</v>
      </c>
      <c r="F109" s="22">
        <f>F95+F108</f>
        <v>0</v>
      </c>
      <c r="G109" s="21"/>
      <c r="H109" s="21"/>
      <c r="I109" s="21"/>
      <c r="J109" s="21"/>
      <c r="K109" s="21"/>
      <c r="L109" s="73">
        <f>IFERROR(L95+L108,"")</f>
        <v>0.999305555555555</v>
      </c>
      <c r="M109" s="22" t="s">
        <v>195</v>
      </c>
      <c r="N109" s="23">
        <f>IFERROR(N95+N108,"")</f>
        <v>0</v>
      </c>
    </row>
    <row r="110" spans="1:14" ht="15" customHeight="1">
      <c r="A110" s="58">
        <v>46178</v>
      </c>
      <c r="B110" s="9">
        <v>0.33333333333333298</v>
      </c>
      <c r="C110" s="10"/>
      <c r="D110" s="10"/>
      <c r="E110" s="11"/>
      <c r="F110" s="12" t="str">
        <f t="shared" ref="F110:F121" si="24">IF(E110="","",E110*4)</f>
        <v/>
      </c>
      <c r="G110" s="10"/>
      <c r="H110" s="10"/>
      <c r="I110" s="10"/>
      <c r="J110" s="13">
        <v>0.29166666666666702</v>
      </c>
      <c r="K110" s="13">
        <v>0.29097222222222202</v>
      </c>
      <c r="L110" s="70">
        <f t="shared" ref="L110:L121" si="25">IFERROR(IF(K110="","",IF(K110&gt;=J110,K110-J110,K110+1-J110)),"")</f>
        <v>0.999305555555555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6"/>
      <c r="D111" s="16"/>
      <c r="E111" s="11"/>
      <c r="F111" s="17" t="str">
        <f t="shared" si="24"/>
        <v/>
      </c>
      <c r="G111" s="16"/>
      <c r="H111" s="16"/>
      <c r="I111" s="16"/>
      <c r="J111" s="13"/>
      <c r="K111" s="13"/>
      <c r="L111" s="71" t="str">
        <f t="shared" si="25"/>
        <v/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/>
      <c r="D112" s="10"/>
      <c r="E112" s="11"/>
      <c r="F112" s="12" t="str">
        <f t="shared" si="24"/>
        <v/>
      </c>
      <c r="G112" s="10"/>
      <c r="H112" s="10"/>
      <c r="I112" s="10"/>
      <c r="J112" s="13"/>
      <c r="K112" s="13"/>
      <c r="L112" s="70" t="str">
        <f t="shared" si="25"/>
        <v/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6"/>
      <c r="D113" s="16"/>
      <c r="E113" s="11"/>
      <c r="F113" s="17" t="str">
        <f t="shared" si="24"/>
        <v/>
      </c>
      <c r="G113" s="16"/>
      <c r="H113" s="16"/>
      <c r="I113" s="16"/>
      <c r="J113" s="13"/>
      <c r="K113" s="13"/>
      <c r="L113" s="71" t="str">
        <f t="shared" si="25"/>
        <v/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/>
      <c r="D114" s="10"/>
      <c r="E114" s="11"/>
      <c r="F114" s="12" t="str">
        <f t="shared" si="24"/>
        <v/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6"/>
      <c r="D115" s="16"/>
      <c r="E115" s="11"/>
      <c r="F115" s="17" t="str">
        <f t="shared" si="24"/>
        <v/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/>
      <c r="D116" s="10"/>
      <c r="E116" s="11"/>
      <c r="F116" s="12" t="str">
        <f t="shared" si="24"/>
        <v/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6"/>
      <c r="D117" s="16"/>
      <c r="E117" s="11"/>
      <c r="F117" s="17" t="str">
        <f t="shared" si="24"/>
        <v/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/>
      <c r="D118" s="10"/>
      <c r="E118" s="11"/>
      <c r="F118" s="12" t="str">
        <f t="shared" si="24"/>
        <v/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6"/>
      <c r="D119" s="16"/>
      <c r="E119" s="11"/>
      <c r="F119" s="17" t="str">
        <f t="shared" si="24"/>
        <v/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/>
      <c r="D120" s="10"/>
      <c r="E120" s="11"/>
      <c r="F120" s="12" t="str">
        <f t="shared" si="24"/>
        <v/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6"/>
      <c r="D121" s="16"/>
      <c r="E121" s="11"/>
      <c r="F121" s="17" t="str">
        <f t="shared" si="24"/>
        <v/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105" t="s">
        <v>191</v>
      </c>
      <c r="B122" s="105"/>
      <c r="C122" s="105"/>
      <c r="D122" s="105"/>
      <c r="E122" s="19">
        <f>SUM(E110:E121)</f>
        <v>0</v>
      </c>
      <c r="F122" s="19">
        <f>SUM(F110:F121)</f>
        <v>0</v>
      </c>
      <c r="G122" s="18"/>
      <c r="H122" s="18"/>
      <c r="I122" s="18"/>
      <c r="J122" s="18"/>
      <c r="K122" s="18"/>
      <c r="L122" s="72">
        <f>IFERROR(SUM(L110:L121),"")</f>
        <v>0.999305555555555</v>
      </c>
      <c r="M122" s="19" t="s">
        <v>192</v>
      </c>
      <c r="N122" s="20"/>
    </row>
    <row r="123" spans="1:14" ht="15" customHeight="1">
      <c r="A123" s="59">
        <v>46178</v>
      </c>
      <c r="B123" s="15">
        <v>0.83333333333333304</v>
      </c>
      <c r="C123" s="16"/>
      <c r="D123" s="16"/>
      <c r="E123" s="11"/>
      <c r="F123" s="17" t="str">
        <f t="shared" ref="F123:F134" si="27">IF(E123="","",E123*4)</f>
        <v/>
      </c>
      <c r="G123" s="16"/>
      <c r="H123" s="16"/>
      <c r="I123" s="16"/>
      <c r="J123" s="13"/>
      <c r="K123" s="13"/>
      <c r="L123" s="71" t="str">
        <f t="shared" ref="L123:L134" si="28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0"/>
      <c r="D124" s="10"/>
      <c r="E124" s="11"/>
      <c r="F124" s="12" t="str">
        <f t="shared" si="27"/>
        <v/>
      </c>
      <c r="G124" s="10"/>
      <c r="H124" s="10"/>
      <c r="I124" s="10"/>
      <c r="J124" s="13"/>
      <c r="K124" s="13"/>
      <c r="L124" s="70" t="str">
        <f t="shared" si="28"/>
        <v/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/>
      <c r="D125" s="16"/>
      <c r="E125" s="11"/>
      <c r="F125" s="17" t="str">
        <f t="shared" si="27"/>
        <v/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0"/>
      <c r="D126" s="10"/>
      <c r="E126" s="11"/>
      <c r="F126" s="12" t="str">
        <f t="shared" si="27"/>
        <v/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/>
      <c r="D127" s="16"/>
      <c r="E127" s="11"/>
      <c r="F127" s="17" t="str">
        <f t="shared" si="27"/>
        <v/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0"/>
      <c r="D128" s="10"/>
      <c r="E128" s="11"/>
      <c r="F128" s="12" t="str">
        <f t="shared" si="27"/>
        <v/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/>
      <c r="D129" s="16"/>
      <c r="E129" s="11"/>
      <c r="F129" s="17" t="str">
        <f t="shared" si="27"/>
        <v/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0"/>
      <c r="D130" s="10"/>
      <c r="E130" s="11"/>
      <c r="F130" s="12" t="str">
        <f t="shared" si="27"/>
        <v/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/>
      <c r="D131" s="16"/>
      <c r="E131" s="11"/>
      <c r="F131" s="17" t="str">
        <f t="shared" si="27"/>
        <v/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0"/>
      <c r="D132" s="10"/>
      <c r="E132" s="11"/>
      <c r="F132" s="12" t="str">
        <f t="shared" si="27"/>
        <v/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/>
      <c r="D133" s="16"/>
      <c r="E133" s="11"/>
      <c r="F133" s="17" t="str">
        <f t="shared" si="27"/>
        <v/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0"/>
      <c r="D134" s="10"/>
      <c r="E134" s="11"/>
      <c r="F134" s="12" t="str">
        <f t="shared" si="27"/>
        <v/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105" t="s">
        <v>193</v>
      </c>
      <c r="B135" s="105"/>
      <c r="C135" s="105"/>
      <c r="D135" s="105"/>
      <c r="E135" s="19">
        <f>SUM(E123:E134)</f>
        <v>0</v>
      </c>
      <c r="F135" s="19">
        <f>SUM(F123:F134)</f>
        <v>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192</v>
      </c>
      <c r="N135" s="20"/>
    </row>
    <row r="136" spans="1:14" ht="18" customHeight="1">
      <c r="A136" s="98" t="s">
        <v>194</v>
      </c>
      <c r="B136" s="98"/>
      <c r="C136" s="98"/>
      <c r="D136" s="98"/>
      <c r="E136" s="22">
        <f>E122+E135</f>
        <v>0</v>
      </c>
      <c r="F136" s="22">
        <f>F122+F135</f>
        <v>0</v>
      </c>
      <c r="G136" s="21"/>
      <c r="H136" s="21"/>
      <c r="I136" s="21"/>
      <c r="J136" s="21"/>
      <c r="K136" s="21"/>
      <c r="L136" s="73">
        <f>IFERROR(L122+L135,"")</f>
        <v>0.999305555555555</v>
      </c>
      <c r="M136" s="22" t="s">
        <v>195</v>
      </c>
      <c r="N136" s="23">
        <f>IFERROR(N122+N135,"")</f>
        <v>0</v>
      </c>
    </row>
    <row r="137" spans="1:14" ht="15" customHeight="1">
      <c r="A137" s="59">
        <v>46179</v>
      </c>
      <c r="B137" s="15">
        <v>0.33333333333333298</v>
      </c>
      <c r="C137" s="16"/>
      <c r="D137" s="16"/>
      <c r="E137" s="11">
        <v>0</v>
      </c>
      <c r="F137" s="17">
        <f t="shared" ref="F137:F148" si="30">IF(E137="","",E137*4)</f>
        <v>0</v>
      </c>
      <c r="G137" s="16"/>
      <c r="H137" s="16"/>
      <c r="I137" s="16"/>
      <c r="J137" s="13">
        <v>0.29166666666666702</v>
      </c>
      <c r="K137" s="13">
        <v>0.29097222222222202</v>
      </c>
      <c r="L137" s="71">
        <f t="shared" ref="L137:L148" si="31">IFERROR(IF(K137="","",IF(K137&gt;=J137,K137-J137,K137+1-J137)),"")</f>
        <v>0.999305555555555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0"/>
      <c r="D138" s="10"/>
      <c r="E138" s="11">
        <v>0</v>
      </c>
      <c r="F138" s="12">
        <f t="shared" si="30"/>
        <v>0</v>
      </c>
      <c r="G138" s="10"/>
      <c r="H138" s="10"/>
      <c r="I138" s="10"/>
      <c r="J138" s="13"/>
      <c r="K138" s="13"/>
      <c r="L138" s="70" t="str">
        <f t="shared" si="31"/>
        <v/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/>
      <c r="D139" s="16"/>
      <c r="E139" s="11">
        <v>0</v>
      </c>
      <c r="F139" s="17">
        <f t="shared" si="30"/>
        <v>0</v>
      </c>
      <c r="G139" s="16"/>
      <c r="H139" s="16"/>
      <c r="I139" s="16"/>
      <c r="J139" s="13"/>
      <c r="K139" s="13"/>
      <c r="L139" s="71" t="str">
        <f t="shared" si="31"/>
        <v/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0"/>
      <c r="D140" s="10"/>
      <c r="E140" s="11">
        <v>0</v>
      </c>
      <c r="F140" s="12">
        <f t="shared" si="30"/>
        <v>0</v>
      </c>
      <c r="G140" s="10"/>
      <c r="H140" s="10"/>
      <c r="I140" s="10"/>
      <c r="J140" s="13"/>
      <c r="K140" s="13"/>
      <c r="L140" s="70" t="str">
        <f t="shared" si="31"/>
        <v/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/>
      <c r="D141" s="16"/>
      <c r="E141" s="11">
        <v>0</v>
      </c>
      <c r="F141" s="17">
        <f t="shared" si="30"/>
        <v>0</v>
      </c>
      <c r="G141" s="16"/>
      <c r="H141" s="16"/>
      <c r="I141" s="16"/>
      <c r="J141" s="13"/>
      <c r="K141" s="13"/>
      <c r="L141" s="71" t="str">
        <f t="shared" si="31"/>
        <v/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0"/>
      <c r="D142" s="10"/>
      <c r="E142" s="11">
        <v>0</v>
      </c>
      <c r="F142" s="12">
        <f t="shared" si="30"/>
        <v>0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/>
      <c r="D143" s="16"/>
      <c r="E143" s="11">
        <v>0</v>
      </c>
      <c r="F143" s="17">
        <f t="shared" si="30"/>
        <v>0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0"/>
      <c r="D144" s="10"/>
      <c r="E144" s="11">
        <v>0</v>
      </c>
      <c r="F144" s="12">
        <f t="shared" si="30"/>
        <v>0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/>
      <c r="D145" s="16"/>
      <c r="E145" s="11">
        <v>0</v>
      </c>
      <c r="F145" s="17">
        <f t="shared" si="30"/>
        <v>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0"/>
      <c r="D146" s="10"/>
      <c r="E146" s="11">
        <v>0</v>
      </c>
      <c r="F146" s="12">
        <f t="shared" si="30"/>
        <v>0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/>
      <c r="D147" s="16"/>
      <c r="E147" s="11">
        <v>0</v>
      </c>
      <c r="F147" s="17">
        <f t="shared" si="30"/>
        <v>0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0"/>
      <c r="D148" s="10"/>
      <c r="E148" s="11">
        <v>0</v>
      </c>
      <c r="F148" s="12">
        <f t="shared" si="30"/>
        <v>0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105" t="s">
        <v>191</v>
      </c>
      <c r="B149" s="105"/>
      <c r="C149" s="105"/>
      <c r="D149" s="105"/>
      <c r="E149" s="19">
        <f>SUM(E137:E148)</f>
        <v>0</v>
      </c>
      <c r="F149" s="19">
        <f>SUM(F137:F148)</f>
        <v>0</v>
      </c>
      <c r="G149" s="18"/>
      <c r="H149" s="18"/>
      <c r="I149" s="18"/>
      <c r="J149" s="18"/>
      <c r="K149" s="18"/>
      <c r="L149" s="72">
        <f>IFERROR(SUM(L137:L148),"")</f>
        <v>0.999305555555555</v>
      </c>
      <c r="M149" s="19" t="s">
        <v>192</v>
      </c>
      <c r="N149" s="20"/>
    </row>
    <row r="150" spans="1:14" ht="15" customHeight="1">
      <c r="A150" s="58">
        <v>46179</v>
      </c>
      <c r="B150" s="9">
        <v>0.83333333333333304</v>
      </c>
      <c r="C150" s="10"/>
      <c r="D150" s="10"/>
      <c r="E150" s="11">
        <v>0</v>
      </c>
      <c r="F150" s="12">
        <f t="shared" ref="F150:F161" si="33">IF(E150="","",E150*4)</f>
        <v>0</v>
      </c>
      <c r="G150" s="10"/>
      <c r="H150" s="10"/>
      <c r="I150" s="10"/>
      <c r="J150" s="13"/>
      <c r="K150" s="13"/>
      <c r="L150" s="70" t="str">
        <f t="shared" ref="L150:L161" si="34">IFERROR(IF(K150="","",IF(K150&gt;=J150,K150-J150,K150+1-J150)),"")</f>
        <v/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6"/>
      <c r="D151" s="16"/>
      <c r="E151" s="11">
        <v>0</v>
      </c>
      <c r="F151" s="17">
        <f t="shared" si="33"/>
        <v>0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/>
      <c r="D152" s="10"/>
      <c r="E152" s="11">
        <v>0</v>
      </c>
      <c r="F152" s="12">
        <f t="shared" si="33"/>
        <v>0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6"/>
      <c r="D153" s="16"/>
      <c r="E153" s="11">
        <v>0</v>
      </c>
      <c r="F153" s="17">
        <f t="shared" si="33"/>
        <v>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/>
      <c r="D154" s="10"/>
      <c r="E154" s="11">
        <v>0</v>
      </c>
      <c r="F154" s="12">
        <f t="shared" si="33"/>
        <v>0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6"/>
      <c r="D155" s="16"/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/>
      <c r="D156" s="10"/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6"/>
      <c r="D157" s="16"/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/>
      <c r="D158" s="10"/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6"/>
      <c r="D159" s="16"/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/>
      <c r="D160" s="10"/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6"/>
      <c r="D161" s="16"/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105" t="s">
        <v>193</v>
      </c>
      <c r="B162" s="105"/>
      <c r="C162" s="105"/>
      <c r="D162" s="105"/>
      <c r="E162" s="19">
        <f>SUM(E150:E161)</f>
        <v>0</v>
      </c>
      <c r="F162" s="19">
        <f>SUM(F150:F161)</f>
        <v>0</v>
      </c>
      <c r="G162" s="18"/>
      <c r="H162" s="18"/>
      <c r="I162" s="18"/>
      <c r="J162" s="18"/>
      <c r="K162" s="18"/>
      <c r="L162" s="72">
        <f>IFERROR(SUM(L150:L161),"")</f>
        <v>0</v>
      </c>
      <c r="M162" s="19" t="s">
        <v>192</v>
      </c>
      <c r="N162" s="20">
        <v>0</v>
      </c>
    </row>
    <row r="163" spans="1:14" ht="18" customHeight="1">
      <c r="A163" s="98" t="s">
        <v>194</v>
      </c>
      <c r="B163" s="98"/>
      <c r="C163" s="98"/>
      <c r="D163" s="98"/>
      <c r="E163" s="22">
        <f>E149+E162</f>
        <v>0</v>
      </c>
      <c r="F163" s="22">
        <f>F149+F162</f>
        <v>0</v>
      </c>
      <c r="G163" s="21"/>
      <c r="H163" s="21"/>
      <c r="I163" s="21"/>
      <c r="J163" s="21"/>
      <c r="K163" s="21"/>
      <c r="L163" s="73">
        <f>IFERROR(L149+L162,"")</f>
        <v>0.999305555555555</v>
      </c>
      <c r="M163" s="22" t="s">
        <v>195</v>
      </c>
      <c r="N163" s="23">
        <f>IFERROR(N149+N162,"")</f>
        <v>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18</v>
      </c>
      <c r="H164" s="10" t="s">
        <v>69</v>
      </c>
      <c r="I164" s="10" t="s">
        <v>49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18</v>
      </c>
      <c r="H165" s="16" t="s">
        <v>69</v>
      </c>
      <c r="I165" s="16" t="s">
        <v>49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18</v>
      </c>
      <c r="H166" s="10" t="s">
        <v>69</v>
      </c>
      <c r="I166" s="10" t="s">
        <v>49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18</v>
      </c>
      <c r="H167" s="16" t="s">
        <v>69</v>
      </c>
      <c r="I167" s="16" t="s">
        <v>49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18</v>
      </c>
      <c r="H168" s="10" t="s">
        <v>69</v>
      </c>
      <c r="I168" s="10" t="s">
        <v>49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18</v>
      </c>
      <c r="H169" s="16" t="s">
        <v>69</v>
      </c>
      <c r="I169" s="16" t="s">
        <v>49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18</v>
      </c>
      <c r="H170" s="10" t="s">
        <v>69</v>
      </c>
      <c r="I170" s="10" t="s">
        <v>49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18</v>
      </c>
      <c r="H171" s="16" t="s">
        <v>69</v>
      </c>
      <c r="I171" s="16" t="s">
        <v>49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18</v>
      </c>
      <c r="H172" s="10" t="s">
        <v>69</v>
      </c>
      <c r="I172" s="10" t="s">
        <v>49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18</v>
      </c>
      <c r="H173" s="16" t="s">
        <v>69</v>
      </c>
      <c r="I173" s="16" t="s">
        <v>49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18</v>
      </c>
      <c r="H174" s="10" t="s">
        <v>69</v>
      </c>
      <c r="I174" s="10" t="s">
        <v>49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18</v>
      </c>
      <c r="H175" s="16" t="s">
        <v>69</v>
      </c>
      <c r="I175" s="16" t="s">
        <v>49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105" t="s">
        <v>191</v>
      </c>
      <c r="B176" s="105"/>
      <c r="C176" s="105"/>
      <c r="D176" s="105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0.49999999999999994</v>
      </c>
      <c r="M176" s="19" t="s">
        <v>192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18</v>
      </c>
      <c r="H177" s="16" t="s">
        <v>69</v>
      </c>
      <c r="I177" s="16" t="s">
        <v>49</v>
      </c>
      <c r="J177" s="13">
        <v>0.79166666666666696</v>
      </c>
      <c r="K177" s="13">
        <v>0.29166666666666702</v>
      </c>
      <c r="L177" s="71">
        <f t="shared" ref="L177:L188" si="40">IFERROR(IF(K177="","",IF(K177&gt;=J177,K177-J177,K177+1-J177)),"")</f>
        <v>0.5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 t="s">
        <v>18</v>
      </c>
      <c r="H178" s="10" t="s">
        <v>69</v>
      </c>
      <c r="I178" s="10" t="s">
        <v>49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 t="s">
        <v>18</v>
      </c>
      <c r="H179" s="16" t="s">
        <v>69</v>
      </c>
      <c r="I179" s="16" t="s">
        <v>49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 t="s">
        <v>18</v>
      </c>
      <c r="H180" s="10" t="s">
        <v>69</v>
      </c>
      <c r="I180" s="10" t="s">
        <v>49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69</v>
      </c>
      <c r="I181" s="16" t="s">
        <v>49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69</v>
      </c>
      <c r="I182" s="10" t="s">
        <v>49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69</v>
      </c>
      <c r="I183" s="16" t="s">
        <v>49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69</v>
      </c>
      <c r="I184" s="10" t="s">
        <v>49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69</v>
      </c>
      <c r="I185" s="16" t="s">
        <v>49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69</v>
      </c>
      <c r="I186" s="10" t="s">
        <v>49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69</v>
      </c>
      <c r="I187" s="16" t="s">
        <v>49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69</v>
      </c>
      <c r="I188" s="10" t="s">
        <v>49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105" t="s">
        <v>193</v>
      </c>
      <c r="B189" s="105"/>
      <c r="C189" s="105"/>
      <c r="D189" s="105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0.5</v>
      </c>
      <c r="M189" s="19" t="s">
        <v>192</v>
      </c>
      <c r="N189" s="20">
        <v>0</v>
      </c>
    </row>
    <row r="190" spans="1:14" ht="18" customHeight="1">
      <c r="A190" s="98" t="s">
        <v>194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195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16"/>
      <c r="E191" s="11">
        <v>0</v>
      </c>
      <c r="F191" s="17">
        <f t="shared" ref="F191:F202" si="42">IF(E191="","",E191*4)</f>
        <v>0</v>
      </c>
      <c r="G191" s="16"/>
      <c r="H191" s="16"/>
      <c r="I191" s="16"/>
      <c r="J191" s="13"/>
      <c r="K191" s="13"/>
      <c r="L191" s="71" t="str">
        <f t="shared" ref="L191:L202" si="43">IFERROR(IF(K191="","",IF(K191&gt;=J191,K191-J191,K191+1-J191)),"")</f>
        <v/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10"/>
      <c r="E192" s="11">
        <v>0</v>
      </c>
      <c r="F192" s="12">
        <f t="shared" si="42"/>
        <v>0</v>
      </c>
      <c r="G192" s="10"/>
      <c r="H192" s="10"/>
      <c r="I192" s="10"/>
      <c r="J192" s="13"/>
      <c r="K192" s="13"/>
      <c r="L192" s="70" t="str">
        <f t="shared" si="43"/>
        <v/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16"/>
      <c r="E193" s="11">
        <v>0</v>
      </c>
      <c r="F193" s="17">
        <f t="shared" si="42"/>
        <v>0</v>
      </c>
      <c r="G193" s="16"/>
      <c r="H193" s="16"/>
      <c r="I193" s="16"/>
      <c r="J193" s="13"/>
      <c r="K193" s="13"/>
      <c r="L193" s="71" t="str">
        <f t="shared" si="43"/>
        <v/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10"/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16"/>
      <c r="E195" s="11">
        <v>0</v>
      </c>
      <c r="F195" s="17">
        <f t="shared" si="42"/>
        <v>0</v>
      </c>
      <c r="G195" s="16"/>
      <c r="H195" s="16"/>
      <c r="I195" s="16"/>
      <c r="J195" s="13"/>
      <c r="K195" s="13"/>
      <c r="L195" s="71" t="str">
        <f t="shared" si="43"/>
        <v/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10"/>
      <c r="E196" s="11">
        <v>0</v>
      </c>
      <c r="F196" s="12">
        <f t="shared" si="42"/>
        <v>0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16"/>
      <c r="E197" s="11">
        <v>0</v>
      </c>
      <c r="F197" s="17">
        <f t="shared" si="42"/>
        <v>0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10"/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16"/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10"/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16"/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10"/>
      <c r="E202" s="11">
        <v>0</v>
      </c>
      <c r="F202" s="12">
        <f t="shared" si="42"/>
        <v>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105" t="s">
        <v>191</v>
      </c>
      <c r="B203" s="105"/>
      <c r="C203" s="105"/>
      <c r="D203" s="105"/>
      <c r="E203" s="19">
        <f>SUM(E191:E202)</f>
        <v>0</v>
      </c>
      <c r="F203" s="19">
        <f>SUM(F191:F202)</f>
        <v>0</v>
      </c>
      <c r="G203" s="18"/>
      <c r="H203" s="18"/>
      <c r="I203" s="18"/>
      <c r="J203" s="18"/>
      <c r="K203" s="18"/>
      <c r="L203" s="72">
        <f>IFERROR(SUM(L191:L202),"")</f>
        <v>0</v>
      </c>
      <c r="M203" s="19" t="s">
        <v>192</v>
      </c>
      <c r="N203" s="20"/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/>
      <c r="E204" s="11">
        <v>0</v>
      </c>
      <c r="F204" s="12">
        <f t="shared" ref="F204:F215" si="45">IF(E204="","",E204*4)</f>
        <v>0</v>
      </c>
      <c r="G204" s="10"/>
      <c r="H204" s="10"/>
      <c r="I204" s="10"/>
      <c r="J204" s="13"/>
      <c r="K204" s="13"/>
      <c r="L204" s="70" t="str">
        <f t="shared" ref="L204:L215" si="46">IFERROR(IF(K204="","",IF(K204&gt;=J204,K204-J204,K204+1-J204)),"")</f>
        <v/>
      </c>
      <c r="M204" s="11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6"/>
      <c r="E205" s="11">
        <v>0</v>
      </c>
      <c r="F205" s="17">
        <f t="shared" si="45"/>
        <v>0</v>
      </c>
      <c r="G205" s="16"/>
      <c r="H205" s="16"/>
      <c r="I205" s="16"/>
      <c r="J205" s="13"/>
      <c r="K205" s="13"/>
      <c r="L205" s="71" t="str">
        <f t="shared" si="46"/>
        <v/>
      </c>
      <c r="M205" s="11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/>
      <c r="E206" s="11">
        <v>0</v>
      </c>
      <c r="F206" s="12">
        <f t="shared" si="45"/>
        <v>0</v>
      </c>
      <c r="G206" s="10"/>
      <c r="H206" s="10"/>
      <c r="I206" s="10"/>
      <c r="J206" s="13"/>
      <c r="K206" s="13"/>
      <c r="L206" s="70" t="str">
        <f t="shared" si="46"/>
        <v/>
      </c>
      <c r="M206" s="11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6"/>
      <c r="E207" s="11">
        <v>0</v>
      </c>
      <c r="F207" s="17">
        <f t="shared" si="45"/>
        <v>0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/>
      <c r="E208" s="11">
        <v>0</v>
      </c>
      <c r="F208" s="12">
        <f t="shared" si="45"/>
        <v>0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6"/>
      <c r="E209" s="11">
        <v>0</v>
      </c>
      <c r="F209" s="17">
        <f t="shared" si="45"/>
        <v>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/>
      <c r="E210" s="11">
        <v>0</v>
      </c>
      <c r="F210" s="12">
        <f t="shared" si="45"/>
        <v>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6"/>
      <c r="E211" s="11">
        <v>0</v>
      </c>
      <c r="F211" s="17">
        <f t="shared" si="45"/>
        <v>0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/>
      <c r="E212" s="11">
        <v>0</v>
      </c>
      <c r="F212" s="12">
        <f t="shared" si="45"/>
        <v>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6"/>
      <c r="E213" s="11">
        <v>0</v>
      </c>
      <c r="F213" s="17">
        <f t="shared" si="45"/>
        <v>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/>
      <c r="E214" s="11">
        <v>0</v>
      </c>
      <c r="F214" s="12">
        <f t="shared" si="45"/>
        <v>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/>
      <c r="E215" s="11">
        <v>0</v>
      </c>
      <c r="F215" s="17">
        <f t="shared" si="45"/>
        <v>0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30"/>
    </row>
    <row r="216" spans="1:14" ht="15.75" customHeight="1">
      <c r="A216" s="105" t="s">
        <v>193</v>
      </c>
      <c r="B216" s="105"/>
      <c r="C216" s="105"/>
      <c r="D216" s="105"/>
      <c r="E216" s="19">
        <f>SUM(E204:E215)</f>
        <v>0</v>
      </c>
      <c r="F216" s="19">
        <f>SUM(F204:F215)</f>
        <v>0</v>
      </c>
      <c r="G216" s="18"/>
      <c r="H216" s="18"/>
      <c r="I216" s="18"/>
      <c r="J216" s="18"/>
      <c r="K216" s="18"/>
      <c r="L216" s="72">
        <f>IFERROR(SUM(L204:L215),"")</f>
        <v>0</v>
      </c>
      <c r="M216" s="19" t="s">
        <v>192</v>
      </c>
      <c r="N216" s="20"/>
    </row>
    <row r="217" spans="1:14" ht="18" customHeight="1">
      <c r="A217" s="98" t="s">
        <v>194</v>
      </c>
      <c r="B217" s="98"/>
      <c r="C217" s="98"/>
      <c r="D217" s="98"/>
      <c r="E217" s="22">
        <f>E203+E216</f>
        <v>0</v>
      </c>
      <c r="F217" s="22">
        <f>F203+F216</f>
        <v>0</v>
      </c>
      <c r="G217" s="21"/>
      <c r="H217" s="21"/>
      <c r="I217" s="21"/>
      <c r="J217" s="21"/>
      <c r="K217" s="21"/>
      <c r="L217" s="73">
        <f>IFERROR(L203+L216,"")</f>
        <v>0</v>
      </c>
      <c r="M217" s="22" t="s">
        <v>195</v>
      </c>
      <c r="N217" s="31">
        <f>IFERROR(N203+N216,"")</f>
        <v>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0</v>
      </c>
      <c r="F218" s="12">
        <f t="shared" ref="F218:F229" si="48">IF(E218="","",E218*4)</f>
        <v>0</v>
      </c>
      <c r="G218" s="10" t="s">
        <v>20</v>
      </c>
      <c r="H218" s="10" t="s">
        <v>135</v>
      </c>
      <c r="I218" s="10" t="s">
        <v>142</v>
      </c>
      <c r="J218" s="13">
        <v>0.29166666666666702</v>
      </c>
      <c r="K218" s="13">
        <v>0.54166666666666696</v>
      </c>
      <c r="L218" s="70">
        <f t="shared" ref="L218:L229" si="49">IFERROR(IF(K218="","",IF(K218&gt;=J218,K218-J218,K218+1-J218)),"")</f>
        <v>0.24999999999999994</v>
      </c>
      <c r="M218" s="11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30</v>
      </c>
      <c r="E219" s="11">
        <v>0</v>
      </c>
      <c r="F219" s="17">
        <f t="shared" si="48"/>
        <v>0</v>
      </c>
      <c r="G219" s="16"/>
      <c r="H219" s="16"/>
      <c r="I219" s="16"/>
      <c r="J219" s="13"/>
      <c r="K219" s="13"/>
      <c r="L219" s="71" t="str">
        <f t="shared" si="49"/>
        <v/>
      </c>
      <c r="M219" s="11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30</v>
      </c>
      <c r="E220" s="11">
        <v>0</v>
      </c>
      <c r="F220" s="12">
        <f t="shared" si="48"/>
        <v>0</v>
      </c>
      <c r="G220" s="10" t="s">
        <v>20</v>
      </c>
      <c r="H220" s="10" t="s">
        <v>47</v>
      </c>
      <c r="I220" s="10" t="s">
        <v>51</v>
      </c>
      <c r="J220" s="13">
        <v>0.5625</v>
      </c>
      <c r="K220" s="13">
        <v>0.79166666666666696</v>
      </c>
      <c r="L220" s="70">
        <f t="shared" si="49"/>
        <v>0.22916666666666696</v>
      </c>
      <c r="M220" s="11"/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30</v>
      </c>
      <c r="E221" s="11">
        <v>0</v>
      </c>
      <c r="F221" s="17">
        <f t="shared" si="48"/>
        <v>0</v>
      </c>
      <c r="G221" s="16"/>
      <c r="H221" s="16"/>
      <c r="I221" s="16"/>
      <c r="J221" s="13"/>
      <c r="K221" s="13"/>
      <c r="L221" s="71" t="str">
        <f t="shared" si="49"/>
        <v/>
      </c>
      <c r="M221" s="11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30</v>
      </c>
      <c r="E222" s="11">
        <v>0</v>
      </c>
      <c r="F222" s="12">
        <f t="shared" si="48"/>
        <v>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30</v>
      </c>
      <c r="E223" s="11">
        <v>0</v>
      </c>
      <c r="F223" s="17">
        <f t="shared" si="48"/>
        <v>0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30</v>
      </c>
      <c r="E224" s="11">
        <v>14</v>
      </c>
      <c r="F224" s="12">
        <f t="shared" si="48"/>
        <v>56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30</v>
      </c>
      <c r="E225" s="11">
        <v>0</v>
      </c>
      <c r="F225" s="17">
        <f t="shared" si="48"/>
        <v>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30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30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30</v>
      </c>
      <c r="E228" s="11">
        <v>0</v>
      </c>
      <c r="F228" s="12">
        <f t="shared" si="48"/>
        <v>0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30</v>
      </c>
      <c r="E229" s="11">
        <v>0</v>
      </c>
      <c r="F229" s="17">
        <f t="shared" si="48"/>
        <v>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30"/>
    </row>
    <row r="230" spans="1:14" ht="15.75" customHeight="1">
      <c r="A230" s="105" t="s">
        <v>191</v>
      </c>
      <c r="B230" s="105"/>
      <c r="C230" s="105"/>
      <c r="D230" s="105"/>
      <c r="E230" s="19">
        <f>SUM(E218:E229)</f>
        <v>14</v>
      </c>
      <c r="F230" s="19">
        <f>SUM(F218:F229)</f>
        <v>56</v>
      </c>
      <c r="G230" s="18"/>
      <c r="H230" s="18"/>
      <c r="I230" s="18"/>
      <c r="J230" s="18"/>
      <c r="K230" s="18"/>
      <c r="L230" s="72">
        <f>IFERROR(SUM(L218:L229),"")</f>
        <v>0.47916666666666691</v>
      </c>
      <c r="M230" s="19" t="s">
        <v>192</v>
      </c>
      <c r="N230" s="20">
        <v>101560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30</v>
      </c>
      <c r="E231" s="11">
        <v>2</v>
      </c>
      <c r="F231" s="17">
        <f t="shared" ref="F231:F242" si="51">IF(E231="","",E231*4)</f>
        <v>8</v>
      </c>
      <c r="G231" s="16" t="s">
        <v>18</v>
      </c>
      <c r="H231" s="16" t="s">
        <v>149</v>
      </c>
      <c r="I231" s="16" t="s">
        <v>122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11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30</v>
      </c>
      <c r="E232" s="11">
        <v>3</v>
      </c>
      <c r="F232" s="12">
        <f t="shared" si="51"/>
        <v>12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30</v>
      </c>
      <c r="E233" s="11">
        <v>7</v>
      </c>
      <c r="F233" s="17">
        <f t="shared" si="51"/>
        <v>28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30</v>
      </c>
      <c r="E234" s="11">
        <v>4</v>
      </c>
      <c r="F234" s="12">
        <f t="shared" si="51"/>
        <v>16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30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30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11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30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30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30</v>
      </c>
      <c r="E239" s="11">
        <v>6</v>
      </c>
      <c r="F239" s="17">
        <f t="shared" si="51"/>
        <v>24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30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30</v>
      </c>
      <c r="E241" s="11">
        <v>4</v>
      </c>
      <c r="F241" s="17">
        <f t="shared" si="51"/>
        <v>16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30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30"/>
    </row>
    <row r="243" spans="1:14" ht="15.75" customHeight="1">
      <c r="A243" s="105" t="s">
        <v>193</v>
      </c>
      <c r="B243" s="105"/>
      <c r="C243" s="105"/>
      <c r="D243" s="105"/>
      <c r="E243" s="19">
        <f>SUM(E231:E242)</f>
        <v>45</v>
      </c>
      <c r="F243" s="19">
        <f>SUM(F231:F242)</f>
        <v>180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192</v>
      </c>
      <c r="N243" s="20">
        <v>180000</v>
      </c>
    </row>
    <row r="244" spans="1:14" ht="18" customHeight="1">
      <c r="A244" s="98" t="s">
        <v>194</v>
      </c>
      <c r="B244" s="98"/>
      <c r="C244" s="98"/>
      <c r="D244" s="98"/>
      <c r="E244" s="22">
        <f>E230+E243</f>
        <v>59</v>
      </c>
      <c r="F244" s="22">
        <f>F230+F243</f>
        <v>236</v>
      </c>
      <c r="G244" s="21"/>
      <c r="H244" s="21"/>
      <c r="I244" s="21"/>
      <c r="J244" s="21"/>
      <c r="K244" s="21"/>
      <c r="L244" s="73">
        <f>IFERROR(L230+L243,"")</f>
        <v>0.56250000000000022</v>
      </c>
      <c r="M244" s="22" t="s">
        <v>195</v>
      </c>
      <c r="N244" s="31">
        <f>IFERROR(N230+N243,"")</f>
        <v>281560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5</v>
      </c>
      <c r="F245" s="17">
        <f t="shared" ref="F245:F256" si="54">IF(E245="","",E245*4)</f>
        <v>20</v>
      </c>
      <c r="G245" s="16" t="s">
        <v>18</v>
      </c>
      <c r="H245" s="16" t="s">
        <v>135</v>
      </c>
      <c r="I245" s="16" t="s">
        <v>109</v>
      </c>
      <c r="J245" s="13">
        <v>0.31944444444444398</v>
      </c>
      <c r="K245" s="13">
        <v>0.41666666666666702</v>
      </c>
      <c r="L245" s="71">
        <f t="shared" ref="L245:L256" si="55">IFERROR(IF(K245="","",IF(K245&gt;=J245,K245-J245,K245+1-J245)),"")</f>
        <v>9.7222222222223043E-2</v>
      </c>
      <c r="M245" s="11" t="s">
        <v>308</v>
      </c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0</v>
      </c>
      <c r="F246" s="12">
        <f t="shared" si="54"/>
        <v>0</v>
      </c>
      <c r="G246" s="16" t="s">
        <v>18</v>
      </c>
      <c r="H246" s="10" t="s">
        <v>135</v>
      </c>
      <c r="I246" s="16" t="s">
        <v>79</v>
      </c>
      <c r="J246" s="13">
        <v>0.47916666666666669</v>
      </c>
      <c r="K246" s="13">
        <v>0.58333333333333337</v>
      </c>
      <c r="L246" s="70">
        <f t="shared" si="55"/>
        <v>0.10416666666666669</v>
      </c>
      <c r="M246" s="11" t="s">
        <v>308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1</v>
      </c>
      <c r="F248" s="12">
        <f t="shared" si="54"/>
        <v>4</v>
      </c>
      <c r="G248" s="10" t="s">
        <v>20</v>
      </c>
      <c r="H248" s="10" t="s">
        <v>47</v>
      </c>
      <c r="I248" s="10" t="s">
        <v>36</v>
      </c>
      <c r="J248" s="13">
        <v>0.21666666666666667</v>
      </c>
      <c r="K248" s="13">
        <v>0.22847222222222222</v>
      </c>
      <c r="L248" s="70">
        <f t="shared" si="55"/>
        <v>1.1805555555555541E-2</v>
      </c>
      <c r="M248" s="11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16</v>
      </c>
      <c r="F252" s="12">
        <f t="shared" si="54"/>
        <v>64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15</v>
      </c>
      <c r="F253" s="17">
        <f t="shared" si="54"/>
        <v>60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7</v>
      </c>
      <c r="F254" s="12">
        <f t="shared" si="54"/>
        <v>28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8</v>
      </c>
      <c r="F255" s="17">
        <f t="shared" si="54"/>
        <v>32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11</v>
      </c>
      <c r="F256" s="12">
        <f t="shared" si="54"/>
        <v>44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30"/>
    </row>
    <row r="257" spans="1:14" ht="15.75" customHeight="1">
      <c r="A257" s="105" t="s">
        <v>191</v>
      </c>
      <c r="B257" s="105"/>
      <c r="C257" s="105"/>
      <c r="D257" s="105"/>
      <c r="E257" s="19">
        <f>SUM(E245:E256)</f>
        <v>63</v>
      </c>
      <c r="F257" s="19">
        <f>SUM(F245:F256)</f>
        <v>252</v>
      </c>
      <c r="G257" s="18"/>
      <c r="H257" s="18"/>
      <c r="I257" s="18"/>
      <c r="J257" s="18"/>
      <c r="K257" s="18"/>
      <c r="L257" s="72">
        <f>IFERROR(SUM(L245:L256),"")</f>
        <v>0.2187500000000008</v>
      </c>
      <c r="M257" s="19" t="s">
        <v>192</v>
      </c>
      <c r="N257" s="20">
        <v>295090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0</v>
      </c>
      <c r="F258" s="12">
        <f t="shared" ref="F258:F269" si="57">IF(E258="","",E258*4)</f>
        <v>0</v>
      </c>
      <c r="G258" s="10" t="s">
        <v>20</v>
      </c>
      <c r="H258" s="10" t="s">
        <v>47</v>
      </c>
      <c r="I258" s="10" t="s">
        <v>123</v>
      </c>
      <c r="J258" s="13">
        <v>0.82986111111111116</v>
      </c>
      <c r="K258" s="13">
        <v>0.83472222222222225</v>
      </c>
      <c r="L258" s="70">
        <f t="shared" ref="L258:L269" si="58">IFERROR(IF(K258="","",IF(K258&gt;=J258,K258-J258,K258+1-J258)),"")</f>
        <v>4.8611111111110938E-3</v>
      </c>
      <c r="M258" s="11" t="s">
        <v>246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12</v>
      </c>
      <c r="F259" s="17">
        <f t="shared" si="57"/>
        <v>48</v>
      </c>
      <c r="G259" s="67" t="s">
        <v>17</v>
      </c>
      <c r="H259" s="67"/>
      <c r="I259" s="67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6</v>
      </c>
      <c r="F260" s="12">
        <f t="shared" si="57"/>
        <v>24</v>
      </c>
      <c r="G260" s="16" t="s">
        <v>20</v>
      </c>
      <c r="H260" s="10" t="s">
        <v>47</v>
      </c>
      <c r="I260" s="16" t="s">
        <v>36</v>
      </c>
      <c r="J260" s="13">
        <v>0.52638888888888891</v>
      </c>
      <c r="K260" s="13">
        <v>0.53055555555555556</v>
      </c>
      <c r="L260" s="70">
        <f t="shared" si="58"/>
        <v>4.1666666666666519E-3</v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6</v>
      </c>
      <c r="F261" s="17">
        <f t="shared" si="57"/>
        <v>24</v>
      </c>
      <c r="G261" s="16"/>
      <c r="H261" s="16"/>
      <c r="I261" s="16"/>
      <c r="J261" s="13"/>
      <c r="K261" s="13"/>
      <c r="L261" s="71" t="str">
        <f t="shared" si="58"/>
        <v/>
      </c>
      <c r="M261" s="11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11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11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16</v>
      </c>
      <c r="F267" s="17">
        <f t="shared" si="57"/>
        <v>64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5</v>
      </c>
      <c r="F268" s="12">
        <f t="shared" si="57"/>
        <v>20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5</v>
      </c>
      <c r="F269" s="17">
        <f t="shared" si="57"/>
        <v>20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30"/>
    </row>
    <row r="270" spans="1:14" ht="15.75" customHeight="1">
      <c r="A270" s="105" t="s">
        <v>193</v>
      </c>
      <c r="B270" s="105"/>
      <c r="C270" s="105"/>
      <c r="D270" s="105"/>
      <c r="E270" s="19">
        <f>SUM(E258:E269)</f>
        <v>50</v>
      </c>
      <c r="F270" s="19">
        <f>SUM(F258:F269)</f>
        <v>200</v>
      </c>
      <c r="G270" s="18"/>
      <c r="H270" s="18"/>
      <c r="I270" s="18"/>
      <c r="J270" s="18"/>
      <c r="K270" s="18"/>
      <c r="L270" s="72">
        <f>IFERROR(SUM(L258:L269),"")</f>
        <v>0.2402777777777777</v>
      </c>
      <c r="M270" s="19" t="s">
        <v>192</v>
      </c>
      <c r="N270" s="20">
        <f>103170+137770</f>
        <v>240940</v>
      </c>
    </row>
    <row r="271" spans="1:14" ht="18" customHeight="1">
      <c r="A271" s="98" t="s">
        <v>194</v>
      </c>
      <c r="B271" s="98"/>
      <c r="C271" s="98"/>
      <c r="D271" s="98"/>
      <c r="E271" s="22">
        <f>E257+E270</f>
        <v>113</v>
      </c>
      <c r="F271" s="22">
        <f>F257+F270</f>
        <v>452</v>
      </c>
      <c r="G271" s="21"/>
      <c r="H271" s="21"/>
      <c r="I271" s="21"/>
      <c r="J271" s="21"/>
      <c r="K271" s="21"/>
      <c r="L271" s="73">
        <f>IFERROR(L257+L270,"")</f>
        <v>0.45902777777777848</v>
      </c>
      <c r="M271" s="22" t="s">
        <v>195</v>
      </c>
      <c r="N271" s="31">
        <f>IFERROR(N257+N270,"")</f>
        <v>536030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8</v>
      </c>
      <c r="F272" s="12">
        <f t="shared" ref="F272:F283" si="60">IF(E272="","",E272*4)</f>
        <v>32</v>
      </c>
      <c r="G272" s="10" t="s">
        <v>19</v>
      </c>
      <c r="H272" s="10" t="s">
        <v>141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11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135</v>
      </c>
      <c r="I273" s="16" t="s">
        <v>79</v>
      </c>
      <c r="J273" s="13">
        <v>0.39583333333333331</v>
      </c>
      <c r="K273" s="13">
        <v>0.47916666666666669</v>
      </c>
      <c r="L273" s="71">
        <f t="shared" si="61"/>
        <v>8.333333333333337E-2</v>
      </c>
      <c r="M273" s="11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47</v>
      </c>
      <c r="I274" s="10" t="s">
        <v>27</v>
      </c>
      <c r="J274" s="13">
        <v>0.52083333333333337</v>
      </c>
      <c r="K274" s="13">
        <v>0.56944444444444442</v>
      </c>
      <c r="L274" s="70">
        <f t="shared" si="61"/>
        <v>4.8611111111111049E-2</v>
      </c>
      <c r="M274" s="11"/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 t="s">
        <v>17</v>
      </c>
      <c r="H275" s="16" t="s">
        <v>90</v>
      </c>
      <c r="I275" s="16" t="s">
        <v>54</v>
      </c>
      <c r="J275" s="13">
        <v>0.67638888888888893</v>
      </c>
      <c r="K275" s="13">
        <v>0.68055555555555558</v>
      </c>
      <c r="L275" s="71">
        <f t="shared" si="61"/>
        <v>4.1666666666666519E-3</v>
      </c>
      <c r="M275" s="11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8</v>
      </c>
      <c r="F276" s="12">
        <f t="shared" si="60"/>
        <v>32</v>
      </c>
      <c r="G276" s="10" t="s">
        <v>18</v>
      </c>
      <c r="H276" s="10" t="s">
        <v>141</v>
      </c>
      <c r="I276" s="10" t="s">
        <v>126</v>
      </c>
      <c r="J276" s="13">
        <v>0.69236111111111109</v>
      </c>
      <c r="K276" s="13">
        <v>0.71666666666666667</v>
      </c>
      <c r="L276" s="70">
        <f t="shared" si="61"/>
        <v>2.430555555555558E-2</v>
      </c>
      <c r="M276" s="11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8</v>
      </c>
      <c r="F277" s="17">
        <f t="shared" si="60"/>
        <v>32</v>
      </c>
      <c r="G277" s="16" t="s">
        <v>20</v>
      </c>
      <c r="H277" s="16" t="s">
        <v>69</v>
      </c>
      <c r="I277" s="16" t="s">
        <v>36</v>
      </c>
      <c r="J277" s="13">
        <v>0.72291666666666665</v>
      </c>
      <c r="K277" s="13">
        <v>0.74861111111111112</v>
      </c>
      <c r="L277" s="71">
        <f t="shared" si="61"/>
        <v>2.5694444444444464E-2</v>
      </c>
      <c r="M277" s="11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0</v>
      </c>
      <c r="F278" s="12">
        <f t="shared" si="60"/>
        <v>0</v>
      </c>
      <c r="G278" s="10"/>
      <c r="H278" s="10"/>
      <c r="I278" s="10"/>
      <c r="J278" s="13"/>
      <c r="K278" s="13"/>
      <c r="L278" s="70" t="str">
        <f t="shared" si="61"/>
        <v/>
      </c>
      <c r="M278" s="11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22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4</v>
      </c>
      <c r="F280" s="12">
        <f t="shared" si="60"/>
        <v>16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6</v>
      </c>
      <c r="F281" s="17">
        <f t="shared" si="60"/>
        <v>24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0</v>
      </c>
      <c r="F282" s="12">
        <f t="shared" si="60"/>
        <v>0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6</v>
      </c>
      <c r="F283" s="17">
        <f t="shared" si="60"/>
        <v>24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30"/>
    </row>
    <row r="284" spans="1:14" ht="15.75" customHeight="1">
      <c r="A284" s="105" t="s">
        <v>191</v>
      </c>
      <c r="B284" s="105"/>
      <c r="C284" s="105"/>
      <c r="D284" s="105"/>
      <c r="E284" s="19">
        <f>SUM(E272:E283)</f>
        <v>40</v>
      </c>
      <c r="F284" s="19">
        <f>SUM(F272:F283)</f>
        <v>160</v>
      </c>
      <c r="G284" s="18"/>
      <c r="H284" s="18"/>
      <c r="I284" s="18"/>
      <c r="J284" s="18"/>
      <c r="K284" s="18"/>
      <c r="L284" s="72">
        <f>IFERROR(SUM(L272:L283),"")</f>
        <v>0.25555555555555559</v>
      </c>
      <c r="M284" s="19" t="s">
        <v>192</v>
      </c>
      <c r="N284" s="20">
        <v>167970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9</v>
      </c>
      <c r="F285" s="17">
        <f t="shared" ref="F285:F296" si="63">IF(E285="","",E285*4)</f>
        <v>36</v>
      </c>
      <c r="G285" s="16" t="s">
        <v>20</v>
      </c>
      <c r="H285" s="16" t="s">
        <v>47</v>
      </c>
      <c r="I285" s="16" t="s">
        <v>36</v>
      </c>
      <c r="J285" s="13">
        <v>0.8305555555555556</v>
      </c>
      <c r="K285" s="13">
        <v>0.9243055555555556</v>
      </c>
      <c r="L285" s="71">
        <f t="shared" ref="L285:L296" si="64">IFERROR(IF(K285="","",IF(K285&gt;=J285,K285-J285,K285+1-J285)),"")</f>
        <v>9.375E-2</v>
      </c>
      <c r="M285" s="11" t="s">
        <v>309</v>
      </c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12</v>
      </c>
      <c r="F286" s="12">
        <f t="shared" si="63"/>
        <v>48</v>
      </c>
      <c r="G286" s="76" t="s">
        <v>20</v>
      </c>
      <c r="H286" s="76" t="s">
        <v>47</v>
      </c>
      <c r="I286" s="76" t="s">
        <v>36</v>
      </c>
      <c r="J286" s="13">
        <v>0.10069444444444445</v>
      </c>
      <c r="K286" s="13">
        <v>0.11527777777777778</v>
      </c>
      <c r="L286" s="70">
        <f t="shared" si="64"/>
        <v>1.4583333333333337E-2</v>
      </c>
      <c r="M286" s="11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0</v>
      </c>
      <c r="F287" s="17">
        <f t="shared" si="63"/>
        <v>0</v>
      </c>
      <c r="G287" s="16"/>
      <c r="H287" s="16"/>
      <c r="I287" s="16"/>
      <c r="J287" s="13"/>
      <c r="K287" s="13"/>
      <c r="L287" s="71" t="str">
        <f t="shared" si="64"/>
        <v/>
      </c>
      <c r="M287" s="11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3</v>
      </c>
      <c r="F288" s="12">
        <f t="shared" si="63"/>
        <v>12</v>
      </c>
      <c r="G288" s="10"/>
      <c r="H288" s="10"/>
      <c r="I288" s="10"/>
      <c r="J288" s="13"/>
      <c r="K288" s="13"/>
      <c r="L288" s="70" t="str">
        <f t="shared" si="64"/>
        <v/>
      </c>
      <c r="M288" s="11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7</v>
      </c>
      <c r="F289" s="17">
        <f t="shared" si="63"/>
        <v>28</v>
      </c>
      <c r="G289" s="16"/>
      <c r="H289" s="16"/>
      <c r="I289" s="16"/>
      <c r="J289" s="13"/>
      <c r="K289" s="13"/>
      <c r="L289" s="71" t="str">
        <f t="shared" si="64"/>
        <v/>
      </c>
      <c r="M289" s="11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5</v>
      </c>
      <c r="F290" s="12">
        <f t="shared" si="63"/>
        <v>20</v>
      </c>
      <c r="G290" s="10"/>
      <c r="H290" s="10"/>
      <c r="I290" s="10"/>
      <c r="J290" s="13"/>
      <c r="K290" s="13"/>
      <c r="L290" s="70" t="str">
        <f t="shared" si="64"/>
        <v/>
      </c>
      <c r="M290" s="11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3</v>
      </c>
      <c r="F291" s="17">
        <f t="shared" si="63"/>
        <v>12</v>
      </c>
      <c r="G291" s="16"/>
      <c r="H291" s="16"/>
      <c r="I291" s="16"/>
      <c r="J291" s="13"/>
      <c r="K291" s="13"/>
      <c r="L291" s="71" t="str">
        <f t="shared" si="64"/>
        <v/>
      </c>
      <c r="M291" s="11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8</v>
      </c>
      <c r="F292" s="12">
        <f t="shared" si="63"/>
        <v>32</v>
      </c>
      <c r="G292" s="10"/>
      <c r="H292" s="10"/>
      <c r="I292" s="10"/>
      <c r="J292" s="13"/>
      <c r="K292" s="13"/>
      <c r="L292" s="70" t="str">
        <f t="shared" si="64"/>
        <v/>
      </c>
      <c r="M292" s="11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6</v>
      </c>
      <c r="F293" s="17">
        <f t="shared" si="63"/>
        <v>24</v>
      </c>
      <c r="G293" s="16"/>
      <c r="H293" s="16"/>
      <c r="I293" s="16"/>
      <c r="J293" s="13"/>
      <c r="K293" s="13"/>
      <c r="L293" s="71" t="str">
        <f t="shared" si="64"/>
        <v/>
      </c>
      <c r="M293" s="11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4</v>
      </c>
      <c r="F294" s="12">
        <f t="shared" si="63"/>
        <v>16</v>
      </c>
      <c r="G294" s="10"/>
      <c r="H294" s="10"/>
      <c r="I294" s="10"/>
      <c r="J294" s="13"/>
      <c r="K294" s="13"/>
      <c r="L294" s="70" t="str">
        <f t="shared" si="64"/>
        <v/>
      </c>
      <c r="M294" s="11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11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30"/>
    </row>
    <row r="297" spans="1:14" ht="15.75" customHeight="1">
      <c r="A297" s="105" t="s">
        <v>193</v>
      </c>
      <c r="B297" s="105"/>
      <c r="C297" s="105"/>
      <c r="D297" s="105"/>
      <c r="E297" s="19">
        <f>SUM(E285:E296)</f>
        <v>62</v>
      </c>
      <c r="F297" s="19">
        <f>SUM(F285:F296)</f>
        <v>248</v>
      </c>
      <c r="G297" s="18"/>
      <c r="H297" s="18"/>
      <c r="I297" s="18"/>
      <c r="J297" s="18"/>
      <c r="K297" s="18"/>
      <c r="L297" s="72">
        <f>IFERROR(SUM(L285:L296),"")</f>
        <v>0.10833333333333334</v>
      </c>
      <c r="M297" s="19" t="s">
        <v>192</v>
      </c>
      <c r="N297" s="20">
        <f>110740+118380</f>
        <v>229120</v>
      </c>
    </row>
    <row r="298" spans="1:14" ht="18" customHeight="1">
      <c r="A298" s="98" t="s">
        <v>194</v>
      </c>
      <c r="B298" s="98"/>
      <c r="C298" s="98"/>
      <c r="D298" s="98"/>
      <c r="E298" s="22">
        <f>E284+E297</f>
        <v>102</v>
      </c>
      <c r="F298" s="22">
        <f>F284+F297</f>
        <v>408</v>
      </c>
      <c r="G298" s="21"/>
      <c r="H298" s="21"/>
      <c r="I298" s="21"/>
      <c r="J298" s="21"/>
      <c r="K298" s="21"/>
      <c r="L298" s="73">
        <f>IFERROR(L284+L297,"")</f>
        <v>0.36388888888888893</v>
      </c>
      <c r="M298" s="22" t="s">
        <v>195</v>
      </c>
      <c r="N298" s="31">
        <f>IFERROR(N284+N297,"")</f>
        <v>397090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26" t="s">
        <v>22</v>
      </c>
      <c r="E299" s="79">
        <v>11</v>
      </c>
      <c r="F299" s="17">
        <f>IF(E299="","",E299*4)</f>
        <v>44</v>
      </c>
      <c r="G299" s="16" t="s">
        <v>20</v>
      </c>
      <c r="H299" s="16" t="s">
        <v>47</v>
      </c>
      <c r="I299" s="16" t="s">
        <v>36</v>
      </c>
      <c r="J299" s="13">
        <v>0.42986111111111114</v>
      </c>
      <c r="K299" s="13">
        <v>0.47430555555555554</v>
      </c>
      <c r="L299" s="71">
        <f t="shared" ref="L299:L310" si="66">IFERROR(IF(K299="","",IF(K299&gt;=J299,K299-J299,K299+1-J299)),"")</f>
        <v>4.4444444444444398E-2</v>
      </c>
      <c r="M299" s="11" t="s">
        <v>310</v>
      </c>
      <c r="N299" s="30"/>
    </row>
    <row r="300" spans="1:14" ht="15" customHeight="1">
      <c r="A300" s="58">
        <v>46185</v>
      </c>
      <c r="B300" s="9">
        <f t="shared" ref="B300:B310" si="67">B299+TIME(0,60,0)</f>
        <v>0.37499999999999967</v>
      </c>
      <c r="C300" s="16" t="s">
        <v>29</v>
      </c>
      <c r="D300" s="10" t="s">
        <v>30</v>
      </c>
      <c r="E300" s="11">
        <v>7</v>
      </c>
      <c r="F300" s="80">
        <f>IF(E300="","",E300*4)</f>
        <v>28</v>
      </c>
      <c r="G300" s="10"/>
      <c r="H300" s="10"/>
      <c r="I300" s="10"/>
      <c r="J300" s="13"/>
      <c r="K300" s="13"/>
      <c r="L300" s="70" t="str">
        <f t="shared" si="66"/>
        <v/>
      </c>
      <c r="M300" s="11"/>
      <c r="N300" s="30"/>
    </row>
    <row r="301" spans="1:14" ht="15" customHeight="1">
      <c r="A301" s="59">
        <v>46185</v>
      </c>
      <c r="B301" s="15">
        <f t="shared" si="67"/>
        <v>0.41666666666666635</v>
      </c>
      <c r="C301" s="16" t="s">
        <v>29</v>
      </c>
      <c r="D301" s="10" t="s">
        <v>30</v>
      </c>
      <c r="E301" s="11">
        <v>7</v>
      </c>
      <c r="F301" s="17">
        <f t="shared" ref="F301:F310" si="68">IF(E301="","",E301*4)</f>
        <v>28</v>
      </c>
      <c r="G301" s="16"/>
      <c r="H301" s="16"/>
      <c r="I301" s="16"/>
      <c r="J301" s="13"/>
      <c r="K301" s="13"/>
      <c r="L301" s="71" t="str">
        <f t="shared" si="66"/>
        <v/>
      </c>
      <c r="M301" s="11"/>
      <c r="N301" s="30"/>
    </row>
    <row r="302" spans="1:14" ht="15" customHeight="1">
      <c r="A302" s="58">
        <v>46185</v>
      </c>
      <c r="B302" s="9">
        <f t="shared" si="67"/>
        <v>0.45833333333333304</v>
      </c>
      <c r="C302" s="16" t="s">
        <v>29</v>
      </c>
      <c r="D302" s="10" t="s">
        <v>30</v>
      </c>
      <c r="E302" s="79">
        <v>4</v>
      </c>
      <c r="F302" s="80">
        <f>IF(E302="","",E302*4)</f>
        <v>16</v>
      </c>
      <c r="G302" s="10"/>
      <c r="H302" s="10"/>
      <c r="I302" s="10"/>
      <c r="J302" s="13"/>
      <c r="K302" s="13"/>
      <c r="L302" s="70" t="str">
        <f t="shared" si="66"/>
        <v/>
      </c>
      <c r="M302" s="11"/>
      <c r="N302" s="30"/>
    </row>
    <row r="303" spans="1:14" ht="15" customHeight="1">
      <c r="A303" s="59">
        <v>46185</v>
      </c>
      <c r="B303" s="15">
        <f t="shared" si="67"/>
        <v>0.49999999999999972</v>
      </c>
      <c r="C303" s="16" t="s">
        <v>29</v>
      </c>
      <c r="D303" s="10" t="s">
        <v>30</v>
      </c>
      <c r="E303" s="11">
        <v>1</v>
      </c>
      <c r="F303" s="17">
        <f>IF(E303="","",E303*4)</f>
        <v>4</v>
      </c>
      <c r="G303" s="16"/>
      <c r="H303" s="16"/>
      <c r="I303" s="16"/>
      <c r="J303" s="13"/>
      <c r="K303" s="13"/>
      <c r="L303" s="71" t="str">
        <f t="shared" si="66"/>
        <v/>
      </c>
      <c r="M303" s="11"/>
      <c r="N303" s="30"/>
    </row>
    <row r="304" spans="1:14" ht="15" customHeight="1">
      <c r="A304" s="58">
        <v>46185</v>
      </c>
      <c r="B304" s="9">
        <f t="shared" si="67"/>
        <v>0.54166666666666641</v>
      </c>
      <c r="C304" s="16" t="s">
        <v>29</v>
      </c>
      <c r="D304" s="10" t="s">
        <v>30</v>
      </c>
      <c r="E304" s="11">
        <v>5</v>
      </c>
      <c r="F304" s="80">
        <f>IF(E304="","",E304*4)</f>
        <v>20</v>
      </c>
      <c r="G304" s="10"/>
      <c r="H304" s="10"/>
      <c r="I304" s="10"/>
      <c r="J304" s="13"/>
      <c r="K304" s="13"/>
      <c r="L304" s="70" t="str">
        <f t="shared" si="66"/>
        <v/>
      </c>
      <c r="M304" s="11"/>
      <c r="N304" s="30"/>
    </row>
    <row r="305" spans="1:14" ht="15" customHeight="1">
      <c r="A305" s="59">
        <v>46185</v>
      </c>
      <c r="B305" s="15">
        <f t="shared" si="67"/>
        <v>0.58333333333333304</v>
      </c>
      <c r="C305" s="16" t="s">
        <v>29</v>
      </c>
      <c r="D305" s="10" t="s">
        <v>30</v>
      </c>
      <c r="E305" s="11">
        <v>12</v>
      </c>
      <c r="F305" s="17">
        <f t="shared" si="68"/>
        <v>48</v>
      </c>
      <c r="G305" s="16"/>
      <c r="H305" s="16"/>
      <c r="I305" s="16"/>
      <c r="J305" s="13"/>
      <c r="K305" s="13"/>
      <c r="L305" s="71" t="str">
        <f t="shared" si="66"/>
        <v/>
      </c>
      <c r="M305" s="11"/>
      <c r="N305" s="30"/>
    </row>
    <row r="306" spans="1:14" ht="15" customHeight="1">
      <c r="A306" s="58">
        <v>46185</v>
      </c>
      <c r="B306" s="9">
        <f t="shared" si="67"/>
        <v>0.62499999999999967</v>
      </c>
      <c r="C306" s="16" t="s">
        <v>29</v>
      </c>
      <c r="D306" s="10" t="s">
        <v>30</v>
      </c>
      <c r="E306" s="11">
        <v>7</v>
      </c>
      <c r="F306" s="80">
        <f>IF(E306="","",E306*4)</f>
        <v>28</v>
      </c>
      <c r="G306" s="10"/>
      <c r="H306" s="10"/>
      <c r="I306" s="10"/>
      <c r="J306" s="13"/>
      <c r="K306" s="13"/>
      <c r="L306" s="70" t="str">
        <f t="shared" si="66"/>
        <v/>
      </c>
      <c r="M306" s="11"/>
      <c r="N306" s="30"/>
    </row>
    <row r="307" spans="1:14" ht="15" customHeight="1">
      <c r="A307" s="59">
        <v>46185</v>
      </c>
      <c r="B307" s="15">
        <f t="shared" si="67"/>
        <v>0.6666666666666663</v>
      </c>
      <c r="C307" s="16" t="s">
        <v>29</v>
      </c>
      <c r="D307" s="10" t="s">
        <v>30</v>
      </c>
      <c r="E307" s="11">
        <v>2</v>
      </c>
      <c r="F307" s="17">
        <f t="shared" si="68"/>
        <v>8</v>
      </c>
      <c r="G307" s="16"/>
      <c r="H307" s="16"/>
      <c r="I307" s="16"/>
      <c r="J307" s="13"/>
      <c r="K307" s="13"/>
      <c r="L307" s="71" t="str">
        <f t="shared" si="66"/>
        <v/>
      </c>
      <c r="M307" s="11"/>
      <c r="N307" s="30"/>
    </row>
    <row r="308" spans="1:14" ht="15" customHeight="1">
      <c r="A308" s="58">
        <v>46185</v>
      </c>
      <c r="B308" s="9">
        <f t="shared" si="67"/>
        <v>0.70833333333333293</v>
      </c>
      <c r="C308" s="16" t="s">
        <v>29</v>
      </c>
      <c r="D308" s="10" t="s">
        <v>30</v>
      </c>
      <c r="E308" s="11">
        <v>4</v>
      </c>
      <c r="F308" s="12">
        <f t="shared" si="68"/>
        <v>16</v>
      </c>
      <c r="G308" s="10"/>
      <c r="H308" s="10"/>
      <c r="I308" s="10"/>
      <c r="J308" s="13"/>
      <c r="K308" s="13"/>
      <c r="L308" s="70" t="str">
        <f t="shared" si="66"/>
        <v/>
      </c>
      <c r="M308" s="11"/>
      <c r="N308" s="30"/>
    </row>
    <row r="309" spans="1:14" ht="15" customHeight="1">
      <c r="A309" s="59">
        <v>46185</v>
      </c>
      <c r="B309" s="15">
        <f t="shared" si="67"/>
        <v>0.74999999999999956</v>
      </c>
      <c r="C309" s="16" t="s">
        <v>29</v>
      </c>
      <c r="D309" s="10" t="s">
        <v>30</v>
      </c>
      <c r="E309" s="11">
        <v>7</v>
      </c>
      <c r="F309" s="17">
        <f t="shared" si="68"/>
        <v>28</v>
      </c>
      <c r="G309" s="16"/>
      <c r="H309" s="16"/>
      <c r="I309" s="16"/>
      <c r="J309" s="13"/>
      <c r="K309" s="13"/>
      <c r="L309" s="71" t="str">
        <f t="shared" si="66"/>
        <v/>
      </c>
      <c r="M309" s="11"/>
      <c r="N309" s="30"/>
    </row>
    <row r="310" spans="1:14" ht="15" customHeight="1">
      <c r="A310" s="58">
        <v>46185</v>
      </c>
      <c r="B310" s="9">
        <f t="shared" si="67"/>
        <v>0.79166666666666619</v>
      </c>
      <c r="C310" s="16" t="s">
        <v>29</v>
      </c>
      <c r="D310" s="10" t="s">
        <v>30</v>
      </c>
      <c r="E310" s="11">
        <v>5</v>
      </c>
      <c r="F310" s="12">
        <f t="shared" si="68"/>
        <v>20</v>
      </c>
      <c r="G310" s="10"/>
      <c r="H310" s="10"/>
      <c r="I310" s="10"/>
      <c r="J310" s="13"/>
      <c r="K310" s="13"/>
      <c r="L310" s="70" t="str">
        <f t="shared" si="66"/>
        <v/>
      </c>
      <c r="M310" s="11"/>
      <c r="N310" s="30"/>
    </row>
    <row r="311" spans="1:14" ht="15.75" customHeight="1">
      <c r="A311" s="105" t="s">
        <v>191</v>
      </c>
      <c r="B311" s="105"/>
      <c r="C311" s="105"/>
      <c r="D311" s="105"/>
      <c r="E311" s="19">
        <f>SUM(E299:E310)</f>
        <v>72</v>
      </c>
      <c r="F311" s="19">
        <f>SUM(F299:F310)</f>
        <v>288</v>
      </c>
      <c r="G311" s="18"/>
      <c r="H311" s="18"/>
      <c r="I311" s="18"/>
      <c r="J311" s="18"/>
      <c r="K311" s="18"/>
      <c r="L311" s="72">
        <f>IFERROR(SUM(L299:L310),"")</f>
        <v>4.4444444444444398E-2</v>
      </c>
      <c r="M311" s="19" t="s">
        <v>192</v>
      </c>
      <c r="N311" s="20">
        <v>298940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5</v>
      </c>
      <c r="F312" s="12">
        <f t="shared" ref="F312:F323" si="69">IF(E312="","",E312*4)</f>
        <v>20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10</v>
      </c>
      <c r="F313" s="17">
        <f t="shared" si="69"/>
        <v>40</v>
      </c>
      <c r="G313" s="16"/>
      <c r="H313" s="16"/>
      <c r="I313" s="16"/>
      <c r="J313" s="13"/>
      <c r="K313" s="13"/>
      <c r="L313" s="71" t="str">
        <f t="shared" si="70"/>
        <v/>
      </c>
      <c r="M313" s="11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4</v>
      </c>
      <c r="F314" s="12">
        <f t="shared" si="69"/>
        <v>16</v>
      </c>
      <c r="G314" s="10"/>
      <c r="H314" s="10"/>
      <c r="I314" s="10"/>
      <c r="J314" s="13"/>
      <c r="K314" s="13"/>
      <c r="L314" s="70" t="str">
        <f t="shared" si="70"/>
        <v/>
      </c>
      <c r="M314" s="11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5</v>
      </c>
      <c r="F315" s="17">
        <f t="shared" si="69"/>
        <v>20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5</v>
      </c>
      <c r="F316" s="12">
        <f t="shared" si="69"/>
        <v>20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5</v>
      </c>
      <c r="F317" s="17">
        <f t="shared" si="69"/>
        <v>20</v>
      </c>
      <c r="G317" s="16"/>
      <c r="H317" s="16"/>
      <c r="I317" s="16"/>
      <c r="J317" s="13"/>
      <c r="K317" s="13"/>
      <c r="L317" s="71" t="str">
        <f t="shared" si="70"/>
        <v/>
      </c>
      <c r="M317" s="11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11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10</v>
      </c>
      <c r="F319" s="17">
        <f t="shared" si="69"/>
        <v>40</v>
      </c>
      <c r="G319" s="16" t="s">
        <v>19</v>
      </c>
      <c r="H319" s="16" t="s">
        <v>47</v>
      </c>
      <c r="I319" s="16" t="s">
        <v>27</v>
      </c>
      <c r="J319" s="13">
        <v>0.12986111111111112</v>
      </c>
      <c r="K319" s="13">
        <v>0.18055555555555555</v>
      </c>
      <c r="L319" s="71">
        <f t="shared" si="70"/>
        <v>5.0694444444444431E-2</v>
      </c>
      <c r="M319" s="11" t="s">
        <v>311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5</v>
      </c>
      <c r="F320" s="12">
        <v>5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147</v>
      </c>
      <c r="I321" s="16" t="s">
        <v>114</v>
      </c>
      <c r="J321" s="13">
        <v>0.20972222222222223</v>
      </c>
      <c r="K321" s="13">
        <v>0.22916666666666666</v>
      </c>
      <c r="L321" s="71">
        <f t="shared" si="70"/>
        <v>1.9444444444444431E-2</v>
      </c>
      <c r="M321" s="11" t="s">
        <v>253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16</v>
      </c>
      <c r="F322" s="12">
        <f t="shared" si="69"/>
        <v>64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30"/>
    </row>
    <row r="324" spans="1:14" ht="15.75" customHeight="1">
      <c r="A324" s="105" t="s">
        <v>193</v>
      </c>
      <c r="B324" s="105"/>
      <c r="C324" s="105"/>
      <c r="D324" s="105"/>
      <c r="E324" s="19">
        <f>SUM(E312:E323)</f>
        <v>80</v>
      </c>
      <c r="F324" s="19">
        <f>SUM(F312:F323)</f>
        <v>305</v>
      </c>
      <c r="G324" s="18"/>
      <c r="H324" s="18"/>
      <c r="I324" s="18"/>
      <c r="J324" s="18"/>
      <c r="K324" s="18"/>
      <c r="L324" s="72">
        <f>IFERROR(SUM(L312:L323),"")</f>
        <v>7.0138888888888862E-2</v>
      </c>
      <c r="M324" s="19" t="s">
        <v>192</v>
      </c>
      <c r="N324" s="20">
        <f>119730+227060</f>
        <v>346790</v>
      </c>
    </row>
    <row r="325" spans="1:14" ht="18" customHeight="1">
      <c r="A325" s="98" t="s">
        <v>194</v>
      </c>
      <c r="B325" s="98"/>
      <c r="C325" s="98"/>
      <c r="D325" s="98"/>
      <c r="E325" s="22">
        <f>E311+E324</f>
        <v>152</v>
      </c>
      <c r="F325" s="22">
        <f>F311+F324</f>
        <v>593</v>
      </c>
      <c r="G325" s="21"/>
      <c r="H325" s="21"/>
      <c r="I325" s="21"/>
      <c r="J325" s="21"/>
      <c r="K325" s="21"/>
      <c r="L325" s="73">
        <f>IFERROR(L311+L324,"")</f>
        <v>0.11458333333333326</v>
      </c>
      <c r="M325" s="22" t="s">
        <v>195</v>
      </c>
      <c r="N325" s="31">
        <f>IFERROR(N311+N324,"")</f>
        <v>645730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11</v>
      </c>
      <c r="F326" s="12">
        <f t="shared" ref="F326:F337" si="72">IF(E326="","",E326*4)</f>
        <v>44</v>
      </c>
      <c r="G326" s="10" t="s">
        <v>20</v>
      </c>
      <c r="H326" s="10" t="s">
        <v>47</v>
      </c>
      <c r="I326" s="10" t="s">
        <v>36</v>
      </c>
      <c r="J326" s="13">
        <v>0.34722222222222221</v>
      </c>
      <c r="K326" s="13">
        <v>0.3611111111111111</v>
      </c>
      <c r="L326" s="70">
        <f t="shared" ref="L326:L337" si="73">IFERROR(IF(K326="","",IF(K326&gt;=J326,K326-J326,K326+1-J326)),"")</f>
        <v>1.3888888888888895E-2</v>
      </c>
      <c r="M326" s="11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7</v>
      </c>
      <c r="F327" s="17">
        <f t="shared" si="72"/>
        <v>28</v>
      </c>
      <c r="G327" s="16" t="s">
        <v>18</v>
      </c>
      <c r="H327" s="16" t="s">
        <v>112</v>
      </c>
      <c r="I327" s="16" t="s">
        <v>126</v>
      </c>
      <c r="J327" s="13">
        <v>0.5</v>
      </c>
      <c r="K327" s="13">
        <v>0.53125</v>
      </c>
      <c r="L327" s="71">
        <f t="shared" si="73"/>
        <v>3.125E-2</v>
      </c>
      <c r="M327" s="11"/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7</v>
      </c>
      <c r="F328" s="12">
        <f t="shared" si="72"/>
        <v>28</v>
      </c>
      <c r="G328" s="10" t="s">
        <v>20</v>
      </c>
      <c r="H328" s="10" t="s">
        <v>47</v>
      </c>
      <c r="I328" s="10" t="s">
        <v>36</v>
      </c>
      <c r="J328" s="13">
        <v>0.56666666666666665</v>
      </c>
      <c r="K328" s="13">
        <v>0.57361111111111107</v>
      </c>
      <c r="L328" s="70">
        <f t="shared" si="73"/>
        <v>6.9444444444444198E-3</v>
      </c>
      <c r="M328" s="11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6</v>
      </c>
      <c r="F329" s="17">
        <f t="shared" si="72"/>
        <v>24</v>
      </c>
      <c r="G329" s="16" t="s">
        <v>17</v>
      </c>
      <c r="H329" s="16" t="s">
        <v>112</v>
      </c>
      <c r="I329" s="16" t="s">
        <v>41</v>
      </c>
      <c r="J329" s="13">
        <v>0.60138888888888886</v>
      </c>
      <c r="K329" s="13">
        <v>0.62083333333333335</v>
      </c>
      <c r="L329" s="71">
        <f t="shared" si="73"/>
        <v>1.9444444444444486E-2</v>
      </c>
      <c r="M329" s="11"/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5</v>
      </c>
      <c r="F330" s="12">
        <f t="shared" si="72"/>
        <v>20</v>
      </c>
      <c r="G330" s="10" t="s">
        <v>17</v>
      </c>
      <c r="H330" s="10" t="s">
        <v>112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11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9</v>
      </c>
      <c r="F331" s="17">
        <f t="shared" si="72"/>
        <v>36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6</v>
      </c>
      <c r="F332" s="12">
        <f t="shared" si="72"/>
        <v>24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2</v>
      </c>
      <c r="F333" s="17">
        <f t="shared" si="72"/>
        <v>8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8</v>
      </c>
      <c r="F334" s="12">
        <f t="shared" si="72"/>
        <v>32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3</v>
      </c>
      <c r="F335" s="17">
        <f t="shared" si="72"/>
        <v>12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4</v>
      </c>
      <c r="F336" s="12">
        <f t="shared" si="72"/>
        <v>16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30"/>
    </row>
    <row r="338" spans="1:14" ht="15.75" customHeight="1">
      <c r="A338" s="105" t="s">
        <v>191</v>
      </c>
      <c r="B338" s="105"/>
      <c r="C338" s="105"/>
      <c r="D338" s="105"/>
      <c r="E338" s="19">
        <f>SUM(E326:E337)</f>
        <v>68</v>
      </c>
      <c r="F338" s="19">
        <f>SUM(F326:F337)</f>
        <v>272</v>
      </c>
      <c r="G338" s="18"/>
      <c r="H338" s="18"/>
      <c r="I338" s="18"/>
      <c r="J338" s="18"/>
      <c r="K338" s="18"/>
      <c r="L338" s="72">
        <f>IFERROR(SUM(L326:L337),"")</f>
        <v>7.1527777777777801E-2</v>
      </c>
      <c r="M338" s="19" t="s">
        <v>192</v>
      </c>
      <c r="N338" s="20">
        <f>248450+10690</f>
        <v>259140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/>
      <c r="I339" s="16" t="s">
        <v>114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/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4</v>
      </c>
      <c r="F340" s="12">
        <f t="shared" si="75"/>
        <v>16</v>
      </c>
      <c r="G340" s="10" t="s">
        <v>17</v>
      </c>
      <c r="H340" s="10" t="s">
        <v>69</v>
      </c>
      <c r="I340" s="10" t="s">
        <v>54</v>
      </c>
      <c r="J340" s="13">
        <v>0.93055555555555558</v>
      </c>
      <c r="K340" s="13">
        <v>0.95138888888888884</v>
      </c>
      <c r="L340" s="70">
        <f t="shared" si="76"/>
        <v>2.0833333333333259E-2</v>
      </c>
      <c r="M340" s="11"/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6</v>
      </c>
      <c r="F341" s="17">
        <f t="shared" si="75"/>
        <v>24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0</v>
      </c>
      <c r="F342" s="12">
        <f t="shared" si="75"/>
        <v>0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5</v>
      </c>
      <c r="F343" s="17">
        <f t="shared" si="75"/>
        <v>20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0" t="s">
        <v>38</v>
      </c>
      <c r="E344" s="11">
        <v>0</v>
      </c>
      <c r="F344" s="12">
        <f t="shared" si="75"/>
        <v>0</v>
      </c>
      <c r="G344" s="10" t="s">
        <v>20</v>
      </c>
      <c r="H344" s="10" t="s">
        <v>147</v>
      </c>
      <c r="I344" s="10" t="s">
        <v>114</v>
      </c>
      <c r="J344" s="13">
        <v>0</v>
      </c>
      <c r="K344" s="13">
        <v>4.1666666666666664E-2</v>
      </c>
      <c r="L344" s="70">
        <f t="shared" si="76"/>
        <v>4.1666666666666664E-2</v>
      </c>
      <c r="M344" s="11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0" t="s">
        <v>38</v>
      </c>
      <c r="E345" s="11">
        <v>0</v>
      </c>
      <c r="F345" s="17">
        <f t="shared" si="75"/>
        <v>0</v>
      </c>
      <c r="G345" s="16" t="s">
        <v>20</v>
      </c>
      <c r="H345" s="16" t="s">
        <v>147</v>
      </c>
      <c r="I345" s="16" t="s">
        <v>114</v>
      </c>
      <c r="J345" s="13">
        <v>4.1666666666666664E-2</v>
      </c>
      <c r="K345" s="13">
        <v>8.3333333333333329E-2</v>
      </c>
      <c r="L345" s="71">
        <f t="shared" si="76"/>
        <v>4.1666666666666664E-2</v>
      </c>
      <c r="M345" s="11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0" t="s">
        <v>38</v>
      </c>
      <c r="E346" s="11">
        <v>0</v>
      </c>
      <c r="F346" s="12">
        <f t="shared" si="75"/>
        <v>0</v>
      </c>
      <c r="G346" s="10" t="s">
        <v>20</v>
      </c>
      <c r="H346" s="10" t="s">
        <v>47</v>
      </c>
      <c r="I346" s="10" t="s">
        <v>111</v>
      </c>
      <c r="J346" s="13">
        <v>8.3333333333333329E-2</v>
      </c>
      <c r="K346" s="13">
        <v>0.29166666666666669</v>
      </c>
      <c r="L346" s="70">
        <f t="shared" si="76"/>
        <v>0.20833333333333337</v>
      </c>
      <c r="M346" s="11" t="s">
        <v>258</v>
      </c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0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0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0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0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30"/>
    </row>
    <row r="351" spans="1:14" ht="15.75" customHeight="1">
      <c r="A351" s="105" t="s">
        <v>193</v>
      </c>
      <c r="B351" s="105"/>
      <c r="C351" s="105"/>
      <c r="D351" s="105"/>
      <c r="E351" s="19">
        <f>SUM(E339:E350)</f>
        <v>15</v>
      </c>
      <c r="F351" s="19">
        <f>SUM(F339:F350)</f>
        <v>60</v>
      </c>
      <c r="G351" s="18"/>
      <c r="H351" s="18"/>
      <c r="I351" s="18"/>
      <c r="J351" s="18"/>
      <c r="K351" s="18"/>
      <c r="L351" s="72">
        <f>IFERROR(SUM(L339:L350),"")</f>
        <v>0.35416666666666669</v>
      </c>
      <c r="M351" s="19" t="s">
        <v>192</v>
      </c>
      <c r="N351" s="20">
        <f>50730+24450</f>
        <v>75180</v>
      </c>
    </row>
    <row r="352" spans="1:14" ht="18" customHeight="1">
      <c r="A352" s="98" t="s">
        <v>194</v>
      </c>
      <c r="B352" s="98"/>
      <c r="C352" s="98"/>
      <c r="D352" s="98"/>
      <c r="E352" s="22">
        <f>E338+E351</f>
        <v>83</v>
      </c>
      <c r="F352" s="22">
        <f>F338+F351</f>
        <v>332</v>
      </c>
      <c r="G352" s="21"/>
      <c r="H352" s="21"/>
      <c r="I352" s="21"/>
      <c r="J352" s="21"/>
      <c r="K352" s="21"/>
      <c r="L352" s="73">
        <f>IFERROR(L338+L351,"")</f>
        <v>0.42569444444444449</v>
      </c>
      <c r="M352" s="22" t="s">
        <v>195</v>
      </c>
      <c r="N352" s="31">
        <f>IFERROR(N338+N351,"")</f>
        <v>334320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30</v>
      </c>
      <c r="E353" s="11">
        <v>9</v>
      </c>
      <c r="F353" s="17">
        <f t="shared" ref="F353:F364" si="78">IF(E353="","",E353*4)</f>
        <v>36</v>
      </c>
      <c r="G353" s="16" t="s">
        <v>20</v>
      </c>
      <c r="H353" s="16" t="s">
        <v>47</v>
      </c>
      <c r="I353" s="16" t="s">
        <v>62</v>
      </c>
      <c r="J353" s="13">
        <v>0.70208333333333328</v>
      </c>
      <c r="K353" s="13">
        <v>0.75347222222222221</v>
      </c>
      <c r="L353" s="71">
        <f t="shared" ref="L353:L364" si="79">IFERROR(IF(K353="","",IF(K353&gt;=J353,K353-J353,K353+1-J353)),"")</f>
        <v>5.1388888888888928E-2</v>
      </c>
      <c r="M353" s="11" t="s">
        <v>261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30</v>
      </c>
      <c r="E354" s="11">
        <v>7</v>
      </c>
      <c r="F354" s="12">
        <f t="shared" si="78"/>
        <v>28</v>
      </c>
      <c r="G354" s="10"/>
      <c r="H354" s="10"/>
      <c r="I354" s="10"/>
      <c r="J354" s="13"/>
      <c r="K354" s="13"/>
      <c r="L354" s="70" t="str">
        <f t="shared" si="79"/>
        <v/>
      </c>
      <c r="M354" s="29" t="s">
        <v>312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30</v>
      </c>
      <c r="E355" s="11">
        <v>3</v>
      </c>
      <c r="F355" s="17">
        <f t="shared" si="78"/>
        <v>12</v>
      </c>
      <c r="G355" s="16"/>
      <c r="H355" s="16"/>
      <c r="I355" s="16"/>
      <c r="J355" s="13"/>
      <c r="K355" s="13"/>
      <c r="L355" s="71" t="str">
        <f t="shared" si="79"/>
        <v/>
      </c>
      <c r="M355" s="11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30</v>
      </c>
      <c r="E356" s="11">
        <v>11</v>
      </c>
      <c r="F356" s="12">
        <f t="shared" si="78"/>
        <v>44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30</v>
      </c>
      <c r="E357" s="11">
        <v>5</v>
      </c>
      <c r="F357" s="17">
        <f t="shared" si="78"/>
        <v>20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30</v>
      </c>
      <c r="E358" s="11">
        <v>8</v>
      </c>
      <c r="F358" s="12">
        <f t="shared" si="78"/>
        <v>32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30</v>
      </c>
      <c r="E359" s="11">
        <v>4</v>
      </c>
      <c r="F359" s="17">
        <f t="shared" si="78"/>
        <v>16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30</v>
      </c>
      <c r="E360" s="11">
        <v>5</v>
      </c>
      <c r="F360" s="12">
        <f t="shared" si="78"/>
        <v>20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4</v>
      </c>
      <c r="F362" s="12">
        <f t="shared" si="78"/>
        <v>16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0</v>
      </c>
      <c r="F363" s="17">
        <f t="shared" si="78"/>
        <v>0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30"/>
    </row>
    <row r="365" spans="1:14" ht="15.75" customHeight="1">
      <c r="A365" s="105" t="s">
        <v>191</v>
      </c>
      <c r="B365" s="105"/>
      <c r="C365" s="105"/>
      <c r="D365" s="105"/>
      <c r="E365" s="19">
        <f>SUM(E353:E364)</f>
        <v>61</v>
      </c>
      <c r="F365" s="19">
        <f>SUM(F353:F364)</f>
        <v>244</v>
      </c>
      <c r="G365" s="18"/>
      <c r="H365" s="18"/>
      <c r="I365" s="18"/>
      <c r="J365" s="18"/>
      <c r="K365" s="18"/>
      <c r="L365" s="72">
        <f>IFERROR(SUM(L353:L364),"")</f>
        <v>5.1388888888888928E-2</v>
      </c>
      <c r="M365" s="19" t="s">
        <v>192</v>
      </c>
      <c r="N365" s="20">
        <f>25050+217470</f>
        <v>242520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1">IF(E366="","",E366*4)</f>
        <v>0</v>
      </c>
      <c r="G366" s="10" t="s">
        <v>20</v>
      </c>
      <c r="H366" s="10" t="s">
        <v>147</v>
      </c>
      <c r="I366" s="10" t="s">
        <v>114</v>
      </c>
      <c r="J366" s="13"/>
      <c r="K366" s="13"/>
      <c r="L366" s="70" t="str">
        <f t="shared" ref="L366:L377" si="82">IFERROR(IF(K366="","",IF(K366&gt;=J366,K366-J366,K366+1-J366)),"")</f>
        <v/>
      </c>
      <c r="M366" s="11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5</v>
      </c>
      <c r="F368" s="12">
        <f t="shared" si="81"/>
        <v>20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5</v>
      </c>
      <c r="F369" s="17">
        <f t="shared" si="81"/>
        <v>20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7</v>
      </c>
      <c r="F370" s="12">
        <f t="shared" si="81"/>
        <v>28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5</v>
      </c>
      <c r="F371" s="17">
        <f t="shared" si="81"/>
        <v>20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5</v>
      </c>
      <c r="F372" s="12">
        <f t="shared" si="81"/>
        <v>20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10</v>
      </c>
      <c r="F373" s="17">
        <f t="shared" si="81"/>
        <v>40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4</v>
      </c>
      <c r="F374" s="12">
        <f t="shared" si="81"/>
        <v>16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7</v>
      </c>
      <c r="F375" s="17">
        <f t="shared" si="81"/>
        <v>28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4</v>
      </c>
      <c r="F376" s="12">
        <f t="shared" si="81"/>
        <v>16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4</v>
      </c>
      <c r="F377" s="17">
        <f t="shared" si="81"/>
        <v>16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30"/>
    </row>
    <row r="378" spans="1:14" ht="15.75" customHeight="1">
      <c r="A378" s="105" t="s">
        <v>193</v>
      </c>
      <c r="B378" s="105"/>
      <c r="C378" s="105"/>
      <c r="D378" s="105"/>
      <c r="E378" s="19">
        <f>SUM(E366:E377)</f>
        <v>66</v>
      </c>
      <c r="F378" s="19">
        <f>SUM(F366:F377)</f>
        <v>264</v>
      </c>
      <c r="G378" s="18"/>
      <c r="H378" s="18"/>
      <c r="I378" s="18"/>
      <c r="J378" s="18"/>
      <c r="K378" s="18"/>
      <c r="L378" s="72">
        <f>IFERROR(SUM(L366:L377),"")</f>
        <v>0</v>
      </c>
      <c r="M378" s="19" t="s">
        <v>192</v>
      </c>
      <c r="N378" s="20">
        <f>151130+160740</f>
        <v>311870</v>
      </c>
    </row>
    <row r="379" spans="1:14" ht="18" customHeight="1">
      <c r="A379" s="98" t="s">
        <v>194</v>
      </c>
      <c r="B379" s="98"/>
      <c r="C379" s="98"/>
      <c r="D379" s="98"/>
      <c r="E379" s="22">
        <f>E365+E378</f>
        <v>127</v>
      </c>
      <c r="F379" s="22">
        <f>F365+F378</f>
        <v>508</v>
      </c>
      <c r="G379" s="21"/>
      <c r="H379" s="21"/>
      <c r="I379" s="21"/>
      <c r="J379" s="21"/>
      <c r="K379" s="21"/>
      <c r="L379" s="73">
        <f>IFERROR(L365+L378,"")</f>
        <v>5.1388888888888928E-2</v>
      </c>
      <c r="M379" s="22" t="s">
        <v>195</v>
      </c>
      <c r="N379" s="31">
        <f>IFERROR(N365+N378,"")</f>
        <v>554390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9</v>
      </c>
      <c r="F380" s="12">
        <f t="shared" ref="F380:F391" si="84">IF(E380="","",E380*4)</f>
        <v>36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5">IFERROR(IF(K380="","",IF(K380&gt;=J380,K380-J380,K380+1-J380)),"")</f>
        <v>1.3888888888888895E-2</v>
      </c>
      <c r="M380" s="11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5</v>
      </c>
      <c r="F381" s="17">
        <f t="shared" si="84"/>
        <v>20</v>
      </c>
      <c r="G381" s="16" t="s">
        <v>19</v>
      </c>
      <c r="H381" s="16" t="s">
        <v>47</v>
      </c>
      <c r="I381" s="16" t="s">
        <v>27</v>
      </c>
      <c r="J381" s="13">
        <v>0.63749999999999996</v>
      </c>
      <c r="K381" s="13">
        <v>0.66041666666666665</v>
      </c>
      <c r="L381" s="71">
        <f t="shared" si="85"/>
        <v>2.2916666666666696E-2</v>
      </c>
      <c r="M381" s="11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6"/>
      <c r="J382" s="13"/>
      <c r="K382" s="13"/>
      <c r="L382" s="70" t="str">
        <f t="shared" si="85"/>
        <v/>
      </c>
      <c r="M382" s="11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7</v>
      </c>
      <c r="F383" s="17">
        <f t="shared" si="84"/>
        <v>28</v>
      </c>
      <c r="G383" s="16"/>
      <c r="H383" s="16"/>
      <c r="I383" s="16"/>
      <c r="J383" s="13"/>
      <c r="K383" s="13"/>
      <c r="L383" s="71" t="str">
        <f t="shared" si="85"/>
        <v/>
      </c>
      <c r="M383" s="11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11</v>
      </c>
      <c r="F384" s="12">
        <f t="shared" si="84"/>
        <v>44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8</v>
      </c>
      <c r="F385" s="17">
        <f t="shared" si="84"/>
        <v>32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15</v>
      </c>
      <c r="F386" s="12">
        <f t="shared" si="84"/>
        <v>60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7</v>
      </c>
      <c r="F387" s="17">
        <f t="shared" si="84"/>
        <v>28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15</v>
      </c>
      <c r="F388" s="12">
        <f t="shared" si="84"/>
        <v>60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14</v>
      </c>
      <c r="F389" s="17">
        <f t="shared" si="84"/>
        <v>56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14</v>
      </c>
      <c r="F390" s="12">
        <f t="shared" si="84"/>
        <v>56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9</v>
      </c>
      <c r="F391" s="17">
        <f t="shared" si="84"/>
        <v>36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30"/>
    </row>
    <row r="392" spans="1:14" ht="15.75" customHeight="1">
      <c r="A392" s="19" t="s">
        <v>191</v>
      </c>
      <c r="B392" s="19"/>
      <c r="C392" s="10"/>
      <c r="D392" s="19"/>
      <c r="E392" s="19">
        <f>SUM(E380:E391)</f>
        <v>122</v>
      </c>
      <c r="F392" s="19">
        <f>SUM(F380:F391)</f>
        <v>488</v>
      </c>
      <c r="G392" s="18"/>
      <c r="H392" s="18"/>
      <c r="I392" s="18"/>
      <c r="J392" s="18"/>
      <c r="K392" s="18"/>
      <c r="L392" s="72">
        <f>IFERROR(SUM(L380:L391),"")</f>
        <v>3.6805555555555591E-2</v>
      </c>
      <c r="M392" s="19" t="s">
        <v>192</v>
      </c>
      <c r="N392" s="20">
        <v>506470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8</v>
      </c>
      <c r="F393" s="17">
        <f t="shared" ref="F393:F404" si="87">IF(E393="","",E393*4)</f>
        <v>32</v>
      </c>
      <c r="G393" s="16" t="s">
        <v>17</v>
      </c>
      <c r="H393" s="16" t="s">
        <v>157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8</v>
      </c>
      <c r="F394" s="12">
        <f t="shared" si="87"/>
        <v>32</v>
      </c>
      <c r="G394" s="10"/>
      <c r="H394" s="10"/>
      <c r="I394" s="10"/>
      <c r="J394" s="13"/>
      <c r="K394" s="13"/>
      <c r="L394" s="70" t="str">
        <f t="shared" si="88"/>
        <v/>
      </c>
      <c r="M394" s="11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3</v>
      </c>
      <c r="F395" s="17">
        <f t="shared" si="87"/>
        <v>12</v>
      </c>
      <c r="G395" s="16"/>
      <c r="H395" s="16"/>
      <c r="I395" s="16"/>
      <c r="J395" s="13"/>
      <c r="K395" s="13"/>
      <c r="L395" s="71" t="str">
        <f t="shared" si="88"/>
        <v/>
      </c>
      <c r="M395" s="11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9</v>
      </c>
      <c r="F396" s="12">
        <f t="shared" si="87"/>
        <v>36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5</v>
      </c>
      <c r="F397" s="17">
        <f t="shared" si="87"/>
        <v>20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6</v>
      </c>
      <c r="F398" s="12">
        <f t="shared" si="87"/>
        <v>24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2</v>
      </c>
      <c r="F399" s="17">
        <f t="shared" si="87"/>
        <v>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11</v>
      </c>
      <c r="F400" s="12">
        <f t="shared" si="87"/>
        <v>44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0</v>
      </c>
      <c r="F401" s="17">
        <f t="shared" si="87"/>
        <v>0</v>
      </c>
      <c r="G401" s="16"/>
      <c r="H401" s="16"/>
      <c r="I401" s="16"/>
      <c r="J401" s="13"/>
      <c r="K401" s="13"/>
      <c r="L401" s="71" t="str">
        <f t="shared" si="88"/>
        <v/>
      </c>
      <c r="M401" s="11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8</v>
      </c>
      <c r="F402" s="12">
        <f t="shared" si="87"/>
        <v>32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2</v>
      </c>
      <c r="F403" s="17">
        <f t="shared" si="87"/>
        <v>8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4</v>
      </c>
      <c r="F404" s="12">
        <f t="shared" si="87"/>
        <v>16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30"/>
    </row>
    <row r="405" spans="1:14" ht="15.75" customHeight="1">
      <c r="A405" s="105" t="s">
        <v>193</v>
      </c>
      <c r="B405" s="105"/>
      <c r="C405" s="105"/>
      <c r="D405" s="105"/>
      <c r="E405" s="19">
        <f>SUM(E393:E404)</f>
        <v>66</v>
      </c>
      <c r="F405" s="19">
        <f>SUM(F393:F404)</f>
        <v>264</v>
      </c>
      <c r="G405" s="18"/>
      <c r="H405" s="18"/>
      <c r="I405" s="18"/>
      <c r="J405" s="18"/>
      <c r="K405" s="18"/>
      <c r="L405" s="72">
        <f>IFERROR(SUM(L393:L404),"")</f>
        <v>1.0416666666666741E-2</v>
      </c>
      <c r="M405" s="19" t="s">
        <v>192</v>
      </c>
      <c r="N405" s="20">
        <v>340530</v>
      </c>
    </row>
    <row r="406" spans="1:14" ht="18" customHeight="1">
      <c r="A406" s="98" t="s">
        <v>194</v>
      </c>
      <c r="B406" s="98"/>
      <c r="C406" s="98"/>
      <c r="D406" s="98"/>
      <c r="E406" s="22">
        <f>E392+E405</f>
        <v>188</v>
      </c>
      <c r="F406" s="22">
        <f>F392+F405</f>
        <v>752</v>
      </c>
      <c r="G406" s="21"/>
      <c r="H406" s="21"/>
      <c r="I406" s="21"/>
      <c r="J406" s="21"/>
      <c r="K406" s="21"/>
      <c r="L406" s="73">
        <f>IFERROR(L392+L405,"")</f>
        <v>4.7222222222222332E-2</v>
      </c>
      <c r="M406" s="22" t="s">
        <v>195</v>
      </c>
      <c r="N406" s="31">
        <f>IFERROR(N392+N405,"")</f>
        <v>847000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10</v>
      </c>
      <c r="F407" s="17">
        <f t="shared" ref="F407:F418" si="90">IF(E407="","",E407*4)</f>
        <v>40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11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14</v>
      </c>
      <c r="F408" s="12">
        <f t="shared" si="90"/>
        <v>56</v>
      </c>
      <c r="G408" s="10"/>
      <c r="H408" s="10"/>
      <c r="I408" s="10"/>
      <c r="J408" s="13"/>
      <c r="K408" s="13"/>
      <c r="L408" s="70" t="str">
        <f t="shared" si="91"/>
        <v/>
      </c>
      <c r="M408" s="11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112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11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19</v>
      </c>
      <c r="H410" s="10" t="s">
        <v>47</v>
      </c>
      <c r="I410" s="10" t="s">
        <v>27</v>
      </c>
      <c r="J410" s="13">
        <v>0.66666666666666663</v>
      </c>
      <c r="K410" s="13">
        <v>0.70138888888888884</v>
      </c>
      <c r="L410" s="70">
        <f t="shared" si="91"/>
        <v>3.472222222222221E-2</v>
      </c>
      <c r="M410" s="11"/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11</v>
      </c>
      <c r="F413" s="17">
        <f t="shared" si="90"/>
        <v>44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9</v>
      </c>
      <c r="F414" s="12">
        <f t="shared" si="90"/>
        <v>36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1</v>
      </c>
      <c r="F415" s="17">
        <f t="shared" si="90"/>
        <v>4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2</v>
      </c>
      <c r="F416" s="12">
        <f t="shared" si="90"/>
        <v>8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0</v>
      </c>
      <c r="F417" s="17">
        <f t="shared" si="90"/>
        <v>0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22</v>
      </c>
      <c r="E418" s="11">
        <v>3</v>
      </c>
      <c r="F418" s="12">
        <f t="shared" si="90"/>
        <v>12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30"/>
    </row>
    <row r="419" spans="1:14" ht="15.75" customHeight="1">
      <c r="A419" s="105" t="s">
        <v>191</v>
      </c>
      <c r="B419" s="105"/>
      <c r="C419" s="105"/>
      <c r="D419" s="105"/>
      <c r="E419" s="19">
        <f>SUM(E407:E418)</f>
        <v>85</v>
      </c>
      <c r="F419" s="19">
        <f>SUM(F407:F418)</f>
        <v>340</v>
      </c>
      <c r="G419" s="18"/>
      <c r="H419" s="18"/>
      <c r="I419" s="18"/>
      <c r="J419" s="18"/>
      <c r="K419" s="18"/>
      <c r="L419" s="72">
        <f>IFERROR(SUM(L407:L418),"")</f>
        <v>4.1666666666666685E-2</v>
      </c>
      <c r="M419" s="19" t="s">
        <v>192</v>
      </c>
      <c r="N419" s="20">
        <v>313490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6</v>
      </c>
      <c r="F420" s="12">
        <f t="shared" ref="F420:F431" si="93">IF(E420="","",E420*4)</f>
        <v>24</v>
      </c>
      <c r="G420" s="10" t="s">
        <v>19</v>
      </c>
      <c r="H420" s="10" t="s">
        <v>47</v>
      </c>
      <c r="I420" s="10" t="s">
        <v>78</v>
      </c>
      <c r="J420" s="13">
        <v>0.90277777777777779</v>
      </c>
      <c r="K420" s="13">
        <v>0.92222222222222228</v>
      </c>
      <c r="L420" s="70">
        <f t="shared" ref="L420:L431" si="94">IFERROR(IF(K420="","",IF(K420&gt;=J420,K420-J420,K420+1-J420)),"")</f>
        <v>1.9444444444444486E-2</v>
      </c>
      <c r="M420" s="11"/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4</v>
      </c>
      <c r="F421" s="17">
        <f t="shared" si="93"/>
        <v>16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15</v>
      </c>
      <c r="F422" s="12">
        <f t="shared" si="93"/>
        <v>60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0</v>
      </c>
      <c r="F423" s="17">
        <f t="shared" si="93"/>
        <v>0</v>
      </c>
      <c r="G423" s="16" t="s">
        <v>20</v>
      </c>
      <c r="H423" s="16" t="s">
        <v>147</v>
      </c>
      <c r="I423" s="16" t="s">
        <v>114</v>
      </c>
      <c r="J423" s="13"/>
      <c r="K423" s="13"/>
      <c r="L423" s="71" t="str">
        <f t="shared" si="94"/>
        <v/>
      </c>
      <c r="M423" s="11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3</v>
      </c>
      <c r="F424" s="12">
        <f t="shared" si="93"/>
        <v>12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6</v>
      </c>
      <c r="F425" s="17">
        <f t="shared" si="93"/>
        <v>24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4</v>
      </c>
      <c r="F426" s="12">
        <f t="shared" si="93"/>
        <v>16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4</v>
      </c>
      <c r="F427" s="17">
        <f t="shared" si="93"/>
        <v>16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1</v>
      </c>
      <c r="F428" s="12">
        <f t="shared" si="93"/>
        <v>4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6</v>
      </c>
      <c r="F429" s="17">
        <f t="shared" si="93"/>
        <v>24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5</v>
      </c>
      <c r="F430" s="12">
        <f t="shared" si="93"/>
        <v>20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0</v>
      </c>
      <c r="F431" s="17">
        <f t="shared" si="93"/>
        <v>0</v>
      </c>
      <c r="G431" s="16" t="s">
        <v>20</v>
      </c>
      <c r="H431" s="16" t="s">
        <v>147</v>
      </c>
      <c r="I431" s="16" t="s">
        <v>114</v>
      </c>
      <c r="J431" s="13"/>
      <c r="K431" s="13"/>
      <c r="L431" s="71" t="str">
        <f t="shared" si="94"/>
        <v/>
      </c>
      <c r="M431" s="11"/>
      <c r="N431" s="30"/>
    </row>
    <row r="432" spans="1:14" ht="15.75" customHeight="1">
      <c r="A432" s="105" t="s">
        <v>193</v>
      </c>
      <c r="B432" s="105"/>
      <c r="C432" s="105"/>
      <c r="D432" s="105"/>
      <c r="E432" s="19">
        <f>SUM(E420:E431)</f>
        <v>54</v>
      </c>
      <c r="F432" s="19">
        <f>SUM(F420:F431)</f>
        <v>216</v>
      </c>
      <c r="G432" s="18"/>
      <c r="H432" s="18"/>
      <c r="I432" s="18"/>
      <c r="J432" s="18"/>
      <c r="K432" s="18"/>
      <c r="L432" s="72">
        <f>IFERROR(SUM(L420:L431),"")</f>
        <v>1.9444444444444486E-2</v>
      </c>
      <c r="M432" s="19" t="s">
        <v>192</v>
      </c>
      <c r="N432" s="20">
        <v>169230</v>
      </c>
    </row>
    <row r="433" spans="1:14" ht="18" customHeight="1">
      <c r="A433" s="98" t="s">
        <v>194</v>
      </c>
      <c r="B433" s="98"/>
      <c r="C433" s="98"/>
      <c r="D433" s="98"/>
      <c r="E433" s="22">
        <f>E419+E432</f>
        <v>139</v>
      </c>
      <c r="F433" s="22">
        <f>F419+F432</f>
        <v>556</v>
      </c>
      <c r="G433" s="21"/>
      <c r="H433" s="21"/>
      <c r="I433" s="21"/>
      <c r="J433" s="21"/>
      <c r="K433" s="21"/>
      <c r="L433" s="73">
        <f>IFERROR(L419+L432,"")</f>
        <v>6.1111111111111172E-2</v>
      </c>
      <c r="M433" s="22" t="s">
        <v>195</v>
      </c>
      <c r="N433" s="31">
        <f>IFERROR(N419+N432,"")</f>
        <v>482720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8</v>
      </c>
      <c r="F434" s="12">
        <f t="shared" ref="F434:F445" si="96">IF(E434="","",E434*4)</f>
        <v>32</v>
      </c>
      <c r="G434" s="10"/>
      <c r="H434" s="10"/>
      <c r="I434" s="10"/>
      <c r="J434" s="13"/>
      <c r="K434" s="13"/>
      <c r="L434" s="70" t="str">
        <f t="shared" ref="L434:L445" si="97">IFERROR(IF(K434="","",IF(K434&gt;=J434,K434-J434,K434+1-J434)),"")</f>
        <v/>
      </c>
      <c r="M434" s="11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8</v>
      </c>
      <c r="F436" s="12">
        <f t="shared" si="96"/>
        <v>32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6</v>
      </c>
      <c r="F437" s="17">
        <f t="shared" si="96"/>
        <v>24</v>
      </c>
      <c r="G437" s="16" t="s">
        <v>19</v>
      </c>
      <c r="H437" s="16" t="s">
        <v>47</v>
      </c>
      <c r="I437" s="16" t="s">
        <v>27</v>
      </c>
      <c r="J437" s="13">
        <v>0.48194444444444445</v>
      </c>
      <c r="K437" s="13">
        <v>0.48958333333333331</v>
      </c>
      <c r="L437" s="71">
        <f t="shared" si="97"/>
        <v>7.6388888888888618E-3</v>
      </c>
      <c r="M437" s="11" t="s">
        <v>313</v>
      </c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9</v>
      </c>
      <c r="F438" s="12">
        <f t="shared" si="96"/>
        <v>36</v>
      </c>
      <c r="G438" s="10" t="s">
        <v>20</v>
      </c>
      <c r="H438" s="10" t="s">
        <v>47</v>
      </c>
      <c r="I438" s="10" t="s">
        <v>51</v>
      </c>
      <c r="J438" s="13">
        <v>0.65486111111111112</v>
      </c>
      <c r="K438" s="13">
        <v>0.66388888888888886</v>
      </c>
      <c r="L438" s="70">
        <f t="shared" si="97"/>
        <v>9.0277777777777457E-3</v>
      </c>
      <c r="M438" s="11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4</v>
      </c>
      <c r="F439" s="17">
        <f t="shared" si="96"/>
        <v>16</v>
      </c>
      <c r="G439" s="16" t="s">
        <v>18</v>
      </c>
      <c r="H439" s="16" t="s">
        <v>141</v>
      </c>
      <c r="I439" s="16" t="s">
        <v>122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271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3</v>
      </c>
      <c r="F440" s="12">
        <f t="shared" si="96"/>
        <v>12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4</v>
      </c>
      <c r="F441" s="17">
        <f t="shared" si="96"/>
        <v>16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4</v>
      </c>
      <c r="F442" s="12">
        <f t="shared" si="96"/>
        <v>16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4</v>
      </c>
      <c r="F443" s="17">
        <f t="shared" si="96"/>
        <v>16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8</v>
      </c>
      <c r="F444" s="12">
        <f t="shared" si="96"/>
        <v>32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7</v>
      </c>
      <c r="F445" s="17">
        <f t="shared" si="96"/>
        <v>28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30"/>
    </row>
    <row r="446" spans="1:14" ht="15.75" customHeight="1">
      <c r="A446" s="105" t="s">
        <v>191</v>
      </c>
      <c r="B446" s="105"/>
      <c r="C446" s="105"/>
      <c r="D446" s="105"/>
      <c r="E446" s="19">
        <f>SUM(E434:E445)</f>
        <v>73</v>
      </c>
      <c r="F446" s="19">
        <f>SUM(F434:F445)</f>
        <v>292</v>
      </c>
      <c r="G446" s="18"/>
      <c r="H446" s="18"/>
      <c r="I446" s="18"/>
      <c r="J446" s="18"/>
      <c r="K446" s="18"/>
      <c r="L446" s="72">
        <f>IFERROR(SUM(L434:L445),"")</f>
        <v>3.7499999999999867E-2</v>
      </c>
      <c r="M446" s="19" t="s">
        <v>192</v>
      </c>
      <c r="N446" s="20">
        <v>269950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0</v>
      </c>
      <c r="F447" s="17">
        <f t="shared" ref="F447:F458" si="99">IF(E447="","",E447*4)</f>
        <v>0</v>
      </c>
      <c r="G447" s="16" t="s">
        <v>20</v>
      </c>
      <c r="H447" s="16" t="s">
        <v>47</v>
      </c>
      <c r="I447" s="16" t="s">
        <v>36</v>
      </c>
      <c r="J447" s="13">
        <v>0.79166666666666663</v>
      </c>
      <c r="K447" s="13">
        <v>0.83680555555555558</v>
      </c>
      <c r="L447" s="71">
        <f t="shared" ref="L447:L458" si="100">IFERROR(IF(K447="","",IF(K447&gt;=J447,K447-J447,K447+1-J447)),"")</f>
        <v>4.5138888888888951E-2</v>
      </c>
      <c r="M447" s="11" t="s">
        <v>314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1</v>
      </c>
      <c r="F448" s="12">
        <f t="shared" si="99"/>
        <v>4</v>
      </c>
      <c r="G448" s="10" t="s">
        <v>17</v>
      </c>
      <c r="H448" s="10"/>
      <c r="I448" s="10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11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3</v>
      </c>
      <c r="F449" s="17">
        <f t="shared" si="99"/>
        <v>12</v>
      </c>
      <c r="G449" s="16" t="s">
        <v>20</v>
      </c>
      <c r="H449" s="16" t="s">
        <v>149</v>
      </c>
      <c r="I449" s="16" t="s">
        <v>79</v>
      </c>
      <c r="J449" s="13">
        <v>0.25</v>
      </c>
      <c r="K449" s="13">
        <v>0.29166666666666669</v>
      </c>
      <c r="L449" s="71">
        <f t="shared" si="100"/>
        <v>4.1666666666666685E-2</v>
      </c>
      <c r="M449" s="11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8</v>
      </c>
      <c r="F450" s="12">
        <f t="shared" si="99"/>
        <v>32</v>
      </c>
      <c r="G450" s="10"/>
      <c r="H450" s="10"/>
      <c r="I450" s="10"/>
      <c r="J450" s="13"/>
      <c r="K450" s="13"/>
      <c r="L450" s="70" t="str">
        <f t="shared" si="100"/>
        <v/>
      </c>
      <c r="M450" s="11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3</v>
      </c>
      <c r="F451" s="17">
        <f t="shared" si="99"/>
        <v>12</v>
      </c>
      <c r="G451" s="16"/>
      <c r="H451" s="16"/>
      <c r="I451" s="16"/>
      <c r="J451" s="13"/>
      <c r="K451" s="13"/>
      <c r="L451" s="71" t="str">
        <f t="shared" si="100"/>
        <v/>
      </c>
      <c r="M451" s="11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11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11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4</v>
      </c>
      <c r="F454" s="12">
        <f t="shared" si="99"/>
        <v>16</v>
      </c>
      <c r="G454" s="10"/>
      <c r="H454" s="10"/>
      <c r="I454" s="10"/>
      <c r="J454" s="13"/>
      <c r="K454" s="13"/>
      <c r="L454" s="70" t="str">
        <f t="shared" si="100"/>
        <v/>
      </c>
      <c r="M454" s="11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4</v>
      </c>
      <c r="F455" s="17">
        <f t="shared" si="99"/>
        <v>16</v>
      </c>
      <c r="G455" s="16"/>
      <c r="H455" s="16"/>
      <c r="I455" s="16"/>
      <c r="J455" s="13"/>
      <c r="K455" s="13"/>
      <c r="L455" s="71" t="str">
        <f t="shared" si="100"/>
        <v/>
      </c>
      <c r="M455" s="11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4</v>
      </c>
      <c r="F456" s="12">
        <f t="shared" si="99"/>
        <v>16</v>
      </c>
      <c r="G456" s="10"/>
      <c r="H456" s="10"/>
      <c r="I456" s="10"/>
      <c r="J456" s="13"/>
      <c r="K456" s="13"/>
      <c r="L456" s="70" t="str">
        <f t="shared" si="100"/>
        <v/>
      </c>
      <c r="M456" s="11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4</v>
      </c>
      <c r="F457" s="17">
        <f t="shared" si="99"/>
        <v>16</v>
      </c>
      <c r="G457" s="16"/>
      <c r="H457" s="16"/>
      <c r="I457" s="16"/>
      <c r="J457" s="13"/>
      <c r="K457" s="13"/>
      <c r="L457" s="71" t="str">
        <f t="shared" si="100"/>
        <v/>
      </c>
      <c r="M457" s="11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0</v>
      </c>
      <c r="F458" s="12">
        <f t="shared" si="99"/>
        <v>0</v>
      </c>
      <c r="G458" s="10"/>
      <c r="H458" s="10"/>
      <c r="I458" s="10"/>
      <c r="J458" s="13"/>
      <c r="K458" s="13"/>
      <c r="L458" s="70" t="str">
        <f t="shared" si="100"/>
        <v/>
      </c>
      <c r="M458" s="11"/>
      <c r="N458" s="30"/>
    </row>
    <row r="459" spans="1:14" ht="15.75" customHeight="1">
      <c r="A459" s="105" t="s">
        <v>193</v>
      </c>
      <c r="B459" s="105"/>
      <c r="C459" s="105"/>
      <c r="D459" s="105"/>
      <c r="E459" s="19">
        <f>SUM(E447:E458)</f>
        <v>35</v>
      </c>
      <c r="F459" s="19">
        <f>SUM(F447:F458)</f>
        <v>140</v>
      </c>
      <c r="G459" s="18"/>
      <c r="H459" s="18"/>
      <c r="I459" s="18"/>
      <c r="J459" s="18"/>
      <c r="K459" s="18"/>
      <c r="L459" s="72">
        <f>IFERROR(SUM(L447:L458),"")</f>
        <v>0.12500000000000008</v>
      </c>
      <c r="M459" s="19" t="s">
        <v>192</v>
      </c>
      <c r="N459" s="20">
        <v>221750</v>
      </c>
    </row>
    <row r="460" spans="1:14" ht="18" customHeight="1">
      <c r="A460" s="98" t="s">
        <v>194</v>
      </c>
      <c r="B460" s="98"/>
      <c r="C460" s="98"/>
      <c r="D460" s="98"/>
      <c r="E460" s="22">
        <f>E446+E459</f>
        <v>108</v>
      </c>
      <c r="F460" s="22">
        <f>F446+F459</f>
        <v>432</v>
      </c>
      <c r="G460" s="21"/>
      <c r="H460" s="21"/>
      <c r="I460" s="21"/>
      <c r="J460" s="21"/>
      <c r="K460" s="21"/>
      <c r="L460" s="73">
        <f>IFERROR(L446+L459,"")</f>
        <v>0.16249999999999995</v>
      </c>
      <c r="M460" s="22" t="s">
        <v>195</v>
      </c>
      <c r="N460" s="31">
        <f>IFERROR(N446+N459,"")</f>
        <v>491700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5</v>
      </c>
      <c r="F461" s="17">
        <f t="shared" ref="F461:F472" si="102">IF(E461="","",E461*4)</f>
        <v>20</v>
      </c>
      <c r="G461" s="16" t="s">
        <v>18</v>
      </c>
      <c r="H461" s="16" t="s">
        <v>130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11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1</v>
      </c>
      <c r="F462" s="12">
        <f t="shared" si="102"/>
        <v>4</v>
      </c>
      <c r="G462" s="10" t="s">
        <v>19</v>
      </c>
      <c r="H462" s="10" t="s">
        <v>47</v>
      </c>
      <c r="I462" s="10" t="s">
        <v>27</v>
      </c>
      <c r="J462" s="13">
        <v>0.56736111111111109</v>
      </c>
      <c r="K462" s="13">
        <v>0.59583333333333333</v>
      </c>
      <c r="L462" s="70">
        <f t="shared" si="103"/>
        <v>2.8472222222222232E-2</v>
      </c>
      <c r="M462" s="11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3</v>
      </c>
      <c r="F463" s="17">
        <f t="shared" si="102"/>
        <v>12</v>
      </c>
      <c r="G463" s="16" t="s">
        <v>17</v>
      </c>
      <c r="H463" s="16"/>
      <c r="I463" s="16" t="s">
        <v>25</v>
      </c>
      <c r="J463" s="13">
        <v>0.67847222222222225</v>
      </c>
      <c r="K463" s="13">
        <v>0.69444444444444442</v>
      </c>
      <c r="L463" s="71">
        <f t="shared" si="103"/>
        <v>1.5972222222222165E-2</v>
      </c>
      <c r="M463" s="11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0</v>
      </c>
      <c r="F464" s="12">
        <f t="shared" si="102"/>
        <v>0</v>
      </c>
      <c r="G464" s="10" t="s">
        <v>18</v>
      </c>
      <c r="H464" s="10" t="s">
        <v>115</v>
      </c>
      <c r="I464" s="10" t="s">
        <v>273</v>
      </c>
      <c r="J464" s="13">
        <v>0.70833333333333337</v>
      </c>
      <c r="K464" s="13">
        <v>0.79166666666666663</v>
      </c>
      <c r="L464" s="70">
        <f t="shared" si="103"/>
        <v>8.3333333333333259E-2</v>
      </c>
      <c r="M464" s="11" t="s">
        <v>275</v>
      </c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6</v>
      </c>
      <c r="F465" s="17">
        <f t="shared" si="102"/>
        <v>24</v>
      </c>
      <c r="G465" s="16"/>
      <c r="H465" s="16"/>
      <c r="I465" s="16"/>
      <c r="J465" s="13"/>
      <c r="K465" s="13"/>
      <c r="L465" s="71" t="str">
        <f t="shared" si="103"/>
        <v/>
      </c>
      <c r="M465" s="11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12</v>
      </c>
      <c r="F466" s="12">
        <f t="shared" si="102"/>
        <v>48</v>
      </c>
      <c r="G466" s="10"/>
      <c r="H466" s="10"/>
      <c r="I466" s="10"/>
      <c r="J466" s="13"/>
      <c r="K466" s="13"/>
      <c r="L466" s="70" t="str">
        <f t="shared" si="103"/>
        <v/>
      </c>
      <c r="M466" s="11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3</v>
      </c>
      <c r="F467" s="17">
        <f t="shared" si="102"/>
        <v>12</v>
      </c>
      <c r="G467" s="16"/>
      <c r="H467" s="16"/>
      <c r="I467" s="16"/>
      <c r="J467" s="13"/>
      <c r="K467" s="13"/>
      <c r="L467" s="71" t="str">
        <f t="shared" si="103"/>
        <v/>
      </c>
      <c r="M467" s="11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11</v>
      </c>
      <c r="F468" s="12">
        <f t="shared" si="102"/>
        <v>44</v>
      </c>
      <c r="G468" s="10"/>
      <c r="H468" s="10"/>
      <c r="I468" s="10"/>
      <c r="J468" s="13"/>
      <c r="K468" s="13"/>
      <c r="L468" s="70" t="str">
        <f t="shared" si="103"/>
        <v/>
      </c>
      <c r="M468" s="11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5</v>
      </c>
      <c r="F469" s="17">
        <f t="shared" si="102"/>
        <v>20</v>
      </c>
      <c r="G469" s="16"/>
      <c r="H469" s="16"/>
      <c r="I469" s="16"/>
      <c r="J469" s="13"/>
      <c r="K469" s="13"/>
      <c r="L469" s="71" t="str">
        <f t="shared" si="103"/>
        <v/>
      </c>
      <c r="M469" s="11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5</v>
      </c>
      <c r="F470" s="12">
        <f t="shared" si="102"/>
        <v>20</v>
      </c>
      <c r="G470" s="10"/>
      <c r="H470" s="10"/>
      <c r="I470" s="10"/>
      <c r="J470" s="13"/>
      <c r="K470" s="13"/>
      <c r="L470" s="70" t="str">
        <f t="shared" si="103"/>
        <v/>
      </c>
      <c r="M470" s="11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5</v>
      </c>
      <c r="F471" s="17">
        <f t="shared" si="102"/>
        <v>20</v>
      </c>
      <c r="G471" s="16"/>
      <c r="H471" s="16"/>
      <c r="I471" s="16"/>
      <c r="J471" s="13"/>
      <c r="K471" s="13"/>
      <c r="L471" s="71" t="str">
        <f t="shared" si="103"/>
        <v/>
      </c>
      <c r="M471" s="11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11" t="s">
        <v>275</v>
      </c>
      <c r="N472" s="30"/>
    </row>
    <row r="473" spans="1:14" ht="15.75" customHeight="1">
      <c r="A473" s="105" t="s">
        <v>191</v>
      </c>
      <c r="B473" s="105"/>
      <c r="C473" s="105"/>
      <c r="D473" s="105"/>
      <c r="E473" s="19">
        <f>SUM(E461:E472)</f>
        <v>56</v>
      </c>
      <c r="F473" s="19">
        <f>SUM(F461:F472)</f>
        <v>224</v>
      </c>
      <c r="G473" s="18"/>
      <c r="H473" s="18"/>
      <c r="I473" s="18"/>
      <c r="J473" s="18"/>
      <c r="K473" s="18"/>
      <c r="L473" s="72">
        <f>IFERROR(SUM(L461:L472),"")</f>
        <v>0.14861111111111097</v>
      </c>
      <c r="M473" s="19" t="s">
        <v>192</v>
      </c>
      <c r="N473" s="20">
        <v>208000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8</v>
      </c>
      <c r="F474" s="12">
        <f t="shared" ref="F474:F485" si="105">IF(E474="","",E474*4)</f>
        <v>32</v>
      </c>
      <c r="G474" s="10" t="s">
        <v>17</v>
      </c>
      <c r="H474" s="10" t="s">
        <v>90</v>
      </c>
      <c r="I474" s="10" t="s">
        <v>77</v>
      </c>
      <c r="J474" s="13">
        <v>0.24027777777777778</v>
      </c>
      <c r="K474" s="13"/>
      <c r="L474" s="70" t="str">
        <f t="shared" ref="L474:L485" si="106">IFERROR(IF(K474="","",IF(K474&gt;=J474,K474-J474,K474+1-J474)),"")</f>
        <v/>
      </c>
      <c r="M474" s="11"/>
      <c r="N474" s="30"/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0" t="s">
        <v>21</v>
      </c>
      <c r="D475" s="10" t="s">
        <v>30</v>
      </c>
      <c r="E475" s="11">
        <v>3</v>
      </c>
      <c r="F475" s="17">
        <f t="shared" si="105"/>
        <v>12</v>
      </c>
      <c r="G475" s="16"/>
      <c r="H475" s="16"/>
      <c r="I475" s="16"/>
      <c r="J475" s="13"/>
      <c r="K475" s="13"/>
      <c r="L475" s="71" t="str">
        <f t="shared" si="106"/>
        <v/>
      </c>
      <c r="M475" s="11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0" t="s">
        <v>21</v>
      </c>
      <c r="D476" s="10" t="s">
        <v>30</v>
      </c>
      <c r="E476" s="11">
        <v>6</v>
      </c>
      <c r="F476" s="12">
        <f t="shared" si="105"/>
        <v>24</v>
      </c>
      <c r="G476" s="10"/>
      <c r="H476" s="10"/>
      <c r="I476" s="10"/>
      <c r="J476" s="13"/>
      <c r="K476" s="13"/>
      <c r="L476" s="70" t="str">
        <f t="shared" si="106"/>
        <v/>
      </c>
      <c r="M476" s="11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0" t="s">
        <v>21</v>
      </c>
      <c r="D477" s="10" t="s">
        <v>30</v>
      </c>
      <c r="E477" s="11">
        <v>6</v>
      </c>
      <c r="F477" s="17">
        <f t="shared" si="105"/>
        <v>24</v>
      </c>
      <c r="G477" s="16"/>
      <c r="H477" s="16"/>
      <c r="I477" s="16"/>
      <c r="J477" s="13"/>
      <c r="K477" s="13"/>
      <c r="L477" s="71" t="str">
        <f t="shared" si="106"/>
        <v/>
      </c>
      <c r="M477" s="11"/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0" t="s">
        <v>21</v>
      </c>
      <c r="D478" s="10" t="s">
        <v>30</v>
      </c>
      <c r="E478" s="11">
        <v>5</v>
      </c>
      <c r="F478" s="12">
        <f t="shared" si="105"/>
        <v>20</v>
      </c>
      <c r="G478" s="10"/>
      <c r="H478" s="10"/>
      <c r="I478" s="10"/>
      <c r="J478" s="13"/>
      <c r="K478" s="13"/>
      <c r="L478" s="70" t="str">
        <f t="shared" si="106"/>
        <v/>
      </c>
      <c r="M478" s="11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0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11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0" t="s">
        <v>21</v>
      </c>
      <c r="D480" s="10" t="s">
        <v>30</v>
      </c>
      <c r="E480" s="11">
        <v>4</v>
      </c>
      <c r="F480" s="12">
        <f t="shared" si="105"/>
        <v>16</v>
      </c>
      <c r="G480" s="10"/>
      <c r="H480" s="10"/>
      <c r="I480" s="10"/>
      <c r="J480" s="13"/>
      <c r="K480" s="13"/>
      <c r="L480" s="70" t="str">
        <f t="shared" si="106"/>
        <v/>
      </c>
      <c r="M480" s="11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0" t="s">
        <v>21</v>
      </c>
      <c r="D481" s="10" t="s">
        <v>30</v>
      </c>
      <c r="E481" s="11">
        <v>4</v>
      </c>
      <c r="F481" s="17">
        <f t="shared" si="105"/>
        <v>16</v>
      </c>
      <c r="G481" s="16"/>
      <c r="H481" s="16"/>
      <c r="I481" s="16"/>
      <c r="J481" s="13"/>
      <c r="K481" s="13"/>
      <c r="L481" s="71" t="str">
        <f t="shared" si="106"/>
        <v/>
      </c>
      <c r="M481" s="11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0" t="s">
        <v>21</v>
      </c>
      <c r="D482" s="10" t="s">
        <v>30</v>
      </c>
      <c r="E482" s="11">
        <v>6</v>
      </c>
      <c r="F482" s="12">
        <f t="shared" si="105"/>
        <v>24</v>
      </c>
      <c r="G482" s="10"/>
      <c r="H482" s="10"/>
      <c r="I482" s="10"/>
      <c r="J482" s="13"/>
      <c r="K482" s="13"/>
      <c r="L482" s="70" t="str">
        <f t="shared" si="106"/>
        <v/>
      </c>
      <c r="M482" s="11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0" t="s">
        <v>21</v>
      </c>
      <c r="D483" s="10" t="s">
        <v>30</v>
      </c>
      <c r="E483" s="11">
        <v>2</v>
      </c>
      <c r="F483" s="17">
        <f t="shared" si="105"/>
        <v>8</v>
      </c>
      <c r="G483" s="16"/>
      <c r="H483" s="16"/>
      <c r="I483" s="16"/>
      <c r="J483" s="13"/>
      <c r="K483" s="13"/>
      <c r="L483" s="71" t="str">
        <f t="shared" si="106"/>
        <v/>
      </c>
      <c r="M483" s="11"/>
      <c r="N483" s="30"/>
    </row>
    <row r="484" spans="1:14" ht="15" customHeight="1">
      <c r="A484" s="58">
        <v>46191</v>
      </c>
      <c r="B484" s="9">
        <f t="shared" si="107"/>
        <v>1.25</v>
      </c>
      <c r="C484" s="10" t="s">
        <v>21</v>
      </c>
      <c r="D484" s="10" t="s">
        <v>30</v>
      </c>
      <c r="E484" s="11">
        <v>4</v>
      </c>
      <c r="F484" s="12">
        <f t="shared" si="105"/>
        <v>16</v>
      </c>
      <c r="G484" s="10"/>
      <c r="H484" s="10"/>
      <c r="I484" s="10"/>
      <c r="J484" s="13"/>
      <c r="K484" s="13"/>
      <c r="L484" s="70" t="str">
        <f t="shared" si="106"/>
        <v/>
      </c>
      <c r="M484" s="11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0" t="s">
        <v>21</v>
      </c>
      <c r="D485" s="10" t="s">
        <v>30</v>
      </c>
      <c r="E485" s="11">
        <v>6</v>
      </c>
      <c r="F485" s="17">
        <f t="shared" si="105"/>
        <v>24</v>
      </c>
      <c r="G485" s="16"/>
      <c r="H485" s="16"/>
      <c r="I485" s="16"/>
      <c r="J485" s="13"/>
      <c r="K485" s="13"/>
      <c r="L485" s="71" t="str">
        <f t="shared" si="106"/>
        <v/>
      </c>
      <c r="M485" s="11"/>
      <c r="N485" s="30"/>
    </row>
    <row r="486" spans="1:14" ht="15.75" customHeight="1">
      <c r="A486" s="105" t="s">
        <v>193</v>
      </c>
      <c r="B486" s="105"/>
      <c r="C486" s="105"/>
      <c r="D486" s="105"/>
      <c r="E486" s="19">
        <f>SUM(E474:E485)</f>
        <v>60</v>
      </c>
      <c r="F486" s="19">
        <f>SUM(F474:F485)</f>
        <v>240</v>
      </c>
      <c r="G486" s="18"/>
      <c r="H486" s="18"/>
      <c r="I486" s="18"/>
      <c r="J486" s="18"/>
      <c r="K486" s="18"/>
      <c r="L486" s="72">
        <f>IFERROR(SUM(L474:L485),"")</f>
        <v>0</v>
      </c>
      <c r="M486" s="19" t="s">
        <v>192</v>
      </c>
      <c r="N486" s="20">
        <v>240000</v>
      </c>
    </row>
    <row r="487" spans="1:14" ht="18" customHeight="1">
      <c r="A487" s="98" t="s">
        <v>194</v>
      </c>
      <c r="B487" s="98"/>
      <c r="C487" s="98"/>
      <c r="D487" s="98"/>
      <c r="E487" s="22">
        <f>E473+E486</f>
        <v>116</v>
      </c>
      <c r="F487" s="22">
        <f>F473+F486</f>
        <v>464</v>
      </c>
      <c r="G487" s="21"/>
      <c r="H487" s="21"/>
      <c r="I487" s="21"/>
      <c r="J487" s="21"/>
      <c r="K487" s="21"/>
      <c r="L487" s="73">
        <f>IFERROR(L473+L486,"")</f>
        <v>0.14861111111111097</v>
      </c>
      <c r="M487" s="22" t="s">
        <v>195</v>
      </c>
      <c r="N487" s="31">
        <f>IFERROR(N473+N486,"")</f>
        <v>448000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6</v>
      </c>
      <c r="F488" s="12">
        <f>IF(E488="","",E488*4)</f>
        <v>24</v>
      </c>
      <c r="G488" s="10" t="s">
        <v>20</v>
      </c>
      <c r="H488" s="10" t="s">
        <v>47</v>
      </c>
      <c r="I488" s="10" t="s">
        <v>36</v>
      </c>
      <c r="J488" s="13">
        <v>0.39027777777777778</v>
      </c>
      <c r="K488" s="13">
        <v>0.40972222222222221</v>
      </c>
      <c r="L488" s="70">
        <f t="shared" ref="L488:L499" si="108">IFERROR(IF(K488="","",IF(K488&gt;=J488,K488-J488,K488+1-J488)),"")</f>
        <v>1.9444444444444431E-2</v>
      </c>
      <c r="M488" s="11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10</v>
      </c>
      <c r="F489" s="17">
        <f t="shared" ref="F489:F499" si="110">IF(E489="","",E489*4)</f>
        <v>40</v>
      </c>
      <c r="G489" s="16" t="s">
        <v>19</v>
      </c>
      <c r="H489" s="16" t="s">
        <v>47</v>
      </c>
      <c r="I489" s="16" t="s">
        <v>27</v>
      </c>
      <c r="J489" s="13">
        <v>0.4236111111111111</v>
      </c>
      <c r="K489" s="13">
        <v>0.4513888888888889</v>
      </c>
      <c r="L489" s="71">
        <f t="shared" si="108"/>
        <v>2.777777777777779E-2</v>
      </c>
      <c r="M489" s="11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0"/>
        <v>0</v>
      </c>
      <c r="G490" s="10" t="s">
        <v>20</v>
      </c>
      <c r="H490" s="10" t="s">
        <v>47</v>
      </c>
      <c r="I490" s="10" t="s">
        <v>36</v>
      </c>
      <c r="J490" s="13">
        <v>0.6875</v>
      </c>
      <c r="K490" s="13">
        <v>0.75486111111111109</v>
      </c>
      <c r="L490" s="70">
        <f t="shared" si="108"/>
        <v>6.7361111111111094E-2</v>
      </c>
      <c r="M490" s="11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0"/>
        <v>0</v>
      </c>
      <c r="G491" s="16"/>
      <c r="H491" s="16"/>
      <c r="I491" s="16"/>
      <c r="J491" s="13"/>
      <c r="K491" s="13"/>
      <c r="L491" s="71" t="str">
        <f t="shared" si="108"/>
        <v/>
      </c>
      <c r="M491" s="11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0</v>
      </c>
      <c r="F492" s="12">
        <f t="shared" si="110"/>
        <v>0</v>
      </c>
      <c r="G492" s="10"/>
      <c r="H492" s="10"/>
      <c r="I492" s="10"/>
      <c r="J492" s="13"/>
      <c r="K492" s="13"/>
      <c r="L492" s="70" t="str">
        <f t="shared" si="108"/>
        <v/>
      </c>
      <c r="M492" s="11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</v>
      </c>
      <c r="F493" s="17">
        <f t="shared" si="110"/>
        <v>4</v>
      </c>
      <c r="G493" s="16"/>
      <c r="H493" s="16"/>
      <c r="I493" s="16"/>
      <c r="J493" s="13"/>
      <c r="K493" s="13"/>
      <c r="L493" s="71" t="str">
        <f t="shared" si="108"/>
        <v/>
      </c>
      <c r="M493" s="11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/>
      <c r="H494" s="10"/>
      <c r="I494" s="10"/>
      <c r="J494" s="13"/>
      <c r="K494" s="13"/>
      <c r="L494" s="70" t="str">
        <f t="shared" si="108"/>
        <v/>
      </c>
      <c r="M494" s="11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4</v>
      </c>
      <c r="F495" s="17">
        <f t="shared" si="110"/>
        <v>16</v>
      </c>
      <c r="G495" s="16"/>
      <c r="H495" s="16"/>
      <c r="I495" s="16"/>
      <c r="J495" s="13"/>
      <c r="K495" s="13"/>
      <c r="L495" s="71" t="str">
        <f t="shared" si="108"/>
        <v/>
      </c>
      <c r="M495" s="11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8</v>
      </c>
      <c r="F496" s="12">
        <f t="shared" si="110"/>
        <v>32</v>
      </c>
      <c r="G496" s="10"/>
      <c r="H496" s="10"/>
      <c r="I496" s="10"/>
      <c r="J496" s="13"/>
      <c r="K496" s="13"/>
      <c r="L496" s="70" t="str">
        <f t="shared" si="108"/>
        <v/>
      </c>
      <c r="M496" s="11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/>
      <c r="F497" s="17" t="str">
        <f t="shared" si="110"/>
        <v/>
      </c>
      <c r="G497" s="16"/>
      <c r="H497" s="16"/>
      <c r="I497" s="16"/>
      <c r="J497" s="13"/>
      <c r="K497" s="13"/>
      <c r="L497" s="71" t="str">
        <f t="shared" si="108"/>
        <v/>
      </c>
      <c r="M497" s="11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3</v>
      </c>
      <c r="F498" s="12">
        <f t="shared" si="110"/>
        <v>12</v>
      </c>
      <c r="G498" s="10"/>
      <c r="H498" s="10"/>
      <c r="I498" s="10"/>
      <c r="J498" s="13"/>
      <c r="K498" s="13"/>
      <c r="L498" s="70" t="str">
        <f t="shared" si="108"/>
        <v/>
      </c>
      <c r="M498" s="11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/>
      <c r="F499" s="17" t="str">
        <f t="shared" si="110"/>
        <v/>
      </c>
      <c r="G499" s="16"/>
      <c r="H499" s="16"/>
      <c r="I499" s="16"/>
      <c r="J499" s="13"/>
      <c r="K499" s="13"/>
      <c r="L499" s="71" t="str">
        <f t="shared" si="108"/>
        <v/>
      </c>
      <c r="M499" s="11"/>
      <c r="N499" s="30"/>
    </row>
    <row r="500" spans="1:14" ht="15.75" customHeight="1">
      <c r="A500" s="105" t="s">
        <v>191</v>
      </c>
      <c r="B500" s="105"/>
      <c r="C500" s="105"/>
      <c r="D500" s="105"/>
      <c r="E500" s="19">
        <f>SUM(E488:E499)</f>
        <v>37</v>
      </c>
      <c r="F500" s="19">
        <f>SUM(F488:F499)</f>
        <v>148</v>
      </c>
      <c r="G500" s="18"/>
      <c r="H500" s="18"/>
      <c r="I500" s="18"/>
      <c r="J500" s="18"/>
      <c r="K500" s="18"/>
      <c r="L500" s="72">
        <f>IFERROR(SUM(L488:L499),"")</f>
        <v>0.11458333333333331</v>
      </c>
      <c r="M500" s="19" t="s">
        <v>192</v>
      </c>
      <c r="N500" s="20">
        <f>39010+12770+77040</f>
        <v>128820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0</v>
      </c>
      <c r="F501" s="17">
        <f t="shared" ref="F501:F512" si="111">IF(E501="","",E501*4)</f>
        <v>0</v>
      </c>
      <c r="G501" s="16" t="s">
        <v>17</v>
      </c>
      <c r="H501" s="16" t="s">
        <v>47</v>
      </c>
      <c r="I501" s="16" t="s">
        <v>81</v>
      </c>
      <c r="J501" s="13">
        <v>0.79166666666666663</v>
      </c>
      <c r="K501" s="13">
        <v>0.29166666666666669</v>
      </c>
      <c r="L501" s="71">
        <f t="shared" ref="L501:L512" si="112">IFERROR(IF(K501="","",IF(K501&gt;=J501,K501-J501,K501+1-J501)),"")</f>
        <v>0.50000000000000011</v>
      </c>
      <c r="M501" s="11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3</v>
      </c>
      <c r="F502" s="12">
        <f t="shared" si="111"/>
        <v>12</v>
      </c>
      <c r="G502" s="10"/>
      <c r="H502" s="10"/>
      <c r="I502" s="10"/>
      <c r="J502" s="13"/>
      <c r="K502" s="13"/>
      <c r="L502" s="70" t="str">
        <f t="shared" si="112"/>
        <v/>
      </c>
      <c r="M502" s="11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0</v>
      </c>
      <c r="F503" s="17">
        <f t="shared" si="111"/>
        <v>0</v>
      </c>
      <c r="G503" s="16"/>
      <c r="H503" s="16"/>
      <c r="I503" s="16"/>
      <c r="J503" s="13"/>
      <c r="K503" s="13"/>
      <c r="L503" s="71" t="str">
        <f t="shared" si="112"/>
        <v/>
      </c>
      <c r="M503" s="11"/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0</v>
      </c>
      <c r="F504" s="12">
        <f t="shared" si="111"/>
        <v>0</v>
      </c>
      <c r="G504" s="10"/>
      <c r="H504" s="10"/>
      <c r="I504" s="10"/>
      <c r="J504" s="13"/>
      <c r="K504" s="13"/>
      <c r="L504" s="70" t="str">
        <f t="shared" si="112"/>
        <v/>
      </c>
      <c r="M504" s="11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0</v>
      </c>
      <c r="F505" s="17">
        <f t="shared" si="111"/>
        <v>0</v>
      </c>
      <c r="G505" s="16"/>
      <c r="H505" s="16"/>
      <c r="I505" s="16"/>
      <c r="J505" s="13"/>
      <c r="K505" s="13"/>
      <c r="L505" s="71" t="str">
        <f t="shared" si="112"/>
        <v/>
      </c>
      <c r="M505" s="11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0</v>
      </c>
      <c r="F506" s="12">
        <f t="shared" si="111"/>
        <v>0</v>
      </c>
      <c r="G506" s="10"/>
      <c r="H506" s="10"/>
      <c r="I506" s="10"/>
      <c r="J506" s="13"/>
      <c r="K506" s="13"/>
      <c r="L506" s="70" t="str">
        <f t="shared" si="112"/>
        <v/>
      </c>
      <c r="M506" s="11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0</v>
      </c>
      <c r="F507" s="17">
        <f t="shared" si="111"/>
        <v>0</v>
      </c>
      <c r="G507" s="16"/>
      <c r="H507" s="16"/>
      <c r="I507" s="16"/>
      <c r="J507" s="13"/>
      <c r="K507" s="13"/>
      <c r="L507" s="71" t="str">
        <f t="shared" si="112"/>
        <v/>
      </c>
      <c r="M507" s="11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0</v>
      </c>
      <c r="F508" s="12">
        <f t="shared" si="111"/>
        <v>0</v>
      </c>
      <c r="G508" s="10"/>
      <c r="H508" s="10"/>
      <c r="I508" s="10"/>
      <c r="J508" s="13"/>
      <c r="K508" s="13"/>
      <c r="L508" s="70" t="str">
        <f t="shared" si="112"/>
        <v/>
      </c>
      <c r="M508" s="11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0</v>
      </c>
      <c r="F509" s="17">
        <f t="shared" si="111"/>
        <v>0</v>
      </c>
      <c r="G509" s="16"/>
      <c r="H509" s="16"/>
      <c r="I509" s="16"/>
      <c r="J509" s="13"/>
      <c r="K509" s="13"/>
      <c r="L509" s="71" t="str">
        <f t="shared" si="112"/>
        <v/>
      </c>
      <c r="M509" s="11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0</v>
      </c>
      <c r="F510" s="12">
        <f t="shared" si="111"/>
        <v>0</v>
      </c>
      <c r="G510" s="10"/>
      <c r="H510" s="10"/>
      <c r="I510" s="10"/>
      <c r="J510" s="13"/>
      <c r="K510" s="13"/>
      <c r="L510" s="70" t="str">
        <f t="shared" si="112"/>
        <v/>
      </c>
      <c r="M510" s="11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0</v>
      </c>
      <c r="F511" s="17">
        <f t="shared" si="111"/>
        <v>0</v>
      </c>
      <c r="G511" s="16"/>
      <c r="H511" s="16"/>
      <c r="I511" s="16"/>
      <c r="J511" s="13"/>
      <c r="K511" s="13"/>
      <c r="L511" s="71" t="str">
        <f t="shared" si="112"/>
        <v/>
      </c>
      <c r="M511" s="11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0</v>
      </c>
      <c r="F512" s="12">
        <f t="shared" si="111"/>
        <v>0</v>
      </c>
      <c r="G512" s="10"/>
      <c r="H512" s="10"/>
      <c r="I512" s="10"/>
      <c r="J512" s="13"/>
      <c r="K512" s="13"/>
      <c r="L512" s="70" t="str">
        <f t="shared" si="112"/>
        <v/>
      </c>
      <c r="M512" s="11"/>
      <c r="N512" s="30"/>
    </row>
    <row r="513" spans="1:14" ht="15.75" customHeight="1">
      <c r="A513" s="105" t="s">
        <v>193</v>
      </c>
      <c r="B513" s="105"/>
      <c r="C513" s="105"/>
      <c r="D513" s="105"/>
      <c r="E513" s="19">
        <f>SUM(E501:E512)</f>
        <v>3</v>
      </c>
      <c r="F513" s="19">
        <f>SUM(F501:F512)</f>
        <v>12</v>
      </c>
      <c r="G513" s="18"/>
      <c r="H513" s="18"/>
      <c r="I513" s="18"/>
      <c r="J513" s="18"/>
      <c r="K513" s="18"/>
      <c r="L513" s="72">
        <f>IFERROR(SUM(L501:L512),"")</f>
        <v>0.50000000000000011</v>
      </c>
      <c r="M513" s="19" t="s">
        <v>192</v>
      </c>
      <c r="N513" s="20">
        <v>3930</v>
      </c>
    </row>
    <row r="514" spans="1:14" ht="18" customHeight="1">
      <c r="A514" s="98" t="s">
        <v>194</v>
      </c>
      <c r="B514" s="98"/>
      <c r="C514" s="98"/>
      <c r="D514" s="98"/>
      <c r="E514" s="22">
        <f>E500+E513</f>
        <v>40</v>
      </c>
      <c r="F514" s="22">
        <f>F500+F513</f>
        <v>160</v>
      </c>
      <c r="G514" s="21"/>
      <c r="H514" s="21"/>
      <c r="I514" s="21"/>
      <c r="J514" s="21"/>
      <c r="K514" s="21"/>
      <c r="L514" s="73">
        <f>IFERROR(L500+L513,"")</f>
        <v>0.61458333333333348</v>
      </c>
      <c r="M514" s="22" t="s">
        <v>195</v>
      </c>
      <c r="N514" s="31">
        <f>IFERROR(N500+N513,"")</f>
        <v>132750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/>
      <c r="K515" s="13"/>
      <c r="L515" s="71" t="str">
        <f t="shared" ref="L515:L526" si="115">IFERROR(IF(K515="","",IF(K515&gt;=J515,K515-J515,K515+1-J515)),"")</f>
        <v/>
      </c>
      <c r="M515" s="11"/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76" t="s">
        <v>17</v>
      </c>
      <c r="H516" s="10"/>
      <c r="I516" s="76" t="s">
        <v>86</v>
      </c>
      <c r="J516" s="13">
        <v>0.29166666666666669</v>
      </c>
      <c r="K516" s="13">
        <v>0.48819444444444399</v>
      </c>
      <c r="L516" s="70">
        <f t="shared" si="115"/>
        <v>0.1965277777777773</v>
      </c>
      <c r="M516" s="11"/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/>
      <c r="F517" s="17" t="str">
        <f t="shared" si="114"/>
        <v/>
      </c>
      <c r="G517" s="16" t="s">
        <v>20</v>
      </c>
      <c r="H517" s="16" t="s">
        <v>47</v>
      </c>
      <c r="I517" s="16" t="s">
        <v>36</v>
      </c>
      <c r="J517" s="13">
        <v>0.65277777777777779</v>
      </c>
      <c r="K517" s="13">
        <v>0.66666666666666663</v>
      </c>
      <c r="L517" s="71">
        <f t="shared" si="115"/>
        <v>1.388888888888884E-2</v>
      </c>
      <c r="M517" s="11"/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/>
      <c r="F518" s="12" t="str">
        <f t="shared" si="114"/>
        <v/>
      </c>
      <c r="G518" s="16" t="s">
        <v>20</v>
      </c>
      <c r="H518" s="10" t="s">
        <v>47</v>
      </c>
      <c r="I518" s="10" t="s">
        <v>36</v>
      </c>
      <c r="J518" s="13">
        <v>0.74097222222222225</v>
      </c>
      <c r="K518" s="13">
        <v>0.76180555555555551</v>
      </c>
      <c r="L518" s="70">
        <f t="shared" si="115"/>
        <v>2.0833333333333259E-2</v>
      </c>
      <c r="M518" s="11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10</v>
      </c>
      <c r="F519" s="17">
        <f t="shared" si="114"/>
        <v>40</v>
      </c>
      <c r="G519" s="16"/>
      <c r="H519" s="16"/>
      <c r="I519" s="16"/>
      <c r="J519" s="13"/>
      <c r="K519" s="13"/>
      <c r="L519" s="71" t="str">
        <f t="shared" si="115"/>
        <v/>
      </c>
      <c r="M519" s="11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7</v>
      </c>
      <c r="F520" s="12">
        <f t="shared" si="114"/>
        <v>28</v>
      </c>
      <c r="G520" s="10"/>
      <c r="H520" s="10"/>
      <c r="I520" s="10"/>
      <c r="J520" s="13"/>
      <c r="K520" s="13"/>
      <c r="L520" s="70" t="str">
        <f t="shared" si="115"/>
        <v/>
      </c>
      <c r="M520" s="11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7</v>
      </c>
      <c r="F521" s="17">
        <f t="shared" si="114"/>
        <v>28</v>
      </c>
      <c r="G521" s="16"/>
      <c r="H521" s="16"/>
      <c r="I521" s="16"/>
      <c r="J521" s="13"/>
      <c r="K521" s="13"/>
      <c r="L521" s="71" t="str">
        <f t="shared" si="115"/>
        <v/>
      </c>
      <c r="M521" s="11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4</v>
      </c>
      <c r="F522" s="12">
        <f t="shared" si="114"/>
        <v>16</v>
      </c>
      <c r="G522" s="10"/>
      <c r="H522" s="10"/>
      <c r="I522" s="10"/>
      <c r="J522" s="13"/>
      <c r="K522" s="13"/>
      <c r="L522" s="70" t="str">
        <f t="shared" si="115"/>
        <v/>
      </c>
      <c r="M522" s="11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4</v>
      </c>
      <c r="F523" s="17">
        <f t="shared" si="114"/>
        <v>16</v>
      </c>
      <c r="G523" s="16"/>
      <c r="H523" s="16"/>
      <c r="I523" s="16"/>
      <c r="J523" s="13"/>
      <c r="K523" s="13"/>
      <c r="L523" s="71" t="str">
        <f t="shared" si="115"/>
        <v/>
      </c>
      <c r="M523" s="11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4</v>
      </c>
      <c r="F524" s="12">
        <f t="shared" si="114"/>
        <v>16</v>
      </c>
      <c r="G524" s="10"/>
      <c r="H524" s="10"/>
      <c r="I524" s="10"/>
      <c r="J524" s="13"/>
      <c r="K524" s="13"/>
      <c r="L524" s="70" t="str">
        <f t="shared" si="115"/>
        <v/>
      </c>
      <c r="M524" s="11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3</v>
      </c>
      <c r="F525" s="17">
        <f t="shared" si="114"/>
        <v>12</v>
      </c>
      <c r="G525" s="16"/>
      <c r="H525" s="16"/>
      <c r="I525" s="16"/>
      <c r="J525" s="13"/>
      <c r="K525" s="13"/>
      <c r="L525" s="71" t="str">
        <f t="shared" si="115"/>
        <v/>
      </c>
      <c r="M525" s="11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2</v>
      </c>
      <c r="F526" s="12">
        <f t="shared" si="114"/>
        <v>8</v>
      </c>
      <c r="G526" s="10"/>
      <c r="H526" s="10"/>
      <c r="I526" s="10"/>
      <c r="J526" s="13"/>
      <c r="K526" s="13"/>
      <c r="L526" s="70" t="str">
        <f t="shared" si="115"/>
        <v/>
      </c>
      <c r="M526" s="11"/>
      <c r="N526" s="30"/>
    </row>
    <row r="527" spans="1:14" ht="15.75" customHeight="1">
      <c r="A527" s="105" t="s">
        <v>191</v>
      </c>
      <c r="B527" s="105"/>
      <c r="C527" s="105"/>
      <c r="D527" s="105"/>
      <c r="E527" s="19">
        <f>SUM(E515:E526)</f>
        <v>41</v>
      </c>
      <c r="F527" s="19">
        <f>SUM(F515:F526)</f>
        <v>164</v>
      </c>
      <c r="G527" s="18"/>
      <c r="H527" s="18"/>
      <c r="I527" s="18"/>
      <c r="J527" s="18"/>
      <c r="K527" s="18"/>
      <c r="L527" s="72">
        <f>IFERROR(SUM(L515:L526),"")</f>
        <v>0.2312499999999994</v>
      </c>
      <c r="M527" s="19" t="s">
        <v>192</v>
      </c>
      <c r="N527" s="20">
        <v>164000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20</v>
      </c>
      <c r="H528" s="10" t="s">
        <v>141</v>
      </c>
      <c r="I528" s="10" t="s">
        <v>126</v>
      </c>
      <c r="J528" s="13">
        <v>0.8125</v>
      </c>
      <c r="K528" s="13">
        <v>0.84305555555555556</v>
      </c>
      <c r="L528" s="70">
        <f t="shared" ref="L528:L539" si="118">IFERROR(IF(K528="","",IF(K528&gt;=J528,K528-J528,K528+1-J528)),"")</f>
        <v>3.0555555555555558E-2</v>
      </c>
      <c r="M528" s="11" t="s">
        <v>315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2</v>
      </c>
      <c r="F529" s="17">
        <f t="shared" si="117"/>
        <v>8</v>
      </c>
      <c r="G529" s="16" t="s">
        <v>19</v>
      </c>
      <c r="H529" s="16" t="s">
        <v>47</v>
      </c>
      <c r="I529" s="16" t="s">
        <v>98</v>
      </c>
      <c r="J529" s="13">
        <v>0.95833333333333337</v>
      </c>
      <c r="K529" s="13">
        <v>0.99236111111111114</v>
      </c>
      <c r="L529" s="71">
        <f t="shared" si="118"/>
        <v>3.4027777777777768E-2</v>
      </c>
      <c r="M529" s="11" t="s">
        <v>281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12</v>
      </c>
      <c r="F530" s="12">
        <f t="shared" si="117"/>
        <v>48</v>
      </c>
      <c r="G530" s="10" t="s">
        <v>17</v>
      </c>
      <c r="H530" s="10" t="s">
        <v>90</v>
      </c>
      <c r="I530" s="10" t="s">
        <v>25</v>
      </c>
      <c r="J530" s="13">
        <v>5.1388888888888887E-2</v>
      </c>
      <c r="K530" s="13">
        <v>8.819444444444445E-2</v>
      </c>
      <c r="L530" s="70">
        <f t="shared" si="118"/>
        <v>3.6805555555555564E-2</v>
      </c>
      <c r="M530" s="11"/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4</v>
      </c>
      <c r="F531" s="17">
        <f t="shared" si="117"/>
        <v>16</v>
      </c>
      <c r="G531" s="16" t="s">
        <v>20</v>
      </c>
      <c r="H531" s="16" t="s">
        <v>149</v>
      </c>
      <c r="I531" s="16" t="s">
        <v>74</v>
      </c>
      <c r="J531" s="13">
        <v>0.22222222222222221</v>
      </c>
      <c r="K531" s="13">
        <v>0.23680555555555555</v>
      </c>
      <c r="L531" s="71">
        <f t="shared" si="118"/>
        <v>1.4583333333333337E-2</v>
      </c>
      <c r="M531" s="11"/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20</v>
      </c>
      <c r="H532" s="10" t="s">
        <v>47</v>
      </c>
      <c r="I532" s="10" t="s">
        <v>36</v>
      </c>
      <c r="J532" s="13">
        <v>0.2590277777777778</v>
      </c>
      <c r="K532" s="13">
        <v>0.2673611111111111</v>
      </c>
      <c r="L532" s="70">
        <f t="shared" si="118"/>
        <v>8.3333333333333037E-3</v>
      </c>
      <c r="M532" s="11"/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5</v>
      </c>
      <c r="F533" s="17">
        <f t="shared" si="117"/>
        <v>20</v>
      </c>
      <c r="G533" s="16"/>
      <c r="H533" s="16"/>
      <c r="I533" s="16"/>
      <c r="J533" s="13"/>
      <c r="K533" s="13"/>
      <c r="L533" s="71" t="str">
        <f t="shared" si="118"/>
        <v/>
      </c>
      <c r="M533" s="11"/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4</v>
      </c>
      <c r="F534" s="12">
        <f t="shared" si="117"/>
        <v>16</v>
      </c>
      <c r="G534" s="10"/>
      <c r="H534" s="10"/>
      <c r="I534" s="10"/>
      <c r="J534" s="13"/>
      <c r="K534" s="13"/>
      <c r="L534" s="70" t="str">
        <f t="shared" si="118"/>
        <v/>
      </c>
      <c r="M534" s="11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11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5</v>
      </c>
      <c r="F536" s="12">
        <f t="shared" si="117"/>
        <v>20</v>
      </c>
      <c r="G536" s="10"/>
      <c r="H536" s="10"/>
      <c r="I536" s="10"/>
      <c r="J536" s="13"/>
      <c r="K536" s="13"/>
      <c r="L536" s="70" t="str">
        <f t="shared" si="118"/>
        <v/>
      </c>
      <c r="M536" s="11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6</v>
      </c>
      <c r="F537" s="17">
        <f t="shared" si="117"/>
        <v>24</v>
      </c>
      <c r="G537" s="16"/>
      <c r="H537" s="16"/>
      <c r="I537" s="16"/>
      <c r="J537" s="13"/>
      <c r="K537" s="13"/>
      <c r="L537" s="71" t="str">
        <f t="shared" si="118"/>
        <v/>
      </c>
      <c r="M537" s="11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6</v>
      </c>
      <c r="F538" s="12">
        <f t="shared" si="117"/>
        <v>24</v>
      </c>
      <c r="G538" s="10"/>
      <c r="H538" s="10"/>
      <c r="I538" s="10"/>
      <c r="J538" s="13"/>
      <c r="K538" s="13"/>
      <c r="L538" s="70" t="str">
        <f t="shared" si="118"/>
        <v/>
      </c>
      <c r="M538" s="11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3</v>
      </c>
      <c r="F539" s="17">
        <f t="shared" si="117"/>
        <v>12</v>
      </c>
      <c r="G539" s="16"/>
      <c r="H539" s="16"/>
      <c r="I539" s="16"/>
      <c r="J539" s="13"/>
      <c r="K539" s="13"/>
      <c r="L539" s="71" t="str">
        <f t="shared" si="118"/>
        <v/>
      </c>
      <c r="M539" s="11"/>
      <c r="N539" s="30"/>
    </row>
    <row r="540" spans="1:14" ht="15.75" customHeight="1">
      <c r="A540" s="105" t="s">
        <v>193</v>
      </c>
      <c r="B540" s="105"/>
      <c r="C540" s="105"/>
      <c r="D540" s="105"/>
      <c r="E540" s="19">
        <f>SUM(E528:E539)</f>
        <v>56</v>
      </c>
      <c r="F540" s="19">
        <f>SUM(F528:F539)</f>
        <v>224</v>
      </c>
      <c r="G540" s="18"/>
      <c r="H540" s="18"/>
      <c r="I540" s="18"/>
      <c r="J540" s="18"/>
      <c r="K540" s="18"/>
      <c r="L540" s="72">
        <f>IFERROR(SUM(L528:L539),"")</f>
        <v>0.12430555555555553</v>
      </c>
      <c r="M540" s="19" t="s">
        <v>192</v>
      </c>
      <c r="N540" s="20">
        <v>304230</v>
      </c>
    </row>
    <row r="541" spans="1:14" ht="18" customHeight="1">
      <c r="A541" s="98" t="s">
        <v>194</v>
      </c>
      <c r="B541" s="98"/>
      <c r="C541" s="98"/>
      <c r="D541" s="98"/>
      <c r="E541" s="22">
        <f>E527+E540</f>
        <v>97</v>
      </c>
      <c r="F541" s="22">
        <f>F527+F540</f>
        <v>388</v>
      </c>
      <c r="G541" s="21"/>
      <c r="H541" s="21"/>
      <c r="I541" s="21"/>
      <c r="J541" s="21"/>
      <c r="K541" s="21"/>
      <c r="L541" s="73">
        <f>IFERROR(L527+L540,"")</f>
        <v>0.35555555555555496</v>
      </c>
      <c r="M541" s="22" t="s">
        <v>195</v>
      </c>
      <c r="N541" s="31">
        <f>IFERROR(N527+N540,"")</f>
        <v>468230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3</v>
      </c>
      <c r="F542" s="12">
        <f t="shared" ref="F542:F553" si="120">IF(E542="","",E542*4)</f>
        <v>12</v>
      </c>
      <c r="G542" s="10" t="s">
        <v>20</v>
      </c>
      <c r="H542" s="10" t="s">
        <v>47</v>
      </c>
      <c r="I542" s="10"/>
      <c r="J542" s="13">
        <v>0.30902777777777779</v>
      </c>
      <c r="K542" s="13">
        <v>0.31805555555555554</v>
      </c>
      <c r="L542" s="70">
        <f t="shared" ref="L542:L553" si="121">IFERROR(IF(K542="","",IF(K542&gt;=J542,K542-J542,K542+1-J542)),"")</f>
        <v>9.0277777777777457E-3</v>
      </c>
      <c r="M542" s="11" t="s">
        <v>269</v>
      </c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0"/>
        <v>20</v>
      </c>
      <c r="G543" s="16" t="s">
        <v>20</v>
      </c>
      <c r="H543" s="16" t="s">
        <v>47</v>
      </c>
      <c r="I543" s="16" t="s">
        <v>36</v>
      </c>
      <c r="J543" s="13">
        <v>0.50972222222222219</v>
      </c>
      <c r="K543" s="13">
        <v>0.52638888888888891</v>
      </c>
      <c r="L543" s="71">
        <f t="shared" si="121"/>
        <v>1.6666666666666718E-2</v>
      </c>
      <c r="M543" s="11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0" t="s">
        <v>45</v>
      </c>
      <c r="D544" s="10" t="s">
        <v>30</v>
      </c>
      <c r="E544" s="11">
        <v>4</v>
      </c>
      <c r="F544" s="12">
        <f t="shared" si="120"/>
        <v>16</v>
      </c>
      <c r="G544" s="10"/>
      <c r="H544" s="10"/>
      <c r="I544" s="10"/>
      <c r="J544" s="13"/>
      <c r="K544" s="13"/>
      <c r="L544" s="70" t="str">
        <f t="shared" si="121"/>
        <v/>
      </c>
      <c r="M544" s="11"/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0" t="s">
        <v>45</v>
      </c>
      <c r="D545" s="10" t="s">
        <v>30</v>
      </c>
      <c r="E545" s="11">
        <v>3</v>
      </c>
      <c r="F545" s="17">
        <f t="shared" si="120"/>
        <v>12</v>
      </c>
      <c r="G545" s="16"/>
      <c r="H545" s="16"/>
      <c r="I545" s="16"/>
      <c r="J545" s="13"/>
      <c r="K545" s="13"/>
      <c r="L545" s="71" t="str">
        <f t="shared" si="121"/>
        <v/>
      </c>
      <c r="M545" s="11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0" t="s">
        <v>45</v>
      </c>
      <c r="D546" s="10" t="s">
        <v>30</v>
      </c>
      <c r="E546" s="11">
        <v>7</v>
      </c>
      <c r="F546" s="12">
        <f t="shared" si="120"/>
        <v>28</v>
      </c>
      <c r="G546" s="10"/>
      <c r="H546" s="10"/>
      <c r="I546" s="10"/>
      <c r="J546" s="13"/>
      <c r="K546" s="13"/>
      <c r="L546" s="70" t="str">
        <f t="shared" si="121"/>
        <v/>
      </c>
      <c r="M546" s="11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0" t="s">
        <v>45</v>
      </c>
      <c r="D547" s="10" t="s">
        <v>30</v>
      </c>
      <c r="E547" s="11">
        <v>0</v>
      </c>
      <c r="F547" s="17">
        <f t="shared" si="120"/>
        <v>0</v>
      </c>
      <c r="G547" s="16"/>
      <c r="H547" s="16"/>
      <c r="I547" s="16"/>
      <c r="J547" s="13"/>
      <c r="K547" s="13"/>
      <c r="L547" s="71" t="str">
        <f t="shared" si="121"/>
        <v/>
      </c>
      <c r="M547" s="11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0" t="s">
        <v>45</v>
      </c>
      <c r="D548" s="10" t="s">
        <v>30</v>
      </c>
      <c r="E548" s="11">
        <v>6</v>
      </c>
      <c r="F548" s="12">
        <f t="shared" si="120"/>
        <v>24</v>
      </c>
      <c r="G548" s="10"/>
      <c r="H548" s="10"/>
      <c r="I548" s="10"/>
      <c r="J548" s="13"/>
      <c r="K548" s="13"/>
      <c r="L548" s="70" t="str">
        <f t="shared" si="121"/>
        <v/>
      </c>
      <c r="M548" s="11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0" t="s">
        <v>45</v>
      </c>
      <c r="D549" s="10" t="s">
        <v>30</v>
      </c>
      <c r="E549" s="11">
        <v>4</v>
      </c>
      <c r="F549" s="17">
        <f t="shared" si="120"/>
        <v>16</v>
      </c>
      <c r="G549" s="16"/>
      <c r="H549" s="16"/>
      <c r="I549" s="16"/>
      <c r="J549" s="13"/>
      <c r="K549" s="13"/>
      <c r="L549" s="71" t="str">
        <f t="shared" si="121"/>
        <v/>
      </c>
      <c r="M549" s="11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0" t="s">
        <v>45</v>
      </c>
      <c r="D550" s="10" t="s">
        <v>30</v>
      </c>
      <c r="E550" s="11">
        <v>4</v>
      </c>
      <c r="F550" s="12">
        <f t="shared" si="120"/>
        <v>16</v>
      </c>
      <c r="G550" s="10"/>
      <c r="H550" s="10"/>
      <c r="I550" s="10"/>
      <c r="J550" s="13"/>
      <c r="K550" s="13"/>
      <c r="L550" s="70" t="str">
        <f t="shared" si="121"/>
        <v/>
      </c>
      <c r="M550" s="11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0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11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0" t="s">
        <v>45</v>
      </c>
      <c r="D552" s="10" t="s">
        <v>30</v>
      </c>
      <c r="E552" s="11">
        <v>5</v>
      </c>
      <c r="F552" s="12">
        <f t="shared" si="120"/>
        <v>20</v>
      </c>
      <c r="G552" s="10"/>
      <c r="H552" s="10"/>
      <c r="I552" s="10"/>
      <c r="J552" s="13"/>
      <c r="K552" s="13"/>
      <c r="L552" s="70" t="str">
        <f t="shared" si="121"/>
        <v/>
      </c>
      <c r="M552" s="11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0" t="s">
        <v>45</v>
      </c>
      <c r="D553" s="10" t="s">
        <v>30</v>
      </c>
      <c r="E553" s="11">
        <v>6</v>
      </c>
      <c r="F553" s="17">
        <f t="shared" si="120"/>
        <v>24</v>
      </c>
      <c r="G553" s="16"/>
      <c r="H553" s="16"/>
      <c r="I553" s="16"/>
      <c r="J553" s="13"/>
      <c r="K553" s="13"/>
      <c r="L553" s="71" t="str">
        <f t="shared" si="121"/>
        <v/>
      </c>
      <c r="M553" s="11"/>
      <c r="N553" s="30"/>
    </row>
    <row r="554" spans="1:14" ht="15.75" customHeight="1">
      <c r="A554" s="105" t="s">
        <v>191</v>
      </c>
      <c r="B554" s="105"/>
      <c r="C554" s="105"/>
      <c r="D554" s="105"/>
      <c r="E554" s="19">
        <f>SUM(E542:E553)</f>
        <v>47</v>
      </c>
      <c r="F554" s="19">
        <f>SUM(F542:F553)</f>
        <v>188</v>
      </c>
      <c r="G554" s="18"/>
      <c r="H554" s="18"/>
      <c r="I554" s="18"/>
      <c r="J554" s="18"/>
      <c r="K554" s="18"/>
      <c r="L554" s="72">
        <f>IFERROR(SUM(L542:L553),"")</f>
        <v>2.5694444444444464E-2</v>
      </c>
      <c r="M554" s="19" t="s">
        <v>192</v>
      </c>
      <c r="N554" s="20">
        <v>202310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12</v>
      </c>
      <c r="F555" s="17">
        <f t="shared" ref="F555:F566" si="123">IF(E555="","",E555*4)</f>
        <v>48</v>
      </c>
      <c r="G555" s="16" t="s">
        <v>19</v>
      </c>
      <c r="H555" s="16" t="s">
        <v>47</v>
      </c>
      <c r="I555" s="16" t="s">
        <v>27</v>
      </c>
      <c r="J555" s="13">
        <v>0.90555555555555556</v>
      </c>
      <c r="K555" s="13">
        <v>0.92847222222222225</v>
      </c>
      <c r="L555" s="71">
        <f t="shared" ref="L555:L566" si="124">IFERROR(IF(K555="","",IF(K555&gt;=J555,K555-J555,K555+1-J555)),"")</f>
        <v>2.2916666666666696E-2</v>
      </c>
      <c r="M555" s="11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5</v>
      </c>
      <c r="F556" s="12">
        <f t="shared" si="123"/>
        <v>20</v>
      </c>
      <c r="G556" s="10" t="s">
        <v>20</v>
      </c>
      <c r="H556" s="10" t="s">
        <v>130</v>
      </c>
      <c r="I556" s="10" t="s">
        <v>74</v>
      </c>
      <c r="J556" s="13">
        <v>0.98611111111111116</v>
      </c>
      <c r="K556" s="13">
        <v>0.99652777777777779</v>
      </c>
      <c r="L556" s="70">
        <f t="shared" si="124"/>
        <v>1.041666666666663E-2</v>
      </c>
      <c r="M556" s="11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4</v>
      </c>
      <c r="F557" s="17">
        <f t="shared" si="123"/>
        <v>16</v>
      </c>
      <c r="G557" s="16" t="s">
        <v>20</v>
      </c>
      <c r="H557" s="16" t="s">
        <v>130</v>
      </c>
      <c r="I557" s="16" t="s">
        <v>74</v>
      </c>
      <c r="J557" s="13">
        <v>2.7777777777777779E-3</v>
      </c>
      <c r="K557" s="13">
        <v>7.6388888888888886E-3</v>
      </c>
      <c r="L557" s="71">
        <f t="shared" si="124"/>
        <v>4.8611111111111112E-3</v>
      </c>
      <c r="M557" s="11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5</v>
      </c>
      <c r="F558" s="12">
        <f t="shared" si="123"/>
        <v>20</v>
      </c>
      <c r="G558" s="10"/>
      <c r="H558" s="10"/>
      <c r="I558" s="10"/>
      <c r="J558" s="13"/>
      <c r="K558" s="13"/>
      <c r="L558" s="70" t="str">
        <f t="shared" si="124"/>
        <v/>
      </c>
      <c r="M558" s="11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6</v>
      </c>
      <c r="F559" s="17">
        <f t="shared" si="123"/>
        <v>24</v>
      </c>
      <c r="G559" s="16"/>
      <c r="H559" s="16"/>
      <c r="I559" s="16"/>
      <c r="J559" s="13"/>
      <c r="K559" s="13"/>
      <c r="L559" s="71" t="str">
        <f t="shared" si="124"/>
        <v/>
      </c>
      <c r="M559" s="11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1</v>
      </c>
      <c r="F560" s="12">
        <f t="shared" si="123"/>
        <v>4</v>
      </c>
      <c r="G560" s="10"/>
      <c r="H560" s="10"/>
      <c r="I560" s="10"/>
      <c r="J560" s="13"/>
      <c r="K560" s="13"/>
      <c r="L560" s="70" t="str">
        <f t="shared" si="124"/>
        <v/>
      </c>
      <c r="M560" s="11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8</v>
      </c>
      <c r="F561" s="17">
        <f t="shared" si="123"/>
        <v>32</v>
      </c>
      <c r="G561" s="16"/>
      <c r="H561" s="16"/>
      <c r="I561" s="16"/>
      <c r="J561" s="13"/>
      <c r="K561" s="13"/>
      <c r="L561" s="71" t="str">
        <f t="shared" si="124"/>
        <v/>
      </c>
      <c r="M561" s="11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8</v>
      </c>
      <c r="F562" s="12">
        <f t="shared" si="123"/>
        <v>32</v>
      </c>
      <c r="G562" s="10"/>
      <c r="H562" s="10"/>
      <c r="I562" s="10"/>
      <c r="J562" s="13"/>
      <c r="K562" s="13"/>
      <c r="L562" s="70" t="str">
        <f t="shared" si="124"/>
        <v/>
      </c>
      <c r="M562" s="11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7</v>
      </c>
      <c r="F563" s="17">
        <f t="shared" si="123"/>
        <v>28</v>
      </c>
      <c r="G563" s="16"/>
      <c r="H563" s="16"/>
      <c r="I563" s="16"/>
      <c r="J563" s="13"/>
      <c r="K563" s="13"/>
      <c r="L563" s="71" t="str">
        <f t="shared" si="124"/>
        <v/>
      </c>
      <c r="M563" s="11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9</v>
      </c>
      <c r="F564" s="12">
        <f t="shared" si="123"/>
        <v>36</v>
      </c>
      <c r="G564" s="10"/>
      <c r="H564" s="10"/>
      <c r="I564" s="10"/>
      <c r="J564" s="13"/>
      <c r="K564" s="13"/>
      <c r="L564" s="70" t="str">
        <f t="shared" si="124"/>
        <v/>
      </c>
      <c r="M564" s="11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7</v>
      </c>
      <c r="F565" s="17">
        <f t="shared" si="123"/>
        <v>28</v>
      </c>
      <c r="G565" s="16"/>
      <c r="H565" s="16"/>
      <c r="I565" s="16"/>
      <c r="J565" s="13"/>
      <c r="K565" s="13"/>
      <c r="L565" s="71" t="str">
        <f t="shared" si="124"/>
        <v/>
      </c>
      <c r="M565" s="11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4</v>
      </c>
      <c r="F566" s="12">
        <f t="shared" si="123"/>
        <v>16</v>
      </c>
      <c r="G566" s="10"/>
      <c r="H566" s="10"/>
      <c r="I566" s="10"/>
      <c r="J566" s="13"/>
      <c r="K566" s="13"/>
      <c r="L566" s="70" t="str">
        <f t="shared" si="124"/>
        <v/>
      </c>
      <c r="M566" s="11"/>
      <c r="N566" s="30"/>
    </row>
    <row r="567" spans="1:14" ht="15.75" customHeight="1">
      <c r="A567" s="105" t="s">
        <v>193</v>
      </c>
      <c r="B567" s="105"/>
      <c r="C567" s="105"/>
      <c r="D567" s="105"/>
      <c r="E567" s="19">
        <f>SUM(E555:E566)</f>
        <v>76</v>
      </c>
      <c r="F567" s="19">
        <f>SUM(F555:F566)</f>
        <v>304</v>
      </c>
      <c r="G567" s="18"/>
      <c r="H567" s="18"/>
      <c r="I567" s="18"/>
      <c r="J567" s="18"/>
      <c r="K567" s="18"/>
      <c r="L567" s="72">
        <f>IFERROR(SUM(L555:L566),"")</f>
        <v>3.8194444444444434E-2</v>
      </c>
      <c r="M567" s="19" t="s">
        <v>192</v>
      </c>
      <c r="N567" s="20">
        <v>437260</v>
      </c>
    </row>
    <row r="568" spans="1:14" ht="18" customHeight="1">
      <c r="A568" s="98" t="s">
        <v>194</v>
      </c>
      <c r="B568" s="98"/>
      <c r="C568" s="98"/>
      <c r="D568" s="98"/>
      <c r="E568" s="22">
        <f>E554+E567</f>
        <v>123</v>
      </c>
      <c r="F568" s="22">
        <f>F554+F567</f>
        <v>492</v>
      </c>
      <c r="G568" s="21"/>
      <c r="H568" s="21"/>
      <c r="I568" s="21"/>
      <c r="J568" s="21"/>
      <c r="K568" s="21"/>
      <c r="L568" s="73">
        <f>IFERROR(L554+L567,"")</f>
        <v>6.3888888888888898E-2</v>
      </c>
      <c r="M568" s="22" t="s">
        <v>195</v>
      </c>
      <c r="N568" s="31">
        <f>IFERROR(N554+N567,"")</f>
        <v>639570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7</v>
      </c>
      <c r="F569" s="17">
        <f t="shared" ref="F569:F580" si="126">IF(E569="","",E569*4)</f>
        <v>28</v>
      </c>
      <c r="G569" s="16" t="s">
        <v>20</v>
      </c>
      <c r="H569" s="16" t="s">
        <v>47</v>
      </c>
      <c r="I569" s="16" t="s">
        <v>159</v>
      </c>
      <c r="J569" s="13">
        <v>0.54861111111111116</v>
      </c>
      <c r="K569" s="13">
        <v>0.62569444444444444</v>
      </c>
      <c r="L569" s="71">
        <f t="shared" ref="L569:L580" si="127">IFERROR(IF(K569="","",IF(K569&gt;=J569,K569-J569,K569+1-J569)),"")</f>
        <v>7.7083333333333282E-2</v>
      </c>
      <c r="M569" s="11" t="s">
        <v>316</v>
      </c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10</v>
      </c>
      <c r="F570" s="12">
        <f t="shared" si="126"/>
        <v>40</v>
      </c>
      <c r="G570" s="10" t="s">
        <v>20</v>
      </c>
      <c r="H570" s="10"/>
      <c r="I570" s="10" t="s">
        <v>161</v>
      </c>
      <c r="J570" s="13">
        <v>0.6875</v>
      </c>
      <c r="K570" s="13">
        <v>0.75694444444444442</v>
      </c>
      <c r="L570" s="70">
        <f t="shared" si="127"/>
        <v>6.944444444444442E-2</v>
      </c>
      <c r="M570" s="11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3</v>
      </c>
      <c r="F571" s="17">
        <f t="shared" si="126"/>
        <v>12</v>
      </c>
      <c r="G571" s="16"/>
      <c r="H571" s="16"/>
      <c r="I571" s="16"/>
      <c r="J571" s="13"/>
      <c r="K571" s="13"/>
      <c r="L571" s="71" t="str">
        <f t="shared" si="127"/>
        <v/>
      </c>
      <c r="M571" s="11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7</v>
      </c>
      <c r="F572" s="17">
        <f t="shared" si="126"/>
        <v>28</v>
      </c>
      <c r="G572" s="10"/>
      <c r="H572" s="10"/>
      <c r="I572" s="10"/>
      <c r="J572" s="13"/>
      <c r="K572" s="13"/>
      <c r="L572" s="70" t="str">
        <f t="shared" si="127"/>
        <v/>
      </c>
      <c r="M572" s="11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6</v>
      </c>
      <c r="F573" s="17">
        <f t="shared" si="126"/>
        <v>24</v>
      </c>
      <c r="G573" s="16"/>
      <c r="H573" s="16"/>
      <c r="I573" s="16"/>
      <c r="J573" s="13"/>
      <c r="K573" s="13"/>
      <c r="L573" s="71" t="str">
        <f t="shared" si="127"/>
        <v/>
      </c>
      <c r="M573" s="11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9</v>
      </c>
      <c r="F574" s="17">
        <f t="shared" si="126"/>
        <v>36</v>
      </c>
      <c r="G574" s="10"/>
      <c r="H574" s="10"/>
      <c r="I574" s="10"/>
      <c r="J574" s="13"/>
      <c r="K574" s="13"/>
      <c r="L574" s="70" t="str">
        <f t="shared" si="127"/>
        <v/>
      </c>
      <c r="M574" s="11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11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7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79">
        <v>6</v>
      </c>
      <c r="F577" s="17">
        <f t="shared" si="126"/>
        <v>24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1</v>
      </c>
      <c r="F578" s="17">
        <f t="shared" si="126"/>
        <v>4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2</v>
      </c>
      <c r="F579" s="17">
        <f t="shared" si="126"/>
        <v>8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1</v>
      </c>
      <c r="F580" s="17">
        <f t="shared" si="126"/>
        <v>4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30"/>
    </row>
    <row r="581" spans="1:14" ht="15.75" customHeight="1">
      <c r="A581" s="105" t="s">
        <v>191</v>
      </c>
      <c r="B581" s="105"/>
      <c r="C581" s="105"/>
      <c r="D581" s="105"/>
      <c r="E581" s="19">
        <f>SUM(E569:E580)</f>
        <v>52</v>
      </c>
      <c r="F581" s="19">
        <f>SUM(F569:F580)</f>
        <v>208</v>
      </c>
      <c r="G581" s="18"/>
      <c r="H581" s="18"/>
      <c r="I581" s="18"/>
      <c r="J581" s="18"/>
      <c r="K581" s="18"/>
      <c r="L581" s="72">
        <f>IFERROR(SUM(L569:L580),"")</f>
        <v>0.1465277777777777</v>
      </c>
      <c r="M581" s="19" t="s">
        <v>192</v>
      </c>
      <c r="N581" s="20">
        <v>196620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20</v>
      </c>
      <c r="H582" s="10" t="s">
        <v>47</v>
      </c>
      <c r="I582" s="10" t="s">
        <v>36</v>
      </c>
      <c r="J582" s="13">
        <v>0.80138888888888893</v>
      </c>
      <c r="K582" s="13">
        <v>0.82222222222222219</v>
      </c>
      <c r="L582" s="70">
        <f t="shared" ref="L582:L593" si="130">IFERROR(IF(K582="","",IF(K582&gt;=J582,K582-J582,K582+1-J582)),"")</f>
        <v>2.0833333333333259E-2</v>
      </c>
      <c r="M582" s="11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7</v>
      </c>
      <c r="F583" s="17">
        <f t="shared" si="129"/>
        <v>28</v>
      </c>
      <c r="G583" s="16" t="s">
        <v>20</v>
      </c>
      <c r="H583" s="16" t="s">
        <v>127</v>
      </c>
      <c r="I583" s="16" t="s">
        <v>74</v>
      </c>
      <c r="J583" s="13">
        <v>0.85416666666666663</v>
      </c>
      <c r="K583" s="13">
        <v>0.86111111111111116</v>
      </c>
      <c r="L583" s="71">
        <f t="shared" si="130"/>
        <v>6.9444444444445308E-3</v>
      </c>
      <c r="M583" s="11"/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7</v>
      </c>
      <c r="F584" s="12">
        <f t="shared" si="129"/>
        <v>28</v>
      </c>
      <c r="G584" s="10" t="s">
        <v>20</v>
      </c>
      <c r="H584" s="10" t="s">
        <v>47</v>
      </c>
      <c r="I584" s="10" t="s">
        <v>56</v>
      </c>
      <c r="J584" s="13">
        <v>0.8979166666666667</v>
      </c>
      <c r="K584" s="13">
        <v>0.90763888888888888</v>
      </c>
      <c r="L584" s="70">
        <f t="shared" si="130"/>
        <v>9.7222222222221877E-3</v>
      </c>
      <c r="M584" s="11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6</v>
      </c>
      <c r="F585" s="17">
        <f t="shared" si="129"/>
        <v>24</v>
      </c>
      <c r="G585" s="16" t="s">
        <v>20</v>
      </c>
      <c r="H585" s="16" t="s">
        <v>47</v>
      </c>
      <c r="I585" s="16" t="s">
        <v>51</v>
      </c>
      <c r="J585" s="13">
        <v>0.97222222222222221</v>
      </c>
      <c r="K585" s="13">
        <v>0.98611111111111116</v>
      </c>
      <c r="L585" s="71">
        <f t="shared" si="130"/>
        <v>1.3888888888888951E-2</v>
      </c>
      <c r="M585" s="11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2</v>
      </c>
      <c r="F586" s="12">
        <f t="shared" si="129"/>
        <v>8</v>
      </c>
      <c r="G586" s="10" t="s">
        <v>20</v>
      </c>
      <c r="H586" s="10" t="s">
        <v>47</v>
      </c>
      <c r="I586" s="10" t="s">
        <v>36</v>
      </c>
      <c r="J586" s="13">
        <v>6.9444444444444441E-3</v>
      </c>
      <c r="K586" s="13">
        <v>8.819444444444445E-2</v>
      </c>
      <c r="L586" s="70">
        <f t="shared" si="130"/>
        <v>8.1250000000000003E-2</v>
      </c>
      <c r="M586" s="11" t="s">
        <v>317</v>
      </c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0</v>
      </c>
      <c r="F587" s="17">
        <f t="shared" si="129"/>
        <v>0</v>
      </c>
      <c r="G587" s="16" t="s">
        <v>20</v>
      </c>
      <c r="H587" s="16" t="s">
        <v>127</v>
      </c>
      <c r="I587" s="16" t="s">
        <v>74</v>
      </c>
      <c r="J587" s="13">
        <v>0.14097222222222222</v>
      </c>
      <c r="K587" s="13">
        <v>0.14444444444444443</v>
      </c>
      <c r="L587" s="71">
        <f t="shared" si="130"/>
        <v>3.4722222222222099E-3</v>
      </c>
      <c r="M587" s="11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0</v>
      </c>
      <c r="F588" s="12">
        <f t="shared" si="129"/>
        <v>0</v>
      </c>
      <c r="G588" s="10" t="s">
        <v>20</v>
      </c>
      <c r="H588" s="10" t="s">
        <v>47</v>
      </c>
      <c r="I588" s="10" t="s">
        <v>36</v>
      </c>
      <c r="J588" s="13">
        <v>0.16250000000000001</v>
      </c>
      <c r="K588" s="13">
        <v>0.16666666666666666</v>
      </c>
      <c r="L588" s="70">
        <f t="shared" si="130"/>
        <v>4.1666666666666519E-3</v>
      </c>
      <c r="M588" s="11" t="s">
        <v>253</v>
      </c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2</v>
      </c>
      <c r="F589" s="17">
        <f t="shared" si="129"/>
        <v>8</v>
      </c>
      <c r="G589" s="16" t="s">
        <v>20</v>
      </c>
      <c r="H589" s="16" t="s">
        <v>47</v>
      </c>
      <c r="I589" s="16" t="s">
        <v>36</v>
      </c>
      <c r="J589" s="13">
        <v>0.27152777777777776</v>
      </c>
      <c r="K589" s="13">
        <v>0.29166666666666669</v>
      </c>
      <c r="L589" s="71">
        <f t="shared" si="130"/>
        <v>2.0138888888888928E-2</v>
      </c>
      <c r="M589" s="11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6</v>
      </c>
      <c r="F590" s="12">
        <f t="shared" si="129"/>
        <v>24</v>
      </c>
      <c r="G590" s="10"/>
      <c r="H590" s="10"/>
      <c r="I590" s="10"/>
      <c r="J590" s="13"/>
      <c r="K590" s="13"/>
      <c r="L590" s="70" t="str">
        <f t="shared" si="130"/>
        <v/>
      </c>
      <c r="M590" s="11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11</v>
      </c>
      <c r="F591" s="17">
        <f t="shared" si="129"/>
        <v>44</v>
      </c>
      <c r="G591" s="16"/>
      <c r="H591" s="16"/>
      <c r="I591" s="16"/>
      <c r="J591" s="13"/>
      <c r="K591" s="13"/>
      <c r="L591" s="71" t="str">
        <f t="shared" si="130"/>
        <v/>
      </c>
      <c r="M591" s="11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2</v>
      </c>
      <c r="F592" s="12">
        <f t="shared" si="129"/>
        <v>8</v>
      </c>
      <c r="G592" s="10"/>
      <c r="H592" s="10"/>
      <c r="I592" s="10"/>
      <c r="J592" s="13"/>
      <c r="K592" s="13"/>
      <c r="L592" s="70" t="str">
        <f t="shared" si="130"/>
        <v/>
      </c>
      <c r="M592" s="11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11"/>
      <c r="N593" s="30"/>
    </row>
    <row r="594" spans="1:14" ht="15.75" customHeight="1">
      <c r="A594" s="105" t="s">
        <v>193</v>
      </c>
      <c r="B594" s="105"/>
      <c r="C594" s="105"/>
      <c r="D594" s="105"/>
      <c r="E594" s="19">
        <f>SUM(E582:E593)</f>
        <v>43</v>
      </c>
      <c r="F594" s="19">
        <f>SUM(F582:F593)</f>
        <v>172</v>
      </c>
      <c r="G594" s="18"/>
      <c r="H594" s="18"/>
      <c r="I594" s="18"/>
      <c r="J594" s="18"/>
      <c r="K594" s="18"/>
      <c r="L594" s="72">
        <f>IFERROR(SUM(L582:L593),"")</f>
        <v>0.16041666666666671</v>
      </c>
      <c r="M594" s="19" t="s">
        <v>192</v>
      </c>
      <c r="N594" s="20">
        <v>269570</v>
      </c>
    </row>
    <row r="595" spans="1:14" ht="18" customHeight="1">
      <c r="A595" s="98" t="s">
        <v>194</v>
      </c>
      <c r="B595" s="98"/>
      <c r="C595" s="98"/>
      <c r="D595" s="98"/>
      <c r="E595" s="22">
        <f>E581+E594</f>
        <v>95</v>
      </c>
      <c r="F595" s="22">
        <f>F581+F594</f>
        <v>380</v>
      </c>
      <c r="G595" s="21"/>
      <c r="H595" s="21"/>
      <c r="I595" s="21"/>
      <c r="J595" s="21"/>
      <c r="K595" s="21"/>
      <c r="L595" s="73">
        <f>IFERROR(L581+L594,"")</f>
        <v>0.30694444444444441</v>
      </c>
      <c r="M595" s="22" t="s">
        <v>195</v>
      </c>
      <c r="N595" s="31">
        <f>IFERROR(N581+N594,"")</f>
        <v>466190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1</v>
      </c>
      <c r="F596" s="12">
        <f t="shared" ref="F596:F607" si="132">IF(E596="","",E596*4)</f>
        <v>4</v>
      </c>
      <c r="G596" s="10" t="s">
        <v>19</v>
      </c>
      <c r="H596" s="10" t="s">
        <v>47</v>
      </c>
      <c r="I596" s="10" t="s">
        <v>27</v>
      </c>
      <c r="J596" s="13">
        <v>0.39930555555555558</v>
      </c>
      <c r="K596" s="13">
        <v>0.44444444444444442</v>
      </c>
      <c r="L596" s="70">
        <f t="shared" ref="L596:L607" si="133">IFERROR(IF(K596="","",IF(K596&gt;=J596,K596-J596,K596+1-J596)),"")</f>
        <v>4.513888888888884E-2</v>
      </c>
      <c r="M596" s="11"/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6</v>
      </c>
      <c r="F597" s="17">
        <f t="shared" si="132"/>
        <v>24</v>
      </c>
      <c r="G597" s="16" t="s">
        <v>18</v>
      </c>
      <c r="H597" s="16" t="s">
        <v>47</v>
      </c>
      <c r="I597" s="16" t="s">
        <v>148</v>
      </c>
      <c r="J597" s="13">
        <v>0.64583333333333337</v>
      </c>
      <c r="K597" s="13">
        <v>0.68055555555555558</v>
      </c>
      <c r="L597" s="71">
        <f t="shared" si="133"/>
        <v>3.472222222222221E-2</v>
      </c>
      <c r="M597" s="11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5</v>
      </c>
      <c r="F598" s="12">
        <f t="shared" si="132"/>
        <v>20</v>
      </c>
      <c r="G598" s="10" t="s">
        <v>20</v>
      </c>
      <c r="H598" s="10" t="s">
        <v>47</v>
      </c>
      <c r="I598" s="10" t="s">
        <v>159</v>
      </c>
      <c r="J598" s="13">
        <v>0.71597222222222223</v>
      </c>
      <c r="K598" s="13">
        <v>0.74305555555555558</v>
      </c>
      <c r="L598" s="70">
        <f t="shared" si="133"/>
        <v>2.7083333333333348E-2</v>
      </c>
      <c r="M598" s="11"/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5</v>
      </c>
      <c r="F599" s="17">
        <f t="shared" si="132"/>
        <v>20</v>
      </c>
      <c r="G599" s="16"/>
      <c r="H599" s="16"/>
      <c r="I599" s="16"/>
      <c r="J599" s="13"/>
      <c r="K599" s="13"/>
      <c r="L599" s="71" t="str">
        <f t="shared" si="133"/>
        <v/>
      </c>
      <c r="M599" s="11"/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15</v>
      </c>
      <c r="F600" s="12">
        <f t="shared" si="132"/>
        <v>60</v>
      </c>
      <c r="G600" s="10"/>
      <c r="H600" s="10"/>
      <c r="I600" s="10"/>
      <c r="J600" s="13"/>
      <c r="K600" s="13"/>
      <c r="L600" s="70" t="str">
        <f t="shared" si="133"/>
        <v/>
      </c>
      <c r="M600" s="11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6</v>
      </c>
      <c r="F601" s="17">
        <f t="shared" si="132"/>
        <v>24</v>
      </c>
      <c r="G601" s="16"/>
      <c r="H601" s="16"/>
      <c r="I601" s="16"/>
      <c r="J601" s="13"/>
      <c r="K601" s="13"/>
      <c r="L601" s="71" t="str">
        <f t="shared" si="133"/>
        <v/>
      </c>
      <c r="M601" s="11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6</v>
      </c>
      <c r="F602" s="12">
        <f t="shared" si="132"/>
        <v>24</v>
      </c>
      <c r="G602" s="10"/>
      <c r="H602" s="10"/>
      <c r="I602" s="10"/>
      <c r="J602" s="13"/>
      <c r="K602" s="13"/>
      <c r="L602" s="70" t="str">
        <f t="shared" si="133"/>
        <v/>
      </c>
      <c r="M602" s="11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5</v>
      </c>
      <c r="F603" s="17">
        <f t="shared" si="132"/>
        <v>20</v>
      </c>
      <c r="G603" s="16"/>
      <c r="H603" s="16"/>
      <c r="I603" s="16"/>
      <c r="J603" s="13"/>
      <c r="K603" s="13"/>
      <c r="L603" s="71" t="str">
        <f t="shared" si="133"/>
        <v/>
      </c>
      <c r="M603" s="11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5</v>
      </c>
      <c r="F604" s="12">
        <f t="shared" si="132"/>
        <v>20</v>
      </c>
      <c r="G604" s="10"/>
      <c r="H604" s="10"/>
      <c r="I604" s="10"/>
      <c r="J604" s="13"/>
      <c r="K604" s="13"/>
      <c r="L604" s="70" t="str">
        <f t="shared" si="133"/>
        <v/>
      </c>
      <c r="M604" s="11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6</v>
      </c>
      <c r="F605" s="17">
        <f t="shared" si="132"/>
        <v>24</v>
      </c>
      <c r="G605" s="16"/>
      <c r="H605" s="16"/>
      <c r="I605" s="16"/>
      <c r="J605" s="13"/>
      <c r="K605" s="13"/>
      <c r="L605" s="71" t="str">
        <f t="shared" si="133"/>
        <v/>
      </c>
      <c r="M605" s="11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3</v>
      </c>
      <c r="F606" s="12">
        <f t="shared" si="132"/>
        <v>12</v>
      </c>
      <c r="G606" s="10"/>
      <c r="H606" s="10"/>
      <c r="I606" s="10"/>
      <c r="J606" s="13"/>
      <c r="K606" s="13"/>
      <c r="L606" s="70" t="str">
        <f t="shared" si="133"/>
        <v/>
      </c>
      <c r="M606" s="11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0</v>
      </c>
      <c r="F607" s="17">
        <f t="shared" si="132"/>
        <v>0</v>
      </c>
      <c r="G607" s="16"/>
      <c r="H607" s="16"/>
      <c r="I607" s="16"/>
      <c r="J607" s="13"/>
      <c r="K607" s="13"/>
      <c r="L607" s="71" t="str">
        <f t="shared" si="133"/>
        <v/>
      </c>
      <c r="M607" s="11"/>
      <c r="N607" s="30"/>
    </row>
    <row r="608" spans="1:14" ht="15.75" customHeight="1">
      <c r="A608" s="105" t="s">
        <v>191</v>
      </c>
      <c r="B608" s="105"/>
      <c r="C608" s="105"/>
      <c r="D608" s="105"/>
      <c r="E608" s="19">
        <f>SUM(E596:E607)</f>
        <v>63</v>
      </c>
      <c r="F608" s="19">
        <f>SUM(F596:F607)</f>
        <v>252</v>
      </c>
      <c r="G608" s="18"/>
      <c r="H608" s="18"/>
      <c r="I608" s="18"/>
      <c r="J608" s="18"/>
      <c r="K608" s="18"/>
      <c r="L608" s="72">
        <f>IFERROR(SUM(L596:L607),"")</f>
        <v>0.1069444444444444</v>
      </c>
      <c r="M608" s="19" t="s">
        <v>192</v>
      </c>
      <c r="N608" s="20">
        <v>221720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4</v>
      </c>
      <c r="F609" s="17">
        <f t="shared" ref="F609:F620" si="135">IF(E609="","",E609*4)</f>
        <v>16</v>
      </c>
      <c r="G609" s="16" t="s">
        <v>20</v>
      </c>
      <c r="H609" s="16" t="s">
        <v>47</v>
      </c>
      <c r="I609" s="16" t="s">
        <v>123</v>
      </c>
      <c r="J609" s="13">
        <v>0.95833333333333337</v>
      </c>
      <c r="K609" s="13">
        <v>0.96597222222222223</v>
      </c>
      <c r="L609" s="71">
        <f t="shared" ref="L609:L620" si="136">IFERROR(IF(K609="","",IF(K609&gt;=J609,K609-J609,K609+1-J609)),"")</f>
        <v>7.6388888888888618E-3</v>
      </c>
      <c r="M609" s="11"/>
      <c r="N609" s="30"/>
    </row>
    <row r="610" spans="1:14" ht="15" customHeight="1">
      <c r="A610" s="58">
        <v>46196</v>
      </c>
      <c r="B610" s="9">
        <f t="shared" ref="B610:B620" si="137">B609+TIME(0,60,0)</f>
        <v>0.87499999999999967</v>
      </c>
      <c r="C610" s="16" t="s">
        <v>29</v>
      </c>
      <c r="D610" s="16" t="s">
        <v>30</v>
      </c>
      <c r="E610" s="11">
        <v>4</v>
      </c>
      <c r="F610" s="12">
        <f t="shared" si="135"/>
        <v>16</v>
      </c>
      <c r="G610" s="10" t="s">
        <v>20</v>
      </c>
      <c r="H610" s="10" t="s">
        <v>47</v>
      </c>
      <c r="I610" s="10" t="s">
        <v>163</v>
      </c>
      <c r="J610" s="13">
        <v>2.9861111111111113E-2</v>
      </c>
      <c r="K610" s="13">
        <v>4.1666666666666664E-2</v>
      </c>
      <c r="L610" s="70">
        <f t="shared" si="136"/>
        <v>1.1805555555555552E-2</v>
      </c>
      <c r="M610" s="11"/>
      <c r="N610" s="30"/>
    </row>
    <row r="611" spans="1:14" ht="15" customHeight="1">
      <c r="A611" s="59">
        <v>46196</v>
      </c>
      <c r="B611" s="15">
        <f t="shared" si="137"/>
        <v>0.9166666666666663</v>
      </c>
      <c r="C611" s="16" t="s">
        <v>29</v>
      </c>
      <c r="D611" s="16" t="s">
        <v>30</v>
      </c>
      <c r="E611" s="11">
        <v>0</v>
      </c>
      <c r="F611" s="17">
        <f t="shared" si="135"/>
        <v>0</v>
      </c>
      <c r="G611" s="16" t="s">
        <v>20</v>
      </c>
      <c r="H611" s="16" t="s">
        <v>47</v>
      </c>
      <c r="I611" s="16" t="s">
        <v>51</v>
      </c>
      <c r="J611" s="13">
        <v>0.11805555555555555</v>
      </c>
      <c r="K611" s="13">
        <v>0.12361111111111112</v>
      </c>
      <c r="L611" s="71">
        <f t="shared" si="136"/>
        <v>5.5555555555555636E-3</v>
      </c>
      <c r="M611" s="11"/>
      <c r="N611" s="30"/>
    </row>
    <row r="612" spans="1:14" ht="15" customHeight="1">
      <c r="A612" s="58">
        <v>46196</v>
      </c>
      <c r="B612" s="9">
        <f t="shared" si="137"/>
        <v>0.95833333333333293</v>
      </c>
      <c r="C612" s="16" t="s">
        <v>29</v>
      </c>
      <c r="D612" s="16" t="s">
        <v>30</v>
      </c>
      <c r="E612" s="11">
        <v>4</v>
      </c>
      <c r="F612" s="12">
        <f t="shared" si="135"/>
        <v>16</v>
      </c>
      <c r="G612" s="10" t="s">
        <v>18</v>
      </c>
      <c r="H612" s="10" t="s">
        <v>47</v>
      </c>
      <c r="I612" s="10" t="s">
        <v>162</v>
      </c>
      <c r="J612" s="13">
        <v>0.13194444444444445</v>
      </c>
      <c r="K612" s="13">
        <v>0.1701388888888889</v>
      </c>
      <c r="L612" s="70">
        <f t="shared" si="136"/>
        <v>3.8194444444444448E-2</v>
      </c>
      <c r="M612" s="11" t="s">
        <v>318</v>
      </c>
      <c r="N612" s="30"/>
    </row>
    <row r="613" spans="1:14" ht="15" customHeight="1">
      <c r="A613" s="59">
        <v>46196</v>
      </c>
      <c r="B613" s="15">
        <f t="shared" si="137"/>
        <v>0.99999999999999956</v>
      </c>
      <c r="C613" s="16" t="s">
        <v>29</v>
      </c>
      <c r="D613" s="16" t="s">
        <v>30</v>
      </c>
      <c r="E613" s="11">
        <v>1</v>
      </c>
      <c r="F613" s="17">
        <f t="shared" si="135"/>
        <v>4</v>
      </c>
      <c r="G613" s="16" t="s">
        <v>20</v>
      </c>
      <c r="H613" s="16" t="s">
        <v>47</v>
      </c>
      <c r="I613" s="16" t="s">
        <v>51</v>
      </c>
      <c r="J613" s="13">
        <v>0.18055555555555555</v>
      </c>
      <c r="K613" s="13">
        <v>0.18472222222222223</v>
      </c>
      <c r="L613" s="71">
        <f t="shared" si="136"/>
        <v>4.1666666666666796E-3</v>
      </c>
      <c r="M613" s="11"/>
      <c r="N613" s="30"/>
    </row>
    <row r="614" spans="1:14" ht="15" customHeight="1">
      <c r="A614" s="58">
        <v>46196</v>
      </c>
      <c r="B614" s="9">
        <f t="shared" si="137"/>
        <v>1.0416666666666663</v>
      </c>
      <c r="C614" s="16" t="s">
        <v>29</v>
      </c>
      <c r="D614" s="16" t="s">
        <v>30</v>
      </c>
      <c r="E614" s="11">
        <v>3</v>
      </c>
      <c r="F614" s="12">
        <f t="shared" si="135"/>
        <v>12</v>
      </c>
      <c r="G614" s="10" t="s">
        <v>20</v>
      </c>
      <c r="H614" s="10" t="s">
        <v>47</v>
      </c>
      <c r="I614" s="10" t="s">
        <v>36</v>
      </c>
      <c r="J614" s="13">
        <v>0.18819444444444444</v>
      </c>
      <c r="K614" s="13">
        <v>0.21875</v>
      </c>
      <c r="L614" s="70">
        <f t="shared" si="136"/>
        <v>3.0555555555555558E-2</v>
      </c>
      <c r="M614" s="11"/>
      <c r="N614" s="30"/>
    </row>
    <row r="615" spans="1:14" ht="15" customHeight="1">
      <c r="A615" s="59">
        <v>46196</v>
      </c>
      <c r="B615" s="15">
        <f t="shared" si="137"/>
        <v>1.083333333333333</v>
      </c>
      <c r="C615" s="16" t="s">
        <v>29</v>
      </c>
      <c r="D615" s="16" t="s">
        <v>30</v>
      </c>
      <c r="E615" s="11">
        <v>2</v>
      </c>
      <c r="F615" s="17">
        <f t="shared" si="135"/>
        <v>8</v>
      </c>
      <c r="G615" s="16" t="s">
        <v>20</v>
      </c>
      <c r="H615" s="16" t="s">
        <v>47</v>
      </c>
      <c r="I615" s="16" t="s">
        <v>56</v>
      </c>
      <c r="J615" s="13">
        <v>0.2638888888888889</v>
      </c>
      <c r="K615" s="13"/>
      <c r="L615" s="71" t="str">
        <f t="shared" si="136"/>
        <v/>
      </c>
      <c r="M615" s="11"/>
      <c r="N615" s="30"/>
    </row>
    <row r="616" spans="1:14" ht="15" customHeight="1">
      <c r="A616" s="58">
        <v>46196</v>
      </c>
      <c r="B616" s="9">
        <f t="shared" si="137"/>
        <v>1.1249999999999998</v>
      </c>
      <c r="C616" s="16" t="s">
        <v>29</v>
      </c>
      <c r="D616" s="16" t="s">
        <v>30</v>
      </c>
      <c r="E616" s="11">
        <v>5</v>
      </c>
      <c r="F616" s="12">
        <f t="shared" si="135"/>
        <v>20</v>
      </c>
      <c r="G616" s="10"/>
      <c r="H616" s="10"/>
      <c r="I616" s="10"/>
      <c r="J616" s="13"/>
      <c r="K616" s="13"/>
      <c r="L616" s="70" t="str">
        <f t="shared" si="136"/>
        <v/>
      </c>
      <c r="M616" s="11"/>
      <c r="N616" s="30"/>
    </row>
    <row r="617" spans="1:14" ht="15" customHeight="1">
      <c r="A617" s="59">
        <v>46196</v>
      </c>
      <c r="B617" s="15">
        <f t="shared" si="137"/>
        <v>1.1666666666666665</v>
      </c>
      <c r="C617" s="16" t="s">
        <v>29</v>
      </c>
      <c r="D617" s="16" t="s">
        <v>30</v>
      </c>
      <c r="E617" s="11">
        <v>0</v>
      </c>
      <c r="F617" s="17">
        <f t="shared" si="135"/>
        <v>0</v>
      </c>
      <c r="G617" s="16"/>
      <c r="H617" s="16"/>
      <c r="I617" s="16"/>
      <c r="J617" s="13"/>
      <c r="K617" s="13"/>
      <c r="L617" s="71" t="str">
        <f t="shared" si="136"/>
        <v/>
      </c>
      <c r="M617" s="11"/>
      <c r="N617" s="30"/>
    </row>
    <row r="618" spans="1:14" ht="15" customHeight="1">
      <c r="A618" s="58">
        <v>46196</v>
      </c>
      <c r="B618" s="9">
        <f t="shared" si="137"/>
        <v>1.2083333333333333</v>
      </c>
      <c r="C618" s="16" t="s">
        <v>29</v>
      </c>
      <c r="D618" s="16" t="s">
        <v>30</v>
      </c>
      <c r="E618" s="11">
        <v>1</v>
      </c>
      <c r="F618" s="12">
        <f t="shared" si="135"/>
        <v>4</v>
      </c>
      <c r="G618" s="10"/>
      <c r="H618" s="10"/>
      <c r="I618" s="10"/>
      <c r="J618" s="13"/>
      <c r="K618" s="13"/>
      <c r="L618" s="70" t="str">
        <f t="shared" si="136"/>
        <v/>
      </c>
      <c r="M618" s="11"/>
      <c r="N618" s="30"/>
    </row>
    <row r="619" spans="1:14" ht="15" customHeight="1">
      <c r="A619" s="59">
        <v>46196</v>
      </c>
      <c r="B619" s="15">
        <f t="shared" si="137"/>
        <v>1.25</v>
      </c>
      <c r="C619" s="16" t="s">
        <v>29</v>
      </c>
      <c r="D619" s="16" t="s">
        <v>30</v>
      </c>
      <c r="E619" s="11">
        <v>2</v>
      </c>
      <c r="F619" s="17">
        <f t="shared" si="135"/>
        <v>8</v>
      </c>
      <c r="G619" s="16"/>
      <c r="H619" s="16"/>
      <c r="I619" s="16"/>
      <c r="J619" s="13"/>
      <c r="K619" s="13"/>
      <c r="L619" s="71" t="str">
        <f t="shared" si="136"/>
        <v/>
      </c>
      <c r="M619" s="11"/>
      <c r="N619" s="30"/>
    </row>
    <row r="620" spans="1:14" ht="15" customHeight="1">
      <c r="A620" s="58">
        <v>46196</v>
      </c>
      <c r="B620" s="9">
        <f t="shared" si="137"/>
        <v>1.2916666666666667</v>
      </c>
      <c r="C620" s="16" t="s">
        <v>29</v>
      </c>
      <c r="D620" s="16" t="s">
        <v>30</v>
      </c>
      <c r="E620" s="11">
        <v>2</v>
      </c>
      <c r="F620" s="12">
        <f t="shared" si="135"/>
        <v>8</v>
      </c>
      <c r="G620" s="10"/>
      <c r="H620" s="10"/>
      <c r="I620" s="10"/>
      <c r="J620" s="13"/>
      <c r="K620" s="13"/>
      <c r="L620" s="70" t="str">
        <f t="shared" si="136"/>
        <v/>
      </c>
      <c r="M620" s="11"/>
      <c r="N620" s="30"/>
    </row>
    <row r="621" spans="1:14" ht="15.75" customHeight="1">
      <c r="A621" s="105" t="s">
        <v>193</v>
      </c>
      <c r="B621" s="105"/>
      <c r="C621" s="105"/>
      <c r="D621" s="105"/>
      <c r="E621" s="19">
        <f>SUM(E609:E620)</f>
        <v>28</v>
      </c>
      <c r="F621" s="19">
        <f>SUM(F609:F620)</f>
        <v>112</v>
      </c>
      <c r="G621" s="18"/>
      <c r="H621" s="18"/>
      <c r="I621" s="18"/>
      <c r="J621" s="18"/>
      <c r="K621" s="18"/>
      <c r="L621" s="72">
        <f>IFERROR(SUM(L609:L620),"")</f>
        <v>9.7916666666666666E-2</v>
      </c>
      <c r="M621" s="19" t="s">
        <v>192</v>
      </c>
      <c r="N621" s="20">
        <v>176650</v>
      </c>
    </row>
    <row r="622" spans="1:14" ht="18" customHeight="1">
      <c r="A622" s="98" t="s">
        <v>194</v>
      </c>
      <c r="B622" s="98"/>
      <c r="C622" s="98"/>
      <c r="D622" s="98"/>
      <c r="E622" s="22">
        <f>E608+E621</f>
        <v>91</v>
      </c>
      <c r="F622" s="22">
        <f>F608+F621</f>
        <v>364</v>
      </c>
      <c r="G622" s="21"/>
      <c r="H622" s="21"/>
      <c r="I622" s="21"/>
      <c r="J622" s="21"/>
      <c r="K622" s="21"/>
      <c r="L622" s="73">
        <f>IFERROR(L608+L621,"")</f>
        <v>0.20486111111111105</v>
      </c>
      <c r="M622" s="22" t="s">
        <v>195</v>
      </c>
      <c r="N622" s="31">
        <f>IFERROR(N608+N621,"")</f>
        <v>398370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6</v>
      </c>
      <c r="F623" s="17">
        <f t="shared" ref="F623:F634" si="138">IF(E623="","",E623*4)</f>
        <v>24</v>
      </c>
      <c r="G623" s="16" t="s">
        <v>20</v>
      </c>
      <c r="H623" s="16" t="s">
        <v>47</v>
      </c>
      <c r="I623" s="16" t="s">
        <v>51</v>
      </c>
      <c r="J623" s="13">
        <v>0.60624999999999996</v>
      </c>
      <c r="K623" s="13">
        <v>0.64583333333333337</v>
      </c>
      <c r="L623" s="71">
        <f t="shared" ref="L623:L634" si="139">IFERROR(IF(K623="","",IF(K623&gt;=J623,K623-J623,K623+1-J623)),"")</f>
        <v>3.9583333333333415E-2</v>
      </c>
      <c r="M623" s="11" t="s">
        <v>319</v>
      </c>
      <c r="N623" s="30"/>
    </row>
    <row r="624" spans="1:14" ht="15" customHeight="1">
      <c r="A624" s="58">
        <v>46197</v>
      </c>
      <c r="B624" s="9">
        <f t="shared" ref="B624:B634" si="140">B623+TIME(0,60,0)</f>
        <v>0.37499999999999967</v>
      </c>
      <c r="C624" s="16" t="s">
        <v>45</v>
      </c>
      <c r="D624" s="16" t="s">
        <v>30</v>
      </c>
      <c r="E624" s="11">
        <v>6</v>
      </c>
      <c r="F624" s="12">
        <f t="shared" si="138"/>
        <v>24</v>
      </c>
      <c r="G624" s="10"/>
      <c r="H624" s="10"/>
      <c r="I624" s="10"/>
      <c r="J624" s="13"/>
      <c r="K624" s="13"/>
      <c r="L624" s="70" t="str">
        <f t="shared" si="139"/>
        <v/>
      </c>
      <c r="M624" s="11"/>
      <c r="N624" s="30"/>
    </row>
    <row r="625" spans="1:14" ht="15" customHeight="1">
      <c r="A625" s="59">
        <v>46197</v>
      </c>
      <c r="B625" s="15">
        <f t="shared" si="140"/>
        <v>0.41666666666666635</v>
      </c>
      <c r="C625" s="16" t="s">
        <v>45</v>
      </c>
      <c r="D625" s="16" t="s">
        <v>30</v>
      </c>
      <c r="E625" s="11">
        <v>7</v>
      </c>
      <c r="F625" s="17">
        <f t="shared" si="138"/>
        <v>28</v>
      </c>
      <c r="G625" s="16"/>
      <c r="H625" s="16"/>
      <c r="I625" s="16"/>
      <c r="J625" s="13"/>
      <c r="K625" s="13"/>
      <c r="L625" s="71" t="str">
        <f t="shared" si="139"/>
        <v/>
      </c>
      <c r="M625" s="11"/>
      <c r="N625" s="30"/>
    </row>
    <row r="626" spans="1:14" ht="15" customHeight="1">
      <c r="A626" s="58">
        <v>46197</v>
      </c>
      <c r="B626" s="9">
        <f t="shared" si="140"/>
        <v>0.45833333333333304</v>
      </c>
      <c r="C626" s="16" t="s">
        <v>45</v>
      </c>
      <c r="D626" s="16" t="s">
        <v>30</v>
      </c>
      <c r="E626" s="11">
        <v>1</v>
      </c>
      <c r="F626" s="12">
        <f t="shared" si="138"/>
        <v>4</v>
      </c>
      <c r="G626" s="10"/>
      <c r="H626" s="10"/>
      <c r="I626" s="10"/>
      <c r="J626" s="13"/>
      <c r="K626" s="13"/>
      <c r="L626" s="70" t="str">
        <f t="shared" si="139"/>
        <v/>
      </c>
      <c r="M626" s="11"/>
      <c r="N626" s="30"/>
    </row>
    <row r="627" spans="1:14" ht="15" customHeight="1">
      <c r="A627" s="59">
        <v>46197</v>
      </c>
      <c r="B627" s="15">
        <f t="shared" si="140"/>
        <v>0.49999999999999972</v>
      </c>
      <c r="C627" s="16" t="s">
        <v>45</v>
      </c>
      <c r="D627" s="16" t="s">
        <v>46</v>
      </c>
      <c r="E627" s="11">
        <v>5</v>
      </c>
      <c r="F627" s="17">
        <f t="shared" si="138"/>
        <v>20</v>
      </c>
      <c r="G627" s="16"/>
      <c r="H627" s="16"/>
      <c r="I627" s="16"/>
      <c r="J627" s="13"/>
      <c r="K627" s="13"/>
      <c r="L627" s="71" t="str">
        <f t="shared" si="139"/>
        <v/>
      </c>
      <c r="M627" s="11"/>
      <c r="N627" s="30"/>
    </row>
    <row r="628" spans="1:14" ht="15" customHeight="1">
      <c r="A628" s="58">
        <v>46197</v>
      </c>
      <c r="B628" s="9">
        <f t="shared" si="140"/>
        <v>0.54166666666666641</v>
      </c>
      <c r="C628" s="16" t="s">
        <v>45</v>
      </c>
      <c r="D628" s="16" t="s">
        <v>46</v>
      </c>
      <c r="E628" s="11">
        <v>7</v>
      </c>
      <c r="F628" s="12">
        <f t="shared" si="138"/>
        <v>28</v>
      </c>
      <c r="G628" s="10"/>
      <c r="H628" s="10"/>
      <c r="I628" s="10"/>
      <c r="J628" s="13"/>
      <c r="K628" s="13"/>
      <c r="L628" s="70" t="str">
        <f t="shared" si="139"/>
        <v/>
      </c>
      <c r="M628" s="11"/>
      <c r="N628" s="30"/>
    </row>
    <row r="629" spans="1:14" ht="15" customHeight="1">
      <c r="A629" s="59">
        <v>46197</v>
      </c>
      <c r="B629" s="15">
        <f t="shared" si="140"/>
        <v>0.58333333333333304</v>
      </c>
      <c r="C629" s="16" t="s">
        <v>45</v>
      </c>
      <c r="D629" s="16" t="s">
        <v>46</v>
      </c>
      <c r="E629" s="11">
        <v>4</v>
      </c>
      <c r="F629" s="17">
        <f t="shared" si="138"/>
        <v>16</v>
      </c>
      <c r="G629" s="16"/>
      <c r="H629" s="16"/>
      <c r="I629" s="16"/>
      <c r="J629" s="13"/>
      <c r="K629" s="13"/>
      <c r="L629" s="71" t="str">
        <f t="shared" si="139"/>
        <v/>
      </c>
      <c r="M629" s="11"/>
      <c r="N629" s="30"/>
    </row>
    <row r="630" spans="1:14" ht="15" customHeight="1">
      <c r="A630" s="58">
        <v>46197</v>
      </c>
      <c r="B630" s="9">
        <f t="shared" si="140"/>
        <v>0.62499999999999967</v>
      </c>
      <c r="C630" s="16" t="s">
        <v>45</v>
      </c>
      <c r="D630" s="16" t="s">
        <v>46</v>
      </c>
      <c r="E630" s="11">
        <v>1</v>
      </c>
      <c r="F630" s="12">
        <f t="shared" si="138"/>
        <v>4</v>
      </c>
      <c r="G630" s="10"/>
      <c r="H630" s="10"/>
      <c r="I630" s="10"/>
      <c r="J630" s="13"/>
      <c r="K630" s="13"/>
      <c r="L630" s="70" t="str">
        <f t="shared" si="139"/>
        <v/>
      </c>
      <c r="M630" s="11"/>
      <c r="N630" s="30"/>
    </row>
    <row r="631" spans="1:14" ht="15" customHeight="1">
      <c r="A631" s="59">
        <v>46197</v>
      </c>
      <c r="B631" s="15">
        <f t="shared" si="140"/>
        <v>0.6666666666666663</v>
      </c>
      <c r="C631" s="16" t="s">
        <v>45</v>
      </c>
      <c r="D631" s="16" t="s">
        <v>46</v>
      </c>
      <c r="E631" s="11">
        <v>0</v>
      </c>
      <c r="F631" s="17">
        <f t="shared" si="138"/>
        <v>0</v>
      </c>
      <c r="G631" s="16"/>
      <c r="H631" s="16"/>
      <c r="I631" s="16"/>
      <c r="J631" s="13"/>
      <c r="K631" s="13"/>
      <c r="L631" s="71" t="str">
        <f t="shared" si="139"/>
        <v/>
      </c>
      <c r="M631" s="11"/>
      <c r="N631" s="30"/>
    </row>
    <row r="632" spans="1:14" ht="15" customHeight="1">
      <c r="A632" s="58">
        <v>46197</v>
      </c>
      <c r="B632" s="9">
        <f t="shared" si="140"/>
        <v>0.70833333333333293</v>
      </c>
      <c r="C632" s="16" t="s">
        <v>45</v>
      </c>
      <c r="D632" s="16" t="s">
        <v>46</v>
      </c>
      <c r="E632" s="11">
        <v>2</v>
      </c>
      <c r="F632" s="12">
        <f t="shared" si="138"/>
        <v>8</v>
      </c>
      <c r="G632" s="10"/>
      <c r="H632" s="10"/>
      <c r="I632" s="10"/>
      <c r="J632" s="13"/>
      <c r="K632" s="13"/>
      <c r="L632" s="70" t="str">
        <f t="shared" si="139"/>
        <v/>
      </c>
      <c r="M632" s="11"/>
      <c r="N632" s="30"/>
    </row>
    <row r="633" spans="1:14" ht="15" customHeight="1">
      <c r="A633" s="59">
        <v>46197</v>
      </c>
      <c r="B633" s="15">
        <f t="shared" si="140"/>
        <v>0.74999999999999956</v>
      </c>
      <c r="C633" s="16" t="s">
        <v>45</v>
      </c>
      <c r="D633" s="16" t="s">
        <v>46</v>
      </c>
      <c r="E633" s="11">
        <v>6</v>
      </c>
      <c r="F633" s="17">
        <f t="shared" si="138"/>
        <v>24</v>
      </c>
      <c r="G633" s="16"/>
      <c r="H633" s="16"/>
      <c r="I633" s="16"/>
      <c r="J633" s="13"/>
      <c r="K633" s="13"/>
      <c r="L633" s="71" t="str">
        <f t="shared" si="139"/>
        <v/>
      </c>
      <c r="M633" s="11"/>
      <c r="N633" s="30"/>
    </row>
    <row r="634" spans="1:14" ht="15" customHeight="1">
      <c r="A634" s="58">
        <v>46197</v>
      </c>
      <c r="B634" s="9">
        <f t="shared" si="140"/>
        <v>0.79166666666666619</v>
      </c>
      <c r="C634" s="16" t="s">
        <v>45</v>
      </c>
      <c r="D634" s="16" t="s">
        <v>46</v>
      </c>
      <c r="E634" s="11">
        <v>3</v>
      </c>
      <c r="F634" s="12">
        <f t="shared" si="138"/>
        <v>12</v>
      </c>
      <c r="G634" s="10"/>
      <c r="H634" s="10"/>
      <c r="I634" s="10"/>
      <c r="J634" s="13"/>
      <c r="K634" s="13"/>
      <c r="L634" s="70" t="str">
        <f t="shared" si="139"/>
        <v/>
      </c>
      <c r="M634" s="11"/>
      <c r="N634" s="30"/>
    </row>
    <row r="635" spans="1:14" ht="15.75" customHeight="1">
      <c r="A635" s="105" t="s">
        <v>191</v>
      </c>
      <c r="B635" s="105"/>
      <c r="C635" s="105"/>
      <c r="D635" s="105"/>
      <c r="E635" s="19">
        <f>SUM(E623:E634)</f>
        <v>48</v>
      </c>
      <c r="F635" s="19">
        <f>SUM(F623:F634)</f>
        <v>192</v>
      </c>
      <c r="G635" s="18"/>
      <c r="H635" s="18"/>
      <c r="I635" s="18"/>
      <c r="J635" s="18"/>
      <c r="K635" s="18"/>
      <c r="L635" s="72">
        <f>IFERROR(SUM(L623:L634),"")</f>
        <v>3.9583333333333415E-2</v>
      </c>
      <c r="M635" s="19" t="s">
        <v>192</v>
      </c>
      <c r="N635" s="20">
        <v>255890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1">IF(E636="","",E636*4)</f>
        <v>0</v>
      </c>
      <c r="G636" s="10" t="s">
        <v>20</v>
      </c>
      <c r="H636" s="10" t="s">
        <v>47</v>
      </c>
      <c r="I636" s="10" t="s">
        <v>51</v>
      </c>
      <c r="J636" s="13">
        <v>0.79166666666666663</v>
      </c>
      <c r="K636" s="13">
        <v>0.81388888888888888</v>
      </c>
      <c r="L636" s="70">
        <f t="shared" ref="L636:L647" si="142">IFERROR(IF(K636="","",IF(K636&gt;=J636,K636-J636,K636+1-J636)),"")</f>
        <v>2.2222222222222254E-2</v>
      </c>
      <c r="M636" s="11"/>
      <c r="N636" s="30"/>
    </row>
    <row r="637" spans="1:14" ht="15" customHeight="1">
      <c r="A637" s="59">
        <v>46197</v>
      </c>
      <c r="B637" s="15">
        <f t="shared" ref="B637:B647" si="143">B636+TIME(0,60,0)</f>
        <v>0.87499999999999967</v>
      </c>
      <c r="C637" s="10" t="s">
        <v>29</v>
      </c>
      <c r="D637" s="10" t="s">
        <v>30</v>
      </c>
      <c r="E637" s="11">
        <v>2</v>
      </c>
      <c r="F637" s="17">
        <f t="shared" si="141"/>
        <v>8</v>
      </c>
      <c r="G637" s="16" t="s">
        <v>20</v>
      </c>
      <c r="H637" s="16" t="s">
        <v>47</v>
      </c>
      <c r="I637" s="16" t="s">
        <v>51</v>
      </c>
      <c r="J637" s="13">
        <v>0.83819444444444446</v>
      </c>
      <c r="K637" s="13">
        <v>0.84583333333333333</v>
      </c>
      <c r="L637" s="71">
        <f t="shared" si="142"/>
        <v>7.6388888888888618E-3</v>
      </c>
      <c r="M637" s="11"/>
      <c r="N637" s="30"/>
    </row>
    <row r="638" spans="1:14" ht="15" customHeight="1">
      <c r="A638" s="58">
        <v>46197</v>
      </c>
      <c r="B638" s="9">
        <f t="shared" si="143"/>
        <v>0.9166666666666663</v>
      </c>
      <c r="C638" s="10" t="s">
        <v>29</v>
      </c>
      <c r="D638" s="10" t="s">
        <v>30</v>
      </c>
      <c r="E638" s="11">
        <v>0</v>
      </c>
      <c r="F638" s="12">
        <f t="shared" si="141"/>
        <v>0</v>
      </c>
      <c r="G638" s="10" t="s">
        <v>20</v>
      </c>
      <c r="H638" s="10" t="s">
        <v>47</v>
      </c>
      <c r="I638" s="10" t="s">
        <v>56</v>
      </c>
      <c r="J638" s="13">
        <v>0.85069444444444442</v>
      </c>
      <c r="K638" s="13">
        <v>0.89236111111111116</v>
      </c>
      <c r="L638" s="70">
        <f t="shared" si="142"/>
        <v>4.1666666666666741E-2</v>
      </c>
      <c r="M638" s="11" t="s">
        <v>320</v>
      </c>
      <c r="N638" s="30"/>
    </row>
    <row r="639" spans="1:14" ht="15" customHeight="1">
      <c r="A639" s="59">
        <v>46197</v>
      </c>
      <c r="B639" s="15">
        <f t="shared" si="143"/>
        <v>0.95833333333333293</v>
      </c>
      <c r="C639" s="10" t="s">
        <v>29</v>
      </c>
      <c r="D639" s="10" t="s">
        <v>30</v>
      </c>
      <c r="E639" s="11">
        <v>5</v>
      </c>
      <c r="F639" s="17">
        <f t="shared" si="141"/>
        <v>20</v>
      </c>
      <c r="G639" s="16" t="s">
        <v>20</v>
      </c>
      <c r="H639" s="16" t="s">
        <v>47</v>
      </c>
      <c r="I639" s="16" t="s">
        <v>51</v>
      </c>
      <c r="J639" s="13">
        <v>0.16875000000000001</v>
      </c>
      <c r="K639" s="13">
        <v>0.1736111111111111</v>
      </c>
      <c r="L639" s="71">
        <f t="shared" si="142"/>
        <v>4.8611111111110938E-3</v>
      </c>
      <c r="M639" s="11"/>
      <c r="N639" s="30"/>
    </row>
    <row r="640" spans="1:14" ht="15" customHeight="1">
      <c r="A640" s="58">
        <v>46197</v>
      </c>
      <c r="B640" s="9">
        <f t="shared" si="143"/>
        <v>0.99999999999999956</v>
      </c>
      <c r="C640" s="10" t="s">
        <v>29</v>
      </c>
      <c r="D640" s="10" t="s">
        <v>30</v>
      </c>
      <c r="E640" s="11">
        <v>6</v>
      </c>
      <c r="F640" s="12">
        <f t="shared" si="141"/>
        <v>24</v>
      </c>
      <c r="G640" s="10" t="s">
        <v>20</v>
      </c>
      <c r="H640" s="10" t="s">
        <v>47</v>
      </c>
      <c r="I640" s="10" t="s">
        <v>51</v>
      </c>
      <c r="J640" s="13">
        <v>0.17708333333333334</v>
      </c>
      <c r="K640" s="13">
        <v>0.18124999999999999</v>
      </c>
      <c r="L640" s="70">
        <f t="shared" si="142"/>
        <v>4.1666666666666519E-3</v>
      </c>
      <c r="M640" s="11"/>
      <c r="N640" s="30"/>
    </row>
    <row r="641" spans="1:14" ht="15" customHeight="1">
      <c r="A641" s="59">
        <v>46197</v>
      </c>
      <c r="B641" s="15">
        <f t="shared" si="143"/>
        <v>1.0416666666666663</v>
      </c>
      <c r="C641" s="10" t="s">
        <v>29</v>
      </c>
      <c r="D641" s="10" t="s">
        <v>30</v>
      </c>
      <c r="E641" s="11">
        <v>5</v>
      </c>
      <c r="F641" s="17">
        <f t="shared" si="141"/>
        <v>20</v>
      </c>
      <c r="G641" s="16" t="s">
        <v>20</v>
      </c>
      <c r="H641" s="16" t="s">
        <v>47</v>
      </c>
      <c r="I641" s="16" t="s">
        <v>51</v>
      </c>
      <c r="J641" s="13">
        <v>0.18680555555555556</v>
      </c>
      <c r="K641" s="13">
        <v>0.19305555555555556</v>
      </c>
      <c r="L641" s="71">
        <f t="shared" si="142"/>
        <v>6.2500000000000056E-3</v>
      </c>
      <c r="M641" s="11"/>
      <c r="N641" s="30"/>
    </row>
    <row r="642" spans="1:14" ht="15" customHeight="1">
      <c r="A642" s="58">
        <v>46197</v>
      </c>
      <c r="B642" s="9">
        <f t="shared" si="143"/>
        <v>1.083333333333333</v>
      </c>
      <c r="C642" s="10" t="s">
        <v>29</v>
      </c>
      <c r="D642" s="10" t="s">
        <v>30</v>
      </c>
      <c r="E642" s="11">
        <v>4</v>
      </c>
      <c r="F642" s="12">
        <f t="shared" si="141"/>
        <v>16</v>
      </c>
      <c r="G642" s="10"/>
      <c r="H642" s="10"/>
      <c r="I642" s="10"/>
      <c r="J642" s="13"/>
      <c r="K642" s="13"/>
      <c r="L642" s="70" t="str">
        <f t="shared" si="142"/>
        <v/>
      </c>
      <c r="M642" s="11"/>
      <c r="N642" s="30"/>
    </row>
    <row r="643" spans="1:14" ht="15" customHeight="1">
      <c r="A643" s="59">
        <v>46197</v>
      </c>
      <c r="B643" s="15">
        <f t="shared" si="143"/>
        <v>1.1249999999999998</v>
      </c>
      <c r="C643" s="10" t="s">
        <v>29</v>
      </c>
      <c r="D643" s="10" t="s">
        <v>30</v>
      </c>
      <c r="E643" s="11">
        <v>7</v>
      </c>
      <c r="F643" s="17">
        <f t="shared" si="141"/>
        <v>28</v>
      </c>
      <c r="G643" s="16"/>
      <c r="H643" s="16"/>
      <c r="I643" s="16"/>
      <c r="J643" s="13"/>
      <c r="K643" s="13"/>
      <c r="L643" s="71" t="str">
        <f t="shared" si="142"/>
        <v/>
      </c>
      <c r="M643" s="11"/>
      <c r="N643" s="30"/>
    </row>
    <row r="644" spans="1:14" ht="15" customHeight="1">
      <c r="A644" s="58">
        <v>46197</v>
      </c>
      <c r="B644" s="9">
        <f t="shared" si="143"/>
        <v>1.1666666666666665</v>
      </c>
      <c r="C644" s="10" t="s">
        <v>29</v>
      </c>
      <c r="D644" s="10" t="s">
        <v>30</v>
      </c>
      <c r="E644" s="11">
        <v>3</v>
      </c>
      <c r="F644" s="12">
        <f t="shared" si="141"/>
        <v>12</v>
      </c>
      <c r="G644" s="10"/>
      <c r="H644" s="10"/>
      <c r="I644" s="10"/>
      <c r="J644" s="13"/>
      <c r="K644" s="13"/>
      <c r="L644" s="70" t="str">
        <f t="shared" si="142"/>
        <v/>
      </c>
      <c r="M644" s="11"/>
      <c r="N644" s="30"/>
    </row>
    <row r="645" spans="1:14" ht="15" customHeight="1">
      <c r="A645" s="59">
        <v>46197</v>
      </c>
      <c r="B645" s="15">
        <f t="shared" si="143"/>
        <v>1.2083333333333333</v>
      </c>
      <c r="C645" s="10" t="s">
        <v>29</v>
      </c>
      <c r="D645" s="10" t="s">
        <v>30</v>
      </c>
      <c r="E645" s="11">
        <v>0</v>
      </c>
      <c r="F645" s="17">
        <f t="shared" si="141"/>
        <v>0</v>
      </c>
      <c r="G645" s="16"/>
      <c r="H645" s="16"/>
      <c r="I645" s="16"/>
      <c r="J645" s="13"/>
      <c r="K645" s="13"/>
      <c r="L645" s="71" t="str">
        <f t="shared" si="142"/>
        <v/>
      </c>
      <c r="M645" s="11"/>
      <c r="N645" s="30"/>
    </row>
    <row r="646" spans="1:14" ht="15" customHeight="1">
      <c r="A646" s="58">
        <v>46197</v>
      </c>
      <c r="B646" s="9">
        <f t="shared" si="143"/>
        <v>1.25</v>
      </c>
      <c r="C646" s="10" t="s">
        <v>29</v>
      </c>
      <c r="D646" s="10" t="s">
        <v>30</v>
      </c>
      <c r="E646" s="11">
        <v>4</v>
      </c>
      <c r="F646" s="12">
        <f t="shared" si="141"/>
        <v>16</v>
      </c>
      <c r="G646" s="10"/>
      <c r="H646" s="10"/>
      <c r="I646" s="10"/>
      <c r="J646" s="13"/>
      <c r="K646" s="13"/>
      <c r="L646" s="70" t="str">
        <f t="shared" si="142"/>
        <v/>
      </c>
      <c r="M646" s="11"/>
      <c r="N646" s="30"/>
    </row>
    <row r="647" spans="1:14" ht="15" customHeight="1">
      <c r="A647" s="59">
        <v>46197</v>
      </c>
      <c r="B647" s="15">
        <f t="shared" si="143"/>
        <v>1.2916666666666667</v>
      </c>
      <c r="C647" s="10" t="s">
        <v>29</v>
      </c>
      <c r="D647" s="10" t="s">
        <v>30</v>
      </c>
      <c r="E647" s="11">
        <v>4</v>
      </c>
      <c r="F647" s="17">
        <f t="shared" si="141"/>
        <v>16</v>
      </c>
      <c r="G647" s="16"/>
      <c r="H647" s="16"/>
      <c r="I647" s="16"/>
      <c r="J647" s="13"/>
      <c r="K647" s="13"/>
      <c r="L647" s="71" t="str">
        <f t="shared" si="142"/>
        <v/>
      </c>
      <c r="M647" s="11"/>
      <c r="N647" s="30"/>
    </row>
    <row r="648" spans="1:14" ht="15.75" customHeight="1">
      <c r="A648" s="105" t="s">
        <v>193</v>
      </c>
      <c r="B648" s="105"/>
      <c r="C648" s="105"/>
      <c r="D648" s="105"/>
      <c r="E648" s="19">
        <f>SUM(E636:E647)</f>
        <v>40</v>
      </c>
      <c r="F648" s="19">
        <f>SUM(F636:F647)</f>
        <v>160</v>
      </c>
      <c r="G648" s="18"/>
      <c r="H648" s="18"/>
      <c r="I648" s="18"/>
      <c r="J648" s="18"/>
      <c r="K648" s="18"/>
      <c r="L648" s="72">
        <f>IFERROR(SUM(L636:L647),"")</f>
        <v>8.6805555555555608E-2</v>
      </c>
      <c r="M648" s="19" t="s">
        <v>192</v>
      </c>
      <c r="N648" s="20">
        <f>154590+56700</f>
        <v>211290</v>
      </c>
    </row>
    <row r="649" spans="1:14" ht="18" customHeight="1">
      <c r="A649" s="98" t="s">
        <v>194</v>
      </c>
      <c r="B649" s="98"/>
      <c r="C649" s="98"/>
      <c r="D649" s="98"/>
      <c r="E649" s="22">
        <f>E635+E648</f>
        <v>88</v>
      </c>
      <c r="F649" s="22">
        <f>F635+F648</f>
        <v>352</v>
      </c>
      <c r="G649" s="21"/>
      <c r="H649" s="21"/>
      <c r="I649" s="21"/>
      <c r="J649" s="21"/>
      <c r="K649" s="21"/>
      <c r="L649" s="73">
        <f>IFERROR(L635+L648,"")</f>
        <v>0.12638888888888902</v>
      </c>
      <c r="M649" s="22" t="s">
        <v>195</v>
      </c>
      <c r="N649" s="31">
        <f>IFERROR(N635+N648,"")</f>
        <v>467180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4">IF(E650="","",E650*4)</f>
        <v>0</v>
      </c>
      <c r="G650" s="10" t="s">
        <v>20</v>
      </c>
      <c r="H650" s="10" t="s">
        <v>47</v>
      </c>
      <c r="I650" s="10" t="s">
        <v>51</v>
      </c>
      <c r="J650" s="13">
        <v>0.29166666666666669</v>
      </c>
      <c r="K650" s="13">
        <v>0.33819444444444446</v>
      </c>
      <c r="L650" s="70">
        <f t="shared" ref="L650:L661" si="145">IFERROR(IF(K650="","",IF(K650&gt;=J650,K650-J650,K650+1-J650)),"")</f>
        <v>4.6527777777777779E-2</v>
      </c>
      <c r="M650" s="11"/>
      <c r="N650" s="30"/>
    </row>
    <row r="651" spans="1:14" ht="15" customHeight="1">
      <c r="A651" s="59">
        <v>46198</v>
      </c>
      <c r="B651" s="15">
        <f t="shared" ref="B651:B661" si="146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4"/>
        <v>12</v>
      </c>
      <c r="G651" s="16" t="s">
        <v>17</v>
      </c>
      <c r="H651" s="16" t="s">
        <v>90</v>
      </c>
      <c r="I651" s="16" t="s">
        <v>77</v>
      </c>
      <c r="J651" s="13">
        <v>0.36388888888888887</v>
      </c>
      <c r="K651" s="13">
        <v>0.40694444444444444</v>
      </c>
      <c r="L651" s="71">
        <f t="shared" si="145"/>
        <v>4.3055555555555569E-2</v>
      </c>
      <c r="M651" s="11"/>
      <c r="N651" s="30"/>
    </row>
    <row r="652" spans="1:14" ht="15" customHeight="1">
      <c r="A652" s="58">
        <v>46198</v>
      </c>
      <c r="B652" s="9">
        <f t="shared" si="146"/>
        <v>0.41666666666666635</v>
      </c>
      <c r="C652" s="10" t="s">
        <v>45</v>
      </c>
      <c r="D652" s="10" t="s">
        <v>30</v>
      </c>
      <c r="E652" s="11">
        <v>0</v>
      </c>
      <c r="F652" s="12">
        <f t="shared" si="144"/>
        <v>0</v>
      </c>
      <c r="G652" s="10" t="s">
        <v>20</v>
      </c>
      <c r="H652" s="10" t="s">
        <v>130</v>
      </c>
      <c r="I652" s="10" t="s">
        <v>99</v>
      </c>
      <c r="J652" s="13">
        <v>0.56944444444444442</v>
      </c>
      <c r="K652" s="13">
        <v>0.64583333333333337</v>
      </c>
      <c r="L652" s="70">
        <f t="shared" si="145"/>
        <v>7.6388888888888951E-2</v>
      </c>
      <c r="M652" s="11"/>
      <c r="N652" s="30"/>
    </row>
    <row r="653" spans="1:14" ht="15" customHeight="1">
      <c r="A653" s="59">
        <v>46198</v>
      </c>
      <c r="B653" s="15">
        <f t="shared" si="146"/>
        <v>0.45833333333333304</v>
      </c>
      <c r="C653" s="10" t="s">
        <v>45</v>
      </c>
      <c r="D653" s="10" t="s">
        <v>30</v>
      </c>
      <c r="E653" s="11">
        <v>8</v>
      </c>
      <c r="F653" s="17">
        <f t="shared" si="144"/>
        <v>32</v>
      </c>
      <c r="G653" s="16"/>
      <c r="H653" s="16"/>
      <c r="I653" s="16"/>
      <c r="J653" s="13"/>
      <c r="K653" s="13"/>
      <c r="L653" s="71" t="str">
        <f t="shared" si="145"/>
        <v/>
      </c>
      <c r="M653" s="11"/>
      <c r="N653" s="30"/>
    </row>
    <row r="654" spans="1:14" ht="15" customHeight="1">
      <c r="A654" s="58">
        <v>46198</v>
      </c>
      <c r="B654" s="9">
        <f t="shared" si="146"/>
        <v>0.49999999999999972</v>
      </c>
      <c r="C654" s="10" t="s">
        <v>45</v>
      </c>
      <c r="D654" s="10" t="s">
        <v>30</v>
      </c>
      <c r="E654" s="11">
        <v>3</v>
      </c>
      <c r="F654" s="12">
        <f t="shared" si="144"/>
        <v>12</v>
      </c>
      <c r="G654" s="10"/>
      <c r="H654" s="10"/>
      <c r="I654" s="10"/>
      <c r="J654" s="13"/>
      <c r="K654" s="13"/>
      <c r="L654" s="70" t="str">
        <f t="shared" si="145"/>
        <v/>
      </c>
      <c r="M654" s="11"/>
      <c r="N654" s="30"/>
    </row>
    <row r="655" spans="1:14" ht="15" customHeight="1">
      <c r="A655" s="59">
        <v>46198</v>
      </c>
      <c r="B655" s="15">
        <f t="shared" si="146"/>
        <v>0.54166666666666641</v>
      </c>
      <c r="C655" s="10" t="s">
        <v>45</v>
      </c>
      <c r="D655" s="10" t="s">
        <v>30</v>
      </c>
      <c r="E655" s="11">
        <v>3</v>
      </c>
      <c r="F655" s="17">
        <f t="shared" si="144"/>
        <v>12</v>
      </c>
      <c r="G655" s="16"/>
      <c r="H655" s="16"/>
      <c r="I655" s="16"/>
      <c r="J655" s="13"/>
      <c r="K655" s="13"/>
      <c r="L655" s="71" t="str">
        <f t="shared" si="145"/>
        <v/>
      </c>
      <c r="M655" s="11"/>
      <c r="N655" s="30"/>
    </row>
    <row r="656" spans="1:14" ht="15" customHeight="1">
      <c r="A656" s="58">
        <v>46198</v>
      </c>
      <c r="B656" s="9">
        <f t="shared" si="146"/>
        <v>0.58333333333333304</v>
      </c>
      <c r="C656" s="10" t="s">
        <v>45</v>
      </c>
      <c r="D656" s="10" t="s">
        <v>30</v>
      </c>
      <c r="E656" s="11">
        <v>5</v>
      </c>
      <c r="F656" s="12">
        <f t="shared" si="144"/>
        <v>20</v>
      </c>
      <c r="G656" s="10"/>
      <c r="H656" s="10"/>
      <c r="I656" s="10"/>
      <c r="J656" s="13"/>
      <c r="K656" s="13"/>
      <c r="L656" s="70" t="str">
        <f t="shared" si="145"/>
        <v/>
      </c>
      <c r="M656" s="11"/>
      <c r="N656" s="30"/>
    </row>
    <row r="657" spans="1:14" ht="15" customHeight="1">
      <c r="A657" s="59">
        <v>46198</v>
      </c>
      <c r="B657" s="15">
        <f t="shared" si="146"/>
        <v>0.62499999999999967</v>
      </c>
      <c r="C657" s="10" t="s">
        <v>45</v>
      </c>
      <c r="D657" s="10" t="s">
        <v>30</v>
      </c>
      <c r="E657" s="11">
        <v>0</v>
      </c>
      <c r="F657" s="17">
        <f t="shared" si="144"/>
        <v>0</v>
      </c>
      <c r="G657" s="16"/>
      <c r="H657" s="16"/>
      <c r="I657" s="16"/>
      <c r="J657" s="13"/>
      <c r="K657" s="13"/>
      <c r="L657" s="71" t="str">
        <f t="shared" si="145"/>
        <v/>
      </c>
      <c r="M657" s="11"/>
      <c r="N657" s="30"/>
    </row>
    <row r="658" spans="1:14" ht="15" customHeight="1">
      <c r="A658" s="58">
        <v>46198</v>
      </c>
      <c r="B658" s="9">
        <f t="shared" si="146"/>
        <v>0.6666666666666663</v>
      </c>
      <c r="C658" s="10" t="s">
        <v>45</v>
      </c>
      <c r="D658" s="10" t="s">
        <v>30</v>
      </c>
      <c r="E658" s="11">
        <v>1</v>
      </c>
      <c r="F658" s="12">
        <f t="shared" si="144"/>
        <v>4</v>
      </c>
      <c r="G658" s="10"/>
      <c r="H658" s="10"/>
      <c r="I658" s="10"/>
      <c r="J658" s="13"/>
      <c r="K658" s="13"/>
      <c r="L658" s="70" t="str">
        <f t="shared" si="145"/>
        <v/>
      </c>
      <c r="M658" s="11"/>
      <c r="N658" s="30"/>
    </row>
    <row r="659" spans="1:14" ht="15" customHeight="1">
      <c r="A659" s="59">
        <v>46198</v>
      </c>
      <c r="B659" s="15">
        <f t="shared" si="146"/>
        <v>0.70833333333333293</v>
      </c>
      <c r="C659" s="10" t="s">
        <v>45</v>
      </c>
      <c r="D659" s="10" t="s">
        <v>30</v>
      </c>
      <c r="E659" s="11">
        <v>5</v>
      </c>
      <c r="F659" s="17">
        <f t="shared" si="144"/>
        <v>20</v>
      </c>
      <c r="G659" s="16"/>
      <c r="H659" s="16"/>
      <c r="I659" s="16"/>
      <c r="J659" s="13"/>
      <c r="K659" s="13"/>
      <c r="L659" s="71" t="str">
        <f t="shared" si="145"/>
        <v/>
      </c>
      <c r="M659" s="11"/>
      <c r="N659" s="30"/>
    </row>
    <row r="660" spans="1:14" ht="15" customHeight="1">
      <c r="A660" s="58">
        <v>46198</v>
      </c>
      <c r="B660" s="9">
        <f t="shared" si="146"/>
        <v>0.74999999999999956</v>
      </c>
      <c r="C660" s="10" t="s">
        <v>45</v>
      </c>
      <c r="D660" s="10" t="s">
        <v>30</v>
      </c>
      <c r="E660" s="11">
        <v>4</v>
      </c>
      <c r="F660" s="12">
        <f t="shared" si="144"/>
        <v>16</v>
      </c>
      <c r="G660" s="10"/>
      <c r="H660" s="10"/>
      <c r="I660" s="10"/>
      <c r="J660" s="13"/>
      <c r="K660" s="13"/>
      <c r="L660" s="70" t="str">
        <f t="shared" si="145"/>
        <v/>
      </c>
      <c r="M660" s="11"/>
      <c r="N660" s="30"/>
    </row>
    <row r="661" spans="1:14" ht="15" customHeight="1">
      <c r="A661" s="59">
        <v>46198</v>
      </c>
      <c r="B661" s="15">
        <f t="shared" si="146"/>
        <v>0.79166666666666619</v>
      </c>
      <c r="C661" s="10" t="s">
        <v>45</v>
      </c>
      <c r="D661" s="10" t="s">
        <v>30</v>
      </c>
      <c r="E661" s="11">
        <v>2</v>
      </c>
      <c r="F661" s="17">
        <f t="shared" si="144"/>
        <v>8</v>
      </c>
      <c r="G661" s="16"/>
      <c r="H661" s="16"/>
      <c r="I661" s="16"/>
      <c r="J661" s="13"/>
      <c r="K661" s="13"/>
      <c r="L661" s="71" t="str">
        <f t="shared" si="145"/>
        <v/>
      </c>
      <c r="M661" s="11"/>
      <c r="N661" s="30"/>
    </row>
    <row r="662" spans="1:14" ht="15.75" customHeight="1">
      <c r="A662" s="105" t="s">
        <v>191</v>
      </c>
      <c r="B662" s="105"/>
      <c r="C662" s="105"/>
      <c r="D662" s="105"/>
      <c r="E662" s="19">
        <f>SUM(E650:E661)</f>
        <v>34</v>
      </c>
      <c r="F662" s="19">
        <f>SUM(F650:F661)</f>
        <v>136</v>
      </c>
      <c r="G662" s="18"/>
      <c r="H662" s="18"/>
      <c r="I662" s="18"/>
      <c r="J662" s="18"/>
      <c r="K662" s="18"/>
      <c r="L662" s="72">
        <f>IFERROR(SUM(L650:L661),"")</f>
        <v>0.1659722222222223</v>
      </c>
      <c r="M662" s="19" t="s">
        <v>192</v>
      </c>
      <c r="N662" s="20">
        <v>148190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0</v>
      </c>
      <c r="F663" s="17">
        <f t="shared" ref="F663:F674" si="147">IF(E663="","",E663*4)</f>
        <v>0</v>
      </c>
      <c r="G663" s="16" t="s">
        <v>20</v>
      </c>
      <c r="H663" s="16" t="s">
        <v>47</v>
      </c>
      <c r="I663" s="16" t="s">
        <v>51</v>
      </c>
      <c r="J663" s="13">
        <v>0.7895833333333333</v>
      </c>
      <c r="K663" s="13">
        <v>0.79374999999999996</v>
      </c>
      <c r="L663" s="71">
        <f t="shared" ref="L663:L674" si="148">IFERROR(IF(K663="","",IF(K663&gt;=J663,K663-J663,K663+1-J663)),"")</f>
        <v>4.1666666666666519E-3</v>
      </c>
      <c r="M663" s="11"/>
      <c r="N663" s="30"/>
    </row>
    <row r="664" spans="1:14" ht="15" customHeight="1">
      <c r="A664" s="58">
        <v>46198</v>
      </c>
      <c r="B664" s="9">
        <f t="shared" ref="B664:B674" si="149">B663+TIME(0,60,0)</f>
        <v>0.87499999999999967</v>
      </c>
      <c r="C664" s="16" t="s">
        <v>29</v>
      </c>
      <c r="D664" s="16" t="s">
        <v>22</v>
      </c>
      <c r="E664" s="11">
        <v>5</v>
      </c>
      <c r="F664" s="12">
        <f t="shared" si="147"/>
        <v>20</v>
      </c>
      <c r="G664" s="10" t="s">
        <v>20</v>
      </c>
      <c r="H664" s="10" t="s">
        <v>47</v>
      </c>
      <c r="I664" s="10" t="s">
        <v>51</v>
      </c>
      <c r="J664" s="13">
        <v>0.82013888888888886</v>
      </c>
      <c r="K664" s="13">
        <v>0.82638888888888884</v>
      </c>
      <c r="L664" s="70">
        <f t="shared" si="148"/>
        <v>6.2499999999999778E-3</v>
      </c>
      <c r="M664" s="11"/>
      <c r="N664" s="30"/>
    </row>
    <row r="665" spans="1:14" ht="15" customHeight="1">
      <c r="A665" s="59">
        <v>46198</v>
      </c>
      <c r="B665" s="15">
        <f t="shared" si="149"/>
        <v>0.9166666666666663</v>
      </c>
      <c r="C665" s="16" t="s">
        <v>29</v>
      </c>
      <c r="D665" s="16" t="s">
        <v>22</v>
      </c>
      <c r="E665" s="11">
        <v>0</v>
      </c>
      <c r="F665" s="17">
        <f t="shared" si="147"/>
        <v>0</v>
      </c>
      <c r="G665" s="16" t="s">
        <v>20</v>
      </c>
      <c r="H665" s="16" t="s">
        <v>47</v>
      </c>
      <c r="I665" s="16" t="s">
        <v>123</v>
      </c>
      <c r="J665" s="13">
        <v>0.8618055555555556</v>
      </c>
      <c r="K665" s="13">
        <v>0.87152777777777779</v>
      </c>
      <c r="L665" s="71">
        <f t="shared" si="148"/>
        <v>9.7222222222221877E-3</v>
      </c>
      <c r="M665" s="11"/>
      <c r="N665" s="30"/>
    </row>
    <row r="666" spans="1:14" ht="15" customHeight="1">
      <c r="A666" s="58">
        <v>46198</v>
      </c>
      <c r="B666" s="9">
        <f t="shared" si="149"/>
        <v>0.95833333333333293</v>
      </c>
      <c r="C666" s="16" t="s">
        <v>29</v>
      </c>
      <c r="D666" s="16" t="s">
        <v>22</v>
      </c>
      <c r="E666" s="11">
        <v>6</v>
      </c>
      <c r="F666" s="12">
        <f t="shared" si="147"/>
        <v>24</v>
      </c>
      <c r="G666" s="10" t="s">
        <v>19</v>
      </c>
      <c r="H666" s="10" t="s">
        <v>47</v>
      </c>
      <c r="I666" s="10" t="s">
        <v>27</v>
      </c>
      <c r="J666" s="13">
        <v>0.99652777777777779</v>
      </c>
      <c r="K666" s="13">
        <v>1.8055555555555554E-2</v>
      </c>
      <c r="L666" s="70">
        <f t="shared" si="148"/>
        <v>2.1527777777777701E-2</v>
      </c>
      <c r="M666" s="11"/>
      <c r="N666" s="30"/>
    </row>
    <row r="667" spans="1:14" ht="15" customHeight="1">
      <c r="A667" s="59">
        <v>46198</v>
      </c>
      <c r="B667" s="15">
        <f t="shared" si="149"/>
        <v>0.99999999999999956</v>
      </c>
      <c r="C667" s="16" t="s">
        <v>29</v>
      </c>
      <c r="D667" s="16" t="s">
        <v>22</v>
      </c>
      <c r="E667" s="11">
        <v>6</v>
      </c>
      <c r="F667" s="17">
        <f t="shared" si="147"/>
        <v>24</v>
      </c>
      <c r="G667" s="16"/>
      <c r="H667" s="16"/>
      <c r="I667" s="16"/>
      <c r="J667" s="13"/>
      <c r="K667" s="13"/>
      <c r="L667" s="71" t="str">
        <f t="shared" si="148"/>
        <v/>
      </c>
      <c r="M667" s="11"/>
      <c r="N667" s="30"/>
    </row>
    <row r="668" spans="1:14" ht="15" customHeight="1">
      <c r="A668" s="58">
        <v>46198</v>
      </c>
      <c r="B668" s="9">
        <f t="shared" si="149"/>
        <v>1.0416666666666663</v>
      </c>
      <c r="C668" s="16" t="s">
        <v>29</v>
      </c>
      <c r="D668" s="16" t="s">
        <v>22</v>
      </c>
      <c r="E668" s="11">
        <v>1</v>
      </c>
      <c r="F668" s="12">
        <f t="shared" si="147"/>
        <v>4</v>
      </c>
      <c r="G668" s="10"/>
      <c r="H668" s="10"/>
      <c r="I668" s="10"/>
      <c r="J668" s="13"/>
      <c r="K668" s="13"/>
      <c r="L668" s="70" t="str">
        <f t="shared" si="148"/>
        <v/>
      </c>
      <c r="M668" s="11"/>
      <c r="N668" s="30"/>
    </row>
    <row r="669" spans="1:14" ht="15" customHeight="1">
      <c r="A669" s="59">
        <v>46198</v>
      </c>
      <c r="B669" s="15">
        <f t="shared" si="149"/>
        <v>1.083333333333333</v>
      </c>
      <c r="C669" s="16" t="s">
        <v>29</v>
      </c>
      <c r="D669" s="16" t="s">
        <v>22</v>
      </c>
      <c r="E669" s="11">
        <v>7</v>
      </c>
      <c r="F669" s="17">
        <f t="shared" si="147"/>
        <v>28</v>
      </c>
      <c r="G669" s="16"/>
      <c r="H669" s="16"/>
      <c r="I669" s="16"/>
      <c r="J669" s="13"/>
      <c r="K669" s="13"/>
      <c r="L669" s="71" t="str">
        <f t="shared" si="148"/>
        <v/>
      </c>
      <c r="M669" s="11"/>
      <c r="N669" s="30"/>
    </row>
    <row r="670" spans="1:14" ht="15" customHeight="1">
      <c r="A670" s="58">
        <v>46198</v>
      </c>
      <c r="B670" s="9">
        <f t="shared" si="149"/>
        <v>1.1249999999999998</v>
      </c>
      <c r="C670" s="16" t="s">
        <v>29</v>
      </c>
      <c r="D670" s="16" t="s">
        <v>22</v>
      </c>
      <c r="E670" s="11">
        <v>10</v>
      </c>
      <c r="F670" s="12">
        <f t="shared" si="147"/>
        <v>40</v>
      </c>
      <c r="G670" s="10"/>
      <c r="H670" s="10"/>
      <c r="I670" s="10"/>
      <c r="J670" s="13"/>
      <c r="K670" s="13"/>
      <c r="L670" s="70" t="str">
        <f t="shared" si="148"/>
        <v/>
      </c>
      <c r="M670" s="11"/>
      <c r="N670" s="30"/>
    </row>
    <row r="671" spans="1:14" ht="15" customHeight="1">
      <c r="A671" s="59">
        <v>46198</v>
      </c>
      <c r="B671" s="15">
        <f t="shared" si="149"/>
        <v>1.1666666666666665</v>
      </c>
      <c r="C671" s="16" t="s">
        <v>29</v>
      </c>
      <c r="D671" s="16" t="s">
        <v>22</v>
      </c>
      <c r="E671" s="11">
        <v>7</v>
      </c>
      <c r="F671" s="17">
        <f t="shared" si="147"/>
        <v>28</v>
      </c>
      <c r="G671" s="16"/>
      <c r="H671" s="16"/>
      <c r="I671" s="16"/>
      <c r="J671" s="13"/>
      <c r="K671" s="13"/>
      <c r="L671" s="71" t="str">
        <f t="shared" si="148"/>
        <v/>
      </c>
      <c r="M671" s="11"/>
      <c r="N671" s="30"/>
    </row>
    <row r="672" spans="1:14" ht="15" customHeight="1">
      <c r="A672" s="58">
        <v>46198</v>
      </c>
      <c r="B672" s="9">
        <f t="shared" si="149"/>
        <v>1.2083333333333333</v>
      </c>
      <c r="C672" s="16" t="s">
        <v>29</v>
      </c>
      <c r="D672" s="16" t="s">
        <v>22</v>
      </c>
      <c r="E672" s="11">
        <v>4</v>
      </c>
      <c r="F672" s="12">
        <f t="shared" si="147"/>
        <v>16</v>
      </c>
      <c r="G672" s="10"/>
      <c r="H672" s="10"/>
      <c r="I672" s="10"/>
      <c r="J672" s="13"/>
      <c r="K672" s="13"/>
      <c r="L672" s="70" t="str">
        <f t="shared" si="148"/>
        <v/>
      </c>
      <c r="M672" s="11"/>
      <c r="N672" s="30"/>
    </row>
    <row r="673" spans="1:14" ht="15" customHeight="1">
      <c r="A673" s="59">
        <v>46198</v>
      </c>
      <c r="B673" s="15">
        <f t="shared" si="149"/>
        <v>1.25</v>
      </c>
      <c r="C673" s="16" t="s">
        <v>29</v>
      </c>
      <c r="D673" s="16" t="s">
        <v>22</v>
      </c>
      <c r="E673" s="11">
        <v>3</v>
      </c>
      <c r="F673" s="17">
        <f t="shared" si="147"/>
        <v>12</v>
      </c>
      <c r="G673" s="16"/>
      <c r="H673" s="16"/>
      <c r="I673" s="16"/>
      <c r="J673" s="13"/>
      <c r="K673" s="13"/>
      <c r="L673" s="71" t="str">
        <f t="shared" si="148"/>
        <v/>
      </c>
      <c r="M673" s="11"/>
      <c r="N673" s="30"/>
    </row>
    <row r="674" spans="1:14" ht="15" customHeight="1">
      <c r="A674" s="58">
        <v>46198</v>
      </c>
      <c r="B674" s="9">
        <f t="shared" si="149"/>
        <v>1.2916666666666667</v>
      </c>
      <c r="C674" s="16" t="s">
        <v>29</v>
      </c>
      <c r="D674" s="10" t="s">
        <v>22</v>
      </c>
      <c r="E674" s="11">
        <v>2</v>
      </c>
      <c r="F674" s="12">
        <f t="shared" si="147"/>
        <v>8</v>
      </c>
      <c r="G674" s="10"/>
      <c r="H674" s="10"/>
      <c r="I674" s="10"/>
      <c r="J674" s="13"/>
      <c r="K674" s="13"/>
      <c r="L674" s="70" t="str">
        <f t="shared" si="148"/>
        <v/>
      </c>
      <c r="M674" s="11"/>
      <c r="N674" s="30"/>
    </row>
    <row r="675" spans="1:14" ht="15.75" customHeight="1">
      <c r="A675" s="105" t="s">
        <v>193</v>
      </c>
      <c r="B675" s="105"/>
      <c r="C675" s="105"/>
      <c r="D675" s="105"/>
      <c r="E675" s="19">
        <f>SUM(E663:E674)</f>
        <v>51</v>
      </c>
      <c r="F675" s="19">
        <f>SUM(F663:F674)</f>
        <v>204</v>
      </c>
      <c r="G675" s="18"/>
      <c r="H675" s="18"/>
      <c r="I675" s="18"/>
      <c r="J675" s="18"/>
      <c r="K675" s="18"/>
      <c r="L675" s="72">
        <f>IFERROR(SUM(L663:L674),"")</f>
        <v>4.1666666666666519E-2</v>
      </c>
      <c r="M675" s="19" t="s">
        <v>192</v>
      </c>
      <c r="N675" s="20">
        <v>234010</v>
      </c>
    </row>
    <row r="676" spans="1:14" ht="18" customHeight="1">
      <c r="A676" s="98" t="s">
        <v>194</v>
      </c>
      <c r="B676" s="98"/>
      <c r="C676" s="98"/>
      <c r="D676" s="98"/>
      <c r="E676" s="22">
        <f>E662+E675</f>
        <v>85</v>
      </c>
      <c r="F676" s="22">
        <f>F662+F675</f>
        <v>340</v>
      </c>
      <c r="G676" s="21"/>
      <c r="H676" s="21"/>
      <c r="I676" s="21"/>
      <c r="J676" s="21"/>
      <c r="K676" s="21"/>
      <c r="L676" s="73">
        <f>IFERROR(L662+L675,"")</f>
        <v>0.20763888888888882</v>
      </c>
      <c r="M676" s="22" t="s">
        <v>195</v>
      </c>
      <c r="N676" s="31">
        <f>IFERROR(N662+N675,"")</f>
        <v>382200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22</v>
      </c>
      <c r="E677" s="11">
        <v>10</v>
      </c>
      <c r="F677" s="17">
        <f t="shared" ref="F677:F688" si="150">IF(E677="","",E677*4)</f>
        <v>40</v>
      </c>
      <c r="G677" s="16" t="s">
        <v>16</v>
      </c>
      <c r="H677" s="16" t="s">
        <v>47</v>
      </c>
      <c r="I677" s="16" t="s">
        <v>76</v>
      </c>
      <c r="J677" s="13">
        <v>0.2986111111111111</v>
      </c>
      <c r="K677" s="13">
        <v>0.30902777777777779</v>
      </c>
      <c r="L677" s="71">
        <f t="shared" ref="L677:L688" si="151">IFERROR(IF(K677="","",IF(K677&gt;=J677,K677-J677,K677+1-J677)),"")</f>
        <v>1.0416666666666685E-2</v>
      </c>
      <c r="M677" s="11"/>
      <c r="N677" s="30"/>
    </row>
    <row r="678" spans="1:14" ht="15" customHeight="1">
      <c r="A678" s="58">
        <v>46199</v>
      </c>
      <c r="B678" s="9">
        <f t="shared" ref="B678:B688" si="152">B677+TIME(0,60,0)</f>
        <v>0.37499999999999967</v>
      </c>
      <c r="C678" s="16" t="s">
        <v>21</v>
      </c>
      <c r="D678" s="16" t="s">
        <v>22</v>
      </c>
      <c r="E678" s="11">
        <v>6</v>
      </c>
      <c r="F678" s="12">
        <f t="shared" si="150"/>
        <v>24</v>
      </c>
      <c r="G678" s="10" t="s">
        <v>20</v>
      </c>
      <c r="H678" s="10" t="s">
        <v>47</v>
      </c>
      <c r="I678" s="10" t="s">
        <v>159</v>
      </c>
      <c r="J678" s="13">
        <v>0.43055555555555558</v>
      </c>
      <c r="K678" s="13">
        <v>0.67013888888888884</v>
      </c>
      <c r="L678" s="70">
        <f t="shared" si="151"/>
        <v>0.23958333333333326</v>
      </c>
      <c r="M678" s="11" t="s">
        <v>321</v>
      </c>
      <c r="N678" s="30"/>
    </row>
    <row r="679" spans="1:14" ht="15" customHeight="1">
      <c r="A679" s="59">
        <v>46199</v>
      </c>
      <c r="B679" s="15">
        <f t="shared" si="152"/>
        <v>0.41666666666666635</v>
      </c>
      <c r="C679" s="16" t="s">
        <v>21</v>
      </c>
      <c r="D679" s="16" t="s">
        <v>22</v>
      </c>
      <c r="E679" s="11">
        <v>6</v>
      </c>
      <c r="F679" s="17">
        <f t="shared" si="150"/>
        <v>24</v>
      </c>
      <c r="G679" s="16" t="s">
        <v>20</v>
      </c>
      <c r="H679" s="16" t="s">
        <v>47</v>
      </c>
      <c r="I679" s="16" t="s">
        <v>169</v>
      </c>
      <c r="J679" s="13">
        <v>0.6875</v>
      </c>
      <c r="K679" s="13">
        <v>0.75</v>
      </c>
      <c r="L679" s="71">
        <f t="shared" si="151"/>
        <v>6.25E-2</v>
      </c>
      <c r="M679" s="11"/>
      <c r="N679" s="30"/>
    </row>
    <row r="680" spans="1:14" ht="15" customHeight="1">
      <c r="A680" s="58">
        <v>46199</v>
      </c>
      <c r="B680" s="9">
        <f t="shared" si="152"/>
        <v>0.45833333333333304</v>
      </c>
      <c r="C680" s="16" t="s">
        <v>21</v>
      </c>
      <c r="D680" s="16" t="s">
        <v>22</v>
      </c>
      <c r="E680" s="11">
        <v>3</v>
      </c>
      <c r="F680" s="12">
        <f t="shared" si="150"/>
        <v>12</v>
      </c>
      <c r="G680" s="10"/>
      <c r="H680" s="10"/>
      <c r="I680" s="10"/>
      <c r="J680" s="13"/>
      <c r="K680" s="13"/>
      <c r="L680" s="70" t="str">
        <f t="shared" si="151"/>
        <v/>
      </c>
      <c r="M680" s="11"/>
      <c r="N680" s="30"/>
    </row>
    <row r="681" spans="1:14" ht="15" customHeight="1">
      <c r="A681" s="59">
        <v>46199</v>
      </c>
      <c r="B681" s="15">
        <f t="shared" si="152"/>
        <v>0.49999999999999972</v>
      </c>
      <c r="C681" s="16" t="s">
        <v>21</v>
      </c>
      <c r="D681" s="16" t="s">
        <v>22</v>
      </c>
      <c r="E681" s="11">
        <v>0</v>
      </c>
      <c r="F681" s="17">
        <f t="shared" si="150"/>
        <v>0</v>
      </c>
      <c r="G681" s="16"/>
      <c r="H681" s="16"/>
      <c r="I681" s="16"/>
      <c r="J681" s="13"/>
      <c r="K681" s="13"/>
      <c r="L681" s="71" t="str">
        <f t="shared" si="151"/>
        <v/>
      </c>
      <c r="M681" s="11"/>
      <c r="N681" s="30"/>
    </row>
    <row r="682" spans="1:14" ht="15" customHeight="1">
      <c r="A682" s="58">
        <v>46199</v>
      </c>
      <c r="B682" s="9">
        <f t="shared" si="152"/>
        <v>0.54166666666666641</v>
      </c>
      <c r="C682" s="16" t="s">
        <v>21</v>
      </c>
      <c r="D682" s="16" t="s">
        <v>22</v>
      </c>
      <c r="E682" s="11">
        <v>0</v>
      </c>
      <c r="F682" s="12">
        <f t="shared" si="150"/>
        <v>0</v>
      </c>
      <c r="G682" s="10"/>
      <c r="H682" s="10"/>
      <c r="I682" s="10"/>
      <c r="J682" s="13"/>
      <c r="K682" s="13"/>
      <c r="L682" s="70" t="str">
        <f t="shared" si="151"/>
        <v/>
      </c>
      <c r="M682" s="11"/>
      <c r="N682" s="30"/>
    </row>
    <row r="683" spans="1:14" ht="15" customHeight="1">
      <c r="A683" s="59">
        <v>46199</v>
      </c>
      <c r="B683" s="15">
        <f t="shared" si="152"/>
        <v>0.58333333333333304</v>
      </c>
      <c r="C683" s="16" t="s">
        <v>21</v>
      </c>
      <c r="D683" s="16" t="s">
        <v>22</v>
      </c>
      <c r="E683" s="11">
        <v>0</v>
      </c>
      <c r="F683" s="17">
        <f t="shared" si="150"/>
        <v>0</v>
      </c>
      <c r="G683" s="16"/>
      <c r="H683" s="16"/>
      <c r="I683" s="16"/>
      <c r="J683" s="13"/>
      <c r="K683" s="13"/>
      <c r="L683" s="71" t="str">
        <f t="shared" si="151"/>
        <v/>
      </c>
      <c r="M683" s="11"/>
      <c r="N683" s="30"/>
    </row>
    <row r="684" spans="1:14" ht="15" customHeight="1">
      <c r="A684" s="58">
        <v>46199</v>
      </c>
      <c r="B684" s="9">
        <f t="shared" si="152"/>
        <v>0.62499999999999967</v>
      </c>
      <c r="C684" s="16" t="s">
        <v>21</v>
      </c>
      <c r="D684" s="16" t="s">
        <v>22</v>
      </c>
      <c r="E684" s="11">
        <v>0</v>
      </c>
      <c r="F684" s="12">
        <f t="shared" si="150"/>
        <v>0</v>
      </c>
      <c r="G684" s="10"/>
      <c r="H684" s="10"/>
      <c r="I684" s="10"/>
      <c r="J684" s="13"/>
      <c r="K684" s="13"/>
      <c r="L684" s="70" t="str">
        <f t="shared" si="151"/>
        <v/>
      </c>
      <c r="M684" s="11"/>
      <c r="N684" s="30"/>
    </row>
    <row r="685" spans="1:14" ht="15" customHeight="1">
      <c r="A685" s="59">
        <v>46199</v>
      </c>
      <c r="B685" s="15">
        <f t="shared" si="152"/>
        <v>0.6666666666666663</v>
      </c>
      <c r="C685" s="16" t="s">
        <v>21</v>
      </c>
      <c r="D685" s="16" t="s">
        <v>22</v>
      </c>
      <c r="E685" s="11">
        <v>0</v>
      </c>
      <c r="F685" s="17">
        <f t="shared" si="150"/>
        <v>0</v>
      </c>
      <c r="G685" s="16"/>
      <c r="H685" s="16"/>
      <c r="I685" s="16"/>
      <c r="J685" s="13"/>
      <c r="K685" s="13"/>
      <c r="L685" s="71" t="str">
        <f t="shared" si="151"/>
        <v/>
      </c>
      <c r="M685" s="11"/>
      <c r="N685" s="30"/>
    </row>
    <row r="686" spans="1:14" ht="15" customHeight="1">
      <c r="A686" s="58">
        <v>46199</v>
      </c>
      <c r="B686" s="9">
        <f t="shared" si="152"/>
        <v>0.70833333333333293</v>
      </c>
      <c r="C686" s="16" t="s">
        <v>21</v>
      </c>
      <c r="D686" s="16" t="s">
        <v>22</v>
      </c>
      <c r="E686" s="11">
        <v>0</v>
      </c>
      <c r="F686" s="12">
        <f t="shared" si="150"/>
        <v>0</v>
      </c>
      <c r="G686" s="10"/>
      <c r="H686" s="10"/>
      <c r="I686" s="10"/>
      <c r="J686" s="13"/>
      <c r="K686" s="13"/>
      <c r="L686" s="70" t="str">
        <f t="shared" si="151"/>
        <v/>
      </c>
      <c r="M686" s="11"/>
      <c r="N686" s="30"/>
    </row>
    <row r="687" spans="1:14" ht="15" customHeight="1">
      <c r="A687" s="59">
        <v>46199</v>
      </c>
      <c r="B687" s="15">
        <f t="shared" si="152"/>
        <v>0.74999999999999956</v>
      </c>
      <c r="C687" s="16" t="s">
        <v>21</v>
      </c>
      <c r="D687" s="16" t="s">
        <v>22</v>
      </c>
      <c r="E687" s="11">
        <v>0</v>
      </c>
      <c r="F687" s="17">
        <f t="shared" si="150"/>
        <v>0</v>
      </c>
      <c r="G687" s="16"/>
      <c r="H687" s="16"/>
      <c r="I687" s="16"/>
      <c r="J687" s="13"/>
      <c r="K687" s="13"/>
      <c r="L687" s="71" t="str">
        <f t="shared" si="151"/>
        <v/>
      </c>
      <c r="M687" s="11"/>
      <c r="N687" s="30"/>
    </row>
    <row r="688" spans="1:14" ht="15" customHeight="1">
      <c r="A688" s="58">
        <v>46199</v>
      </c>
      <c r="B688" s="9">
        <f t="shared" si="152"/>
        <v>0.79166666666666619</v>
      </c>
      <c r="C688" s="16" t="s">
        <v>21</v>
      </c>
      <c r="D688" s="16" t="s">
        <v>22</v>
      </c>
      <c r="E688" s="11">
        <v>8</v>
      </c>
      <c r="F688" s="12">
        <f t="shared" si="150"/>
        <v>32</v>
      </c>
      <c r="G688" s="10"/>
      <c r="H688" s="10"/>
      <c r="I688" s="10"/>
      <c r="J688" s="13"/>
      <c r="K688" s="13"/>
      <c r="L688" s="70" t="str">
        <f t="shared" si="151"/>
        <v/>
      </c>
      <c r="M688" s="11"/>
      <c r="N688" s="30"/>
    </row>
    <row r="689" spans="1:14" ht="15.75" customHeight="1">
      <c r="A689" s="105" t="s">
        <v>191</v>
      </c>
      <c r="B689" s="105"/>
      <c r="C689" s="105"/>
      <c r="D689" s="105"/>
      <c r="E689" s="19">
        <f>SUM(E677:E688)</f>
        <v>33</v>
      </c>
      <c r="F689" s="19">
        <f>SUM(F677:F688)</f>
        <v>132</v>
      </c>
      <c r="G689" s="18"/>
      <c r="H689" s="18"/>
      <c r="I689" s="18"/>
      <c r="J689" s="18"/>
      <c r="K689" s="18"/>
      <c r="L689" s="72">
        <f>IFERROR(SUM(L677:L688),"")</f>
        <v>0.31249999999999994</v>
      </c>
      <c r="M689" s="19" t="s">
        <v>192</v>
      </c>
      <c r="N689" s="20">
        <v>155700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0</v>
      </c>
      <c r="F690" s="12">
        <f t="shared" ref="F690:F701" si="153">IF(E690="","",E690*4)</f>
        <v>0</v>
      </c>
      <c r="G690" s="10" t="s">
        <v>16</v>
      </c>
      <c r="H690" s="10" t="s">
        <v>47</v>
      </c>
      <c r="I690" s="10" t="s">
        <v>76</v>
      </c>
      <c r="J690" s="13">
        <v>0.8</v>
      </c>
      <c r="K690" s="13">
        <v>0.82361111111111107</v>
      </c>
      <c r="L690" s="70">
        <f t="shared" ref="L690:L701" si="154">IFERROR(IF(K690="","",IF(K690&gt;=J690,K690-J690,K690+1-J690)),"")</f>
        <v>2.3611111111111027E-2</v>
      </c>
      <c r="M690" s="11"/>
      <c r="N690" s="30"/>
    </row>
    <row r="691" spans="1:14" ht="15" customHeight="1">
      <c r="A691" s="59">
        <v>46199</v>
      </c>
      <c r="B691" s="15">
        <f t="shared" ref="B691:B701" si="155">B690+TIME(0,60,0)</f>
        <v>0.87499999999999967</v>
      </c>
      <c r="C691" s="10" t="s">
        <v>29</v>
      </c>
      <c r="D691" s="10" t="s">
        <v>22</v>
      </c>
      <c r="E691" s="11">
        <v>12</v>
      </c>
      <c r="F691" s="17">
        <f t="shared" si="153"/>
        <v>48</v>
      </c>
      <c r="G691" s="16" t="s">
        <v>20</v>
      </c>
      <c r="H691" s="16" t="s">
        <v>47</v>
      </c>
      <c r="I691" s="16" t="s">
        <v>123</v>
      </c>
      <c r="J691" s="13">
        <v>4.1666666666666664E-2</v>
      </c>
      <c r="K691" s="13">
        <v>9.930555555555555E-2</v>
      </c>
      <c r="L691" s="71">
        <f t="shared" si="154"/>
        <v>5.7638888888888885E-2</v>
      </c>
      <c r="M691" s="11"/>
      <c r="N691" s="30"/>
    </row>
    <row r="692" spans="1:14" ht="15" customHeight="1">
      <c r="A692" s="58">
        <v>46199</v>
      </c>
      <c r="B692" s="9">
        <f t="shared" si="155"/>
        <v>0.9166666666666663</v>
      </c>
      <c r="C692" s="10" t="s">
        <v>29</v>
      </c>
      <c r="D692" s="10" t="s">
        <v>22</v>
      </c>
      <c r="E692" s="11">
        <v>5</v>
      </c>
      <c r="F692" s="12">
        <f t="shared" si="153"/>
        <v>20</v>
      </c>
      <c r="G692" s="10"/>
      <c r="H692" s="10"/>
      <c r="I692" s="10"/>
      <c r="J692" s="13"/>
      <c r="K692" s="13"/>
      <c r="L692" s="70" t="str">
        <f t="shared" si="154"/>
        <v/>
      </c>
      <c r="M692" s="11"/>
      <c r="N692" s="30"/>
    </row>
    <row r="693" spans="1:14" ht="15" customHeight="1">
      <c r="A693" s="59">
        <v>46199</v>
      </c>
      <c r="B693" s="15">
        <f t="shared" si="155"/>
        <v>0.95833333333333293</v>
      </c>
      <c r="C693" s="10" t="s">
        <v>29</v>
      </c>
      <c r="D693" s="10" t="s">
        <v>22</v>
      </c>
      <c r="E693" s="11">
        <v>6</v>
      </c>
      <c r="F693" s="17">
        <f t="shared" si="153"/>
        <v>24</v>
      </c>
      <c r="G693" s="16"/>
      <c r="H693" s="16"/>
      <c r="I693" s="16"/>
      <c r="J693" s="13"/>
      <c r="K693" s="13"/>
      <c r="L693" s="71" t="str">
        <f t="shared" si="154"/>
        <v/>
      </c>
      <c r="M693" s="11"/>
      <c r="N693" s="30"/>
    </row>
    <row r="694" spans="1:14" ht="15" customHeight="1">
      <c r="A694" s="58">
        <v>46199</v>
      </c>
      <c r="B694" s="9">
        <f t="shared" si="155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3"/>
        <v>16</v>
      </c>
      <c r="G694" s="10"/>
      <c r="H694" s="10"/>
      <c r="I694" s="10"/>
      <c r="J694" s="13"/>
      <c r="K694" s="13"/>
      <c r="L694" s="70" t="str">
        <f t="shared" si="154"/>
        <v/>
      </c>
      <c r="M694" s="11"/>
      <c r="N694" s="30"/>
    </row>
    <row r="695" spans="1:14" ht="15" customHeight="1">
      <c r="A695" s="59">
        <v>46199</v>
      </c>
      <c r="B695" s="15">
        <f t="shared" si="155"/>
        <v>1.0416666666666663</v>
      </c>
      <c r="C695" s="10" t="s">
        <v>29</v>
      </c>
      <c r="D695" s="10" t="s">
        <v>22</v>
      </c>
      <c r="E695" s="11">
        <v>3</v>
      </c>
      <c r="F695" s="17">
        <f t="shared" si="153"/>
        <v>12</v>
      </c>
      <c r="G695" s="16"/>
      <c r="H695" s="16"/>
      <c r="I695" s="16"/>
      <c r="J695" s="13"/>
      <c r="K695" s="13"/>
      <c r="L695" s="71" t="str">
        <f t="shared" si="154"/>
        <v/>
      </c>
      <c r="M695" s="11"/>
      <c r="N695" s="30"/>
    </row>
    <row r="696" spans="1:14" ht="15" customHeight="1">
      <c r="A696" s="58">
        <v>46199</v>
      </c>
      <c r="B696" s="9">
        <f t="shared" si="155"/>
        <v>1.083333333333333</v>
      </c>
      <c r="C696" s="10" t="s">
        <v>29</v>
      </c>
      <c r="D696" s="10" t="s">
        <v>22</v>
      </c>
      <c r="E696" s="11">
        <v>1</v>
      </c>
      <c r="F696" s="12">
        <f t="shared" si="153"/>
        <v>4</v>
      </c>
      <c r="G696" s="10"/>
      <c r="H696" s="10"/>
      <c r="I696" s="10"/>
      <c r="J696" s="13"/>
      <c r="K696" s="13"/>
      <c r="L696" s="70" t="str">
        <f t="shared" si="154"/>
        <v/>
      </c>
      <c r="M696" s="11"/>
      <c r="N696" s="30"/>
    </row>
    <row r="697" spans="1:14" ht="15" customHeight="1">
      <c r="A697" s="59">
        <v>46199</v>
      </c>
      <c r="B697" s="15">
        <f t="shared" si="155"/>
        <v>1.1249999999999998</v>
      </c>
      <c r="C697" s="10" t="s">
        <v>29</v>
      </c>
      <c r="D697" s="10" t="s">
        <v>22</v>
      </c>
      <c r="E697" s="11">
        <v>0</v>
      </c>
      <c r="F697" s="17">
        <f t="shared" si="153"/>
        <v>0</v>
      </c>
      <c r="G697" s="16"/>
      <c r="H697" s="16"/>
      <c r="I697" s="16"/>
      <c r="J697" s="13"/>
      <c r="K697" s="13"/>
      <c r="L697" s="71" t="str">
        <f t="shared" si="154"/>
        <v/>
      </c>
      <c r="M697" s="11"/>
      <c r="N697" s="30"/>
    </row>
    <row r="698" spans="1:14" ht="15" customHeight="1">
      <c r="A698" s="58">
        <v>46199</v>
      </c>
      <c r="B698" s="9">
        <f t="shared" si="155"/>
        <v>1.1666666666666665</v>
      </c>
      <c r="C698" s="10" t="s">
        <v>29</v>
      </c>
      <c r="D698" s="10" t="s">
        <v>22</v>
      </c>
      <c r="E698" s="11">
        <v>2</v>
      </c>
      <c r="F698" s="12">
        <f t="shared" si="153"/>
        <v>8</v>
      </c>
      <c r="G698" s="10"/>
      <c r="H698" s="10"/>
      <c r="I698" s="10"/>
      <c r="J698" s="13"/>
      <c r="K698" s="13"/>
      <c r="L698" s="70" t="str">
        <f t="shared" si="154"/>
        <v/>
      </c>
      <c r="M698" s="11"/>
      <c r="N698" s="30"/>
    </row>
    <row r="699" spans="1:14" ht="15" customHeight="1">
      <c r="A699" s="59">
        <v>46199</v>
      </c>
      <c r="B699" s="15">
        <f t="shared" si="155"/>
        <v>1.2083333333333333</v>
      </c>
      <c r="C699" s="10" t="s">
        <v>29</v>
      </c>
      <c r="D699" s="10" t="s">
        <v>22</v>
      </c>
      <c r="E699" s="11">
        <v>9</v>
      </c>
      <c r="F699" s="17">
        <f t="shared" si="153"/>
        <v>36</v>
      </c>
      <c r="G699" s="16"/>
      <c r="H699" s="16"/>
      <c r="I699" s="16"/>
      <c r="J699" s="13"/>
      <c r="K699" s="13"/>
      <c r="L699" s="71" t="str">
        <f t="shared" si="154"/>
        <v/>
      </c>
      <c r="M699" s="11"/>
      <c r="N699" s="30"/>
    </row>
    <row r="700" spans="1:14" ht="15" customHeight="1">
      <c r="A700" s="58">
        <v>46199</v>
      </c>
      <c r="B700" s="9">
        <f t="shared" si="155"/>
        <v>1.25</v>
      </c>
      <c r="C700" s="10" t="s">
        <v>29</v>
      </c>
      <c r="D700" s="10" t="s">
        <v>22</v>
      </c>
      <c r="E700" s="11">
        <v>10</v>
      </c>
      <c r="F700" s="12">
        <f t="shared" si="153"/>
        <v>40</v>
      </c>
      <c r="G700" s="10"/>
      <c r="H700" s="10"/>
      <c r="I700" s="10"/>
      <c r="J700" s="13"/>
      <c r="K700" s="13"/>
      <c r="L700" s="70" t="str">
        <f t="shared" si="154"/>
        <v/>
      </c>
      <c r="M700" s="11"/>
      <c r="N700" s="30"/>
    </row>
    <row r="701" spans="1:14" ht="15" customHeight="1">
      <c r="A701" s="59">
        <v>46199</v>
      </c>
      <c r="B701" s="15">
        <f t="shared" si="155"/>
        <v>1.2916666666666667</v>
      </c>
      <c r="C701" s="10" t="s">
        <v>29</v>
      </c>
      <c r="D701" s="10" t="s">
        <v>22</v>
      </c>
      <c r="E701" s="11">
        <v>0</v>
      </c>
      <c r="F701" s="17">
        <f t="shared" si="153"/>
        <v>0</v>
      </c>
      <c r="G701" s="16"/>
      <c r="H701" s="16"/>
      <c r="I701" s="16"/>
      <c r="J701" s="13"/>
      <c r="K701" s="13"/>
      <c r="L701" s="71" t="str">
        <f t="shared" si="154"/>
        <v/>
      </c>
      <c r="M701" s="11"/>
      <c r="N701" s="30"/>
    </row>
    <row r="702" spans="1:14" ht="15.75" customHeight="1">
      <c r="A702" s="105" t="s">
        <v>193</v>
      </c>
      <c r="B702" s="105"/>
      <c r="C702" s="105"/>
      <c r="D702" s="105"/>
      <c r="E702" s="19">
        <f>SUM(E690:E701)</f>
        <v>52</v>
      </c>
      <c r="F702" s="19">
        <f>SUM(F690:F701)</f>
        <v>208</v>
      </c>
      <c r="G702" s="18"/>
      <c r="H702" s="18"/>
      <c r="I702" s="18"/>
      <c r="J702" s="18"/>
      <c r="K702" s="18"/>
      <c r="L702" s="72">
        <f>IFERROR(SUM(L690:L701),"")</f>
        <v>8.1249999999999906E-2</v>
      </c>
      <c r="M702" s="19" t="s">
        <v>192</v>
      </c>
      <c r="N702" s="20">
        <f>151740+85690</f>
        <v>237430</v>
      </c>
    </row>
    <row r="703" spans="1:14" ht="18" customHeight="1">
      <c r="A703" s="98" t="s">
        <v>194</v>
      </c>
      <c r="B703" s="98"/>
      <c r="C703" s="98"/>
      <c r="D703" s="98"/>
      <c r="E703" s="22">
        <f>E689+E702</f>
        <v>85</v>
      </c>
      <c r="F703" s="22">
        <f>F689+F702</f>
        <v>340</v>
      </c>
      <c r="G703" s="21"/>
      <c r="H703" s="21"/>
      <c r="I703" s="21"/>
      <c r="J703" s="21"/>
      <c r="K703" s="21"/>
      <c r="L703" s="73">
        <f>IFERROR(L689+L702,"")</f>
        <v>0.39374999999999982</v>
      </c>
      <c r="M703" s="22" t="s">
        <v>195</v>
      </c>
      <c r="N703" s="31">
        <f>IFERROR(N689+N702,"")</f>
        <v>393130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8</v>
      </c>
      <c r="F704" s="12">
        <f t="shared" ref="F704:F715" si="156">IF(E704="","",E704*4)</f>
        <v>32</v>
      </c>
      <c r="G704" s="10" t="s">
        <v>19</v>
      </c>
      <c r="H704" s="10" t="s">
        <v>47</v>
      </c>
      <c r="I704" s="10" t="s">
        <v>27</v>
      </c>
      <c r="J704" s="13">
        <v>0.53472222222222221</v>
      </c>
      <c r="K704" s="13">
        <v>0.54722222222222228</v>
      </c>
      <c r="L704" s="70">
        <f t="shared" ref="L704:L715" si="157">IFERROR(IF(K704="","",IF(K704&gt;=J704,K704-J704,K704+1-J704)),"")</f>
        <v>1.2500000000000067E-2</v>
      </c>
      <c r="M704" s="11"/>
      <c r="N704" s="30"/>
    </row>
    <row r="705" spans="1:14" ht="15" customHeight="1">
      <c r="A705" s="59">
        <v>46200</v>
      </c>
      <c r="B705" s="15">
        <f t="shared" ref="B705:B715" si="158">B704+TIME(0,60,0)</f>
        <v>0.37499999999999967</v>
      </c>
      <c r="C705" s="10" t="s">
        <v>21</v>
      </c>
      <c r="D705" s="10" t="s">
        <v>22</v>
      </c>
      <c r="E705" s="11">
        <v>9</v>
      </c>
      <c r="F705" s="17">
        <f t="shared" si="156"/>
        <v>36</v>
      </c>
      <c r="G705" s="16" t="s">
        <v>19</v>
      </c>
      <c r="H705" s="16" t="s">
        <v>47</v>
      </c>
      <c r="I705" s="16" t="s">
        <v>27</v>
      </c>
      <c r="J705" s="13">
        <v>0.65972222222222221</v>
      </c>
      <c r="K705" s="13">
        <v>0.68888888888888888</v>
      </c>
      <c r="L705" s="71">
        <f t="shared" si="157"/>
        <v>2.9166666666666674E-2</v>
      </c>
      <c r="M705" s="11" t="s">
        <v>223</v>
      </c>
      <c r="N705" s="30"/>
    </row>
    <row r="706" spans="1:14" ht="15" customHeight="1">
      <c r="A706" s="58">
        <v>46200</v>
      </c>
      <c r="B706" s="9">
        <f t="shared" si="158"/>
        <v>0.41666666666666635</v>
      </c>
      <c r="C706" s="10" t="s">
        <v>21</v>
      </c>
      <c r="D706" s="10" t="s">
        <v>22</v>
      </c>
      <c r="E706" s="11">
        <v>5</v>
      </c>
      <c r="F706" s="12">
        <f t="shared" si="156"/>
        <v>20</v>
      </c>
      <c r="G706" s="10"/>
      <c r="H706" s="10"/>
      <c r="I706" s="10"/>
      <c r="J706" s="13"/>
      <c r="K706" s="13"/>
      <c r="L706" s="70" t="str">
        <f t="shared" si="157"/>
        <v/>
      </c>
      <c r="M706" s="11"/>
      <c r="N706" s="30"/>
    </row>
    <row r="707" spans="1:14" ht="15" customHeight="1">
      <c r="A707" s="59">
        <v>46200</v>
      </c>
      <c r="B707" s="15">
        <f t="shared" si="158"/>
        <v>0.45833333333333304</v>
      </c>
      <c r="C707" s="10" t="s">
        <v>21</v>
      </c>
      <c r="D707" s="10" t="s">
        <v>38</v>
      </c>
      <c r="E707" s="11">
        <v>4</v>
      </c>
      <c r="F707" s="17">
        <f t="shared" si="156"/>
        <v>16</v>
      </c>
      <c r="G707" s="16"/>
      <c r="H707" s="16"/>
      <c r="I707" s="16"/>
      <c r="J707" s="13"/>
      <c r="K707" s="13"/>
      <c r="L707" s="71" t="str">
        <f t="shared" si="157"/>
        <v/>
      </c>
      <c r="M707" s="11"/>
      <c r="N707" s="30"/>
    </row>
    <row r="708" spans="1:14" ht="15" customHeight="1">
      <c r="A708" s="58">
        <v>46200</v>
      </c>
      <c r="B708" s="9">
        <f t="shared" si="158"/>
        <v>0.49999999999999972</v>
      </c>
      <c r="C708" s="10" t="s">
        <v>21</v>
      </c>
      <c r="D708" s="10" t="s">
        <v>38</v>
      </c>
      <c r="E708" s="11">
        <v>6</v>
      </c>
      <c r="F708" s="12">
        <f t="shared" si="156"/>
        <v>24</v>
      </c>
      <c r="G708" s="10"/>
      <c r="H708" s="10"/>
      <c r="I708" s="10"/>
      <c r="J708" s="13"/>
      <c r="K708" s="13"/>
      <c r="L708" s="70" t="str">
        <f t="shared" si="157"/>
        <v/>
      </c>
      <c r="M708" s="11"/>
      <c r="N708" s="30"/>
    </row>
    <row r="709" spans="1:14" ht="15" customHeight="1">
      <c r="A709" s="59">
        <v>46200</v>
      </c>
      <c r="B709" s="15">
        <f t="shared" si="158"/>
        <v>0.54166666666666641</v>
      </c>
      <c r="C709" s="10" t="s">
        <v>21</v>
      </c>
      <c r="D709" s="10" t="s">
        <v>38</v>
      </c>
      <c r="E709" s="11">
        <v>4</v>
      </c>
      <c r="F709" s="17">
        <f t="shared" si="156"/>
        <v>16</v>
      </c>
      <c r="G709" s="16"/>
      <c r="H709" s="16"/>
      <c r="I709" s="16"/>
      <c r="J709" s="13"/>
      <c r="K709" s="13"/>
      <c r="L709" s="71" t="str">
        <f t="shared" si="157"/>
        <v/>
      </c>
      <c r="M709" s="11"/>
      <c r="N709" s="30"/>
    </row>
    <row r="710" spans="1:14" ht="15" customHeight="1">
      <c r="A710" s="58">
        <v>46200</v>
      </c>
      <c r="B710" s="9">
        <f t="shared" si="158"/>
        <v>0.58333333333333304</v>
      </c>
      <c r="C710" s="10" t="s">
        <v>21</v>
      </c>
      <c r="D710" s="10" t="s">
        <v>38</v>
      </c>
      <c r="E710" s="11">
        <v>4</v>
      </c>
      <c r="F710" s="12">
        <f t="shared" si="156"/>
        <v>16</v>
      </c>
      <c r="G710" s="10"/>
      <c r="H710" s="10"/>
      <c r="I710" s="10"/>
      <c r="J710" s="13"/>
      <c r="K710" s="13"/>
      <c r="L710" s="70" t="str">
        <f t="shared" si="157"/>
        <v/>
      </c>
      <c r="M710" s="11"/>
      <c r="N710" s="30"/>
    </row>
    <row r="711" spans="1:14" ht="15" customHeight="1">
      <c r="A711" s="59">
        <v>46200</v>
      </c>
      <c r="B711" s="15">
        <f t="shared" si="158"/>
        <v>0.62499999999999967</v>
      </c>
      <c r="C711" s="10" t="s">
        <v>21</v>
      </c>
      <c r="D711" s="10" t="s">
        <v>38</v>
      </c>
      <c r="E711" s="11">
        <v>7</v>
      </c>
      <c r="F711" s="17">
        <f t="shared" si="156"/>
        <v>28</v>
      </c>
      <c r="G711" s="16"/>
      <c r="H711" s="16"/>
      <c r="I711" s="16"/>
      <c r="J711" s="13"/>
      <c r="K711" s="13"/>
      <c r="L711" s="71" t="str">
        <f t="shared" si="157"/>
        <v/>
      </c>
      <c r="M711" s="11"/>
      <c r="N711" s="30"/>
    </row>
    <row r="712" spans="1:14" ht="15" customHeight="1">
      <c r="A712" s="58">
        <v>46200</v>
      </c>
      <c r="B712" s="9">
        <f t="shared" si="158"/>
        <v>0.6666666666666663</v>
      </c>
      <c r="C712" s="10" t="s">
        <v>21</v>
      </c>
      <c r="D712" s="10" t="s">
        <v>30</v>
      </c>
      <c r="E712" s="11">
        <v>4</v>
      </c>
      <c r="F712" s="12">
        <f t="shared" si="156"/>
        <v>16</v>
      </c>
      <c r="G712" s="10"/>
      <c r="H712" s="10"/>
      <c r="I712" s="10"/>
      <c r="J712" s="13"/>
      <c r="K712" s="13"/>
      <c r="L712" s="70" t="str">
        <f t="shared" si="157"/>
        <v/>
      </c>
      <c r="M712" s="11"/>
      <c r="N712" s="30"/>
    </row>
    <row r="713" spans="1:14" ht="15" customHeight="1">
      <c r="A713" s="59">
        <v>46200</v>
      </c>
      <c r="B713" s="15">
        <f t="shared" si="158"/>
        <v>0.70833333333333293</v>
      </c>
      <c r="C713" s="10" t="s">
        <v>21</v>
      </c>
      <c r="D713" s="10" t="s">
        <v>38</v>
      </c>
      <c r="E713" s="11">
        <v>2</v>
      </c>
      <c r="F713" s="17">
        <f t="shared" si="156"/>
        <v>8</v>
      </c>
      <c r="G713" s="16"/>
      <c r="H713" s="16"/>
      <c r="I713" s="16"/>
      <c r="J713" s="13"/>
      <c r="K713" s="13"/>
      <c r="L713" s="71" t="str">
        <f t="shared" si="157"/>
        <v/>
      </c>
      <c r="M713" s="11"/>
      <c r="N713" s="30"/>
    </row>
    <row r="714" spans="1:14" ht="15" customHeight="1">
      <c r="A714" s="58">
        <v>46200</v>
      </c>
      <c r="B714" s="9">
        <f t="shared" si="158"/>
        <v>0.74999999999999956</v>
      </c>
      <c r="C714" s="10" t="s">
        <v>21</v>
      </c>
      <c r="D714" s="10" t="s">
        <v>38</v>
      </c>
      <c r="E714" s="11">
        <v>2</v>
      </c>
      <c r="F714" s="12">
        <f t="shared" si="156"/>
        <v>8</v>
      </c>
      <c r="G714" s="10"/>
      <c r="H714" s="10"/>
      <c r="I714" s="10"/>
      <c r="J714" s="13"/>
      <c r="K714" s="13"/>
      <c r="L714" s="70" t="str">
        <f t="shared" si="157"/>
        <v/>
      </c>
      <c r="M714" s="11"/>
      <c r="N714" s="30"/>
    </row>
    <row r="715" spans="1:14" ht="15" customHeight="1">
      <c r="A715" s="59">
        <v>46200</v>
      </c>
      <c r="B715" s="15">
        <f t="shared" si="158"/>
        <v>0.79166666666666619</v>
      </c>
      <c r="C715" s="10" t="s">
        <v>21</v>
      </c>
      <c r="D715" s="10" t="s">
        <v>38</v>
      </c>
      <c r="E715" s="11">
        <v>5</v>
      </c>
      <c r="F715" s="17">
        <f t="shared" si="156"/>
        <v>20</v>
      </c>
      <c r="G715" s="16"/>
      <c r="H715" s="16"/>
      <c r="I715" s="16"/>
      <c r="J715" s="13"/>
      <c r="K715" s="13"/>
      <c r="L715" s="71" t="str">
        <f t="shared" si="157"/>
        <v/>
      </c>
      <c r="M715" s="11"/>
      <c r="N715" s="30"/>
    </row>
    <row r="716" spans="1:14" ht="15.75" customHeight="1">
      <c r="A716" s="105" t="s">
        <v>191</v>
      </c>
      <c r="B716" s="105"/>
      <c r="C716" s="105"/>
      <c r="D716" s="105"/>
      <c r="E716" s="19">
        <f>SUM(E704:E715)</f>
        <v>60</v>
      </c>
      <c r="F716" s="19">
        <f>SUM(F704:F715)</f>
        <v>240</v>
      </c>
      <c r="G716" s="18"/>
      <c r="H716" s="18"/>
      <c r="I716" s="18"/>
      <c r="J716" s="18"/>
      <c r="K716" s="18"/>
      <c r="L716" s="72">
        <f>IFERROR(SUM(L704:L715),"")</f>
        <v>4.1666666666666741E-2</v>
      </c>
      <c r="M716" s="19" t="s">
        <v>192</v>
      </c>
      <c r="N716" s="20">
        <v>261740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2</v>
      </c>
      <c r="F717" s="17">
        <f t="shared" ref="F717:F728" si="159">IF(E717="","",E717*4)</f>
        <v>8</v>
      </c>
      <c r="G717" s="16"/>
      <c r="H717" s="16"/>
      <c r="I717" s="16"/>
      <c r="J717" s="13"/>
      <c r="K717" s="13"/>
      <c r="L717" s="71" t="str">
        <f t="shared" ref="L717:L728" si="160">IFERROR(IF(K717="","",IF(K717&gt;=J717,K717-J717,K717+1-J717)),"")</f>
        <v/>
      </c>
      <c r="M717" s="11"/>
      <c r="N717" s="30"/>
    </row>
    <row r="718" spans="1:14" ht="15" customHeight="1">
      <c r="A718" s="58">
        <v>46200</v>
      </c>
      <c r="B718" s="9">
        <f t="shared" ref="B718:B728" si="161">B717+TIME(0,60,0)</f>
        <v>0.87499999999999967</v>
      </c>
      <c r="C718" s="16" t="s">
        <v>45</v>
      </c>
      <c r="D718" s="16" t="s">
        <v>30</v>
      </c>
      <c r="E718" s="11">
        <v>4</v>
      </c>
      <c r="F718" s="12">
        <f t="shared" si="159"/>
        <v>16</v>
      </c>
      <c r="G718" s="10"/>
      <c r="H718" s="10"/>
      <c r="I718" s="10"/>
      <c r="J718" s="13"/>
      <c r="K718" s="13"/>
      <c r="L718" s="70" t="str">
        <f t="shared" si="160"/>
        <v/>
      </c>
      <c r="M718" s="11"/>
      <c r="N718" s="30"/>
    </row>
    <row r="719" spans="1:14" ht="15" customHeight="1">
      <c r="A719" s="59">
        <v>46200</v>
      </c>
      <c r="B719" s="15">
        <f t="shared" si="161"/>
        <v>0.9166666666666663</v>
      </c>
      <c r="C719" s="16" t="s">
        <v>45</v>
      </c>
      <c r="D719" s="16" t="s">
        <v>30</v>
      </c>
      <c r="E719" s="11">
        <v>4</v>
      </c>
      <c r="F719" s="17">
        <f t="shared" si="159"/>
        <v>16</v>
      </c>
      <c r="G719" s="16"/>
      <c r="H719" s="16"/>
      <c r="I719" s="16"/>
      <c r="J719" s="13"/>
      <c r="K719" s="13"/>
      <c r="L719" s="71" t="str">
        <f t="shared" si="160"/>
        <v/>
      </c>
      <c r="M719" s="11"/>
      <c r="N719" s="30"/>
    </row>
    <row r="720" spans="1:14" ht="15" customHeight="1">
      <c r="A720" s="58">
        <v>46200</v>
      </c>
      <c r="B720" s="9">
        <f t="shared" si="161"/>
        <v>0.95833333333333293</v>
      </c>
      <c r="C720" s="16" t="s">
        <v>45</v>
      </c>
      <c r="D720" s="16" t="s">
        <v>30</v>
      </c>
      <c r="E720" s="11">
        <v>5</v>
      </c>
      <c r="F720" s="12">
        <f t="shared" si="159"/>
        <v>20</v>
      </c>
      <c r="G720" s="10"/>
      <c r="H720" s="10"/>
      <c r="I720" s="10"/>
      <c r="J720" s="13"/>
      <c r="K720" s="13"/>
      <c r="L720" s="70" t="str">
        <f t="shared" si="160"/>
        <v/>
      </c>
      <c r="M720" s="11"/>
      <c r="N720" s="30"/>
    </row>
    <row r="721" spans="1:14" ht="15" customHeight="1">
      <c r="A721" s="59">
        <v>46200</v>
      </c>
      <c r="B721" s="15">
        <f t="shared" si="161"/>
        <v>0.99999999999999956</v>
      </c>
      <c r="C721" s="16" t="s">
        <v>45</v>
      </c>
      <c r="D721" s="16" t="s">
        <v>30</v>
      </c>
      <c r="E721" s="11">
        <v>6</v>
      </c>
      <c r="F721" s="17">
        <f t="shared" si="159"/>
        <v>24</v>
      </c>
      <c r="G721" s="16"/>
      <c r="H721" s="16"/>
      <c r="I721" s="16"/>
      <c r="J721" s="13"/>
      <c r="K721" s="13"/>
      <c r="L721" s="71" t="str">
        <f t="shared" si="160"/>
        <v/>
      </c>
      <c r="M721" s="11"/>
      <c r="N721" s="30"/>
    </row>
    <row r="722" spans="1:14" ht="15" customHeight="1">
      <c r="A722" s="58">
        <v>46200</v>
      </c>
      <c r="B722" s="9">
        <f t="shared" si="161"/>
        <v>1.0416666666666663</v>
      </c>
      <c r="C722" s="16" t="s">
        <v>45</v>
      </c>
      <c r="D722" s="16" t="s">
        <v>30</v>
      </c>
      <c r="E722" s="11">
        <v>9</v>
      </c>
      <c r="F722" s="12">
        <f t="shared" si="159"/>
        <v>36</v>
      </c>
      <c r="G722" s="10"/>
      <c r="H722" s="10"/>
      <c r="I722" s="10"/>
      <c r="J722" s="13"/>
      <c r="K722" s="13"/>
      <c r="L722" s="70" t="str">
        <f t="shared" si="160"/>
        <v/>
      </c>
      <c r="M722" s="11"/>
      <c r="N722" s="30"/>
    </row>
    <row r="723" spans="1:14" ht="15" customHeight="1">
      <c r="A723" s="59">
        <v>46200</v>
      </c>
      <c r="B723" s="15">
        <f t="shared" si="161"/>
        <v>1.083333333333333</v>
      </c>
      <c r="C723" s="16" t="s">
        <v>45</v>
      </c>
      <c r="D723" s="16" t="s">
        <v>30</v>
      </c>
      <c r="E723" s="11">
        <v>2</v>
      </c>
      <c r="F723" s="17">
        <f t="shared" si="159"/>
        <v>8</v>
      </c>
      <c r="G723" s="16"/>
      <c r="H723" s="16"/>
      <c r="I723" s="16"/>
      <c r="J723" s="13"/>
      <c r="K723" s="13"/>
      <c r="L723" s="71" t="str">
        <f t="shared" si="160"/>
        <v/>
      </c>
      <c r="M723" s="11"/>
      <c r="N723" s="30"/>
    </row>
    <row r="724" spans="1:14" ht="15" customHeight="1">
      <c r="A724" s="58">
        <v>46200</v>
      </c>
      <c r="B724" s="9">
        <f t="shared" si="161"/>
        <v>1.1249999999999998</v>
      </c>
      <c r="C724" s="16" t="s">
        <v>45</v>
      </c>
      <c r="D724" s="16" t="s">
        <v>30</v>
      </c>
      <c r="E724" s="11">
        <v>5</v>
      </c>
      <c r="F724" s="12">
        <f t="shared" si="159"/>
        <v>20</v>
      </c>
      <c r="G724" s="10"/>
      <c r="H724" s="10"/>
      <c r="I724" s="10"/>
      <c r="J724" s="13"/>
      <c r="K724" s="13"/>
      <c r="L724" s="70" t="str">
        <f t="shared" si="160"/>
        <v/>
      </c>
      <c r="M724" s="11"/>
      <c r="N724" s="30"/>
    </row>
    <row r="725" spans="1:14" ht="15" customHeight="1">
      <c r="A725" s="59">
        <v>46200</v>
      </c>
      <c r="B725" s="15">
        <f t="shared" si="161"/>
        <v>1.1666666666666665</v>
      </c>
      <c r="C725" s="16" t="s">
        <v>45</v>
      </c>
      <c r="D725" s="16" t="s">
        <v>30</v>
      </c>
      <c r="E725" s="11">
        <v>6</v>
      </c>
      <c r="F725" s="17">
        <f t="shared" si="159"/>
        <v>24</v>
      </c>
      <c r="G725" s="16"/>
      <c r="H725" s="16"/>
      <c r="I725" s="16"/>
      <c r="J725" s="13"/>
      <c r="K725" s="13"/>
      <c r="L725" s="71" t="str">
        <f t="shared" si="160"/>
        <v/>
      </c>
      <c r="M725" s="11"/>
      <c r="N725" s="30"/>
    </row>
    <row r="726" spans="1:14" ht="15" customHeight="1">
      <c r="A726" s="58">
        <v>46200</v>
      </c>
      <c r="B726" s="9">
        <f t="shared" si="161"/>
        <v>1.2083333333333333</v>
      </c>
      <c r="C726" s="16" t="s">
        <v>45</v>
      </c>
      <c r="D726" s="16" t="s">
        <v>30</v>
      </c>
      <c r="E726" s="11">
        <v>18</v>
      </c>
      <c r="F726" s="12">
        <f t="shared" si="159"/>
        <v>72</v>
      </c>
      <c r="G726" s="10"/>
      <c r="H726" s="10"/>
      <c r="I726" s="10"/>
      <c r="J726" s="13"/>
      <c r="K726" s="13"/>
      <c r="L726" s="70" t="str">
        <f t="shared" si="160"/>
        <v/>
      </c>
      <c r="M726" s="11"/>
      <c r="N726" s="30"/>
    </row>
    <row r="727" spans="1:14" ht="15" customHeight="1">
      <c r="A727" s="59">
        <v>46200</v>
      </c>
      <c r="B727" s="15">
        <f t="shared" si="161"/>
        <v>1.25</v>
      </c>
      <c r="C727" s="16" t="s">
        <v>45</v>
      </c>
      <c r="D727" s="16" t="s">
        <v>30</v>
      </c>
      <c r="E727" s="11">
        <v>3</v>
      </c>
      <c r="F727" s="17">
        <f t="shared" si="159"/>
        <v>12</v>
      </c>
      <c r="G727" s="16"/>
      <c r="H727" s="16"/>
      <c r="I727" s="16"/>
      <c r="J727" s="13"/>
      <c r="K727" s="13"/>
      <c r="L727" s="71" t="str">
        <f t="shared" si="160"/>
        <v/>
      </c>
      <c r="M727" s="11"/>
      <c r="N727" s="30"/>
    </row>
    <row r="728" spans="1:14" ht="15" customHeight="1">
      <c r="A728" s="58">
        <v>46200</v>
      </c>
      <c r="B728" s="9">
        <f t="shared" si="161"/>
        <v>1.2916666666666667</v>
      </c>
      <c r="C728" s="16" t="s">
        <v>45</v>
      </c>
      <c r="D728" s="16" t="s">
        <v>30</v>
      </c>
      <c r="E728" s="11">
        <v>5</v>
      </c>
      <c r="F728" s="12">
        <f t="shared" si="159"/>
        <v>20</v>
      </c>
      <c r="G728" s="10"/>
      <c r="H728" s="10"/>
      <c r="I728" s="10"/>
      <c r="J728" s="13"/>
      <c r="K728" s="13"/>
      <c r="L728" s="70" t="str">
        <f t="shared" si="160"/>
        <v/>
      </c>
      <c r="M728" s="11"/>
      <c r="N728" s="30"/>
    </row>
    <row r="729" spans="1:14" ht="15.75" customHeight="1">
      <c r="A729" s="105" t="s">
        <v>193</v>
      </c>
      <c r="B729" s="105"/>
      <c r="C729" s="105"/>
      <c r="D729" s="105"/>
      <c r="E729" s="19">
        <f>SUM(E717:E728)</f>
        <v>69</v>
      </c>
      <c r="F729" s="19">
        <f>SUM(F717:F728)</f>
        <v>276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192</v>
      </c>
      <c r="N729" s="20">
        <v>377030</v>
      </c>
    </row>
    <row r="730" spans="1:14" ht="18" customHeight="1">
      <c r="A730" s="98" t="s">
        <v>194</v>
      </c>
      <c r="B730" s="98"/>
      <c r="C730" s="98"/>
      <c r="D730" s="98"/>
      <c r="E730" s="22">
        <f>E716+E729</f>
        <v>129</v>
      </c>
      <c r="F730" s="22">
        <f>F716+F729</f>
        <v>516</v>
      </c>
      <c r="G730" s="21"/>
      <c r="H730" s="21"/>
      <c r="I730" s="21"/>
      <c r="J730" s="21"/>
      <c r="K730" s="21"/>
      <c r="L730" s="73">
        <f>IFERROR(L716+L729,"")</f>
        <v>4.1666666666666741E-2</v>
      </c>
      <c r="M730" s="22" t="s">
        <v>195</v>
      </c>
      <c r="N730" s="31">
        <f>IFERROR(N716+N729,"")</f>
        <v>638770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5</v>
      </c>
      <c r="F731" s="17">
        <f t="shared" ref="F731:F742" si="162">IF(E731="","",E731*4)</f>
        <v>20</v>
      </c>
      <c r="G731" s="16" t="s">
        <v>17</v>
      </c>
      <c r="H731" s="16"/>
      <c r="I731" s="16" t="s">
        <v>96</v>
      </c>
      <c r="J731" s="13">
        <v>0.37916666666666665</v>
      </c>
      <c r="K731" s="13">
        <v>0.58333333333333337</v>
      </c>
      <c r="L731" s="71">
        <f t="shared" ref="L731:L742" si="163">IFERROR(IF(K731="","",IF(K731&gt;=J731,K731-J731,K731+1-J731)),"")</f>
        <v>0.20416666666666672</v>
      </c>
      <c r="M731" s="11" t="s">
        <v>302</v>
      </c>
      <c r="N731" s="30"/>
    </row>
    <row r="732" spans="1:14" ht="15" customHeight="1">
      <c r="A732" s="58">
        <v>46201</v>
      </c>
      <c r="B732" s="9">
        <f t="shared" ref="B732:B742" si="164">B731+TIME(0,60,0)</f>
        <v>0.37499999999999967</v>
      </c>
      <c r="C732" s="16" t="s">
        <v>21</v>
      </c>
      <c r="D732" s="16" t="s">
        <v>22</v>
      </c>
      <c r="E732" s="11">
        <v>8</v>
      </c>
      <c r="F732" s="12">
        <f t="shared" si="162"/>
        <v>32</v>
      </c>
      <c r="G732" s="10" t="s">
        <v>17</v>
      </c>
      <c r="H732" s="10"/>
      <c r="I732" s="10" t="s">
        <v>54</v>
      </c>
      <c r="J732" s="13">
        <v>0.62638888888888888</v>
      </c>
      <c r="K732" s="13">
        <v>0.64583333333333337</v>
      </c>
      <c r="L732" s="70">
        <f t="shared" si="163"/>
        <v>1.9444444444444486E-2</v>
      </c>
      <c r="M732" s="11" t="s">
        <v>322</v>
      </c>
      <c r="N732" s="30"/>
    </row>
    <row r="733" spans="1:14" ht="15" customHeight="1">
      <c r="A733" s="59">
        <v>46201</v>
      </c>
      <c r="B733" s="15">
        <f t="shared" si="164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2"/>
        <v>0</v>
      </c>
      <c r="G733" s="16"/>
      <c r="H733" s="16"/>
      <c r="I733" s="16"/>
      <c r="J733" s="13"/>
      <c r="K733" s="13"/>
      <c r="L733" s="71" t="str">
        <f t="shared" si="163"/>
        <v/>
      </c>
      <c r="M733" s="11"/>
      <c r="N733" s="30"/>
    </row>
    <row r="734" spans="1:14" ht="15" customHeight="1">
      <c r="A734" s="58">
        <v>46201</v>
      </c>
      <c r="B734" s="9">
        <f t="shared" si="164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2"/>
        <v>0</v>
      </c>
      <c r="G734" s="10"/>
      <c r="H734" s="10"/>
      <c r="I734" s="10"/>
      <c r="J734" s="13"/>
      <c r="K734" s="13"/>
      <c r="L734" s="70" t="str">
        <f t="shared" si="163"/>
        <v/>
      </c>
      <c r="M734" s="11"/>
      <c r="N734" s="30"/>
    </row>
    <row r="735" spans="1:14" ht="15" customHeight="1">
      <c r="A735" s="59">
        <v>46201</v>
      </c>
      <c r="B735" s="15">
        <f t="shared" si="164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2"/>
        <v>0</v>
      </c>
      <c r="G735" s="16"/>
      <c r="H735" s="16"/>
      <c r="I735" s="16"/>
      <c r="J735" s="13"/>
      <c r="K735" s="13"/>
      <c r="L735" s="71" t="str">
        <f t="shared" si="163"/>
        <v/>
      </c>
      <c r="M735" s="11"/>
      <c r="N735" s="30"/>
    </row>
    <row r="736" spans="1:14" ht="15" customHeight="1">
      <c r="A736" s="58">
        <v>46201</v>
      </c>
      <c r="B736" s="9">
        <f t="shared" si="164"/>
        <v>0.54166666666666641</v>
      </c>
      <c r="C736" s="16" t="s">
        <v>21</v>
      </c>
      <c r="D736" s="16" t="s">
        <v>22</v>
      </c>
      <c r="E736" s="11">
        <v>0</v>
      </c>
      <c r="F736" s="12">
        <f t="shared" si="162"/>
        <v>0</v>
      </c>
      <c r="G736" s="10"/>
      <c r="H736" s="10"/>
      <c r="I736" s="10"/>
      <c r="J736" s="13"/>
      <c r="K736" s="13"/>
      <c r="L736" s="70" t="str">
        <f t="shared" si="163"/>
        <v/>
      </c>
      <c r="M736" s="11"/>
      <c r="N736" s="30"/>
    </row>
    <row r="737" spans="1:14" ht="15" customHeight="1">
      <c r="A737" s="59">
        <v>46201</v>
      </c>
      <c r="B737" s="15">
        <f t="shared" si="164"/>
        <v>0.58333333333333304</v>
      </c>
      <c r="C737" s="16" t="s">
        <v>21</v>
      </c>
      <c r="D737" s="16" t="s">
        <v>30</v>
      </c>
      <c r="E737" s="11">
        <v>0</v>
      </c>
      <c r="F737" s="17">
        <f t="shared" si="162"/>
        <v>0</v>
      </c>
      <c r="G737" s="16"/>
      <c r="H737" s="16"/>
      <c r="I737" s="16"/>
      <c r="J737" s="13"/>
      <c r="K737" s="13"/>
      <c r="L737" s="71" t="str">
        <f t="shared" si="163"/>
        <v/>
      </c>
      <c r="M737" s="11"/>
      <c r="N737" s="30"/>
    </row>
    <row r="738" spans="1:14" ht="15" customHeight="1">
      <c r="A738" s="58">
        <v>46201</v>
      </c>
      <c r="B738" s="9">
        <f t="shared" si="164"/>
        <v>0.62499999999999967</v>
      </c>
      <c r="C738" s="16" t="s">
        <v>21</v>
      </c>
      <c r="D738" s="16" t="s">
        <v>30</v>
      </c>
      <c r="E738" s="11">
        <v>7</v>
      </c>
      <c r="F738" s="12">
        <f t="shared" si="162"/>
        <v>28</v>
      </c>
      <c r="G738" s="10"/>
      <c r="H738" s="10"/>
      <c r="I738" s="10"/>
      <c r="J738" s="13"/>
      <c r="K738" s="13"/>
      <c r="L738" s="70" t="str">
        <f t="shared" si="163"/>
        <v/>
      </c>
      <c r="M738" s="11"/>
      <c r="N738" s="30"/>
    </row>
    <row r="739" spans="1:14" ht="15" customHeight="1">
      <c r="A739" s="59">
        <v>46201</v>
      </c>
      <c r="B739" s="15">
        <f t="shared" si="164"/>
        <v>0.6666666666666663</v>
      </c>
      <c r="C739" s="16" t="s">
        <v>21</v>
      </c>
      <c r="D739" s="16" t="s">
        <v>30</v>
      </c>
      <c r="E739" s="11">
        <v>9</v>
      </c>
      <c r="F739" s="17">
        <f t="shared" si="162"/>
        <v>36</v>
      </c>
      <c r="G739" s="16"/>
      <c r="H739" s="16"/>
      <c r="I739" s="16"/>
      <c r="J739" s="13"/>
      <c r="K739" s="13"/>
      <c r="L739" s="71" t="str">
        <f t="shared" si="163"/>
        <v/>
      </c>
      <c r="M739" s="11"/>
      <c r="N739" s="30"/>
    </row>
    <row r="740" spans="1:14" ht="15" customHeight="1">
      <c r="A740" s="58">
        <v>46201</v>
      </c>
      <c r="B740" s="9">
        <f t="shared" si="164"/>
        <v>0.70833333333333293</v>
      </c>
      <c r="C740" s="16" t="s">
        <v>21</v>
      </c>
      <c r="D740" s="16" t="s">
        <v>30</v>
      </c>
      <c r="E740" s="11">
        <v>3</v>
      </c>
      <c r="F740" s="12">
        <f t="shared" si="162"/>
        <v>12</v>
      </c>
      <c r="G740" s="10"/>
      <c r="H740" s="10"/>
      <c r="I740" s="10"/>
      <c r="J740" s="13"/>
      <c r="K740" s="13"/>
      <c r="L740" s="70" t="str">
        <f t="shared" si="163"/>
        <v/>
      </c>
      <c r="M740" s="11"/>
      <c r="N740" s="30"/>
    </row>
    <row r="741" spans="1:14" ht="15" customHeight="1">
      <c r="A741" s="59">
        <v>46201</v>
      </c>
      <c r="B741" s="15">
        <f t="shared" si="164"/>
        <v>0.74999999999999956</v>
      </c>
      <c r="C741" s="16" t="s">
        <v>21</v>
      </c>
      <c r="D741" s="16" t="s">
        <v>30</v>
      </c>
      <c r="E741" s="11">
        <v>7</v>
      </c>
      <c r="F741" s="17">
        <f t="shared" si="162"/>
        <v>28</v>
      </c>
      <c r="G741" s="16"/>
      <c r="H741" s="16"/>
      <c r="I741" s="16"/>
      <c r="J741" s="13"/>
      <c r="K741" s="13"/>
      <c r="L741" s="71" t="str">
        <f t="shared" si="163"/>
        <v/>
      </c>
      <c r="M741" s="11"/>
      <c r="N741" s="30"/>
    </row>
    <row r="742" spans="1:14" ht="15" customHeight="1">
      <c r="A742" s="58">
        <v>46201</v>
      </c>
      <c r="B742" s="9">
        <f t="shared" si="164"/>
        <v>0.79166666666666619</v>
      </c>
      <c r="C742" s="16" t="s">
        <v>21</v>
      </c>
      <c r="D742" s="16" t="s">
        <v>30</v>
      </c>
      <c r="E742" s="11">
        <v>2</v>
      </c>
      <c r="F742" s="12">
        <f t="shared" si="162"/>
        <v>8</v>
      </c>
      <c r="G742" s="10"/>
      <c r="H742" s="10"/>
      <c r="I742" s="10"/>
      <c r="J742" s="13"/>
      <c r="K742" s="13"/>
      <c r="L742" s="70" t="str">
        <f t="shared" si="163"/>
        <v/>
      </c>
      <c r="M742" s="11"/>
      <c r="N742" s="30"/>
    </row>
    <row r="743" spans="1:14" ht="15.75" customHeight="1">
      <c r="A743" s="105" t="s">
        <v>191</v>
      </c>
      <c r="B743" s="105"/>
      <c r="C743" s="105"/>
      <c r="D743" s="105"/>
      <c r="E743" s="19">
        <f>SUM(E731:E742)</f>
        <v>41</v>
      </c>
      <c r="F743" s="19">
        <f>SUM(F731:F742)</f>
        <v>164</v>
      </c>
      <c r="G743" s="18"/>
      <c r="H743" s="18"/>
      <c r="I743" s="18"/>
      <c r="J743" s="18"/>
      <c r="K743" s="18"/>
      <c r="L743" s="72">
        <f>IFERROR(SUM(L731:L742),"")</f>
        <v>0.2236111111111112</v>
      </c>
      <c r="M743" s="19" t="s">
        <v>192</v>
      </c>
      <c r="N743" s="20">
        <v>180990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7</v>
      </c>
      <c r="F744" s="12">
        <f t="shared" ref="F744:F755" si="165">IF(E744="","",E744*4)</f>
        <v>28</v>
      </c>
      <c r="G744" s="10" t="s">
        <v>17</v>
      </c>
      <c r="H744" s="10" t="s">
        <v>90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6">IFERROR(IF(K744="","",IF(K744&gt;=J744,K744-J744,K744+1-J744)),"")</f>
        <v>6.944444444444442E-2</v>
      </c>
      <c r="M744" s="11" t="s">
        <v>303</v>
      </c>
      <c r="N744" s="30"/>
    </row>
    <row r="745" spans="1:14" ht="15" customHeight="1">
      <c r="A745" s="59">
        <v>46201</v>
      </c>
      <c r="B745" s="15">
        <f t="shared" ref="B745:B755" si="167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5"/>
        <v>0</v>
      </c>
      <c r="G745" s="16"/>
      <c r="H745" s="16"/>
      <c r="I745" s="16"/>
      <c r="J745" s="13"/>
      <c r="K745" s="13"/>
      <c r="L745" s="71" t="str">
        <f t="shared" si="166"/>
        <v/>
      </c>
      <c r="M745" s="11"/>
      <c r="N745" s="30"/>
    </row>
    <row r="746" spans="1:14" ht="15" customHeight="1">
      <c r="A746" s="58">
        <v>46201</v>
      </c>
      <c r="B746" s="9">
        <f t="shared" si="167"/>
        <v>0.9166666666666663</v>
      </c>
      <c r="C746" s="10" t="s">
        <v>45</v>
      </c>
      <c r="D746" s="10" t="s">
        <v>30</v>
      </c>
      <c r="E746" s="11">
        <v>0</v>
      </c>
      <c r="F746" s="12">
        <f t="shared" si="165"/>
        <v>0</v>
      </c>
      <c r="G746" s="10"/>
      <c r="H746" s="10"/>
      <c r="I746" s="10"/>
      <c r="J746" s="13"/>
      <c r="K746" s="13"/>
      <c r="L746" s="70" t="str">
        <f t="shared" si="166"/>
        <v/>
      </c>
      <c r="M746" s="11"/>
      <c r="N746" s="30"/>
    </row>
    <row r="747" spans="1:14" ht="15" customHeight="1">
      <c r="A747" s="59">
        <v>46201</v>
      </c>
      <c r="B747" s="15">
        <f t="shared" si="167"/>
        <v>0.95833333333333293</v>
      </c>
      <c r="C747" s="10" t="s">
        <v>45</v>
      </c>
      <c r="D747" s="10" t="s">
        <v>30</v>
      </c>
      <c r="E747" s="11">
        <v>3</v>
      </c>
      <c r="F747" s="17">
        <f t="shared" si="165"/>
        <v>12</v>
      </c>
      <c r="G747" s="16"/>
      <c r="H747" s="16"/>
      <c r="I747" s="16"/>
      <c r="J747" s="13"/>
      <c r="K747" s="13"/>
      <c r="L747" s="71" t="str">
        <f t="shared" si="166"/>
        <v/>
      </c>
      <c r="M747" s="11"/>
      <c r="N747" s="30"/>
    </row>
    <row r="748" spans="1:14" ht="15" customHeight="1">
      <c r="A748" s="58">
        <v>46201</v>
      </c>
      <c r="B748" s="9">
        <f t="shared" si="167"/>
        <v>0.99999999999999956</v>
      </c>
      <c r="C748" s="10" t="s">
        <v>45</v>
      </c>
      <c r="D748" s="10" t="s">
        <v>30</v>
      </c>
      <c r="E748" s="11">
        <v>4</v>
      </c>
      <c r="F748" s="12">
        <f t="shared" si="165"/>
        <v>16</v>
      </c>
      <c r="G748" s="10"/>
      <c r="H748" s="10"/>
      <c r="I748" s="10"/>
      <c r="J748" s="13"/>
      <c r="K748" s="13"/>
      <c r="L748" s="70" t="str">
        <f t="shared" si="166"/>
        <v/>
      </c>
      <c r="M748" s="11"/>
      <c r="N748" s="30"/>
    </row>
    <row r="749" spans="1:14" ht="15" customHeight="1">
      <c r="A749" s="59">
        <v>46201</v>
      </c>
      <c r="B749" s="15">
        <f t="shared" si="167"/>
        <v>1.0416666666666663</v>
      </c>
      <c r="C749" s="10" t="s">
        <v>45</v>
      </c>
      <c r="D749" s="10" t="s">
        <v>30</v>
      </c>
      <c r="E749" s="11">
        <v>5</v>
      </c>
      <c r="F749" s="17">
        <f t="shared" si="165"/>
        <v>20</v>
      </c>
      <c r="G749" s="16"/>
      <c r="H749" s="16"/>
      <c r="I749" s="16"/>
      <c r="J749" s="13"/>
      <c r="K749" s="13"/>
      <c r="L749" s="71" t="str">
        <f t="shared" si="166"/>
        <v/>
      </c>
      <c r="M749" s="11"/>
      <c r="N749" s="30"/>
    </row>
    <row r="750" spans="1:14" ht="15" customHeight="1">
      <c r="A750" s="58">
        <v>46201</v>
      </c>
      <c r="B750" s="9">
        <f t="shared" si="167"/>
        <v>1.083333333333333</v>
      </c>
      <c r="C750" s="10" t="s">
        <v>45</v>
      </c>
      <c r="D750" s="10" t="s">
        <v>30</v>
      </c>
      <c r="E750" s="11">
        <v>4</v>
      </c>
      <c r="F750" s="12">
        <f t="shared" si="165"/>
        <v>16</v>
      </c>
      <c r="G750" s="10"/>
      <c r="H750" s="10"/>
      <c r="I750" s="10"/>
      <c r="J750" s="13"/>
      <c r="K750" s="13"/>
      <c r="L750" s="70" t="str">
        <f t="shared" si="166"/>
        <v/>
      </c>
      <c r="M750" s="11"/>
      <c r="N750" s="30"/>
    </row>
    <row r="751" spans="1:14" ht="15" customHeight="1">
      <c r="A751" s="59">
        <v>46201</v>
      </c>
      <c r="B751" s="15">
        <f t="shared" si="167"/>
        <v>1.1249999999999998</v>
      </c>
      <c r="C751" s="10" t="s">
        <v>45</v>
      </c>
      <c r="D751" s="10" t="s">
        <v>30</v>
      </c>
      <c r="E751" s="11">
        <v>6</v>
      </c>
      <c r="F751" s="17">
        <f t="shared" si="165"/>
        <v>24</v>
      </c>
      <c r="G751" s="16"/>
      <c r="H751" s="16"/>
      <c r="I751" s="16"/>
      <c r="J751" s="13"/>
      <c r="K751" s="13"/>
      <c r="L751" s="71" t="str">
        <f t="shared" si="166"/>
        <v/>
      </c>
      <c r="M751" s="11"/>
      <c r="N751" s="30"/>
    </row>
    <row r="752" spans="1:14" ht="15" customHeight="1">
      <c r="A752" s="58">
        <v>46201</v>
      </c>
      <c r="B752" s="9">
        <f t="shared" si="167"/>
        <v>1.1666666666666665</v>
      </c>
      <c r="C752" s="10" t="s">
        <v>45</v>
      </c>
      <c r="D752" s="10" t="s">
        <v>30</v>
      </c>
      <c r="E752" s="11">
        <v>3</v>
      </c>
      <c r="F752" s="12">
        <f t="shared" si="165"/>
        <v>12</v>
      </c>
      <c r="G752" s="10"/>
      <c r="H752" s="10"/>
      <c r="I752" s="10"/>
      <c r="J752" s="13"/>
      <c r="K752" s="13"/>
      <c r="L752" s="70" t="str">
        <f t="shared" si="166"/>
        <v/>
      </c>
      <c r="M752" s="11"/>
      <c r="N752" s="30"/>
    </row>
    <row r="753" spans="1:14" ht="15" customHeight="1">
      <c r="A753" s="59">
        <v>46201</v>
      </c>
      <c r="B753" s="15">
        <f t="shared" si="167"/>
        <v>1.2083333333333333</v>
      </c>
      <c r="C753" s="10" t="s">
        <v>45</v>
      </c>
      <c r="D753" s="10" t="s">
        <v>30</v>
      </c>
      <c r="E753" s="11">
        <v>3</v>
      </c>
      <c r="F753" s="17">
        <f t="shared" si="165"/>
        <v>12</v>
      </c>
      <c r="G753" s="16"/>
      <c r="H753" s="16"/>
      <c r="I753" s="16"/>
      <c r="J753" s="13"/>
      <c r="K753" s="13"/>
      <c r="L753" s="71" t="str">
        <f t="shared" si="166"/>
        <v/>
      </c>
      <c r="M753" s="11"/>
      <c r="N753" s="30"/>
    </row>
    <row r="754" spans="1:14" ht="15" customHeight="1">
      <c r="A754" s="58">
        <v>46201</v>
      </c>
      <c r="B754" s="9">
        <f t="shared" si="167"/>
        <v>1.25</v>
      </c>
      <c r="C754" s="10" t="s">
        <v>45</v>
      </c>
      <c r="D754" s="10" t="s">
        <v>30</v>
      </c>
      <c r="E754" s="11">
        <v>6</v>
      </c>
      <c r="F754" s="12">
        <f t="shared" si="165"/>
        <v>24</v>
      </c>
      <c r="G754" s="10"/>
      <c r="H754" s="10"/>
      <c r="I754" s="10"/>
      <c r="J754" s="13"/>
      <c r="K754" s="13"/>
      <c r="L754" s="70" t="str">
        <f t="shared" si="166"/>
        <v/>
      </c>
      <c r="M754" s="11"/>
      <c r="N754" s="30"/>
    </row>
    <row r="755" spans="1:14" ht="15" customHeight="1">
      <c r="A755" s="59">
        <v>46201</v>
      </c>
      <c r="B755" s="15">
        <f t="shared" si="167"/>
        <v>1.2916666666666667</v>
      </c>
      <c r="C755" s="10" t="s">
        <v>45</v>
      </c>
      <c r="D755" s="10" t="s">
        <v>30</v>
      </c>
      <c r="E755" s="11">
        <v>0</v>
      </c>
      <c r="F755" s="17">
        <f t="shared" si="165"/>
        <v>0</v>
      </c>
      <c r="G755" s="16"/>
      <c r="H755" s="16"/>
      <c r="I755" s="16"/>
      <c r="J755" s="13"/>
      <c r="K755" s="13"/>
      <c r="L755" s="71" t="str">
        <f t="shared" si="166"/>
        <v/>
      </c>
      <c r="M755" s="11"/>
      <c r="N755" s="30"/>
    </row>
    <row r="756" spans="1:14" ht="15.75" customHeight="1">
      <c r="A756" s="105" t="s">
        <v>193</v>
      </c>
      <c r="B756" s="105"/>
      <c r="C756" s="105"/>
      <c r="D756" s="105"/>
      <c r="E756" s="19">
        <f>SUM(E744:E755)</f>
        <v>41</v>
      </c>
      <c r="F756" s="19">
        <f>SUM(F744:F755)</f>
        <v>164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192</v>
      </c>
      <c r="N756" s="20">
        <v>265090</v>
      </c>
    </row>
    <row r="757" spans="1:14" ht="18" customHeight="1">
      <c r="A757" s="98" t="s">
        <v>194</v>
      </c>
      <c r="B757" s="98"/>
      <c r="C757" s="98"/>
      <c r="D757" s="98"/>
      <c r="E757" s="22">
        <f>E743+E756</f>
        <v>82</v>
      </c>
      <c r="F757" s="22">
        <f>F743+F756</f>
        <v>328</v>
      </c>
      <c r="G757" s="21"/>
      <c r="H757" s="21"/>
      <c r="I757" s="21"/>
      <c r="J757" s="21"/>
      <c r="K757" s="21"/>
      <c r="L757" s="73">
        <f>IFERROR(L743+L756,"")</f>
        <v>0.29305555555555562</v>
      </c>
      <c r="M757" s="22" t="s">
        <v>195</v>
      </c>
      <c r="N757" s="31">
        <f>IFERROR(N743+N756,"")</f>
        <v>446080</v>
      </c>
    </row>
    <row r="758" spans="1:14" ht="15" customHeight="1">
      <c r="A758" s="58">
        <v>46202</v>
      </c>
      <c r="B758" s="9">
        <v>0.33333333333333298</v>
      </c>
      <c r="C758" s="10" t="s">
        <v>21</v>
      </c>
      <c r="D758" s="10" t="s">
        <v>38</v>
      </c>
      <c r="E758" s="11">
        <v>4</v>
      </c>
      <c r="F758" s="12">
        <f t="shared" ref="F758:F769" si="168">IF(E758="","",E758*4)</f>
        <v>16</v>
      </c>
      <c r="G758" s="10" t="s">
        <v>17</v>
      </c>
      <c r="H758" s="10" t="s">
        <v>47</v>
      </c>
      <c r="I758" s="10" t="s">
        <v>49</v>
      </c>
      <c r="J758" s="13">
        <v>0.46388888888888891</v>
      </c>
      <c r="K758" s="13">
        <v>0.54374999999999996</v>
      </c>
      <c r="L758" s="70">
        <f t="shared" ref="L758:L769" si="169">IFERROR(IF(K758="","",IF(K758&gt;=J758,K758-J758,K758+1-J758)),"")</f>
        <v>7.9861111111111049E-2</v>
      </c>
      <c r="M758" s="11" t="s">
        <v>323</v>
      </c>
      <c r="N758" s="30"/>
    </row>
    <row r="759" spans="1:14" ht="15" customHeight="1">
      <c r="A759" s="59">
        <v>46202</v>
      </c>
      <c r="B759" s="15">
        <f t="shared" ref="B759:B769" si="170">B758+TIME(0,60,0)</f>
        <v>0.37499999999999967</v>
      </c>
      <c r="C759" s="10" t="s">
        <v>21</v>
      </c>
      <c r="D759" s="10" t="s">
        <v>38</v>
      </c>
      <c r="E759" s="11">
        <v>9</v>
      </c>
      <c r="F759" s="17">
        <f t="shared" si="168"/>
        <v>36</v>
      </c>
      <c r="G759" s="16" t="s">
        <v>20</v>
      </c>
      <c r="H759" s="16" t="s">
        <v>47</v>
      </c>
      <c r="I759" s="16" t="s">
        <v>28</v>
      </c>
      <c r="J759" s="13">
        <v>0.68472222222222223</v>
      </c>
      <c r="K759" s="13">
        <v>0.73611111111111116</v>
      </c>
      <c r="L759" s="71">
        <f t="shared" si="169"/>
        <v>5.1388888888888928E-2</v>
      </c>
      <c r="M759" s="11" t="s">
        <v>324</v>
      </c>
      <c r="N759" s="30"/>
    </row>
    <row r="760" spans="1:14" ht="15" customHeight="1">
      <c r="A760" s="58">
        <v>46202</v>
      </c>
      <c r="B760" s="9">
        <f t="shared" si="170"/>
        <v>0.41666666666666635</v>
      </c>
      <c r="C760" s="10" t="s">
        <v>21</v>
      </c>
      <c r="D760" s="10" t="s">
        <v>38</v>
      </c>
      <c r="E760" s="11">
        <v>6</v>
      </c>
      <c r="F760" s="12">
        <f t="shared" si="168"/>
        <v>24</v>
      </c>
      <c r="G760" s="10"/>
      <c r="H760" s="10"/>
      <c r="I760" s="10"/>
      <c r="J760" s="13"/>
      <c r="K760" s="13"/>
      <c r="L760" s="70" t="str">
        <f t="shared" si="169"/>
        <v/>
      </c>
      <c r="M760" s="11"/>
      <c r="N760" s="30"/>
    </row>
    <row r="761" spans="1:14" ht="15" customHeight="1">
      <c r="A761" s="59">
        <v>46202</v>
      </c>
      <c r="B761" s="15">
        <f t="shared" si="170"/>
        <v>0.45833333333333304</v>
      </c>
      <c r="C761" s="10" t="s">
        <v>21</v>
      </c>
      <c r="D761" s="10" t="s">
        <v>38</v>
      </c>
      <c r="E761" s="11">
        <v>4</v>
      </c>
      <c r="F761" s="17">
        <f t="shared" si="168"/>
        <v>16</v>
      </c>
      <c r="G761" s="16"/>
      <c r="H761" s="16"/>
      <c r="I761" s="16"/>
      <c r="J761" s="13"/>
      <c r="K761" s="13"/>
      <c r="L761" s="71" t="str">
        <f t="shared" si="169"/>
        <v/>
      </c>
      <c r="M761" s="11"/>
      <c r="N761" s="30"/>
    </row>
    <row r="762" spans="1:14" ht="15" customHeight="1">
      <c r="A762" s="58">
        <v>46202</v>
      </c>
      <c r="B762" s="9">
        <f t="shared" si="170"/>
        <v>0.49999999999999972</v>
      </c>
      <c r="C762" s="10" t="s">
        <v>21</v>
      </c>
      <c r="D762" s="10" t="s">
        <v>38</v>
      </c>
      <c r="E762" s="11">
        <v>0</v>
      </c>
      <c r="F762" s="12">
        <f t="shared" si="168"/>
        <v>0</v>
      </c>
      <c r="G762" s="10"/>
      <c r="H762" s="10"/>
      <c r="I762" s="10"/>
      <c r="J762" s="13"/>
      <c r="K762" s="13"/>
      <c r="L762" s="70" t="str">
        <f t="shared" si="169"/>
        <v/>
      </c>
      <c r="M762" s="11"/>
      <c r="N762" s="30"/>
    </row>
    <row r="763" spans="1:14" ht="15" customHeight="1">
      <c r="A763" s="59">
        <v>46202</v>
      </c>
      <c r="B763" s="15">
        <f t="shared" si="170"/>
        <v>0.54166666666666641</v>
      </c>
      <c r="C763" s="10" t="s">
        <v>21</v>
      </c>
      <c r="D763" s="10" t="s">
        <v>38</v>
      </c>
      <c r="E763" s="11">
        <v>4</v>
      </c>
      <c r="F763" s="17">
        <f t="shared" si="168"/>
        <v>16</v>
      </c>
      <c r="G763" s="16"/>
      <c r="H763" s="16"/>
      <c r="I763" s="16"/>
      <c r="J763" s="13"/>
      <c r="K763" s="13"/>
      <c r="L763" s="71" t="str">
        <f t="shared" si="169"/>
        <v/>
      </c>
      <c r="M763" s="11"/>
      <c r="N763" s="30"/>
    </row>
    <row r="764" spans="1:14" ht="15" customHeight="1">
      <c r="A764" s="58">
        <v>46202</v>
      </c>
      <c r="B764" s="9">
        <f t="shared" si="170"/>
        <v>0.58333333333333304</v>
      </c>
      <c r="C764" s="10" t="s">
        <v>21</v>
      </c>
      <c r="D764" s="10" t="s">
        <v>38</v>
      </c>
      <c r="E764" s="11">
        <v>7</v>
      </c>
      <c r="F764" s="12">
        <f t="shared" si="168"/>
        <v>28</v>
      </c>
      <c r="G764" s="10"/>
      <c r="H764" s="10"/>
      <c r="I764" s="10"/>
      <c r="J764" s="13"/>
      <c r="K764" s="13"/>
      <c r="L764" s="70" t="str">
        <f t="shared" si="169"/>
        <v/>
      </c>
      <c r="M764" s="11"/>
      <c r="N764" s="30"/>
    </row>
    <row r="765" spans="1:14" ht="15" customHeight="1">
      <c r="A765" s="59">
        <v>46202</v>
      </c>
      <c r="B765" s="15">
        <f t="shared" si="170"/>
        <v>0.62499999999999967</v>
      </c>
      <c r="C765" s="10" t="s">
        <v>21</v>
      </c>
      <c r="D765" s="10" t="s">
        <v>38</v>
      </c>
      <c r="E765" s="11">
        <v>7</v>
      </c>
      <c r="F765" s="17">
        <f t="shared" si="168"/>
        <v>28</v>
      </c>
      <c r="G765" s="16"/>
      <c r="H765" s="16"/>
      <c r="I765" s="16"/>
      <c r="J765" s="13"/>
      <c r="K765" s="13"/>
      <c r="L765" s="71" t="str">
        <f t="shared" si="169"/>
        <v/>
      </c>
      <c r="M765" s="11"/>
      <c r="N765" s="30"/>
    </row>
    <row r="766" spans="1:14" ht="15" customHeight="1">
      <c r="A766" s="58">
        <v>46202</v>
      </c>
      <c r="B766" s="9">
        <f t="shared" si="170"/>
        <v>0.6666666666666663</v>
      </c>
      <c r="C766" s="10" t="s">
        <v>21</v>
      </c>
      <c r="D766" s="10" t="s">
        <v>38</v>
      </c>
      <c r="E766" s="11">
        <v>9</v>
      </c>
      <c r="F766" s="12">
        <f t="shared" si="168"/>
        <v>36</v>
      </c>
      <c r="G766" s="10"/>
      <c r="H766" s="10"/>
      <c r="I766" s="10"/>
      <c r="J766" s="13"/>
      <c r="K766" s="13"/>
      <c r="L766" s="70" t="str">
        <f t="shared" si="169"/>
        <v/>
      </c>
      <c r="M766" s="11"/>
      <c r="N766" s="30"/>
    </row>
    <row r="767" spans="1:14" ht="15" customHeight="1">
      <c r="A767" s="59">
        <v>46202</v>
      </c>
      <c r="B767" s="15">
        <f t="shared" si="170"/>
        <v>0.70833333333333293</v>
      </c>
      <c r="C767" s="10" t="s">
        <v>21</v>
      </c>
      <c r="D767" s="10" t="s">
        <v>38</v>
      </c>
      <c r="E767" s="11">
        <v>3</v>
      </c>
      <c r="F767" s="17">
        <f t="shared" si="168"/>
        <v>12</v>
      </c>
      <c r="G767" s="16"/>
      <c r="H767" s="16"/>
      <c r="I767" s="16"/>
      <c r="J767" s="13"/>
      <c r="K767" s="13"/>
      <c r="L767" s="71" t="str">
        <f t="shared" si="169"/>
        <v/>
      </c>
      <c r="M767" s="11"/>
      <c r="N767" s="30"/>
    </row>
    <row r="768" spans="1:14" ht="15" customHeight="1">
      <c r="A768" s="58">
        <v>46202</v>
      </c>
      <c r="B768" s="9">
        <f t="shared" si="170"/>
        <v>0.74999999999999956</v>
      </c>
      <c r="C768" s="10" t="s">
        <v>21</v>
      </c>
      <c r="D768" s="10" t="s">
        <v>38</v>
      </c>
      <c r="E768" s="11">
        <v>4</v>
      </c>
      <c r="F768" s="12">
        <f t="shared" si="168"/>
        <v>16</v>
      </c>
      <c r="G768" s="10"/>
      <c r="H768" s="10"/>
      <c r="I768" s="10"/>
      <c r="J768" s="13"/>
      <c r="K768" s="13"/>
      <c r="L768" s="70" t="str">
        <f t="shared" si="169"/>
        <v/>
      </c>
      <c r="M768" s="11"/>
      <c r="N768" s="30"/>
    </row>
    <row r="769" spans="1:14" ht="15" customHeight="1">
      <c r="A769" s="59">
        <v>46202</v>
      </c>
      <c r="B769" s="15">
        <f t="shared" si="170"/>
        <v>0.79166666666666619</v>
      </c>
      <c r="C769" s="10" t="s">
        <v>21</v>
      </c>
      <c r="D769" s="10" t="s">
        <v>38</v>
      </c>
      <c r="E769" s="11">
        <v>3</v>
      </c>
      <c r="F769" s="17">
        <f t="shared" si="168"/>
        <v>12</v>
      </c>
      <c r="G769" s="16"/>
      <c r="H769" s="16"/>
      <c r="I769" s="16"/>
      <c r="J769" s="13"/>
      <c r="K769" s="13"/>
      <c r="L769" s="71" t="str">
        <f t="shared" si="169"/>
        <v/>
      </c>
      <c r="M769" s="11"/>
      <c r="N769" s="30"/>
    </row>
    <row r="770" spans="1:14" ht="15.75" customHeight="1">
      <c r="A770" s="105" t="s">
        <v>191</v>
      </c>
      <c r="B770" s="105"/>
      <c r="C770" s="105"/>
      <c r="D770" s="105"/>
      <c r="E770" s="19">
        <f>SUM(E758:E769)</f>
        <v>60</v>
      </c>
      <c r="F770" s="19">
        <f>SUM(F758:F769)</f>
        <v>240</v>
      </c>
      <c r="G770" s="18"/>
      <c r="H770" s="18"/>
      <c r="I770" s="18"/>
      <c r="J770" s="18"/>
      <c r="K770" s="18"/>
      <c r="L770" s="72">
        <f>IFERROR(SUM(L758:L769),"")</f>
        <v>0.13124999999999998</v>
      </c>
      <c r="M770" s="19" t="s">
        <v>192</v>
      </c>
      <c r="N770" s="20">
        <v>216400</v>
      </c>
    </row>
    <row r="771" spans="1:14" ht="15" customHeight="1">
      <c r="A771" s="59">
        <v>46202</v>
      </c>
      <c r="B771" s="15">
        <v>0.83333333333333304</v>
      </c>
      <c r="C771" s="16" t="s">
        <v>45</v>
      </c>
      <c r="D771" s="16" t="s">
        <v>30</v>
      </c>
      <c r="E771" s="11">
        <v>8</v>
      </c>
      <c r="F771" s="17">
        <f t="shared" ref="F771:F782" si="171">IF(E771="","",E771*4)</f>
        <v>32</v>
      </c>
      <c r="G771" s="16"/>
      <c r="H771" s="16"/>
      <c r="I771" s="16"/>
      <c r="J771" s="13"/>
      <c r="K771" s="13"/>
      <c r="L771" s="71" t="str">
        <f t="shared" ref="L771:L782" si="172">IFERROR(IF(K771="","",IF(K771&gt;=J771,K771-J771,K771+1-J771)),"")</f>
        <v/>
      </c>
      <c r="M771" s="11"/>
      <c r="N771" s="30"/>
    </row>
    <row r="772" spans="1:14" ht="15" customHeight="1">
      <c r="A772" s="58">
        <v>46202</v>
      </c>
      <c r="B772" s="9">
        <f t="shared" ref="B772:B782" si="173">B771+TIME(0,60,0)</f>
        <v>0.87499999999999967</v>
      </c>
      <c r="C772" s="16" t="s">
        <v>45</v>
      </c>
      <c r="D772" s="16" t="s">
        <v>30</v>
      </c>
      <c r="E772" s="11">
        <v>0</v>
      </c>
      <c r="F772" s="12">
        <f t="shared" si="171"/>
        <v>0</v>
      </c>
      <c r="G772" s="10"/>
      <c r="H772" s="10"/>
      <c r="I772" s="10"/>
      <c r="J772" s="13"/>
      <c r="K772" s="13"/>
      <c r="L772" s="70" t="str">
        <f t="shared" si="172"/>
        <v/>
      </c>
      <c r="M772" s="11"/>
      <c r="N772" s="30"/>
    </row>
    <row r="773" spans="1:14" ht="15" customHeight="1">
      <c r="A773" s="59">
        <v>46202</v>
      </c>
      <c r="B773" s="15">
        <f t="shared" si="173"/>
        <v>0.9166666666666663</v>
      </c>
      <c r="C773" s="16" t="s">
        <v>45</v>
      </c>
      <c r="D773" s="16" t="s">
        <v>30</v>
      </c>
      <c r="E773" s="11">
        <v>4</v>
      </c>
      <c r="F773" s="17">
        <f t="shared" si="171"/>
        <v>16</v>
      </c>
      <c r="G773" s="16"/>
      <c r="H773" s="16"/>
      <c r="I773" s="16"/>
      <c r="J773" s="13"/>
      <c r="K773" s="13"/>
      <c r="L773" s="71" t="str">
        <f t="shared" si="172"/>
        <v/>
      </c>
      <c r="M773" s="11"/>
      <c r="N773" s="30"/>
    </row>
    <row r="774" spans="1:14" ht="15" customHeight="1">
      <c r="A774" s="58">
        <v>46202</v>
      </c>
      <c r="B774" s="9">
        <f t="shared" si="173"/>
        <v>0.95833333333333293</v>
      </c>
      <c r="C774" s="16" t="s">
        <v>45</v>
      </c>
      <c r="D774" s="16" t="s">
        <v>30</v>
      </c>
      <c r="E774" s="11">
        <v>4</v>
      </c>
      <c r="F774" s="12">
        <f t="shared" si="171"/>
        <v>16</v>
      </c>
      <c r="G774" s="10"/>
      <c r="H774" s="10"/>
      <c r="I774" s="10"/>
      <c r="J774" s="13"/>
      <c r="K774" s="13"/>
      <c r="L774" s="70" t="str">
        <f t="shared" si="172"/>
        <v/>
      </c>
      <c r="M774" s="11"/>
      <c r="N774" s="30"/>
    </row>
    <row r="775" spans="1:14" ht="15" customHeight="1">
      <c r="A775" s="59">
        <v>46202</v>
      </c>
      <c r="B775" s="15">
        <f t="shared" si="173"/>
        <v>0.99999999999999956</v>
      </c>
      <c r="C775" s="16" t="s">
        <v>45</v>
      </c>
      <c r="D775" s="16" t="s">
        <v>30</v>
      </c>
      <c r="E775" s="11">
        <v>4</v>
      </c>
      <c r="F775" s="17">
        <f t="shared" si="171"/>
        <v>16</v>
      </c>
      <c r="G775" s="16"/>
      <c r="H775" s="16"/>
      <c r="I775" s="16"/>
      <c r="J775" s="13"/>
      <c r="K775" s="13"/>
      <c r="L775" s="71" t="str">
        <f t="shared" si="172"/>
        <v/>
      </c>
      <c r="M775" s="11"/>
      <c r="N775" s="30"/>
    </row>
    <row r="776" spans="1:14" ht="15" customHeight="1">
      <c r="A776" s="58">
        <v>46202</v>
      </c>
      <c r="B776" s="9">
        <f t="shared" si="173"/>
        <v>1.0416666666666663</v>
      </c>
      <c r="C776" s="16" t="s">
        <v>45</v>
      </c>
      <c r="D776" s="16" t="s">
        <v>30</v>
      </c>
      <c r="E776" s="11">
        <v>2</v>
      </c>
      <c r="F776" s="12">
        <f t="shared" si="171"/>
        <v>8</v>
      </c>
      <c r="G776" s="10"/>
      <c r="H776" s="10"/>
      <c r="I776" s="10"/>
      <c r="J776" s="13"/>
      <c r="K776" s="13"/>
      <c r="L776" s="70" t="str">
        <f t="shared" si="172"/>
        <v/>
      </c>
      <c r="M776" s="11"/>
      <c r="N776" s="30"/>
    </row>
    <row r="777" spans="1:14" ht="15" customHeight="1">
      <c r="A777" s="59">
        <v>46202</v>
      </c>
      <c r="B777" s="15">
        <f t="shared" si="173"/>
        <v>1.083333333333333</v>
      </c>
      <c r="C777" s="16" t="s">
        <v>45</v>
      </c>
      <c r="D777" s="16" t="s">
        <v>30</v>
      </c>
      <c r="E777" s="11">
        <v>8</v>
      </c>
      <c r="F777" s="17">
        <f t="shared" si="171"/>
        <v>32</v>
      </c>
      <c r="G777" s="16"/>
      <c r="H777" s="16"/>
      <c r="I777" s="16"/>
      <c r="J777" s="13"/>
      <c r="K777" s="13"/>
      <c r="L777" s="71" t="str">
        <f t="shared" si="172"/>
        <v/>
      </c>
      <c r="M777" s="11"/>
      <c r="N777" s="30"/>
    </row>
    <row r="778" spans="1:14" ht="15" customHeight="1">
      <c r="A778" s="58">
        <v>46202</v>
      </c>
      <c r="B778" s="9">
        <f t="shared" si="173"/>
        <v>1.1249999999999998</v>
      </c>
      <c r="C778" s="16" t="s">
        <v>45</v>
      </c>
      <c r="D778" s="16" t="s">
        <v>30</v>
      </c>
      <c r="E778" s="11">
        <v>3</v>
      </c>
      <c r="F778" s="12">
        <f t="shared" si="171"/>
        <v>12</v>
      </c>
      <c r="G778" s="10"/>
      <c r="H778" s="10"/>
      <c r="I778" s="10"/>
      <c r="J778" s="13"/>
      <c r="K778" s="13"/>
      <c r="L778" s="70" t="str">
        <f t="shared" si="172"/>
        <v/>
      </c>
      <c r="M778" s="11"/>
      <c r="N778" s="30"/>
    </row>
    <row r="779" spans="1:14" ht="15" customHeight="1">
      <c r="A779" s="59">
        <v>46202</v>
      </c>
      <c r="B779" s="15">
        <f t="shared" si="173"/>
        <v>1.1666666666666665</v>
      </c>
      <c r="C779" s="16" t="s">
        <v>45</v>
      </c>
      <c r="D779" s="16" t="s">
        <v>30</v>
      </c>
      <c r="E779" s="11">
        <v>4</v>
      </c>
      <c r="F779" s="17">
        <f t="shared" si="171"/>
        <v>16</v>
      </c>
      <c r="G779" s="16"/>
      <c r="H779" s="16"/>
      <c r="I779" s="16"/>
      <c r="J779" s="13"/>
      <c r="K779" s="13"/>
      <c r="L779" s="71" t="str">
        <f t="shared" si="172"/>
        <v/>
      </c>
      <c r="M779" s="11"/>
      <c r="N779" s="30"/>
    </row>
    <row r="780" spans="1:14" ht="15" customHeight="1">
      <c r="A780" s="58">
        <v>46202</v>
      </c>
      <c r="B780" s="9">
        <f t="shared" si="173"/>
        <v>1.2083333333333333</v>
      </c>
      <c r="C780" s="16" t="s">
        <v>45</v>
      </c>
      <c r="D780" s="16" t="s">
        <v>30</v>
      </c>
      <c r="E780" s="11">
        <v>5</v>
      </c>
      <c r="F780" s="12">
        <f t="shared" si="171"/>
        <v>20</v>
      </c>
      <c r="G780" s="10"/>
      <c r="H780" s="10"/>
      <c r="I780" s="10"/>
      <c r="J780" s="13"/>
      <c r="K780" s="13"/>
      <c r="L780" s="70" t="str">
        <f t="shared" si="172"/>
        <v/>
      </c>
      <c r="M780" s="11"/>
      <c r="N780" s="30"/>
    </row>
    <row r="781" spans="1:14" ht="15" customHeight="1">
      <c r="A781" s="59">
        <v>46202</v>
      </c>
      <c r="B781" s="15">
        <f t="shared" si="173"/>
        <v>1.25</v>
      </c>
      <c r="C781" s="16" t="s">
        <v>45</v>
      </c>
      <c r="D781" s="16" t="s">
        <v>30</v>
      </c>
      <c r="E781" s="11">
        <v>15</v>
      </c>
      <c r="F781" s="17">
        <f t="shared" si="171"/>
        <v>60</v>
      </c>
      <c r="G781" s="16"/>
      <c r="H781" s="16"/>
      <c r="I781" s="16"/>
      <c r="J781" s="13"/>
      <c r="K781" s="13"/>
      <c r="L781" s="71" t="str">
        <f t="shared" si="172"/>
        <v/>
      </c>
      <c r="M781" s="11"/>
      <c r="N781" s="30"/>
    </row>
    <row r="782" spans="1:14" ht="15" customHeight="1">
      <c r="A782" s="58">
        <v>46202</v>
      </c>
      <c r="B782" s="9">
        <f t="shared" si="173"/>
        <v>1.2916666666666667</v>
      </c>
      <c r="C782" s="16" t="s">
        <v>45</v>
      </c>
      <c r="D782" s="16" t="s">
        <v>30</v>
      </c>
      <c r="E782" s="11"/>
      <c r="F782" s="12" t="str">
        <f t="shared" si="171"/>
        <v/>
      </c>
      <c r="G782" s="10"/>
      <c r="H782" s="10"/>
      <c r="I782" s="10"/>
      <c r="J782" s="13"/>
      <c r="K782" s="13"/>
      <c r="L782" s="70" t="str">
        <f t="shared" si="172"/>
        <v/>
      </c>
      <c r="M782" s="11"/>
      <c r="N782" s="30"/>
    </row>
    <row r="783" spans="1:14" ht="15.75" customHeight="1">
      <c r="A783" s="105" t="s">
        <v>193</v>
      </c>
      <c r="B783" s="105"/>
      <c r="C783" s="105"/>
      <c r="D783" s="105"/>
      <c r="E783" s="19">
        <f>SUM(E771:E782)</f>
        <v>57</v>
      </c>
      <c r="F783" s="19">
        <f>SUM(F771:F782)</f>
        <v>228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192</v>
      </c>
      <c r="N783" s="20"/>
    </row>
    <row r="784" spans="1:14" ht="18" customHeight="1">
      <c r="A784" s="98" t="s">
        <v>194</v>
      </c>
      <c r="B784" s="98"/>
      <c r="C784" s="98"/>
      <c r="D784" s="98"/>
      <c r="E784" s="22">
        <f>E770+E783</f>
        <v>117</v>
      </c>
      <c r="F784" s="22">
        <f>F770+F783</f>
        <v>468</v>
      </c>
      <c r="G784" s="21"/>
      <c r="H784" s="21"/>
      <c r="I784" s="21"/>
      <c r="J784" s="21"/>
      <c r="K784" s="21"/>
      <c r="L784" s="73">
        <f>IFERROR(L770+L783,"")</f>
        <v>0.13124999999999998</v>
      </c>
      <c r="M784" s="22" t="s">
        <v>195</v>
      </c>
      <c r="N784" s="31">
        <f>IFERROR(N770+N783,"")</f>
        <v>216400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4">IFERROR(IF(K785="","",IF(K785&gt;=J785,K785-J785,K785+1-J785)),"")</f>
        <v/>
      </c>
      <c r="M785" s="11"/>
      <c r="N785" s="30"/>
    </row>
    <row r="786" spans="1:14" ht="15" customHeight="1">
      <c r="A786" s="58">
        <v>46203</v>
      </c>
      <c r="B786" s="9">
        <f t="shared" ref="B786:B796" si="175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4"/>
        <v/>
      </c>
      <c r="M786" s="11"/>
      <c r="N786" s="30"/>
    </row>
    <row r="787" spans="1:14" ht="15" customHeight="1">
      <c r="A787" s="59">
        <v>46203</v>
      </c>
      <c r="B787" s="15">
        <f t="shared" si="175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4"/>
        <v/>
      </c>
      <c r="M787" s="11"/>
      <c r="N787" s="30"/>
    </row>
    <row r="788" spans="1:14" ht="15" customHeight="1">
      <c r="A788" s="58">
        <v>46203</v>
      </c>
      <c r="B788" s="9">
        <f t="shared" si="175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4"/>
        <v/>
      </c>
      <c r="M788" s="11"/>
      <c r="N788" s="30"/>
    </row>
    <row r="789" spans="1:14" ht="15" customHeight="1">
      <c r="A789" s="59">
        <v>46203</v>
      </c>
      <c r="B789" s="15">
        <f t="shared" si="175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4"/>
        <v/>
      </c>
      <c r="M789" s="11"/>
      <c r="N789" s="30"/>
    </row>
    <row r="790" spans="1:14" ht="15" customHeight="1">
      <c r="A790" s="58">
        <v>46203</v>
      </c>
      <c r="B790" s="9">
        <f t="shared" si="175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4"/>
        <v/>
      </c>
      <c r="M790" s="11"/>
      <c r="N790" s="30"/>
    </row>
    <row r="791" spans="1:14" ht="15" customHeight="1">
      <c r="A791" s="59">
        <v>46203</v>
      </c>
      <c r="B791" s="15">
        <f t="shared" si="175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4"/>
        <v/>
      </c>
      <c r="M791" s="11"/>
      <c r="N791" s="30"/>
    </row>
    <row r="792" spans="1:14" ht="15" customHeight="1">
      <c r="A792" s="58">
        <v>46203</v>
      </c>
      <c r="B792" s="9">
        <f t="shared" si="175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4"/>
        <v/>
      </c>
      <c r="M792" s="11"/>
      <c r="N792" s="30"/>
    </row>
    <row r="793" spans="1:14" ht="15" customHeight="1">
      <c r="A793" s="59">
        <v>46203</v>
      </c>
      <c r="B793" s="15">
        <f t="shared" si="175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4"/>
        <v/>
      </c>
      <c r="M793" s="11"/>
      <c r="N793" s="30"/>
    </row>
    <row r="794" spans="1:14" ht="15" customHeight="1">
      <c r="A794" s="58">
        <v>46203</v>
      </c>
      <c r="B794" s="9">
        <f t="shared" si="175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4"/>
        <v/>
      </c>
      <c r="M794" s="11"/>
      <c r="N794" s="30"/>
    </row>
    <row r="795" spans="1:14" ht="15" customHeight="1">
      <c r="A795" s="59">
        <v>46203</v>
      </c>
      <c r="B795" s="15">
        <f t="shared" si="175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4"/>
        <v/>
      </c>
      <c r="M795" s="11"/>
      <c r="N795" s="30"/>
    </row>
    <row r="796" spans="1:14" ht="15" customHeight="1">
      <c r="A796" s="58">
        <v>46203</v>
      </c>
      <c r="B796" s="9">
        <f t="shared" si="175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4"/>
        <v/>
      </c>
      <c r="M796" s="11"/>
      <c r="N796" s="30"/>
    </row>
    <row r="797" spans="1:14" ht="15.75" customHeight="1">
      <c r="A797" s="105" t="s">
        <v>191</v>
      </c>
      <c r="B797" s="105"/>
      <c r="C797" s="105"/>
      <c r="D797" s="105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192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6">IFERROR(IF(K798="","",IF(K798&gt;=J798,K798-J798,K798+1-J798)),"")</f>
        <v/>
      </c>
      <c r="M798" s="11"/>
      <c r="N798" s="30"/>
    </row>
    <row r="799" spans="1:14" ht="15" customHeight="1">
      <c r="A799" s="59">
        <v>46203</v>
      </c>
      <c r="B799" s="15">
        <f t="shared" ref="B799:B809" si="177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6"/>
        <v/>
      </c>
      <c r="M799" s="11"/>
      <c r="N799" s="30"/>
    </row>
    <row r="800" spans="1:14" ht="15" customHeight="1">
      <c r="A800" s="58">
        <v>46203</v>
      </c>
      <c r="B800" s="9">
        <f t="shared" si="177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6"/>
        <v/>
      </c>
      <c r="M800" s="11"/>
      <c r="N800" s="30"/>
    </row>
    <row r="801" spans="1:14" ht="15" customHeight="1">
      <c r="A801" s="59">
        <v>46203</v>
      </c>
      <c r="B801" s="15">
        <f t="shared" si="177"/>
        <v>0.95833333333333293</v>
      </c>
      <c r="C801" s="67"/>
      <c r="D801" s="67"/>
      <c r="E801" s="11"/>
      <c r="F801" s="93" t="str">
        <f t="shared" ref="F798:F809" si="178">IF(E801="","",E801*4)</f>
        <v/>
      </c>
      <c r="G801" s="67"/>
      <c r="H801" s="67"/>
      <c r="I801" s="67"/>
      <c r="J801" s="13"/>
      <c r="K801" s="13"/>
      <c r="L801" s="86" t="str">
        <f t="shared" si="176"/>
        <v/>
      </c>
      <c r="M801" s="11"/>
      <c r="N801" s="30"/>
    </row>
    <row r="802" spans="1:14" ht="15" customHeight="1">
      <c r="A802" s="58">
        <v>46203</v>
      </c>
      <c r="B802" s="9">
        <f t="shared" si="177"/>
        <v>0.99999999999999956</v>
      </c>
      <c r="C802" s="76"/>
      <c r="D802" s="76"/>
      <c r="E802" s="11"/>
      <c r="F802" s="80" t="str">
        <f t="shared" si="178"/>
        <v/>
      </c>
      <c r="G802" s="76"/>
      <c r="H802" s="76"/>
      <c r="I802" s="76"/>
      <c r="J802" s="13"/>
      <c r="K802" s="13"/>
      <c r="L802" s="77" t="str">
        <f t="shared" si="176"/>
        <v/>
      </c>
      <c r="M802" s="11"/>
      <c r="N802" s="30"/>
    </row>
    <row r="803" spans="1:14" ht="15" customHeight="1">
      <c r="A803" s="59">
        <v>46203</v>
      </c>
      <c r="B803" s="15">
        <f t="shared" si="177"/>
        <v>1.0416666666666663</v>
      </c>
      <c r="C803" s="67"/>
      <c r="D803" s="67"/>
      <c r="E803" s="11"/>
      <c r="F803" s="93" t="str">
        <f t="shared" si="178"/>
        <v/>
      </c>
      <c r="G803" s="67"/>
      <c r="H803" s="67"/>
      <c r="I803" s="67"/>
      <c r="J803" s="13"/>
      <c r="K803" s="13"/>
      <c r="L803" s="86" t="str">
        <f t="shared" si="176"/>
        <v/>
      </c>
      <c r="M803" s="11"/>
      <c r="N803" s="30"/>
    </row>
    <row r="804" spans="1:14" ht="15" customHeight="1">
      <c r="A804" s="58">
        <v>46203</v>
      </c>
      <c r="B804" s="9">
        <f t="shared" si="177"/>
        <v>1.083333333333333</v>
      </c>
      <c r="C804" s="76"/>
      <c r="D804" s="76"/>
      <c r="E804" s="11"/>
      <c r="F804" s="80" t="str">
        <f t="shared" si="178"/>
        <v/>
      </c>
      <c r="G804" s="76"/>
      <c r="H804" s="76"/>
      <c r="I804" s="76"/>
      <c r="J804" s="13"/>
      <c r="K804" s="13"/>
      <c r="L804" s="77" t="str">
        <f t="shared" si="176"/>
        <v/>
      </c>
      <c r="M804" s="11"/>
      <c r="N804" s="30"/>
    </row>
    <row r="805" spans="1:14" ht="15" customHeight="1">
      <c r="A805" s="59">
        <v>46203</v>
      </c>
      <c r="B805" s="15">
        <f t="shared" si="177"/>
        <v>1.1249999999999998</v>
      </c>
      <c r="C805" s="67"/>
      <c r="D805" s="67"/>
      <c r="E805" s="11"/>
      <c r="F805" s="93" t="str">
        <f t="shared" si="178"/>
        <v/>
      </c>
      <c r="G805" s="67"/>
      <c r="H805" s="67"/>
      <c r="I805" s="67"/>
      <c r="J805" s="13"/>
      <c r="K805" s="13"/>
      <c r="L805" s="86" t="str">
        <f t="shared" si="176"/>
        <v/>
      </c>
      <c r="M805" s="11"/>
      <c r="N805" s="30"/>
    </row>
    <row r="806" spans="1:14" ht="15" customHeight="1">
      <c r="A806" s="58">
        <v>46203</v>
      </c>
      <c r="B806" s="9">
        <f t="shared" si="177"/>
        <v>1.1666666666666665</v>
      </c>
      <c r="C806" s="76"/>
      <c r="D806" s="76"/>
      <c r="E806" s="11"/>
      <c r="F806" s="80" t="str">
        <f t="shared" si="178"/>
        <v/>
      </c>
      <c r="G806" s="76"/>
      <c r="H806" s="76"/>
      <c r="I806" s="76"/>
      <c r="J806" s="13"/>
      <c r="K806" s="13"/>
      <c r="L806" s="77" t="str">
        <f t="shared" si="176"/>
        <v/>
      </c>
      <c r="M806" s="11"/>
      <c r="N806" s="30"/>
    </row>
    <row r="807" spans="1:14" ht="15" customHeight="1">
      <c r="A807" s="59">
        <v>46203</v>
      </c>
      <c r="B807" s="15">
        <f t="shared" si="177"/>
        <v>1.2083333333333333</v>
      </c>
      <c r="C807" s="67"/>
      <c r="D807" s="67"/>
      <c r="E807" s="11"/>
      <c r="F807" s="93" t="str">
        <f t="shared" si="178"/>
        <v/>
      </c>
      <c r="G807" s="67"/>
      <c r="H807" s="67"/>
      <c r="I807" s="67"/>
      <c r="J807" s="13"/>
      <c r="K807" s="13"/>
      <c r="L807" s="86" t="str">
        <f t="shared" si="176"/>
        <v/>
      </c>
      <c r="M807" s="11"/>
      <c r="N807" s="30"/>
    </row>
    <row r="808" spans="1:14" ht="15" customHeight="1">
      <c r="A808" s="58">
        <v>46203</v>
      </c>
      <c r="B808" s="9">
        <f t="shared" si="177"/>
        <v>1.25</v>
      </c>
      <c r="C808" s="76"/>
      <c r="D808" s="76"/>
      <c r="E808" s="11"/>
      <c r="F808" s="80" t="str">
        <f t="shared" si="178"/>
        <v/>
      </c>
      <c r="G808" s="76"/>
      <c r="H808" s="76"/>
      <c r="I808" s="76"/>
      <c r="J808" s="13"/>
      <c r="K808" s="13"/>
      <c r="L808" s="77" t="str">
        <f t="shared" si="176"/>
        <v/>
      </c>
      <c r="M808" s="11"/>
      <c r="N808" s="30"/>
    </row>
    <row r="809" spans="1:14" ht="15" customHeight="1">
      <c r="A809" s="59">
        <v>46203</v>
      </c>
      <c r="B809" s="15">
        <f t="shared" si="177"/>
        <v>1.2916666666666667</v>
      </c>
      <c r="C809" s="67"/>
      <c r="D809" s="67"/>
      <c r="E809" s="11"/>
      <c r="F809" s="93" t="str">
        <f t="shared" si="178"/>
        <v/>
      </c>
      <c r="G809" s="67"/>
      <c r="H809" s="67"/>
      <c r="I809" s="67"/>
      <c r="J809" s="13"/>
      <c r="K809" s="13"/>
      <c r="L809" s="86" t="str">
        <f t="shared" si="176"/>
        <v/>
      </c>
      <c r="M809" s="11"/>
      <c r="N809" s="30"/>
    </row>
    <row r="810" spans="1:14" ht="15.75" customHeight="1">
      <c r="A810" s="105" t="s">
        <v>193</v>
      </c>
      <c r="B810" s="105"/>
      <c r="C810" s="105"/>
      <c r="D810" s="105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192</v>
      </c>
      <c r="N810" s="20"/>
    </row>
    <row r="811" spans="1:14" ht="18" customHeight="1">
      <c r="A811" s="98" t="s">
        <v>194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195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9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62:D662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67:D567"/>
    <mergeCell ref="A568:D568"/>
    <mergeCell ref="A581:D581"/>
    <mergeCell ref="A594:D594"/>
    <mergeCell ref="A595:D595"/>
    <mergeCell ref="A514:D514"/>
    <mergeCell ref="A527:D527"/>
    <mergeCell ref="A540:D540"/>
    <mergeCell ref="A541:D541"/>
    <mergeCell ref="A554:D554"/>
    <mergeCell ref="A473:D473"/>
    <mergeCell ref="A486:D486"/>
    <mergeCell ref="A487:D487"/>
    <mergeCell ref="A500:D500"/>
    <mergeCell ref="A513:D513"/>
    <mergeCell ref="A432:D432"/>
    <mergeCell ref="A433:D433"/>
    <mergeCell ref="A446:D446"/>
    <mergeCell ref="A459:D459"/>
    <mergeCell ref="A460:D460"/>
    <mergeCell ref="A378:D378"/>
    <mergeCell ref="A379:D379"/>
    <mergeCell ref="A405:D405"/>
    <mergeCell ref="A406:D406"/>
    <mergeCell ref="A419:D419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900" xr:uid="{00000000-0002-0000-03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0000000}">
          <x14:formula1>
            <xm:f>Cadastro!$A$4:$A$50</xm:f>
          </x14:formula1>
          <x14:formula2>
            <xm:f>0</xm:f>
          </x14:formula2>
          <xm:sqref>C2:C900</xm:sqref>
        </x14:dataValidation>
        <x14:dataValidation type="list" allowBlank="1" showErrorMessage="1" errorTitle="Valor inválido" error="Selecione da lista." xr:uid="{00000000-0002-0000-0300-000002000000}">
          <x14:formula1>
            <xm:f>Cadastro!$E$4:$E$10</xm:f>
          </x14:formula1>
          <x14:formula2>
            <xm:f>0</xm:f>
          </x14:formula2>
          <xm:sqref>G249:G259 G2:G247 G261:G900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Cadastro!$G$4:$G$40</xm:f>
          </x14:formula1>
          <x14:formula2>
            <xm:f>0</xm:f>
          </x14:formula2>
          <xm:sqref>H249:H259 H2:H247 H261:H900</xm:sqref>
        </x14:dataValidation>
        <x14:dataValidation type="list" allowBlank="1" showErrorMessage="1" errorTitle="Valor inválido" error="Selecione da lista." xr:uid="{00000000-0002-0000-0300-000001000000}">
          <x14:formula1>
            <xm:f>Cadastro!$C$4:$C$10</xm:f>
          </x14:formula1>
          <x14:formula2>
            <xm:f>0</xm:f>
          </x14:formula2>
          <xm:sqref>D2:D298 D300:D900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8"/>
  </sheetPr>
  <dimension ref="A1:P811"/>
  <sheetViews>
    <sheetView showGridLines="0" zoomScale="70" zoomScaleNormal="70" workbookViewId="0">
      <pane ySplit="1" topLeftCell="A756" activePane="bottomLeft" state="frozen"/>
      <selection pane="bottomLeft" activeCell="E782" sqref="E782"/>
      <selection activeCell="D1" sqref="D1"/>
    </sheetView>
  </sheetViews>
  <sheetFormatPr defaultColWidth="8.5703125" defaultRowHeight="14.45"/>
  <cols>
    <col min="1" max="1" width="13" style="65" customWidth="1"/>
    <col min="2" max="2" width="9" style="37" customWidth="1"/>
    <col min="3" max="3" width="14" style="37" customWidth="1"/>
    <col min="4" max="4" width="16" style="65" customWidth="1"/>
    <col min="5" max="5" width="13" style="37" customWidth="1"/>
    <col min="6" max="6" width="14" style="37" customWidth="1"/>
    <col min="7" max="7" width="36" style="37" customWidth="1"/>
    <col min="8" max="8" width="25.140625" style="37" customWidth="1"/>
    <col min="9" max="9" width="52.140625" style="37" customWidth="1"/>
    <col min="10" max="11" width="12" style="37" customWidth="1"/>
    <col min="12" max="12" width="14" style="75" customWidth="1"/>
    <col min="13" max="13" width="126.28515625" style="37" customWidth="1"/>
    <col min="14" max="14" width="14" style="37" customWidth="1"/>
  </cols>
  <sheetData>
    <row r="1" spans="1:14" ht="37.5" customHeight="1">
      <c r="A1" s="57" t="s">
        <v>7</v>
      </c>
      <c r="B1" s="8" t="s">
        <v>181</v>
      </c>
      <c r="C1" s="8" t="s">
        <v>12</v>
      </c>
      <c r="D1" s="57" t="s">
        <v>13</v>
      </c>
      <c r="E1" s="8" t="s">
        <v>182</v>
      </c>
      <c r="F1" s="8" t="s">
        <v>325</v>
      </c>
      <c r="G1" s="8" t="s">
        <v>14</v>
      </c>
      <c r="H1" s="8" t="s">
        <v>15</v>
      </c>
      <c r="I1" s="8" t="s">
        <v>184</v>
      </c>
      <c r="J1" s="8" t="s">
        <v>185</v>
      </c>
      <c r="K1" s="8" t="s">
        <v>186</v>
      </c>
      <c r="L1" s="69" t="s">
        <v>187</v>
      </c>
      <c r="M1" s="8" t="s">
        <v>188</v>
      </c>
      <c r="N1" s="8" t="s">
        <v>189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62"/>
      <c r="E2" s="25">
        <v>0</v>
      </c>
      <c r="F2" s="12">
        <f t="shared" ref="F2:F13" si="0">IF(E2="","",E2*4)</f>
        <v>0</v>
      </c>
      <c r="G2" s="10" t="s">
        <v>17</v>
      </c>
      <c r="H2" s="10" t="s">
        <v>326</v>
      </c>
      <c r="I2" s="10" t="s">
        <v>327</v>
      </c>
      <c r="J2" s="13">
        <v>0.29166666666666702</v>
      </c>
      <c r="K2" s="13">
        <v>0.91666666666666696</v>
      </c>
      <c r="L2" s="70">
        <f t="shared" ref="L2:L13" si="1">IFERROR(IF(K2="","",IF(K2&gt;=J2,K2-J2,K2+1-J2)),"")</f>
        <v>0.625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63"/>
      <c r="E3" s="25">
        <v>0</v>
      </c>
      <c r="F3" s="17">
        <f t="shared" si="0"/>
        <v>0</v>
      </c>
      <c r="G3" s="16" t="s">
        <v>17</v>
      </c>
      <c r="H3" s="16" t="s">
        <v>326</v>
      </c>
      <c r="I3" s="16" t="s">
        <v>327</v>
      </c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62"/>
      <c r="E4" s="25">
        <v>0</v>
      </c>
      <c r="F4" s="12">
        <f t="shared" si="0"/>
        <v>0</v>
      </c>
      <c r="G4" s="10" t="s">
        <v>17</v>
      </c>
      <c r="H4" s="10" t="s">
        <v>326</v>
      </c>
      <c r="I4" s="10" t="s">
        <v>327</v>
      </c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63"/>
      <c r="E5" s="25">
        <v>0</v>
      </c>
      <c r="F5" s="17">
        <f t="shared" si="0"/>
        <v>0</v>
      </c>
      <c r="G5" s="16" t="s">
        <v>17</v>
      </c>
      <c r="H5" s="16" t="s">
        <v>326</v>
      </c>
      <c r="I5" s="16" t="s">
        <v>327</v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62"/>
      <c r="E6" s="25">
        <v>0</v>
      </c>
      <c r="F6" s="12">
        <f t="shared" si="0"/>
        <v>0</v>
      </c>
      <c r="G6" s="10" t="s">
        <v>17</v>
      </c>
      <c r="H6" s="10" t="s">
        <v>326</v>
      </c>
      <c r="I6" s="10" t="s">
        <v>327</v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63"/>
      <c r="E7" s="25">
        <v>0</v>
      </c>
      <c r="F7" s="17">
        <f t="shared" si="0"/>
        <v>0</v>
      </c>
      <c r="G7" s="16" t="s">
        <v>17</v>
      </c>
      <c r="H7" s="16" t="s">
        <v>326</v>
      </c>
      <c r="I7" s="16" t="s">
        <v>327</v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62"/>
      <c r="E8" s="25">
        <v>0</v>
      </c>
      <c r="F8" s="12">
        <f t="shared" si="0"/>
        <v>0</v>
      </c>
      <c r="G8" s="10" t="s">
        <v>17</v>
      </c>
      <c r="H8" s="10" t="s">
        <v>326</v>
      </c>
      <c r="I8" s="10" t="s">
        <v>327</v>
      </c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63"/>
      <c r="E9" s="25">
        <v>0</v>
      </c>
      <c r="F9" s="17">
        <f t="shared" si="0"/>
        <v>0</v>
      </c>
      <c r="G9" s="16" t="s">
        <v>17</v>
      </c>
      <c r="H9" s="16" t="s">
        <v>326</v>
      </c>
      <c r="I9" s="16" t="s">
        <v>327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62"/>
      <c r="E10" s="25">
        <v>0</v>
      </c>
      <c r="F10" s="12">
        <f t="shared" si="0"/>
        <v>0</v>
      </c>
      <c r="G10" s="10" t="s">
        <v>17</v>
      </c>
      <c r="H10" s="10" t="s">
        <v>326</v>
      </c>
      <c r="I10" s="10" t="s">
        <v>327</v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63"/>
      <c r="E11" s="25">
        <v>0</v>
      </c>
      <c r="F11" s="17">
        <f t="shared" si="0"/>
        <v>0</v>
      </c>
      <c r="G11" s="16" t="s">
        <v>17</v>
      </c>
      <c r="H11" s="16" t="s">
        <v>326</v>
      </c>
      <c r="I11" s="16" t="s">
        <v>327</v>
      </c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62"/>
      <c r="E12" s="25">
        <v>0</v>
      </c>
      <c r="F12" s="12">
        <f t="shared" si="0"/>
        <v>0</v>
      </c>
      <c r="G12" s="10" t="s">
        <v>17</v>
      </c>
      <c r="H12" s="10" t="s">
        <v>326</v>
      </c>
      <c r="I12" s="10" t="s">
        <v>327</v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63"/>
      <c r="E13" s="25">
        <v>0</v>
      </c>
      <c r="F13" s="17">
        <f t="shared" si="0"/>
        <v>0</v>
      </c>
      <c r="G13" s="16" t="s">
        <v>17</v>
      </c>
      <c r="H13" s="16" t="s">
        <v>326</v>
      </c>
      <c r="I13" s="16" t="s">
        <v>327</v>
      </c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105" t="s">
        <v>191</v>
      </c>
      <c r="B14" s="105"/>
      <c r="C14" s="105"/>
      <c r="D14" s="105"/>
      <c r="E14" s="19">
        <f>SUM(E2:E13)</f>
        <v>0</v>
      </c>
      <c r="F14" s="19">
        <f>SUM(F2:F13)</f>
        <v>0</v>
      </c>
      <c r="G14" s="38"/>
      <c r="H14" s="38"/>
      <c r="I14" s="38"/>
      <c r="J14" s="38"/>
      <c r="K14" s="38"/>
      <c r="L14" s="72">
        <f>IFERROR(SUM(L2:L13),"")</f>
        <v>0.625</v>
      </c>
      <c r="M14" s="19" t="s">
        <v>192</v>
      </c>
      <c r="N14" s="20">
        <v>50000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63"/>
      <c r="E15" s="25">
        <v>0</v>
      </c>
      <c r="F15" s="17">
        <f t="shared" ref="F15:F26" si="3">IF(E15="","",E15*4)</f>
        <v>0</v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62"/>
      <c r="E16" s="25">
        <v>0</v>
      </c>
      <c r="F16" s="12">
        <f t="shared" si="3"/>
        <v>0</v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63"/>
      <c r="E17" s="25">
        <v>0</v>
      </c>
      <c r="F17" s="17">
        <f t="shared" si="3"/>
        <v>0</v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62"/>
      <c r="E18" s="25">
        <v>12</v>
      </c>
      <c r="F18" s="12">
        <f t="shared" si="3"/>
        <v>48</v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63"/>
      <c r="E19" s="25">
        <v>18</v>
      </c>
      <c r="F19" s="17">
        <f t="shared" si="3"/>
        <v>72</v>
      </c>
      <c r="G19" s="16" t="s">
        <v>20</v>
      </c>
      <c r="H19" s="16" t="s">
        <v>52</v>
      </c>
      <c r="I19" s="16" t="s">
        <v>126</v>
      </c>
      <c r="J19" s="13">
        <v>0</v>
      </c>
      <c r="K19" s="13">
        <v>3.125E-2</v>
      </c>
      <c r="L19" s="71">
        <f t="shared" si="4"/>
        <v>3.125E-2</v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62"/>
      <c r="E20" s="25">
        <v>3</v>
      </c>
      <c r="F20" s="12">
        <f t="shared" si="3"/>
        <v>12</v>
      </c>
      <c r="G20" s="10" t="s">
        <v>20</v>
      </c>
      <c r="H20" s="10" t="s">
        <v>124</v>
      </c>
      <c r="I20" s="10" t="s">
        <v>56</v>
      </c>
      <c r="J20" s="13">
        <v>4.1666666666666699E-2</v>
      </c>
      <c r="K20" s="13">
        <v>6.9444444444444503E-2</v>
      </c>
      <c r="L20" s="70">
        <f t="shared" si="4"/>
        <v>2.7777777777777804E-2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63"/>
      <c r="E21" s="25">
        <v>7</v>
      </c>
      <c r="F21" s="17">
        <f t="shared" si="3"/>
        <v>28</v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62"/>
      <c r="E22" s="25">
        <v>18</v>
      </c>
      <c r="F22" s="12">
        <f t="shared" si="3"/>
        <v>72</v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63"/>
      <c r="E23" s="25">
        <v>10</v>
      </c>
      <c r="F23" s="17">
        <f t="shared" si="3"/>
        <v>40</v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62"/>
      <c r="E24" s="25">
        <v>13</v>
      </c>
      <c r="F24" s="12">
        <f t="shared" si="3"/>
        <v>52</v>
      </c>
      <c r="G24" s="10" t="s">
        <v>20</v>
      </c>
      <c r="H24" s="10" t="s">
        <v>124</v>
      </c>
      <c r="I24" s="10" t="s">
        <v>328</v>
      </c>
      <c r="J24" s="13">
        <v>0.20833333333333301</v>
      </c>
      <c r="K24" s="13">
        <v>0.22361111111111101</v>
      </c>
      <c r="L24" s="70">
        <f t="shared" si="4"/>
        <v>1.5277777777778001E-2</v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63"/>
      <c r="E25" s="25">
        <v>9</v>
      </c>
      <c r="F25" s="17">
        <f t="shared" si="3"/>
        <v>36</v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62"/>
      <c r="E26" s="25">
        <v>13</v>
      </c>
      <c r="F26" s="12">
        <f t="shared" si="3"/>
        <v>52</v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5" t="s">
        <v>193</v>
      </c>
      <c r="B27" s="105"/>
      <c r="C27" s="105"/>
      <c r="D27" s="105"/>
      <c r="E27" s="19">
        <f>SUM(E15:E26)</f>
        <v>103</v>
      </c>
      <c r="F27" s="19">
        <f>SUM(F15:F26)</f>
        <v>412</v>
      </c>
      <c r="G27" s="38"/>
      <c r="H27" s="38"/>
      <c r="I27" s="38"/>
      <c r="J27" s="38"/>
      <c r="K27" s="38"/>
      <c r="L27" s="72">
        <f>IFERROR(SUM(L15:L26),"")</f>
        <v>7.4305555555555805E-2</v>
      </c>
      <c r="M27" s="19" t="s">
        <v>192</v>
      </c>
      <c r="N27" s="20">
        <v>537710</v>
      </c>
    </row>
    <row r="28" spans="1:14" ht="18" customHeight="1">
      <c r="A28" s="98" t="s">
        <v>194</v>
      </c>
      <c r="B28" s="98"/>
      <c r="C28" s="98"/>
      <c r="D28" s="98"/>
      <c r="E28" s="22">
        <f>E14+E27</f>
        <v>103</v>
      </c>
      <c r="F28" s="22">
        <f>F14+F27</f>
        <v>412</v>
      </c>
      <c r="G28" s="39"/>
      <c r="H28" s="39"/>
      <c r="I28" s="39"/>
      <c r="J28" s="39"/>
      <c r="K28" s="39"/>
      <c r="L28" s="73">
        <f>IFERROR(L14+L27,"")</f>
        <v>0.69930555555555585</v>
      </c>
      <c r="M28" s="22" t="s">
        <v>195</v>
      </c>
      <c r="N28" s="23">
        <f>IFERROR(N14+N27,"")</f>
        <v>587710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63" t="s">
        <v>30</v>
      </c>
      <c r="E29" s="34">
        <v>28</v>
      </c>
      <c r="F29" s="17">
        <f t="shared" ref="F29:F40" si="6">IF(E29="","",E29*4)</f>
        <v>112</v>
      </c>
      <c r="G29" s="16"/>
      <c r="H29" s="16"/>
      <c r="I29" s="16"/>
      <c r="J29" s="13"/>
      <c r="K29" s="13"/>
      <c r="L29" s="71" t="str">
        <f t="shared" ref="L29:L40" si="7">IFERROR(IF(K29="","",IF(K29&gt;=J29,K29-J29,K29+1-J29)),"")</f>
        <v/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63" t="s">
        <v>30</v>
      </c>
      <c r="E30" s="34">
        <v>0</v>
      </c>
      <c r="F30" s="12">
        <f t="shared" si="6"/>
        <v>0</v>
      </c>
      <c r="G30" s="10" t="s">
        <v>18</v>
      </c>
      <c r="H30" s="10" t="s">
        <v>329</v>
      </c>
      <c r="I30" s="10" t="s">
        <v>97</v>
      </c>
      <c r="J30" s="13">
        <v>0.375</v>
      </c>
      <c r="K30" s="13">
        <v>0.41666666666666702</v>
      </c>
      <c r="L30" s="70">
        <f t="shared" si="7"/>
        <v>4.1666666666667018E-2</v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63" t="s">
        <v>30</v>
      </c>
      <c r="E31" s="34">
        <v>18</v>
      </c>
      <c r="F31" s="17">
        <f t="shared" si="6"/>
        <v>72</v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63" t="s">
        <v>30</v>
      </c>
      <c r="E32" s="34">
        <v>16</v>
      </c>
      <c r="F32" s="12">
        <f t="shared" si="6"/>
        <v>64</v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63" t="s">
        <v>30</v>
      </c>
      <c r="E33" s="34">
        <v>5</v>
      </c>
      <c r="F33" s="17">
        <f t="shared" si="6"/>
        <v>20</v>
      </c>
      <c r="G33" s="16" t="s">
        <v>18</v>
      </c>
      <c r="H33" s="16" t="s">
        <v>330</v>
      </c>
      <c r="I33" s="16" t="s">
        <v>331</v>
      </c>
      <c r="J33" s="13">
        <v>0.5</v>
      </c>
      <c r="K33" s="13">
        <v>0.54166666666666696</v>
      </c>
      <c r="L33" s="71">
        <f t="shared" si="7"/>
        <v>4.1666666666666963E-2</v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63" t="s">
        <v>30</v>
      </c>
      <c r="E34" s="34">
        <v>8</v>
      </c>
      <c r="F34" s="12">
        <f t="shared" si="6"/>
        <v>32</v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63" t="s">
        <v>30</v>
      </c>
      <c r="E35" s="34">
        <v>15</v>
      </c>
      <c r="F35" s="17">
        <f t="shared" si="6"/>
        <v>60</v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63" t="s">
        <v>30</v>
      </c>
      <c r="E36" s="34">
        <v>8</v>
      </c>
      <c r="F36" s="12">
        <f t="shared" si="6"/>
        <v>32</v>
      </c>
      <c r="G36" s="10" t="s">
        <v>190</v>
      </c>
      <c r="H36" s="10" t="s">
        <v>332</v>
      </c>
      <c r="I36" s="10" t="s">
        <v>58</v>
      </c>
      <c r="J36" s="13">
        <v>0.625</v>
      </c>
      <c r="K36" s="13">
        <v>0.64583333333333304</v>
      </c>
      <c r="L36" s="70">
        <f t="shared" si="7"/>
        <v>2.0833333333333037E-2</v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63" t="s">
        <v>30</v>
      </c>
      <c r="E37" s="34">
        <v>19</v>
      </c>
      <c r="F37" s="17">
        <f t="shared" si="6"/>
        <v>76</v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63" t="s">
        <v>30</v>
      </c>
      <c r="E38" s="34">
        <v>20</v>
      </c>
      <c r="F38" s="12">
        <f t="shared" si="6"/>
        <v>80</v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63" t="s">
        <v>30</v>
      </c>
      <c r="E39" s="34">
        <v>12</v>
      </c>
      <c r="F39" s="17">
        <f t="shared" si="6"/>
        <v>48</v>
      </c>
      <c r="G39" s="16" t="s">
        <v>19</v>
      </c>
      <c r="H39" s="16" t="s">
        <v>52</v>
      </c>
      <c r="I39" s="16" t="s">
        <v>27</v>
      </c>
      <c r="J39" s="13">
        <v>0.75</v>
      </c>
      <c r="K39" s="13">
        <v>0.77083333333333304</v>
      </c>
      <c r="L39" s="71">
        <f t="shared" si="7"/>
        <v>2.0833333333333037E-2</v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63" t="s">
        <v>30</v>
      </c>
      <c r="E40" s="34">
        <v>6</v>
      </c>
      <c r="F40" s="12">
        <f t="shared" si="6"/>
        <v>24</v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5" t="s">
        <v>191</v>
      </c>
      <c r="B41" s="105"/>
      <c r="C41" s="105"/>
      <c r="D41" s="105"/>
      <c r="E41" s="19">
        <f>SUM(E29:E40)</f>
        <v>155</v>
      </c>
      <c r="F41" s="19">
        <f>SUM(F29:F40)</f>
        <v>620</v>
      </c>
      <c r="G41" s="38"/>
      <c r="H41" s="38"/>
      <c r="I41" s="38"/>
      <c r="J41" s="38"/>
      <c r="K41" s="38"/>
      <c r="L41" s="72">
        <f>IFERROR(SUM(L29:L40),"")</f>
        <v>0.12500000000000006</v>
      </c>
      <c r="M41" s="19" t="s">
        <v>192</v>
      </c>
      <c r="N41" s="20">
        <v>609900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62" t="s">
        <v>30</v>
      </c>
      <c r="E42" s="34">
        <v>9</v>
      </c>
      <c r="F42" s="12">
        <f t="shared" ref="F42:F53" si="9">IF(E42="","",E42*4)</f>
        <v>36</v>
      </c>
      <c r="G42" s="10" t="s">
        <v>20</v>
      </c>
      <c r="H42" s="10" t="s">
        <v>52</v>
      </c>
      <c r="I42" s="10" t="s">
        <v>56</v>
      </c>
      <c r="J42" s="13">
        <v>0.83333333333333304</v>
      </c>
      <c r="K42" s="13">
        <v>0.85416666666666696</v>
      </c>
      <c r="L42" s="70">
        <f t="shared" ref="L42:L53" si="10">IFERROR(IF(K42="","",IF(K42&gt;=J42,K42-J42,K42+1-J42)),"")</f>
        <v>2.0833333333333925E-2</v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62" t="s">
        <v>30</v>
      </c>
      <c r="E43" s="34">
        <v>8</v>
      </c>
      <c r="F43" s="17">
        <f t="shared" si="9"/>
        <v>32</v>
      </c>
      <c r="G43" s="16" t="s">
        <v>20</v>
      </c>
      <c r="H43" s="16" t="s">
        <v>57</v>
      </c>
      <c r="I43" s="16" t="s">
        <v>126</v>
      </c>
      <c r="J43" s="13">
        <v>0.875</v>
      </c>
      <c r="K43" s="13">
        <v>0.91666666666666696</v>
      </c>
      <c r="L43" s="71">
        <f t="shared" si="10"/>
        <v>4.1666666666666963E-2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62" t="s">
        <v>30</v>
      </c>
      <c r="E44" s="34">
        <v>11</v>
      </c>
      <c r="F44" s="12">
        <f t="shared" si="9"/>
        <v>44</v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62" t="s">
        <v>30</v>
      </c>
      <c r="E45" s="34">
        <v>13</v>
      </c>
      <c r="F45" s="17">
        <f t="shared" si="9"/>
        <v>52</v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62" t="s">
        <v>30</v>
      </c>
      <c r="E46" s="34">
        <v>13</v>
      </c>
      <c r="F46" s="12">
        <f t="shared" si="9"/>
        <v>52</v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62" t="s">
        <v>30</v>
      </c>
      <c r="E47" s="34">
        <v>25</v>
      </c>
      <c r="F47" s="17">
        <f t="shared" si="9"/>
        <v>100</v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62" t="s">
        <v>30</v>
      </c>
      <c r="E48" s="34">
        <v>6</v>
      </c>
      <c r="F48" s="12">
        <f t="shared" si="9"/>
        <v>24</v>
      </c>
      <c r="G48" s="10" t="s">
        <v>19</v>
      </c>
      <c r="H48" s="10" t="s">
        <v>47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62" t="s">
        <v>30</v>
      </c>
      <c r="E49" s="34">
        <v>6</v>
      </c>
      <c r="F49" s="17">
        <f t="shared" si="9"/>
        <v>24</v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62" t="s">
        <v>30</v>
      </c>
      <c r="E50" s="34">
        <v>17</v>
      </c>
      <c r="F50" s="12">
        <f t="shared" si="9"/>
        <v>68</v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62" t="s">
        <v>30</v>
      </c>
      <c r="E51" s="34">
        <v>15</v>
      </c>
      <c r="F51" s="17">
        <f t="shared" si="9"/>
        <v>60</v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62" t="s">
        <v>30</v>
      </c>
      <c r="E52" s="34">
        <v>3</v>
      </c>
      <c r="F52" s="12">
        <f t="shared" si="9"/>
        <v>12</v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62" t="s">
        <v>30</v>
      </c>
      <c r="E53" s="34">
        <v>8</v>
      </c>
      <c r="F53" s="17">
        <f t="shared" si="9"/>
        <v>32</v>
      </c>
      <c r="G53" s="16" t="s">
        <v>20</v>
      </c>
      <c r="H53" s="16"/>
      <c r="I53" s="16" t="s">
        <v>235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5" t="s">
        <v>193</v>
      </c>
      <c r="B54" s="105"/>
      <c r="C54" s="105"/>
      <c r="D54" s="105"/>
      <c r="E54" s="19">
        <f>SUM(E42:E53)</f>
        <v>134</v>
      </c>
      <c r="F54" s="19">
        <f>SUM(F42:F53)</f>
        <v>536</v>
      </c>
      <c r="G54" s="38"/>
      <c r="H54" s="38"/>
      <c r="I54" s="38"/>
      <c r="J54" s="38"/>
      <c r="K54" s="38"/>
      <c r="L54" s="72">
        <f>IFERROR(SUM(L42:L53),"")</f>
        <v>9.0277777777778581E-2</v>
      </c>
      <c r="M54" s="19" t="s">
        <v>192</v>
      </c>
      <c r="N54" s="20">
        <v>800250</v>
      </c>
    </row>
    <row r="55" spans="1:14" ht="18" customHeight="1">
      <c r="A55" s="98" t="s">
        <v>194</v>
      </c>
      <c r="B55" s="98"/>
      <c r="C55" s="98"/>
      <c r="D55" s="98"/>
      <c r="E55" s="22">
        <f>E41+E54</f>
        <v>289</v>
      </c>
      <c r="F55" s="22">
        <f>F41+F54</f>
        <v>1156</v>
      </c>
      <c r="G55" s="39"/>
      <c r="H55" s="39"/>
      <c r="I55" s="39"/>
      <c r="J55" s="39"/>
      <c r="K55" s="39"/>
      <c r="L55" s="73">
        <f>IFERROR(L41+L54,"")</f>
        <v>0.21527777777777862</v>
      </c>
      <c r="M55" s="22" t="s">
        <v>195</v>
      </c>
      <c r="N55" s="23">
        <f>IFERROR(N41+N54,"")</f>
        <v>1410150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62" t="s">
        <v>30</v>
      </c>
      <c r="E56" s="34">
        <v>14</v>
      </c>
      <c r="F56" s="12">
        <f t="shared" ref="F56:F67" si="12">IF(E56="","",E56*4)</f>
        <v>56</v>
      </c>
      <c r="G56" s="10"/>
      <c r="H56" s="10"/>
      <c r="I56" s="10"/>
      <c r="J56" s="13"/>
      <c r="K56" s="13"/>
      <c r="L56" s="70" t="str">
        <f t="shared" ref="L56:L67" si="13">IFERROR(IF(K56="","",IF(K56&gt;=J56,K56-J56,K56+1-J56)),"")</f>
        <v/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62" t="s">
        <v>30</v>
      </c>
      <c r="E57" s="34">
        <v>12</v>
      </c>
      <c r="F57" s="17">
        <f t="shared" si="12"/>
        <v>48</v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62" t="s">
        <v>30</v>
      </c>
      <c r="E58" s="34">
        <v>11</v>
      </c>
      <c r="F58" s="12">
        <f t="shared" si="12"/>
        <v>44</v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62" t="s">
        <v>30</v>
      </c>
      <c r="E59" s="34">
        <v>20</v>
      </c>
      <c r="F59" s="17">
        <f t="shared" si="12"/>
        <v>80</v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62" t="s">
        <v>30</v>
      </c>
      <c r="E60" s="34">
        <v>18</v>
      </c>
      <c r="F60" s="12">
        <f t="shared" si="12"/>
        <v>72</v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62" t="s">
        <v>30</v>
      </c>
      <c r="E61" s="34">
        <v>9</v>
      </c>
      <c r="F61" s="17">
        <f t="shared" si="12"/>
        <v>36</v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62" t="s">
        <v>30</v>
      </c>
      <c r="E62" s="34">
        <v>6</v>
      </c>
      <c r="F62" s="12">
        <f t="shared" si="12"/>
        <v>24</v>
      </c>
      <c r="G62" s="10" t="s">
        <v>19</v>
      </c>
      <c r="H62" s="10" t="s">
        <v>47</v>
      </c>
      <c r="I62" s="10"/>
      <c r="J62" s="13">
        <v>0.58333333333333304</v>
      </c>
      <c r="K62" s="13">
        <v>0.60416666666666696</v>
      </c>
      <c r="L62" s="70">
        <f t="shared" si="13"/>
        <v>2.0833333333333925E-2</v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62" t="s">
        <v>30</v>
      </c>
      <c r="E63" s="34">
        <v>14</v>
      </c>
      <c r="F63" s="17">
        <f t="shared" si="12"/>
        <v>56</v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62" t="s">
        <v>30</v>
      </c>
      <c r="E64" s="34">
        <v>8</v>
      </c>
      <c r="F64" s="12">
        <f t="shared" si="12"/>
        <v>32</v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62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135</v>
      </c>
      <c r="I65" s="16" t="s">
        <v>109</v>
      </c>
      <c r="J65" s="13">
        <v>0.66666666666666696</v>
      </c>
      <c r="K65" s="13">
        <v>0.79166666666666696</v>
      </c>
      <c r="L65" s="71">
        <f t="shared" si="13"/>
        <v>0.125</v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62" t="s">
        <v>30</v>
      </c>
      <c r="E66" s="34">
        <v>0</v>
      </c>
      <c r="F66" s="12">
        <f t="shared" si="12"/>
        <v>0</v>
      </c>
      <c r="G66" s="10" t="s">
        <v>18</v>
      </c>
      <c r="H66" s="10" t="s">
        <v>135</v>
      </c>
      <c r="I66" s="10" t="s">
        <v>109</v>
      </c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62" t="s">
        <v>30</v>
      </c>
      <c r="E67" s="34">
        <v>0</v>
      </c>
      <c r="F67" s="17">
        <f t="shared" si="12"/>
        <v>0</v>
      </c>
      <c r="G67" s="16" t="s">
        <v>18</v>
      </c>
      <c r="H67" s="16" t="s">
        <v>135</v>
      </c>
      <c r="I67" s="16" t="s">
        <v>109</v>
      </c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105" t="s">
        <v>191</v>
      </c>
      <c r="B68" s="105"/>
      <c r="C68" s="105"/>
      <c r="D68" s="105"/>
      <c r="E68" s="19">
        <f>SUM(E56:E67)</f>
        <v>112</v>
      </c>
      <c r="F68" s="19">
        <f>SUM(F56:F67)</f>
        <v>448</v>
      </c>
      <c r="G68" s="38"/>
      <c r="H68" s="38"/>
      <c r="I68" s="38"/>
      <c r="J68" s="38"/>
      <c r="K68" s="38"/>
      <c r="L68" s="72">
        <f>IFERROR(SUM(L56:L67),"")</f>
        <v>0.14583333333333393</v>
      </c>
      <c r="M68" s="19" t="s">
        <v>192</v>
      </c>
      <c r="N68" s="20">
        <v>635860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63" t="s">
        <v>22</v>
      </c>
      <c r="E69" s="34">
        <v>7</v>
      </c>
      <c r="F69" s="17">
        <f t="shared" ref="F69:F80" si="15">IF(E69="","",E69*4)</f>
        <v>28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63" t="s">
        <v>22</v>
      </c>
      <c r="E70" s="34">
        <v>14</v>
      </c>
      <c r="F70" s="12">
        <f t="shared" si="15"/>
        <v>56</v>
      </c>
      <c r="G70" s="10" t="s">
        <v>18</v>
      </c>
      <c r="H70" s="10" t="s">
        <v>135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63" t="s">
        <v>22</v>
      </c>
      <c r="E71" s="34">
        <v>0</v>
      </c>
      <c r="F71" s="17">
        <f t="shared" si="15"/>
        <v>0</v>
      </c>
      <c r="G71" s="16" t="s">
        <v>17</v>
      </c>
      <c r="H71" s="16" t="s">
        <v>332</v>
      </c>
      <c r="I71" s="16" t="s">
        <v>126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63" t="s">
        <v>22</v>
      </c>
      <c r="E72" s="34">
        <v>5</v>
      </c>
      <c r="F72" s="12">
        <f t="shared" si="15"/>
        <v>20</v>
      </c>
      <c r="G72" s="10" t="s">
        <v>20</v>
      </c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63" t="s">
        <v>22</v>
      </c>
      <c r="E73" s="34">
        <v>10</v>
      </c>
      <c r="F73" s="17">
        <f t="shared" si="15"/>
        <v>40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63" t="s">
        <v>22</v>
      </c>
      <c r="E74" s="34">
        <v>10</v>
      </c>
      <c r="F74" s="12">
        <f t="shared" si="15"/>
        <v>40</v>
      </c>
      <c r="G74" s="10"/>
      <c r="H74" s="10"/>
      <c r="I74" s="10"/>
      <c r="J74" s="13"/>
      <c r="K74" s="13"/>
      <c r="L74" s="70" t="str">
        <f t="shared" si="16"/>
        <v/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63" t="s">
        <v>22</v>
      </c>
      <c r="E75" s="34">
        <v>3</v>
      </c>
      <c r="F75" s="17">
        <f t="shared" si="15"/>
        <v>12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63" t="s">
        <v>22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63" t="s">
        <v>22</v>
      </c>
      <c r="E77" s="34">
        <v>0</v>
      </c>
      <c r="F77" s="17">
        <f t="shared" si="15"/>
        <v>0</v>
      </c>
      <c r="G77" s="16" t="s">
        <v>20</v>
      </c>
      <c r="H77" s="16" t="s">
        <v>147</v>
      </c>
      <c r="I77" s="16" t="s">
        <v>114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0" t="s">
        <v>29</v>
      </c>
      <c r="D78" s="62" t="s">
        <v>30</v>
      </c>
      <c r="E78" s="34">
        <v>8</v>
      </c>
      <c r="F78" s="12">
        <f t="shared" si="15"/>
        <v>32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0" t="s">
        <v>29</v>
      </c>
      <c r="D79" s="62" t="s">
        <v>30</v>
      </c>
      <c r="E79" s="34">
        <v>6</v>
      </c>
      <c r="F79" s="17">
        <f t="shared" si="15"/>
        <v>24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0" t="s">
        <v>29</v>
      </c>
      <c r="D80" s="62" t="s">
        <v>30</v>
      </c>
      <c r="E80" s="34">
        <v>8</v>
      </c>
      <c r="F80" s="12">
        <f t="shared" si="15"/>
        <v>32</v>
      </c>
      <c r="G80" s="10"/>
      <c r="H80" s="10"/>
      <c r="I80" s="10"/>
      <c r="J80" s="13"/>
      <c r="K80" s="13"/>
      <c r="L80" s="70" t="str">
        <f t="shared" si="16"/>
        <v/>
      </c>
      <c r="M80" s="11"/>
      <c r="N80" s="14"/>
    </row>
    <row r="81" spans="1:14" ht="15.75" customHeight="1">
      <c r="A81" s="105" t="s">
        <v>193</v>
      </c>
      <c r="B81" s="105"/>
      <c r="C81" s="105"/>
      <c r="D81" s="105"/>
      <c r="E81" s="19">
        <f>SUM(E69:E80)</f>
        <v>87</v>
      </c>
      <c r="F81" s="19">
        <f>SUM(F69:F80)</f>
        <v>348</v>
      </c>
      <c r="G81" s="38"/>
      <c r="H81" s="38"/>
      <c r="I81" s="38"/>
      <c r="J81" s="38"/>
      <c r="K81" s="38"/>
      <c r="L81" s="72">
        <f>IFERROR(SUM(L69:L80),"")</f>
        <v>0.12499999999999906</v>
      </c>
      <c r="M81" s="19" t="s">
        <v>192</v>
      </c>
      <c r="N81" s="20">
        <v>423590</v>
      </c>
    </row>
    <row r="82" spans="1:14" ht="18" customHeight="1">
      <c r="A82" s="98" t="s">
        <v>194</v>
      </c>
      <c r="B82" s="98"/>
      <c r="C82" s="98"/>
      <c r="D82" s="98"/>
      <c r="E82" s="22">
        <f>E68+E81</f>
        <v>199</v>
      </c>
      <c r="F82" s="22">
        <f>F68+F81</f>
        <v>796</v>
      </c>
      <c r="G82" s="39"/>
      <c r="H82" s="39"/>
      <c r="I82" s="39"/>
      <c r="J82" s="39"/>
      <c r="K82" s="39"/>
      <c r="L82" s="73">
        <f>IFERROR(L68+L81,"")</f>
        <v>0.27083333333333298</v>
      </c>
      <c r="M82" s="22" t="s">
        <v>195</v>
      </c>
      <c r="N82" s="23">
        <f>IFERROR(N68+N81,"")</f>
        <v>1059450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63" t="s">
        <v>30</v>
      </c>
      <c r="E83" s="34">
        <v>0</v>
      </c>
      <c r="F83" s="17">
        <f t="shared" ref="F83:F94" si="18">IF(E83="","",E83*4)</f>
        <v>0</v>
      </c>
      <c r="G83" s="16" t="s">
        <v>17</v>
      </c>
      <c r="H83" s="16" t="s">
        <v>154</v>
      </c>
      <c r="I83" s="16" t="s">
        <v>49</v>
      </c>
      <c r="J83" s="13">
        <v>0.29166666666666702</v>
      </c>
      <c r="K83" s="13">
        <v>0.35069444444444398</v>
      </c>
      <c r="L83" s="71">
        <f t="shared" ref="L83:L94" si="19">IFERROR(IF(K83="","",IF(K83&gt;=J83,K83-J83,K83+1-J83)),"")</f>
        <v>5.9027777777776957E-2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63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135</v>
      </c>
      <c r="I84" s="10" t="s">
        <v>126</v>
      </c>
      <c r="J84" s="13">
        <v>0.41666666666666702</v>
      </c>
      <c r="K84" s="13">
        <v>0.58333333333333304</v>
      </c>
      <c r="L84" s="70">
        <f t="shared" si="19"/>
        <v>0.16666666666666602</v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63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135</v>
      </c>
      <c r="I85" s="16" t="s">
        <v>79</v>
      </c>
      <c r="J85" s="13">
        <v>0.75</v>
      </c>
      <c r="K85" s="13">
        <v>0.78125</v>
      </c>
      <c r="L85" s="71">
        <f t="shared" si="19"/>
        <v>3.125E-2</v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63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63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63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63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63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63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63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63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63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105" t="s">
        <v>191</v>
      </c>
      <c r="B95" s="105"/>
      <c r="C95" s="105"/>
      <c r="D95" s="105"/>
      <c r="E95" s="19">
        <f>SUM(E83:E94)</f>
        <v>71</v>
      </c>
      <c r="F95" s="19">
        <f>SUM(F83:F94)</f>
        <v>284</v>
      </c>
      <c r="G95" s="38"/>
      <c r="H95" s="38"/>
      <c r="I95" s="38"/>
      <c r="J95" s="38"/>
      <c r="K95" s="38"/>
      <c r="L95" s="72">
        <f>IFERROR(SUM(L83:L94),"")</f>
        <v>0.25694444444444298</v>
      </c>
      <c r="M95" s="19" t="s">
        <v>192</v>
      </c>
      <c r="N95" s="20">
        <v>244460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62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57</v>
      </c>
      <c r="I96" s="10" t="s">
        <v>35</v>
      </c>
      <c r="J96" s="13">
        <v>0.79166666666666696</v>
      </c>
      <c r="K96" s="13">
        <v>0.83333333333333304</v>
      </c>
      <c r="L96" s="70">
        <f t="shared" ref="L96:L107" si="22">IFERROR(IF(K96="","",IF(K96&gt;=J96,K96-J96,K96+1-J96)),"")</f>
        <v>4.1666666666666075E-2</v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62" t="s">
        <v>30</v>
      </c>
      <c r="E97" s="34">
        <v>8</v>
      </c>
      <c r="F97" s="17">
        <f t="shared" si="21"/>
        <v>32</v>
      </c>
      <c r="G97" s="16" t="s">
        <v>17</v>
      </c>
      <c r="H97" s="16" t="s">
        <v>333</v>
      </c>
      <c r="I97" s="16"/>
      <c r="J97" s="13">
        <v>0.875</v>
      </c>
      <c r="K97" s="13">
        <v>0.91666666666666696</v>
      </c>
      <c r="L97" s="71">
        <f t="shared" si="22"/>
        <v>4.1666666666666963E-2</v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62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62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62" t="s">
        <v>30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63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63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63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63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63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63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63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105" t="s">
        <v>193</v>
      </c>
      <c r="B108" s="105"/>
      <c r="C108" s="105"/>
      <c r="D108" s="105"/>
      <c r="E108" s="19">
        <f>SUM(E96:E107)</f>
        <v>128</v>
      </c>
      <c r="F108" s="19">
        <f>SUM(F96:F107)</f>
        <v>512</v>
      </c>
      <c r="G108" s="38"/>
      <c r="H108" s="38"/>
      <c r="I108" s="38"/>
      <c r="J108" s="38"/>
      <c r="K108" s="38"/>
      <c r="L108" s="72">
        <f>IFERROR(SUM(L96:L107),"")</f>
        <v>8.3333333333333037E-2</v>
      </c>
      <c r="M108" s="19" t="s">
        <v>192</v>
      </c>
      <c r="N108" s="20">
        <v>784300</v>
      </c>
    </row>
    <row r="109" spans="1:14" ht="18" customHeight="1">
      <c r="A109" s="98" t="s">
        <v>194</v>
      </c>
      <c r="B109" s="98"/>
      <c r="C109" s="98"/>
      <c r="D109" s="98"/>
      <c r="E109" s="22">
        <f>E95+E108</f>
        <v>199</v>
      </c>
      <c r="F109" s="22">
        <f>F95+F108</f>
        <v>796</v>
      </c>
      <c r="G109" s="39"/>
      <c r="H109" s="39"/>
      <c r="I109" s="39"/>
      <c r="J109" s="39"/>
      <c r="K109" s="39"/>
      <c r="L109" s="73">
        <f>IFERROR(L95+L108,"")</f>
        <v>0.34027777777777601</v>
      </c>
      <c r="M109" s="22" t="s">
        <v>195</v>
      </c>
      <c r="N109" s="23">
        <f>IFERROR(N95+N108,"")</f>
        <v>1028760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62" t="s">
        <v>22</v>
      </c>
      <c r="E110" s="34">
        <v>0</v>
      </c>
      <c r="F110" s="12">
        <f t="shared" ref="F110:F121" si="24">IF(E110="","",E110*4)</f>
        <v>0</v>
      </c>
      <c r="G110" s="10" t="s">
        <v>19</v>
      </c>
      <c r="H110" s="10" t="s">
        <v>57</v>
      </c>
      <c r="I110" s="10" t="s">
        <v>116</v>
      </c>
      <c r="J110" s="13">
        <v>0.29166666666666702</v>
      </c>
      <c r="K110" s="13">
        <v>0.33333333333333298</v>
      </c>
      <c r="L110" s="70">
        <f t="shared" ref="L110:L121" si="25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62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52</v>
      </c>
      <c r="I111" s="16" t="s">
        <v>27</v>
      </c>
      <c r="J111" s="13">
        <v>0.33333333333333298</v>
      </c>
      <c r="K111" s="13">
        <v>0.35416666666666702</v>
      </c>
      <c r="L111" s="71">
        <f t="shared" si="25"/>
        <v>2.0833333333334036E-2</v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62" t="s">
        <v>22</v>
      </c>
      <c r="E112" s="34">
        <v>14</v>
      </c>
      <c r="F112" s="12">
        <f t="shared" si="24"/>
        <v>56</v>
      </c>
      <c r="G112" s="10" t="s">
        <v>20</v>
      </c>
      <c r="H112" s="10" t="s">
        <v>57</v>
      </c>
      <c r="I112" s="10" t="s">
        <v>68</v>
      </c>
      <c r="J112" s="13">
        <v>0.54166666666666696</v>
      </c>
      <c r="K112" s="13">
        <v>0.55555555555555602</v>
      </c>
      <c r="L112" s="70">
        <f t="shared" si="25"/>
        <v>1.3888888888889062E-2</v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62" t="s">
        <v>22</v>
      </c>
      <c r="E113" s="34">
        <v>18</v>
      </c>
      <c r="F113" s="17">
        <f t="shared" si="24"/>
        <v>72</v>
      </c>
      <c r="G113" s="16" t="s">
        <v>19</v>
      </c>
      <c r="H113" s="16" t="s">
        <v>154</v>
      </c>
      <c r="I113" s="16" t="s">
        <v>27</v>
      </c>
      <c r="J113" s="13">
        <v>0.70833333333333304</v>
      </c>
      <c r="K113" s="13">
        <v>0.73958333333333304</v>
      </c>
      <c r="L113" s="71">
        <f t="shared" si="25"/>
        <v>3.125E-2</v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62" t="s">
        <v>22</v>
      </c>
      <c r="E114" s="34">
        <v>10</v>
      </c>
      <c r="F114" s="12">
        <f t="shared" si="24"/>
        <v>40</v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62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62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62" t="s">
        <v>22</v>
      </c>
      <c r="E117" s="34">
        <v>14</v>
      </c>
      <c r="F117" s="17">
        <f t="shared" si="24"/>
        <v>56</v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62" t="s">
        <v>22</v>
      </c>
      <c r="E118" s="34">
        <v>5</v>
      </c>
      <c r="F118" s="12">
        <f t="shared" si="24"/>
        <v>20</v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62" t="s">
        <v>22</v>
      </c>
      <c r="E119" s="34">
        <v>14</v>
      </c>
      <c r="F119" s="17">
        <f t="shared" si="24"/>
        <v>56</v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62" t="s">
        <v>22</v>
      </c>
      <c r="E120" s="34">
        <v>13</v>
      </c>
      <c r="F120" s="12">
        <f t="shared" si="24"/>
        <v>52</v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62" t="s">
        <v>22</v>
      </c>
      <c r="E121" s="34">
        <v>7</v>
      </c>
      <c r="F121" s="17">
        <f t="shared" si="24"/>
        <v>28</v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105" t="s">
        <v>191</v>
      </c>
      <c r="B122" s="105"/>
      <c r="C122" s="105"/>
      <c r="D122" s="105"/>
      <c r="E122" s="19">
        <f>SUM(E110:E121)</f>
        <v>144</v>
      </c>
      <c r="F122" s="19">
        <f>SUM(F110:F121)</f>
        <v>576</v>
      </c>
      <c r="G122" s="38"/>
      <c r="H122" s="38"/>
      <c r="I122" s="38"/>
      <c r="J122" s="38"/>
      <c r="K122" s="38"/>
      <c r="L122" s="72">
        <f>IFERROR(SUM(L110:L121),"")</f>
        <v>0.10763888888888906</v>
      </c>
      <c r="M122" s="19" t="s">
        <v>192</v>
      </c>
      <c r="N122" s="20">
        <v>687850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63" t="s">
        <v>22</v>
      </c>
      <c r="E123" s="34">
        <v>10</v>
      </c>
      <c r="F123" s="17">
        <f t="shared" ref="F123:F134" si="27">IF(E123="","",E123*4)</f>
        <v>40</v>
      </c>
      <c r="G123" s="16" t="s">
        <v>20</v>
      </c>
      <c r="H123" s="16" t="s">
        <v>52</v>
      </c>
      <c r="I123" s="16" t="s">
        <v>126</v>
      </c>
      <c r="J123" s="13">
        <v>0.91666666666666696</v>
      </c>
      <c r="K123" s="13">
        <v>0.95833333333333304</v>
      </c>
      <c r="L123" s="71">
        <f t="shared" ref="L123:L134" si="28">IFERROR(IF(K123="","",IF(K123&gt;=J123,K123-J123,K123+1-J123)),"")</f>
        <v>4.1666666666666075E-2</v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63" t="s">
        <v>22</v>
      </c>
      <c r="E124" s="34">
        <v>10</v>
      </c>
      <c r="F124" s="12">
        <f t="shared" si="27"/>
        <v>40</v>
      </c>
      <c r="G124" s="10" t="s">
        <v>190</v>
      </c>
      <c r="H124" s="10" t="s">
        <v>154</v>
      </c>
      <c r="I124" s="10" t="s">
        <v>53</v>
      </c>
      <c r="J124" s="13">
        <v>0.20833333333333301</v>
      </c>
      <c r="K124" s="13">
        <v>0.22152777777777799</v>
      </c>
      <c r="L124" s="70">
        <f t="shared" si="28"/>
        <v>1.319444444444498E-2</v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63" t="s">
        <v>22</v>
      </c>
      <c r="E125" s="34">
        <v>0</v>
      </c>
      <c r="F125" s="17">
        <f t="shared" si="27"/>
        <v>0</v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63" t="s">
        <v>22</v>
      </c>
      <c r="E126" s="34">
        <v>4</v>
      </c>
      <c r="F126" s="12">
        <f t="shared" si="27"/>
        <v>16</v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63" t="s">
        <v>22</v>
      </c>
      <c r="E127" s="34">
        <v>9</v>
      </c>
      <c r="F127" s="17">
        <f t="shared" si="27"/>
        <v>36</v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63" t="s">
        <v>22</v>
      </c>
      <c r="E128" s="34">
        <v>12</v>
      </c>
      <c r="F128" s="12">
        <f t="shared" si="27"/>
        <v>48</v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63" t="s">
        <v>22</v>
      </c>
      <c r="E129" s="34">
        <v>12</v>
      </c>
      <c r="F129" s="17">
        <f t="shared" si="27"/>
        <v>48</v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63" t="s">
        <v>22</v>
      </c>
      <c r="E130" s="34">
        <v>10</v>
      </c>
      <c r="F130" s="12">
        <f t="shared" si="27"/>
        <v>40</v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63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63" t="s">
        <v>22</v>
      </c>
      <c r="E132" s="34">
        <v>12</v>
      </c>
      <c r="F132" s="12">
        <f t="shared" si="27"/>
        <v>48</v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63" t="s">
        <v>22</v>
      </c>
      <c r="E133" s="34">
        <v>4</v>
      </c>
      <c r="F133" s="17">
        <f t="shared" si="27"/>
        <v>16</v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63" t="s">
        <v>22</v>
      </c>
      <c r="E134" s="40">
        <v>10</v>
      </c>
      <c r="F134" s="12">
        <f t="shared" si="27"/>
        <v>40</v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105" t="s">
        <v>193</v>
      </c>
      <c r="B135" s="105"/>
      <c r="C135" s="105"/>
      <c r="D135" s="105"/>
      <c r="E135" s="19">
        <f>SUM(E123:E134)</f>
        <v>101</v>
      </c>
      <c r="F135" s="19">
        <f>SUM(F123:F134)</f>
        <v>404</v>
      </c>
      <c r="G135" s="38"/>
      <c r="H135" s="38"/>
      <c r="I135" s="38"/>
      <c r="J135" s="38"/>
      <c r="K135" s="38"/>
      <c r="L135" s="72">
        <f>IFERROR(SUM(L123:L134),"")</f>
        <v>5.4861111111111055E-2</v>
      </c>
      <c r="M135" s="19" t="s">
        <v>192</v>
      </c>
      <c r="N135" s="20">
        <v>527600</v>
      </c>
    </row>
    <row r="136" spans="1:14" ht="18" customHeight="1">
      <c r="A136" s="98" t="s">
        <v>194</v>
      </c>
      <c r="B136" s="98"/>
      <c r="C136" s="98"/>
      <c r="D136" s="98"/>
      <c r="E136" s="22">
        <f>E122+E135</f>
        <v>245</v>
      </c>
      <c r="F136" s="22">
        <f>F122+F135</f>
        <v>980</v>
      </c>
      <c r="G136" s="39"/>
      <c r="H136" s="39"/>
      <c r="I136" s="39"/>
      <c r="J136" s="39"/>
      <c r="K136" s="39"/>
      <c r="L136" s="73">
        <f>IFERROR(L122+L135,"")</f>
        <v>0.16250000000000012</v>
      </c>
      <c r="M136" s="22" t="s">
        <v>195</v>
      </c>
      <c r="N136" s="23">
        <f>IFERROR(N122+N135,"")</f>
        <v>1215450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63" t="s">
        <v>22</v>
      </c>
      <c r="E137" s="11">
        <v>0</v>
      </c>
      <c r="F137" s="17">
        <f t="shared" ref="F137:F148" si="30">IF(E137="","",E137*4)</f>
        <v>0</v>
      </c>
      <c r="G137" s="16" t="s">
        <v>19</v>
      </c>
      <c r="H137" s="16" t="s">
        <v>154</v>
      </c>
      <c r="I137" s="16" t="s">
        <v>27</v>
      </c>
      <c r="J137" s="13">
        <v>0.29166666666666702</v>
      </c>
      <c r="K137" s="13">
        <v>0.32291666666666702</v>
      </c>
      <c r="L137" s="71">
        <f t="shared" ref="L137:L148" si="31">IFERROR(IF(K137="","",IF(K137&gt;=J137,K137-J137,K137+1-J137)),"")</f>
        <v>3.125E-2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63" t="s">
        <v>22</v>
      </c>
      <c r="E138" s="11">
        <v>23</v>
      </c>
      <c r="F138" s="12">
        <f t="shared" si="30"/>
        <v>92</v>
      </c>
      <c r="G138" s="10" t="s">
        <v>18</v>
      </c>
      <c r="H138" s="10" t="s">
        <v>57</v>
      </c>
      <c r="I138" s="10" t="s">
        <v>113</v>
      </c>
      <c r="J138" s="13">
        <v>0.33333333333333298</v>
      </c>
      <c r="K138" s="13">
        <v>0.34722222222222199</v>
      </c>
      <c r="L138" s="70">
        <f t="shared" si="31"/>
        <v>1.3888888888889006E-2</v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63" t="s">
        <v>22</v>
      </c>
      <c r="E139" s="11">
        <v>17</v>
      </c>
      <c r="F139" s="17">
        <f t="shared" si="30"/>
        <v>68</v>
      </c>
      <c r="G139" s="16" t="s">
        <v>190</v>
      </c>
      <c r="H139" s="16" t="s">
        <v>104</v>
      </c>
      <c r="I139" s="16" t="s">
        <v>58</v>
      </c>
      <c r="J139" s="13">
        <v>0.5</v>
      </c>
      <c r="K139" s="13">
        <v>0.50694444444444398</v>
      </c>
      <c r="L139" s="71">
        <f t="shared" si="31"/>
        <v>6.9444444444439757E-3</v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63" t="s">
        <v>22</v>
      </c>
      <c r="E140" s="11">
        <v>13</v>
      </c>
      <c r="F140" s="12">
        <f t="shared" si="30"/>
        <v>52</v>
      </c>
      <c r="G140" s="10" t="s">
        <v>19</v>
      </c>
      <c r="H140" s="10" t="s">
        <v>154</v>
      </c>
      <c r="I140" s="10" t="s">
        <v>27</v>
      </c>
      <c r="J140" s="13">
        <v>0.66666666666666696</v>
      </c>
      <c r="K140" s="13">
        <v>0.6875</v>
      </c>
      <c r="L140" s="70">
        <f t="shared" si="31"/>
        <v>2.0833333333333037E-2</v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63" t="s">
        <v>22</v>
      </c>
      <c r="E141" s="11">
        <v>22</v>
      </c>
      <c r="F141" s="17">
        <f t="shared" si="30"/>
        <v>88</v>
      </c>
      <c r="G141" s="16" t="s">
        <v>17</v>
      </c>
      <c r="H141" s="16" t="s">
        <v>135</v>
      </c>
      <c r="I141" s="16" t="s">
        <v>33</v>
      </c>
      <c r="J141" s="13">
        <v>0.77777777777777801</v>
      </c>
      <c r="K141" s="13">
        <v>0.79166666666666696</v>
      </c>
      <c r="L141" s="71">
        <f t="shared" si="31"/>
        <v>1.3888888888888951E-2</v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63" t="s">
        <v>22</v>
      </c>
      <c r="E142" s="11">
        <v>11</v>
      </c>
      <c r="F142" s="12">
        <f t="shared" si="30"/>
        <v>44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63" t="s">
        <v>22</v>
      </c>
      <c r="E143" s="11">
        <v>13</v>
      </c>
      <c r="F143" s="17">
        <f t="shared" si="30"/>
        <v>52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63" t="s">
        <v>22</v>
      </c>
      <c r="E144" s="11">
        <v>18</v>
      </c>
      <c r="F144" s="12">
        <f t="shared" si="30"/>
        <v>72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63" t="s">
        <v>22</v>
      </c>
      <c r="E145" s="11">
        <v>10</v>
      </c>
      <c r="F145" s="17">
        <f t="shared" si="30"/>
        <v>40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63" t="s">
        <v>22</v>
      </c>
      <c r="E146" s="11">
        <v>14</v>
      </c>
      <c r="F146" s="12">
        <f t="shared" si="30"/>
        <v>56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63" t="s">
        <v>22</v>
      </c>
      <c r="E147" s="11">
        <v>22</v>
      </c>
      <c r="F147" s="17">
        <f t="shared" si="30"/>
        <v>88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63" t="s">
        <v>22</v>
      </c>
      <c r="E148" s="11">
        <v>17</v>
      </c>
      <c r="F148" s="12">
        <f t="shared" si="30"/>
        <v>68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105" t="s">
        <v>191</v>
      </c>
      <c r="B149" s="105"/>
      <c r="C149" s="105"/>
      <c r="D149" s="105"/>
      <c r="E149" s="19">
        <f>SUM(E137:E148)</f>
        <v>180</v>
      </c>
      <c r="F149" s="19">
        <f>SUM(F137:F148)</f>
        <v>720</v>
      </c>
      <c r="G149" s="38"/>
      <c r="H149" s="38"/>
      <c r="I149" s="38"/>
      <c r="J149" s="38"/>
      <c r="K149" s="38"/>
      <c r="L149" s="72">
        <f>IFERROR(SUM(L137:L148),"")</f>
        <v>8.680555555555497E-2</v>
      </c>
      <c r="M149" s="19" t="s">
        <v>192</v>
      </c>
      <c r="N149" s="20">
        <v>790080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62" t="s">
        <v>22</v>
      </c>
      <c r="E150" s="11">
        <v>8</v>
      </c>
      <c r="F150" s="12">
        <f t="shared" ref="F150:F161" si="33">IF(E150="","",E150*4)</f>
        <v>32</v>
      </c>
      <c r="G150" s="10" t="s">
        <v>17</v>
      </c>
      <c r="H150" s="10" t="s">
        <v>135</v>
      </c>
      <c r="I150" s="10" t="s">
        <v>33</v>
      </c>
      <c r="J150" s="13">
        <v>0</v>
      </c>
      <c r="K150" s="13">
        <v>0.29166666666666702</v>
      </c>
      <c r="L150" s="70">
        <f t="shared" ref="L150:L161" si="34">IFERROR(IF(K150="","",IF(K150&gt;=J150,K150-J150,K150+1-J150)),"")</f>
        <v>0.29166666666666702</v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62" t="s">
        <v>22</v>
      </c>
      <c r="E151" s="11">
        <v>12</v>
      </c>
      <c r="F151" s="17">
        <f t="shared" si="33"/>
        <v>48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62" t="s">
        <v>22</v>
      </c>
      <c r="E152" s="11">
        <v>12</v>
      </c>
      <c r="F152" s="12">
        <f t="shared" si="33"/>
        <v>48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62" t="s">
        <v>22</v>
      </c>
      <c r="E153" s="11">
        <v>10</v>
      </c>
      <c r="F153" s="17">
        <f t="shared" si="33"/>
        <v>40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62" t="s">
        <v>22</v>
      </c>
      <c r="E154" s="11">
        <v>8</v>
      </c>
      <c r="F154" s="12">
        <f t="shared" si="33"/>
        <v>32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62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62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62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62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62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62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62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105" t="s">
        <v>193</v>
      </c>
      <c r="B162" s="105"/>
      <c r="C162" s="105"/>
      <c r="D162" s="105"/>
      <c r="E162" s="19">
        <f>SUM(E150:E161)</f>
        <v>50</v>
      </c>
      <c r="F162" s="19">
        <f>SUM(F150:F161)</f>
        <v>200</v>
      </c>
      <c r="G162" s="38"/>
      <c r="H162" s="38"/>
      <c r="I162" s="38"/>
      <c r="J162" s="38"/>
      <c r="K162" s="38"/>
      <c r="L162" s="72">
        <f>IFERROR(SUM(L150:L161),"")</f>
        <v>0.29166666666666702</v>
      </c>
      <c r="M162" s="19" t="s">
        <v>192</v>
      </c>
      <c r="N162" s="20">
        <v>215370</v>
      </c>
    </row>
    <row r="163" spans="1:14" ht="18" customHeight="1">
      <c r="A163" s="98" t="s">
        <v>194</v>
      </c>
      <c r="B163" s="98"/>
      <c r="C163" s="98"/>
      <c r="D163" s="98"/>
      <c r="E163" s="22">
        <f>E149+E162</f>
        <v>230</v>
      </c>
      <c r="F163" s="22">
        <f>F149+F162</f>
        <v>920</v>
      </c>
      <c r="G163" s="39"/>
      <c r="H163" s="39"/>
      <c r="I163" s="39"/>
      <c r="J163" s="39"/>
      <c r="K163" s="39"/>
      <c r="L163" s="73">
        <f>IFERROR(L149+L162,"")</f>
        <v>0.37847222222222199</v>
      </c>
      <c r="M163" s="22" t="s">
        <v>195</v>
      </c>
      <c r="N163" s="23">
        <f>IFERROR(N149+N162,"")</f>
        <v>1005450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62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135</v>
      </c>
      <c r="I164" s="10" t="s">
        <v>33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63"/>
      <c r="E165" s="11">
        <v>0</v>
      </c>
      <c r="F165" s="17">
        <f t="shared" si="36"/>
        <v>0</v>
      </c>
      <c r="G165" s="16" t="s">
        <v>17</v>
      </c>
      <c r="H165" s="16" t="s">
        <v>135</v>
      </c>
      <c r="I165" s="16" t="s">
        <v>33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62"/>
      <c r="E166" s="11">
        <v>0</v>
      </c>
      <c r="F166" s="12">
        <f t="shared" si="36"/>
        <v>0</v>
      </c>
      <c r="G166" s="10" t="s">
        <v>17</v>
      </c>
      <c r="H166" s="10" t="s">
        <v>135</v>
      </c>
      <c r="I166" s="10" t="s">
        <v>33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63"/>
      <c r="E167" s="11">
        <v>0</v>
      </c>
      <c r="F167" s="17">
        <f t="shared" si="36"/>
        <v>0</v>
      </c>
      <c r="G167" s="16" t="s">
        <v>17</v>
      </c>
      <c r="H167" s="16" t="s">
        <v>135</v>
      </c>
      <c r="I167" s="16" t="s">
        <v>33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62"/>
      <c r="E168" s="11">
        <v>0</v>
      </c>
      <c r="F168" s="12">
        <f t="shared" si="36"/>
        <v>0</v>
      </c>
      <c r="G168" s="10" t="s">
        <v>17</v>
      </c>
      <c r="H168" s="10" t="s">
        <v>135</v>
      </c>
      <c r="I168" s="10" t="s">
        <v>33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63"/>
      <c r="E169" s="11">
        <v>0</v>
      </c>
      <c r="F169" s="17">
        <f t="shared" si="36"/>
        <v>0</v>
      </c>
      <c r="G169" s="16" t="s">
        <v>17</v>
      </c>
      <c r="H169" s="16" t="s">
        <v>135</v>
      </c>
      <c r="I169" s="16" t="s">
        <v>33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62"/>
      <c r="E170" s="11">
        <v>0</v>
      </c>
      <c r="F170" s="12">
        <f t="shared" si="36"/>
        <v>0</v>
      </c>
      <c r="G170" s="10" t="s">
        <v>17</v>
      </c>
      <c r="H170" s="10" t="s">
        <v>135</v>
      </c>
      <c r="I170" s="10" t="s">
        <v>33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63"/>
      <c r="E171" s="11">
        <v>0</v>
      </c>
      <c r="F171" s="17">
        <f t="shared" si="36"/>
        <v>0</v>
      </c>
      <c r="G171" s="16" t="s">
        <v>17</v>
      </c>
      <c r="H171" s="16" t="s">
        <v>135</v>
      </c>
      <c r="I171" s="16" t="s">
        <v>33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62"/>
      <c r="E172" s="11">
        <v>0</v>
      </c>
      <c r="F172" s="12">
        <f t="shared" si="36"/>
        <v>0</v>
      </c>
      <c r="G172" s="10" t="s">
        <v>17</v>
      </c>
      <c r="H172" s="10" t="s">
        <v>135</v>
      </c>
      <c r="I172" s="10" t="s">
        <v>33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63"/>
      <c r="E173" s="11">
        <v>0</v>
      </c>
      <c r="F173" s="17">
        <f t="shared" si="36"/>
        <v>0</v>
      </c>
      <c r="G173" s="16" t="s">
        <v>17</v>
      </c>
      <c r="H173" s="16" t="s">
        <v>135</v>
      </c>
      <c r="I173" s="16" t="s">
        <v>33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62"/>
      <c r="E174" s="11">
        <v>0</v>
      </c>
      <c r="F174" s="12">
        <f t="shared" si="36"/>
        <v>0</v>
      </c>
      <c r="G174" s="10" t="s">
        <v>17</v>
      </c>
      <c r="H174" s="10" t="s">
        <v>135</v>
      </c>
      <c r="I174" s="10" t="s">
        <v>33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63"/>
      <c r="E175" s="11">
        <v>0</v>
      </c>
      <c r="F175" s="17">
        <f t="shared" si="36"/>
        <v>0</v>
      </c>
      <c r="G175" s="16" t="s">
        <v>17</v>
      </c>
      <c r="H175" s="16" t="s">
        <v>135</v>
      </c>
      <c r="I175" s="16" t="s">
        <v>33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105" t="s">
        <v>191</v>
      </c>
      <c r="B176" s="105"/>
      <c r="C176" s="105"/>
      <c r="D176" s="105"/>
      <c r="E176" s="19">
        <f>SUM(E164:E175)</f>
        <v>0</v>
      </c>
      <c r="F176" s="19">
        <f>SUM(F164:F175)</f>
        <v>0</v>
      </c>
      <c r="G176" s="38"/>
      <c r="H176" s="38"/>
      <c r="I176" s="38"/>
      <c r="J176" s="38"/>
      <c r="K176" s="38"/>
      <c r="L176" s="72">
        <f>IFERROR(SUM(L164:L175),"")</f>
        <v>0.49999999999999994</v>
      </c>
      <c r="M176" s="19" t="s">
        <v>192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63" t="s">
        <v>22</v>
      </c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135</v>
      </c>
      <c r="I177" s="16" t="s">
        <v>33</v>
      </c>
      <c r="J177" s="13">
        <v>0.79166666666666696</v>
      </c>
      <c r="K177" s="13">
        <v>4.1666666666666699E-2</v>
      </c>
      <c r="L177" s="71">
        <f t="shared" ref="L177:L188" si="40">IFERROR(IF(K177="","",IF(K177&gt;=J177,K177-J177,K177+1-J177)),"")</f>
        <v>0.24999999999999978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62" t="s">
        <v>22</v>
      </c>
      <c r="E178" s="11">
        <v>0</v>
      </c>
      <c r="F178" s="12">
        <f t="shared" si="39"/>
        <v>0</v>
      </c>
      <c r="G178" s="10" t="s">
        <v>17</v>
      </c>
      <c r="H178" s="10" t="s">
        <v>135</v>
      </c>
      <c r="I178" s="10" t="s">
        <v>33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63" t="s">
        <v>22</v>
      </c>
      <c r="E179" s="11">
        <v>0</v>
      </c>
      <c r="F179" s="17">
        <f t="shared" si="39"/>
        <v>0</v>
      </c>
      <c r="G179" s="16" t="s">
        <v>17</v>
      </c>
      <c r="H179" s="16" t="s">
        <v>135</v>
      </c>
      <c r="I179" s="16" t="s">
        <v>33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62" t="s">
        <v>22</v>
      </c>
      <c r="E180" s="11">
        <v>0</v>
      </c>
      <c r="F180" s="12">
        <f t="shared" si="39"/>
        <v>0</v>
      </c>
      <c r="G180" s="10" t="s">
        <v>17</v>
      </c>
      <c r="H180" s="10" t="s">
        <v>135</v>
      </c>
      <c r="I180" s="10" t="s">
        <v>33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63" t="s">
        <v>22</v>
      </c>
      <c r="E181" s="11">
        <v>0</v>
      </c>
      <c r="F181" s="17">
        <f t="shared" si="39"/>
        <v>0</v>
      </c>
      <c r="G181" s="10" t="s">
        <v>17</v>
      </c>
      <c r="H181" s="10" t="s">
        <v>135</v>
      </c>
      <c r="I181" s="10" t="s">
        <v>33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62" t="s">
        <v>22</v>
      </c>
      <c r="E182" s="11">
        <v>7</v>
      </c>
      <c r="F182" s="12">
        <f t="shared" si="39"/>
        <v>28</v>
      </c>
      <c r="G182" s="10" t="s">
        <v>17</v>
      </c>
      <c r="H182" s="10" t="s">
        <v>135</v>
      </c>
      <c r="I182" s="10" t="s">
        <v>33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63" t="s">
        <v>22</v>
      </c>
      <c r="E183" s="11">
        <v>8</v>
      </c>
      <c r="F183" s="17">
        <f t="shared" si="39"/>
        <v>32</v>
      </c>
      <c r="G183" s="16" t="s">
        <v>17</v>
      </c>
      <c r="H183" s="16" t="s">
        <v>135</v>
      </c>
      <c r="I183" s="16" t="s">
        <v>33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62" t="s">
        <v>22</v>
      </c>
      <c r="E184" s="11">
        <v>10</v>
      </c>
      <c r="F184" s="12">
        <f t="shared" si="39"/>
        <v>40</v>
      </c>
      <c r="G184" s="10" t="s">
        <v>17</v>
      </c>
      <c r="H184" s="10" t="s">
        <v>135</v>
      </c>
      <c r="I184" s="10" t="s">
        <v>33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63" t="s">
        <v>22</v>
      </c>
      <c r="E185" s="11">
        <v>15</v>
      </c>
      <c r="F185" s="17">
        <f t="shared" si="39"/>
        <v>60</v>
      </c>
      <c r="G185" s="16" t="s">
        <v>17</v>
      </c>
      <c r="H185" s="16" t="s">
        <v>135</v>
      </c>
      <c r="I185" s="16" t="s">
        <v>33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62" t="s">
        <v>22</v>
      </c>
      <c r="E186" s="11">
        <v>16</v>
      </c>
      <c r="F186" s="12">
        <f t="shared" si="39"/>
        <v>64</v>
      </c>
      <c r="G186" s="10" t="s">
        <v>17</v>
      </c>
      <c r="H186" s="10" t="s">
        <v>135</v>
      </c>
      <c r="I186" s="10" t="s">
        <v>33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63" t="s">
        <v>22</v>
      </c>
      <c r="E187" s="11">
        <v>5</v>
      </c>
      <c r="F187" s="17">
        <f t="shared" si="39"/>
        <v>20</v>
      </c>
      <c r="G187" s="16" t="s">
        <v>17</v>
      </c>
      <c r="H187" s="16" t="s">
        <v>135</v>
      </c>
      <c r="I187" s="16" t="s">
        <v>33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62" t="s">
        <v>22</v>
      </c>
      <c r="E188" s="11">
        <v>12</v>
      </c>
      <c r="F188" s="12">
        <f t="shared" si="39"/>
        <v>48</v>
      </c>
      <c r="G188" s="10" t="s">
        <v>17</v>
      </c>
      <c r="H188" s="10" t="s">
        <v>135</v>
      </c>
      <c r="I188" s="10" t="s">
        <v>33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105" t="s">
        <v>193</v>
      </c>
      <c r="B189" s="105"/>
      <c r="C189" s="105"/>
      <c r="D189" s="105"/>
      <c r="E189" s="19">
        <f>SUM(E177:E188)</f>
        <v>73</v>
      </c>
      <c r="F189" s="19">
        <f>SUM(F177:F188)</f>
        <v>292</v>
      </c>
      <c r="G189" s="38"/>
      <c r="H189" s="38"/>
      <c r="I189" s="38"/>
      <c r="J189" s="38"/>
      <c r="K189" s="38"/>
      <c r="L189" s="72">
        <f>IFERROR(SUM(L177:L188),"")</f>
        <v>0.24999999999999978</v>
      </c>
      <c r="M189" s="19" t="s">
        <v>192</v>
      </c>
      <c r="N189" s="20">
        <v>400530</v>
      </c>
    </row>
    <row r="190" spans="1:14" ht="18" customHeight="1">
      <c r="A190" s="98" t="s">
        <v>194</v>
      </c>
      <c r="B190" s="98"/>
      <c r="C190" s="98"/>
      <c r="D190" s="98"/>
      <c r="E190" s="22">
        <f>E176+E189</f>
        <v>73</v>
      </c>
      <c r="F190" s="22">
        <f>F176+F189</f>
        <v>292</v>
      </c>
      <c r="G190" s="39"/>
      <c r="H190" s="39"/>
      <c r="I190" s="39"/>
      <c r="J190" s="39"/>
      <c r="K190" s="39"/>
      <c r="L190" s="73">
        <f>IFERROR(L176+L189,"")</f>
        <v>0.74999999999999978</v>
      </c>
      <c r="M190" s="22" t="s">
        <v>195</v>
      </c>
      <c r="N190" s="23">
        <f>IFERROR(N176+N189,"")</f>
        <v>400530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63" t="s">
        <v>22</v>
      </c>
      <c r="E191" s="11">
        <v>0</v>
      </c>
      <c r="F191" s="17">
        <f t="shared" ref="F191:F202" si="42">IF(E191="","",E191*4)</f>
        <v>0</v>
      </c>
      <c r="G191" s="16" t="s">
        <v>18</v>
      </c>
      <c r="H191" s="16" t="s">
        <v>52</v>
      </c>
      <c r="I191" s="16" t="s">
        <v>113</v>
      </c>
      <c r="J191" s="13">
        <v>0.29166666666666702</v>
      </c>
      <c r="K191" s="13">
        <v>0.33333333333333298</v>
      </c>
      <c r="L191" s="71">
        <f t="shared" ref="L191:L202" si="43">IFERROR(IF(K191="","",IF(K191&gt;=J191,K191-J191,K191+1-J191)),"")</f>
        <v>4.1666666666665964E-2</v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63" t="s">
        <v>22</v>
      </c>
      <c r="E192" s="11">
        <v>19</v>
      </c>
      <c r="F192" s="12">
        <f t="shared" si="42"/>
        <v>76</v>
      </c>
      <c r="G192" s="10" t="s">
        <v>17</v>
      </c>
      <c r="H192" s="10"/>
      <c r="I192" s="10" t="s">
        <v>25</v>
      </c>
      <c r="J192" s="13">
        <v>0.375</v>
      </c>
      <c r="K192" s="13">
        <v>0.38888888888888901</v>
      </c>
      <c r="L192" s="70">
        <f t="shared" si="43"/>
        <v>1.3888888888889006E-2</v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63" t="s">
        <v>22</v>
      </c>
      <c r="E193" s="11">
        <v>17</v>
      </c>
      <c r="F193" s="17">
        <f t="shared" si="42"/>
        <v>68</v>
      </c>
      <c r="G193" s="16" t="s">
        <v>18</v>
      </c>
      <c r="H193" s="16" t="s">
        <v>135</v>
      </c>
      <c r="I193" s="16" t="s">
        <v>334</v>
      </c>
      <c r="J193" s="13">
        <v>0.54166666666666696</v>
      </c>
      <c r="K193" s="13">
        <v>0.75347222222222199</v>
      </c>
      <c r="L193" s="71">
        <f t="shared" si="43"/>
        <v>0.21180555555555503</v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63" t="s">
        <v>22</v>
      </c>
      <c r="E194" s="11">
        <v>0</v>
      </c>
      <c r="F194" s="12">
        <f t="shared" si="42"/>
        <v>0</v>
      </c>
      <c r="G194" s="10" t="s">
        <v>19</v>
      </c>
      <c r="H194" s="10" t="s">
        <v>52</v>
      </c>
      <c r="I194" s="10" t="s">
        <v>27</v>
      </c>
      <c r="J194" s="13">
        <v>0.54166666666666696</v>
      </c>
      <c r="K194" s="13">
        <v>0.55208333333333304</v>
      </c>
      <c r="L194" s="70">
        <f t="shared" si="43"/>
        <v>1.0416666666666075E-2</v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63" t="s">
        <v>22</v>
      </c>
      <c r="E195" s="11">
        <v>2</v>
      </c>
      <c r="F195" s="17">
        <f t="shared" si="42"/>
        <v>8</v>
      </c>
      <c r="G195" s="16" t="s">
        <v>19</v>
      </c>
      <c r="H195" s="16" t="s">
        <v>57</v>
      </c>
      <c r="I195" s="16" t="s">
        <v>27</v>
      </c>
      <c r="J195" s="13">
        <v>0.55208333333333304</v>
      </c>
      <c r="K195" s="13">
        <v>0.5625</v>
      </c>
      <c r="L195" s="71">
        <f t="shared" si="43"/>
        <v>1.0416666666666963E-2</v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63" t="s">
        <v>22</v>
      </c>
      <c r="E196" s="11">
        <v>6</v>
      </c>
      <c r="F196" s="12">
        <f t="shared" si="42"/>
        <v>24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63" t="s">
        <v>22</v>
      </c>
      <c r="E197" s="11">
        <v>8</v>
      </c>
      <c r="F197" s="17">
        <f t="shared" si="42"/>
        <v>32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63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63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63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63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63" t="s">
        <v>22</v>
      </c>
      <c r="E202" s="11">
        <v>5</v>
      </c>
      <c r="F202" s="12">
        <f t="shared" si="42"/>
        <v>20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105" t="s">
        <v>191</v>
      </c>
      <c r="B203" s="105"/>
      <c r="C203" s="105"/>
      <c r="D203" s="105"/>
      <c r="E203" s="19">
        <f>SUM(E191:E202)</f>
        <v>57</v>
      </c>
      <c r="F203" s="19">
        <f>SUM(F191:F202)</f>
        <v>228</v>
      </c>
      <c r="G203" s="38"/>
      <c r="H203" s="38"/>
      <c r="I203" s="38"/>
      <c r="J203" s="38"/>
      <c r="K203" s="38"/>
      <c r="L203" s="72">
        <f>IFERROR(SUM(L191:L202),"")</f>
        <v>0.28819444444444303</v>
      </c>
      <c r="M203" s="19" t="s">
        <v>192</v>
      </c>
      <c r="N203" s="28">
        <v>225530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62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52</v>
      </c>
      <c r="I204" s="10" t="s">
        <v>27</v>
      </c>
      <c r="J204" s="13">
        <v>0.79166666666666696</v>
      </c>
      <c r="K204" s="13">
        <v>0.80555555555555602</v>
      </c>
      <c r="L204" s="70">
        <f t="shared" ref="L204:L215" si="46">IFERROR(IF(K204="","",IF(K204&gt;=J204,K204-J204,K204+1-J204)),"")</f>
        <v>1.3888888888889062E-2</v>
      </c>
      <c r="M204" s="11"/>
      <c r="N204" s="41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62" t="s">
        <v>22</v>
      </c>
      <c r="E205" s="11">
        <v>16</v>
      </c>
      <c r="F205" s="17">
        <f t="shared" si="45"/>
        <v>64</v>
      </c>
      <c r="G205" s="16" t="s">
        <v>19</v>
      </c>
      <c r="H205" s="16" t="s">
        <v>57</v>
      </c>
      <c r="I205" s="16" t="s">
        <v>27</v>
      </c>
      <c r="J205" s="13">
        <v>0.80555555555555602</v>
      </c>
      <c r="K205" s="13">
        <v>0.81944444444444398</v>
      </c>
      <c r="L205" s="71">
        <f t="shared" si="46"/>
        <v>1.3888888888887951E-2</v>
      </c>
      <c r="M205" s="11"/>
      <c r="N205" s="41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62" t="s">
        <v>22</v>
      </c>
      <c r="E206" s="11">
        <v>10</v>
      </c>
      <c r="F206" s="12">
        <f t="shared" si="45"/>
        <v>40</v>
      </c>
      <c r="G206" s="10" t="s">
        <v>19</v>
      </c>
      <c r="H206" s="10" t="s">
        <v>57</v>
      </c>
      <c r="I206" s="10" t="s">
        <v>238</v>
      </c>
      <c r="J206" s="13">
        <v>0.81944444444444398</v>
      </c>
      <c r="K206" s="13">
        <v>0.83333333333333304</v>
      </c>
      <c r="L206" s="70">
        <f t="shared" si="46"/>
        <v>1.3888888888889062E-2</v>
      </c>
      <c r="M206" s="11"/>
      <c r="N206" s="41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62" t="s">
        <v>22</v>
      </c>
      <c r="E207" s="11">
        <v>13</v>
      </c>
      <c r="F207" s="17">
        <f t="shared" si="45"/>
        <v>52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41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62" t="s">
        <v>22</v>
      </c>
      <c r="E208" s="11">
        <v>7</v>
      </c>
      <c r="F208" s="12">
        <f t="shared" si="45"/>
        <v>28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41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62" t="s">
        <v>22</v>
      </c>
      <c r="E209" s="11">
        <v>30</v>
      </c>
      <c r="F209" s="17">
        <f t="shared" si="45"/>
        <v>120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41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62" t="s">
        <v>22</v>
      </c>
      <c r="E210" s="11">
        <v>15</v>
      </c>
      <c r="F210" s="12">
        <f t="shared" si="45"/>
        <v>60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41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62" t="s">
        <v>22</v>
      </c>
      <c r="E211" s="11">
        <v>17</v>
      </c>
      <c r="F211" s="17">
        <f t="shared" si="45"/>
        <v>68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41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62" t="s">
        <v>30</v>
      </c>
      <c r="E212" s="11">
        <v>5</v>
      </c>
      <c r="F212" s="12">
        <f t="shared" si="45"/>
        <v>20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41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62" t="s">
        <v>30</v>
      </c>
      <c r="E213" s="11">
        <v>10</v>
      </c>
      <c r="F213" s="17">
        <f t="shared" si="45"/>
        <v>40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41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62" t="s">
        <v>30</v>
      </c>
      <c r="E214" s="11">
        <v>15</v>
      </c>
      <c r="F214" s="12">
        <f t="shared" si="45"/>
        <v>60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41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62" t="s">
        <v>30</v>
      </c>
      <c r="E215" s="11">
        <v>3</v>
      </c>
      <c r="F215" s="17">
        <f t="shared" si="45"/>
        <v>12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41"/>
    </row>
    <row r="216" spans="1:14" ht="15.75" customHeight="1">
      <c r="A216" s="105" t="s">
        <v>193</v>
      </c>
      <c r="B216" s="105"/>
      <c r="C216" s="105"/>
      <c r="D216" s="105"/>
      <c r="E216" s="19">
        <f>SUM(E204:E215)</f>
        <v>151</v>
      </c>
      <c r="F216" s="19">
        <f>SUM(F204:F215)</f>
        <v>604</v>
      </c>
      <c r="G216" s="38"/>
      <c r="H216" s="38"/>
      <c r="I216" s="38"/>
      <c r="J216" s="38"/>
      <c r="K216" s="38"/>
      <c r="L216" s="72">
        <f>IFERROR(SUM(L204:L215),"")</f>
        <v>4.1666666666666075E-2</v>
      </c>
      <c r="M216" s="19" t="s">
        <v>192</v>
      </c>
      <c r="N216" s="28">
        <v>704110</v>
      </c>
    </row>
    <row r="217" spans="1:14" ht="18" customHeight="1">
      <c r="A217" s="98" t="s">
        <v>194</v>
      </c>
      <c r="B217" s="98"/>
      <c r="C217" s="98"/>
      <c r="D217" s="98"/>
      <c r="E217" s="22">
        <f>E203+E216</f>
        <v>208</v>
      </c>
      <c r="F217" s="22">
        <f>F203+F216</f>
        <v>832</v>
      </c>
      <c r="G217" s="39"/>
      <c r="H217" s="39"/>
      <c r="I217" s="39"/>
      <c r="J217" s="39"/>
      <c r="K217" s="39"/>
      <c r="L217" s="73">
        <f>IFERROR(L203+L216,"")</f>
        <v>0.32986111111110911</v>
      </c>
      <c r="M217" s="22" t="s">
        <v>195</v>
      </c>
      <c r="N217" s="31">
        <f>IFERROR(N203+N216,"")</f>
        <v>929640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62" t="s">
        <v>30</v>
      </c>
      <c r="E218" s="11">
        <v>12</v>
      </c>
      <c r="F218" s="12">
        <f t="shared" ref="F218:F229" si="48">IF(E218="","",E218*4)</f>
        <v>48</v>
      </c>
      <c r="G218" s="10" t="s">
        <v>19</v>
      </c>
      <c r="H218" s="10" t="s">
        <v>154</v>
      </c>
      <c r="I218" s="10" t="s">
        <v>27</v>
      </c>
      <c r="J218" s="13">
        <v>0.29166666666666702</v>
      </c>
      <c r="K218" s="13">
        <v>0.3125</v>
      </c>
      <c r="L218" s="70">
        <f t="shared" ref="L218:L229" si="49">IFERROR(IF(K218="","",IF(K218&gt;=J218,K218-J218,K218+1-J218)),"")</f>
        <v>2.0833333333332982E-2</v>
      </c>
      <c r="M218" s="11"/>
      <c r="N218" s="41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62" t="s">
        <v>30</v>
      </c>
      <c r="E219" s="11">
        <v>19</v>
      </c>
      <c r="F219" s="17">
        <f t="shared" si="48"/>
        <v>76</v>
      </c>
      <c r="G219" s="16" t="s">
        <v>18</v>
      </c>
      <c r="H219" s="16" t="s">
        <v>135</v>
      </c>
      <c r="I219" s="16" t="s">
        <v>335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11"/>
      <c r="N219" s="41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62" t="s">
        <v>30</v>
      </c>
      <c r="E220" s="11">
        <v>11</v>
      </c>
      <c r="F220" s="12">
        <f t="shared" si="48"/>
        <v>44</v>
      </c>
      <c r="G220" s="10" t="s">
        <v>18</v>
      </c>
      <c r="H220" s="10" t="s">
        <v>52</v>
      </c>
      <c r="I220" s="10" t="s">
        <v>113</v>
      </c>
      <c r="J220" s="13">
        <v>0.54166666666666696</v>
      </c>
      <c r="K220" s="13">
        <v>0.56805555555555598</v>
      </c>
      <c r="L220" s="70">
        <f t="shared" si="49"/>
        <v>2.6388888888889017E-2</v>
      </c>
      <c r="M220" s="11" t="s">
        <v>253</v>
      </c>
      <c r="N220" s="41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62" t="s">
        <v>30</v>
      </c>
      <c r="E221" s="11">
        <v>6</v>
      </c>
      <c r="F221" s="17">
        <f t="shared" si="48"/>
        <v>24</v>
      </c>
      <c r="G221" s="16" t="s">
        <v>20</v>
      </c>
      <c r="H221" s="16" t="s">
        <v>52</v>
      </c>
      <c r="I221" s="16" t="s">
        <v>56</v>
      </c>
      <c r="J221" s="13">
        <v>0.76527777777777795</v>
      </c>
      <c r="K221" s="13">
        <v>0.77777777777777801</v>
      </c>
      <c r="L221" s="71">
        <f t="shared" si="49"/>
        <v>1.2500000000000067E-2</v>
      </c>
      <c r="M221" s="11"/>
      <c r="N221" s="41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62" t="s">
        <v>30</v>
      </c>
      <c r="E222" s="11">
        <v>25</v>
      </c>
      <c r="F222" s="12">
        <f t="shared" si="48"/>
        <v>100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41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62" t="s">
        <v>30</v>
      </c>
      <c r="E223" s="11">
        <v>14</v>
      </c>
      <c r="F223" s="17">
        <f t="shared" si="48"/>
        <v>56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41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62" t="s">
        <v>30</v>
      </c>
      <c r="E224" s="11">
        <v>0</v>
      </c>
      <c r="F224" s="12">
        <f t="shared" si="48"/>
        <v>0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41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62" t="s">
        <v>30</v>
      </c>
      <c r="E225" s="11">
        <v>25</v>
      </c>
      <c r="F225" s="17">
        <f t="shared" si="48"/>
        <v>100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41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62" t="s">
        <v>30</v>
      </c>
      <c r="E226" s="11">
        <v>13</v>
      </c>
      <c r="F226" s="12">
        <f t="shared" si="48"/>
        <v>52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41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62" t="s">
        <v>30</v>
      </c>
      <c r="E227" s="11">
        <v>17</v>
      </c>
      <c r="F227" s="17">
        <f t="shared" si="48"/>
        <v>68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41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62" t="s">
        <v>30</v>
      </c>
      <c r="E228" s="11">
        <v>6</v>
      </c>
      <c r="F228" s="12">
        <f t="shared" si="48"/>
        <v>24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41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63" t="s">
        <v>22</v>
      </c>
      <c r="E229" s="11">
        <v>5</v>
      </c>
      <c r="F229" s="17">
        <f t="shared" si="48"/>
        <v>20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41"/>
    </row>
    <row r="230" spans="1:14" ht="15.75" customHeight="1">
      <c r="A230" s="105" t="s">
        <v>191</v>
      </c>
      <c r="B230" s="105"/>
      <c r="C230" s="105"/>
      <c r="D230" s="105"/>
      <c r="E230" s="19">
        <f>SUM(E218:E229)</f>
        <v>153</v>
      </c>
      <c r="F230" s="19">
        <f>SUM(F218:F229)</f>
        <v>612</v>
      </c>
      <c r="G230" s="38"/>
      <c r="H230" s="38"/>
      <c r="I230" s="38"/>
      <c r="J230" s="38"/>
      <c r="K230" s="38"/>
      <c r="L230" s="72">
        <f>IFERROR(SUM(L218:L229),"")</f>
        <v>8.6111111111111083E-2</v>
      </c>
      <c r="M230" s="19" t="s">
        <v>192</v>
      </c>
      <c r="N230" s="20">
        <v>793480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63" t="s">
        <v>22</v>
      </c>
      <c r="E231" s="11">
        <v>0</v>
      </c>
      <c r="F231" s="17">
        <f t="shared" ref="F231:F242" si="51">IF(E231="","",E231*4)</f>
        <v>0</v>
      </c>
      <c r="G231" s="16" t="s">
        <v>18</v>
      </c>
      <c r="H231" s="16" t="s">
        <v>132</v>
      </c>
      <c r="I231" s="16" t="s">
        <v>92</v>
      </c>
      <c r="J231" s="13">
        <v>0.79166666666666696</v>
      </c>
      <c r="K231" s="13">
        <v>0.29166666666666702</v>
      </c>
      <c r="L231" s="71">
        <f t="shared" ref="L231:L242" si="52">IFERROR(IF(K231="","",IF(K231&gt;=J231,K231-J231,K231+1-J231)),"")</f>
        <v>0.5</v>
      </c>
      <c r="M231" s="11"/>
      <c r="N231" s="41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63" t="s">
        <v>22</v>
      </c>
      <c r="E232" s="11">
        <v>0</v>
      </c>
      <c r="F232" s="12">
        <f t="shared" si="51"/>
        <v>0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41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63" t="s">
        <v>22</v>
      </c>
      <c r="E233" s="11">
        <v>0</v>
      </c>
      <c r="F233" s="17">
        <f t="shared" si="51"/>
        <v>0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41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63" t="s">
        <v>22</v>
      </c>
      <c r="E234" s="11">
        <v>0</v>
      </c>
      <c r="F234" s="12">
        <f t="shared" si="51"/>
        <v>0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41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63" t="s">
        <v>22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41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63" t="s">
        <v>22</v>
      </c>
      <c r="E236" s="11">
        <v>0</v>
      </c>
      <c r="F236" s="12">
        <f t="shared" si="51"/>
        <v>0</v>
      </c>
      <c r="G236" s="10"/>
      <c r="H236" s="10"/>
      <c r="I236" s="10"/>
      <c r="J236" s="13"/>
      <c r="K236" s="13"/>
      <c r="L236" s="70" t="str">
        <f t="shared" si="52"/>
        <v/>
      </c>
      <c r="M236" s="11"/>
      <c r="N236" s="41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63" t="s">
        <v>22</v>
      </c>
      <c r="E237" s="11">
        <v>0</v>
      </c>
      <c r="F237" s="17">
        <f t="shared" si="51"/>
        <v>0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41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63" t="s">
        <v>22</v>
      </c>
      <c r="E238" s="11">
        <v>0</v>
      </c>
      <c r="F238" s="12">
        <f t="shared" si="51"/>
        <v>0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41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63" t="s">
        <v>22</v>
      </c>
      <c r="E239" s="11">
        <v>0</v>
      </c>
      <c r="F239" s="17">
        <f t="shared" si="51"/>
        <v>0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41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63" t="s">
        <v>22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41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63" t="s">
        <v>22</v>
      </c>
      <c r="E241" s="11">
        <v>0</v>
      </c>
      <c r="F241" s="17">
        <f t="shared" si="51"/>
        <v>0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41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63" t="s">
        <v>22</v>
      </c>
      <c r="E242" s="11">
        <v>0</v>
      </c>
      <c r="F242" s="12">
        <f t="shared" si="51"/>
        <v>0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41"/>
    </row>
    <row r="243" spans="1:14" ht="15.75" customHeight="1">
      <c r="A243" s="105" t="s">
        <v>193</v>
      </c>
      <c r="B243" s="105"/>
      <c r="C243" s="105"/>
      <c r="D243" s="105"/>
      <c r="E243" s="19">
        <f>SUM(E231:E242)</f>
        <v>0</v>
      </c>
      <c r="F243" s="19">
        <f>SUM(F231:F242)</f>
        <v>0</v>
      </c>
      <c r="G243" s="38"/>
      <c r="H243" s="38"/>
      <c r="I243" s="38"/>
      <c r="J243" s="38"/>
      <c r="K243" s="38"/>
      <c r="L243" s="72">
        <f>IFERROR(SUM(L231:L242),"")</f>
        <v>0.5</v>
      </c>
      <c r="M243" s="19" t="s">
        <v>192</v>
      </c>
      <c r="N243" s="20">
        <v>0</v>
      </c>
    </row>
    <row r="244" spans="1:14" ht="18" customHeight="1">
      <c r="A244" s="98" t="s">
        <v>194</v>
      </c>
      <c r="B244" s="98"/>
      <c r="C244" s="98"/>
      <c r="D244" s="98"/>
      <c r="E244" s="22">
        <f>E230+E243</f>
        <v>153</v>
      </c>
      <c r="F244" s="22">
        <f>F230+F243</f>
        <v>612</v>
      </c>
      <c r="G244" s="39"/>
      <c r="H244" s="39"/>
      <c r="I244" s="39"/>
      <c r="J244" s="39"/>
      <c r="K244" s="39"/>
      <c r="L244" s="73">
        <f>IFERROR(L230+L243,"")</f>
        <v>0.58611111111111103</v>
      </c>
      <c r="M244" s="22" t="s">
        <v>195</v>
      </c>
      <c r="N244" s="31">
        <f>IFERROR(N230+N243,"")</f>
        <v>793480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63" t="s">
        <v>30</v>
      </c>
      <c r="E245" s="11">
        <v>0</v>
      </c>
      <c r="F245" s="17">
        <f t="shared" ref="F245:F256" si="54">IF(E245="","",E245*4)</f>
        <v>0</v>
      </c>
      <c r="G245" s="16"/>
      <c r="H245" s="16"/>
      <c r="I245" s="16"/>
      <c r="J245" s="13"/>
      <c r="K245" s="13"/>
      <c r="L245" s="71" t="str">
        <f t="shared" ref="L245:L256" si="55">IFERROR(IF(K245="","",IF(K245&gt;=J245,K245-J245,K245+1-J245)),"")</f>
        <v/>
      </c>
      <c r="M245" s="11"/>
      <c r="N245" s="41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64" t="s">
        <v>30</v>
      </c>
      <c r="E246" s="11">
        <v>0</v>
      </c>
      <c r="F246" s="12">
        <f t="shared" si="54"/>
        <v>0</v>
      </c>
      <c r="G246" s="10" t="s">
        <v>19</v>
      </c>
      <c r="H246" s="10" t="s">
        <v>144</v>
      </c>
      <c r="I246" s="10" t="s">
        <v>43</v>
      </c>
      <c r="J246" s="13">
        <v>0.29166666666666702</v>
      </c>
      <c r="K246" s="13">
        <v>0.70833333333333337</v>
      </c>
      <c r="L246" s="70">
        <f t="shared" si="55"/>
        <v>0.41666666666666635</v>
      </c>
      <c r="M246" s="11" t="s">
        <v>336</v>
      </c>
      <c r="N246" s="41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63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41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64" t="s">
        <v>30</v>
      </c>
      <c r="E248" s="11">
        <v>0</v>
      </c>
      <c r="F248" s="12">
        <f t="shared" si="54"/>
        <v>0</v>
      </c>
      <c r="G248" s="10" t="s">
        <v>20</v>
      </c>
      <c r="H248" s="10" t="s">
        <v>57</v>
      </c>
      <c r="I248" s="10" t="s">
        <v>51</v>
      </c>
      <c r="J248" s="13"/>
      <c r="K248" s="13"/>
      <c r="L248" s="70" t="str">
        <f t="shared" si="55"/>
        <v/>
      </c>
      <c r="M248" s="11"/>
      <c r="N248" s="41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63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41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64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41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63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41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64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41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63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41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64" t="s">
        <v>30</v>
      </c>
      <c r="E254" s="11">
        <v>17</v>
      </c>
      <c r="F254" s="12">
        <f t="shared" si="54"/>
        <v>68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41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63" t="s">
        <v>30</v>
      </c>
      <c r="E255" s="11">
        <v>16</v>
      </c>
      <c r="F255" s="17">
        <f t="shared" si="54"/>
        <v>64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41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62" t="s">
        <v>30</v>
      </c>
      <c r="E256" s="11">
        <v>5</v>
      </c>
      <c r="F256" s="12">
        <f t="shared" si="54"/>
        <v>20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41"/>
    </row>
    <row r="257" spans="1:14" ht="15.75" customHeight="1">
      <c r="A257" s="105" t="s">
        <v>191</v>
      </c>
      <c r="B257" s="105"/>
      <c r="C257" s="105"/>
      <c r="D257" s="105"/>
      <c r="E257" s="19">
        <f>SUM(E245:E256)</f>
        <v>38</v>
      </c>
      <c r="F257" s="19">
        <f>SUM(F245:F256)</f>
        <v>152</v>
      </c>
      <c r="G257" s="38"/>
      <c r="H257" s="38"/>
      <c r="I257" s="38"/>
      <c r="J257" s="38"/>
      <c r="K257" s="38"/>
      <c r="L257" s="72">
        <f>IFERROR(SUM(L245:L256),"")</f>
        <v>0.42222222222222189</v>
      </c>
      <c r="M257" s="19" t="s">
        <v>192</v>
      </c>
      <c r="N257" s="20">
        <v>92660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62" t="s">
        <v>30</v>
      </c>
      <c r="E258" s="11">
        <v>7</v>
      </c>
      <c r="F258" s="12">
        <f t="shared" ref="F258:F269" si="57">IF(E258="","",E258*4)</f>
        <v>28</v>
      </c>
      <c r="G258" s="10" t="s">
        <v>19</v>
      </c>
      <c r="H258" s="10" t="s">
        <v>154</v>
      </c>
      <c r="I258" s="10" t="s">
        <v>27</v>
      </c>
      <c r="J258" s="13">
        <v>0.79861111111111116</v>
      </c>
      <c r="K258" s="13">
        <v>0.8125</v>
      </c>
      <c r="L258" s="70">
        <f t="shared" ref="L258:L269" si="58">IFERROR(IF(K258="","",IF(K258&gt;=J258,K258-J258,K258+1-J258)),"")</f>
        <v>1.388888888888884E-2</v>
      </c>
      <c r="M258" s="11"/>
      <c r="N258" s="41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62" t="s">
        <v>30</v>
      </c>
      <c r="E259" s="11">
        <v>20</v>
      </c>
      <c r="F259" s="17">
        <f t="shared" si="57"/>
        <v>80</v>
      </c>
      <c r="G259" s="16" t="s">
        <v>17</v>
      </c>
      <c r="H259" s="16"/>
      <c r="I259" s="16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41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62" t="s">
        <v>30</v>
      </c>
      <c r="E260" s="11">
        <v>20</v>
      </c>
      <c r="F260" s="12">
        <f t="shared" si="57"/>
        <v>80</v>
      </c>
      <c r="G260" s="10"/>
      <c r="H260" s="10"/>
      <c r="I260" s="10"/>
      <c r="J260" s="13"/>
      <c r="K260" s="13"/>
      <c r="L260" s="70" t="str">
        <f t="shared" si="58"/>
        <v/>
      </c>
      <c r="M260" s="11"/>
      <c r="N260" s="41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62" t="s">
        <v>30</v>
      </c>
      <c r="E261" s="11">
        <v>15</v>
      </c>
      <c r="F261" s="17">
        <f t="shared" si="57"/>
        <v>60</v>
      </c>
      <c r="G261" s="10"/>
      <c r="H261" s="16"/>
      <c r="I261" s="10"/>
      <c r="J261" s="13"/>
      <c r="K261" s="13"/>
      <c r="L261" s="71" t="str">
        <f t="shared" si="58"/>
        <v/>
      </c>
      <c r="M261" s="11"/>
      <c r="N261" s="41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62" t="s">
        <v>30</v>
      </c>
      <c r="E262" s="11">
        <v>0</v>
      </c>
      <c r="F262" s="12">
        <f t="shared" si="57"/>
        <v>0</v>
      </c>
      <c r="G262" s="10"/>
      <c r="H262" s="10"/>
      <c r="I262" s="10"/>
      <c r="J262" s="13"/>
      <c r="K262" s="13"/>
      <c r="L262" s="70" t="str">
        <f t="shared" si="58"/>
        <v/>
      </c>
      <c r="M262" s="11"/>
      <c r="N262" s="41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62" t="s">
        <v>30</v>
      </c>
      <c r="E263" s="11">
        <v>0</v>
      </c>
      <c r="F263" s="17">
        <f t="shared" si="57"/>
        <v>0</v>
      </c>
      <c r="G263" s="10"/>
      <c r="H263" s="16"/>
      <c r="I263" s="10"/>
      <c r="J263" s="13"/>
      <c r="K263" s="13"/>
      <c r="L263" s="71" t="str">
        <f t="shared" si="58"/>
        <v/>
      </c>
      <c r="M263" s="11"/>
      <c r="N263" s="41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62" t="s">
        <v>30</v>
      </c>
      <c r="E264" s="11">
        <v>0</v>
      </c>
      <c r="F264" s="12">
        <f t="shared" si="57"/>
        <v>0</v>
      </c>
      <c r="G264" s="10"/>
      <c r="H264" s="10"/>
      <c r="I264" s="10"/>
      <c r="J264" s="13"/>
      <c r="K264" s="13"/>
      <c r="L264" s="70" t="str">
        <f t="shared" si="58"/>
        <v/>
      </c>
      <c r="M264" s="11"/>
      <c r="N264" s="41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62" t="s">
        <v>30</v>
      </c>
      <c r="E265" s="11">
        <v>0</v>
      </c>
      <c r="F265" s="17">
        <f t="shared" si="57"/>
        <v>0</v>
      </c>
      <c r="G265" s="10"/>
      <c r="H265" s="16"/>
      <c r="I265" s="10"/>
      <c r="J265" s="13"/>
      <c r="K265" s="13"/>
      <c r="L265" s="71" t="str">
        <f t="shared" si="58"/>
        <v/>
      </c>
      <c r="M265" s="11"/>
      <c r="N265" s="41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62" t="s">
        <v>30</v>
      </c>
      <c r="E266" s="11">
        <v>23</v>
      </c>
      <c r="F266" s="12">
        <f t="shared" si="57"/>
        <v>92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41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62" t="s">
        <v>30</v>
      </c>
      <c r="E267" s="11">
        <v>13</v>
      </c>
      <c r="F267" s="17">
        <f t="shared" si="57"/>
        <v>52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41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62" t="s">
        <v>30</v>
      </c>
      <c r="E268" s="11">
        <v>16</v>
      </c>
      <c r="F268" s="12">
        <f t="shared" si="57"/>
        <v>64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41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62" t="s">
        <v>30</v>
      </c>
      <c r="E269" s="11">
        <v>4</v>
      </c>
      <c r="F269" s="17">
        <f t="shared" si="57"/>
        <v>16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41"/>
    </row>
    <row r="270" spans="1:14" ht="15.75" customHeight="1">
      <c r="A270" s="105" t="s">
        <v>193</v>
      </c>
      <c r="B270" s="105"/>
      <c r="C270" s="105"/>
      <c r="D270" s="105"/>
      <c r="E270" s="19">
        <f>SUM(E258:E269)</f>
        <v>118</v>
      </c>
      <c r="F270" s="19">
        <f>SUM(F258:F269)</f>
        <v>472</v>
      </c>
      <c r="G270" s="38"/>
      <c r="H270" s="38"/>
      <c r="I270" s="38"/>
      <c r="J270" s="38"/>
      <c r="K270" s="38"/>
      <c r="L270" s="72">
        <f>IFERROR(SUM(L258:L269),"")</f>
        <v>0.2451388888888888</v>
      </c>
      <c r="M270" s="19" t="s">
        <v>192</v>
      </c>
      <c r="N270" s="20">
        <f>214250+252630</f>
        <v>466880</v>
      </c>
    </row>
    <row r="271" spans="1:14" ht="18" customHeight="1">
      <c r="A271" s="98" t="s">
        <v>194</v>
      </c>
      <c r="B271" s="98"/>
      <c r="C271" s="98"/>
      <c r="D271" s="98"/>
      <c r="E271" s="22">
        <f>E257+E270</f>
        <v>156</v>
      </c>
      <c r="F271" s="22">
        <f>F257+F270</f>
        <v>624</v>
      </c>
      <c r="G271" s="39"/>
      <c r="H271" s="39"/>
      <c r="I271" s="39"/>
      <c r="J271" s="39"/>
      <c r="K271" s="39"/>
      <c r="L271" s="73">
        <f>IFERROR(L257+L270,"")</f>
        <v>0.66736111111111063</v>
      </c>
      <c r="M271" s="22" t="s">
        <v>195</v>
      </c>
      <c r="N271" s="31">
        <f>IFERROR(N257+N270,"")</f>
        <v>559540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62" t="s">
        <v>30</v>
      </c>
      <c r="E272" s="11">
        <v>5</v>
      </c>
      <c r="F272" s="12">
        <f t="shared" ref="F272:F283" si="60">IF(E272="","",E272*4)</f>
        <v>20</v>
      </c>
      <c r="G272" s="10" t="s">
        <v>19</v>
      </c>
      <c r="H272" s="10" t="s">
        <v>57</v>
      </c>
      <c r="I272" s="10" t="s">
        <v>35</v>
      </c>
      <c r="J272" s="13">
        <v>0.29166666666666669</v>
      </c>
      <c r="K272" s="13">
        <v>0.31805555555555554</v>
      </c>
      <c r="L272" s="70">
        <f t="shared" ref="L272:L283" si="61">IFERROR(IF(K272="","",IF(K272&gt;=J272,K272-J272,K272+1-J272)),"")</f>
        <v>2.6388888888888851E-2</v>
      </c>
      <c r="M272" s="11"/>
      <c r="N272" s="41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62" t="s">
        <v>30</v>
      </c>
      <c r="E273" s="11">
        <v>0</v>
      </c>
      <c r="F273" s="17">
        <f t="shared" si="60"/>
        <v>0</v>
      </c>
      <c r="G273" s="16" t="s">
        <v>19</v>
      </c>
      <c r="H273" s="16" t="s">
        <v>144</v>
      </c>
      <c r="I273" s="16" t="s">
        <v>43</v>
      </c>
      <c r="J273" s="13">
        <v>0.34722222222222221</v>
      </c>
      <c r="K273" s="13">
        <v>0.39583333333333331</v>
      </c>
      <c r="L273" s="71">
        <f t="shared" si="61"/>
        <v>4.8611111111111105E-2</v>
      </c>
      <c r="M273" s="11"/>
      <c r="N273" s="41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62" t="s">
        <v>30</v>
      </c>
      <c r="E274" s="11">
        <v>0</v>
      </c>
      <c r="F274" s="12">
        <f t="shared" si="60"/>
        <v>0</v>
      </c>
      <c r="G274" s="16" t="s">
        <v>18</v>
      </c>
      <c r="H274" s="10" t="s">
        <v>135</v>
      </c>
      <c r="I274" s="10" t="s">
        <v>79</v>
      </c>
      <c r="J274" s="13">
        <v>0.39583333333333331</v>
      </c>
      <c r="K274" s="13">
        <v>0.47916666666666669</v>
      </c>
      <c r="L274" s="70">
        <f t="shared" si="61"/>
        <v>8.333333333333337E-2</v>
      </c>
      <c r="M274" s="11" t="s">
        <v>337</v>
      </c>
      <c r="N274" s="41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62" t="s">
        <v>30</v>
      </c>
      <c r="E275" s="11">
        <v>0</v>
      </c>
      <c r="F275" s="17">
        <f t="shared" si="60"/>
        <v>0</v>
      </c>
      <c r="G275" s="16"/>
      <c r="H275" s="68"/>
      <c r="I275" s="16"/>
      <c r="J275" s="13"/>
      <c r="K275" s="13"/>
      <c r="L275" s="71" t="str">
        <f t="shared" si="61"/>
        <v/>
      </c>
      <c r="M275" s="11"/>
      <c r="N275" s="41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62" t="s">
        <v>30</v>
      </c>
      <c r="E276" s="11">
        <v>6</v>
      </c>
      <c r="F276" s="12">
        <f t="shared" si="60"/>
        <v>24</v>
      </c>
      <c r="G276" s="10" t="s">
        <v>19</v>
      </c>
      <c r="H276" s="10" t="s">
        <v>154</v>
      </c>
      <c r="I276" s="10" t="s">
        <v>27</v>
      </c>
      <c r="J276" s="13">
        <v>0.6166666666666667</v>
      </c>
      <c r="K276" s="13">
        <v>0.65277777777777779</v>
      </c>
      <c r="L276" s="70">
        <f t="shared" si="61"/>
        <v>3.6111111111111094E-2</v>
      </c>
      <c r="M276" s="11"/>
      <c r="N276" s="41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62" t="s">
        <v>30</v>
      </c>
      <c r="E277" s="11">
        <v>12</v>
      </c>
      <c r="F277" s="17">
        <f t="shared" si="60"/>
        <v>48</v>
      </c>
      <c r="G277" s="16"/>
      <c r="H277" s="16"/>
      <c r="I277" s="10"/>
      <c r="J277" s="13"/>
      <c r="K277" s="13"/>
      <c r="L277" s="71" t="str">
        <f t="shared" si="61"/>
        <v/>
      </c>
      <c r="M277" s="11"/>
      <c r="N277" s="41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62" t="s">
        <v>30</v>
      </c>
      <c r="E278" s="11">
        <v>12</v>
      </c>
      <c r="F278" s="12">
        <f t="shared" si="60"/>
        <v>48</v>
      </c>
      <c r="G278" s="10"/>
      <c r="H278" s="10"/>
      <c r="I278" s="10"/>
      <c r="J278" s="13"/>
      <c r="K278" s="13"/>
      <c r="L278" s="70"/>
      <c r="M278" s="11"/>
      <c r="N278" s="41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62" t="s">
        <v>30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41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62" t="s">
        <v>30</v>
      </c>
      <c r="E280" s="11">
        <v>0</v>
      </c>
      <c r="F280" s="12">
        <f t="shared" si="60"/>
        <v>0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41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62" t="s">
        <v>30</v>
      </c>
      <c r="E281" s="11">
        <v>23</v>
      </c>
      <c r="F281" s="17">
        <f t="shared" si="60"/>
        <v>92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41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62" t="s">
        <v>30</v>
      </c>
      <c r="E282" s="11">
        <v>22</v>
      </c>
      <c r="F282" s="12">
        <f t="shared" si="60"/>
        <v>88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41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62" t="s">
        <v>30</v>
      </c>
      <c r="E283" s="11">
        <v>13</v>
      </c>
      <c r="F283" s="17">
        <f t="shared" si="60"/>
        <v>52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41"/>
    </row>
    <row r="284" spans="1:14" ht="15.75" customHeight="1">
      <c r="A284" s="105" t="s">
        <v>191</v>
      </c>
      <c r="B284" s="105"/>
      <c r="C284" s="105"/>
      <c r="D284" s="105"/>
      <c r="E284" s="19">
        <f>SUM(E272:E283)</f>
        <v>93</v>
      </c>
      <c r="F284" s="19">
        <f>SUM(F272:F283)</f>
        <v>372</v>
      </c>
      <c r="G284" s="38"/>
      <c r="H284" s="38"/>
      <c r="I284" s="38"/>
      <c r="J284" s="38"/>
      <c r="K284" s="38"/>
      <c r="L284" s="72">
        <f>IFERROR(SUM(L272:L283),"")</f>
        <v>0.19444444444444442</v>
      </c>
      <c r="M284" s="19" t="s">
        <v>192</v>
      </c>
      <c r="N284" s="20">
        <v>409113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63" t="s">
        <v>22</v>
      </c>
      <c r="E285" s="11">
        <v>15</v>
      </c>
      <c r="F285" s="17">
        <f t="shared" ref="F285:F296" si="63">IF(E285="","",E285*4)</f>
        <v>60</v>
      </c>
      <c r="G285" s="16" t="s">
        <v>20</v>
      </c>
      <c r="H285" s="68" t="s">
        <v>338</v>
      </c>
      <c r="I285" s="16" t="s">
        <v>36</v>
      </c>
      <c r="J285" s="13">
        <v>0.92361111111111116</v>
      </c>
      <c r="K285" s="13">
        <v>0.95138888888888884</v>
      </c>
      <c r="L285" s="71">
        <f t="shared" ref="L285:L296" si="64">IFERROR(IF(K285="","",IF(K285&gt;=J285,K285-J285,K285+1-J285)),"")</f>
        <v>2.7777777777777679E-2</v>
      </c>
      <c r="M285" s="11"/>
      <c r="N285" s="41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63" t="s">
        <v>22</v>
      </c>
      <c r="E286" s="11">
        <v>17</v>
      </c>
      <c r="F286" s="12">
        <f t="shared" si="63"/>
        <v>68</v>
      </c>
      <c r="G286" s="10" t="s">
        <v>17</v>
      </c>
      <c r="H286" s="10" t="s">
        <v>339</v>
      </c>
      <c r="I286" s="10" t="s">
        <v>54</v>
      </c>
      <c r="J286" s="13">
        <v>0.92361111111111116</v>
      </c>
      <c r="K286" s="13">
        <v>0.29166666666666669</v>
      </c>
      <c r="L286" s="77">
        <f t="shared" si="64"/>
        <v>0.36805555555555558</v>
      </c>
      <c r="M286" s="11"/>
      <c r="N286" s="41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63" t="s">
        <v>22</v>
      </c>
      <c r="E287" s="11">
        <v>5</v>
      </c>
      <c r="F287" s="17">
        <f t="shared" si="63"/>
        <v>20</v>
      </c>
      <c r="G287" s="16"/>
      <c r="H287" s="68"/>
      <c r="I287" s="16"/>
      <c r="J287" s="13"/>
      <c r="K287" s="13"/>
      <c r="L287" s="77" t="str">
        <f>IFERROR(IF(K287="","",IF(K287&gt;=J287,K287-J287,K287+1-J287)),"")</f>
        <v/>
      </c>
      <c r="M287" s="11" t="s">
        <v>340</v>
      </c>
      <c r="N287" s="41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63" t="s">
        <v>22</v>
      </c>
      <c r="E288" s="11">
        <v>0</v>
      </c>
      <c r="F288" s="12">
        <f t="shared" si="63"/>
        <v>0</v>
      </c>
      <c r="G288" s="16"/>
      <c r="H288" s="16"/>
      <c r="I288" s="10"/>
      <c r="J288" s="13"/>
      <c r="K288" s="13"/>
      <c r="L288" s="77" t="str">
        <f>IFERROR(IF(K288="","",IF(K288&gt;=J288,K288-J288,K288+1-J288)),"")</f>
        <v/>
      </c>
      <c r="M288" s="11"/>
      <c r="N288" s="41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63" t="s">
        <v>22</v>
      </c>
      <c r="E289" s="11">
        <v>0</v>
      </c>
      <c r="F289" s="17">
        <f t="shared" si="63"/>
        <v>0</v>
      </c>
      <c r="G289" s="76"/>
      <c r="H289" s="76"/>
      <c r="I289" s="67"/>
      <c r="J289" s="13"/>
      <c r="K289" s="13"/>
      <c r="L289" s="71" t="str">
        <f t="shared" si="64"/>
        <v/>
      </c>
      <c r="M289" s="11"/>
      <c r="N289" s="41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63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7" t="str">
        <f t="shared" si="64"/>
        <v/>
      </c>
      <c r="M290" s="11"/>
      <c r="N290" s="41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63" t="s">
        <v>22</v>
      </c>
      <c r="E291" s="11">
        <v>16</v>
      </c>
      <c r="F291" s="17">
        <f t="shared" si="63"/>
        <v>64</v>
      </c>
      <c r="G291" s="10"/>
      <c r="H291" s="10"/>
      <c r="I291" s="10"/>
      <c r="J291" s="13"/>
      <c r="K291" s="13"/>
      <c r="L291" s="71" t="str">
        <f t="shared" si="64"/>
        <v/>
      </c>
      <c r="M291" s="11"/>
      <c r="N291" s="41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63" t="s">
        <v>22</v>
      </c>
      <c r="E292" s="11">
        <v>0</v>
      </c>
      <c r="F292" s="12">
        <f t="shared" si="63"/>
        <v>0</v>
      </c>
      <c r="G292" s="10"/>
      <c r="H292" s="10"/>
      <c r="I292" s="10"/>
      <c r="J292" s="13"/>
      <c r="K292" s="13"/>
      <c r="L292" s="77" t="str">
        <f t="shared" si="64"/>
        <v/>
      </c>
      <c r="M292" s="11"/>
      <c r="N292" s="41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63" t="s">
        <v>22</v>
      </c>
      <c r="E293" s="11">
        <v>0</v>
      </c>
      <c r="F293" s="17">
        <f t="shared" si="63"/>
        <v>0</v>
      </c>
      <c r="G293" s="10"/>
      <c r="H293" s="10"/>
      <c r="I293" s="10"/>
      <c r="J293" s="13"/>
      <c r="K293" s="13"/>
      <c r="L293" s="71" t="str">
        <f>IFERROR(IF(K293="","",IF(K293&gt;=J293,K293-J293,K293+1-J293)),"")</f>
        <v/>
      </c>
      <c r="M293" s="11"/>
      <c r="N293" s="41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63" t="s">
        <v>22</v>
      </c>
      <c r="E294" s="11">
        <v>0</v>
      </c>
      <c r="F294" s="12">
        <f t="shared" si="63"/>
        <v>0</v>
      </c>
      <c r="G294" s="10"/>
      <c r="H294" s="10"/>
      <c r="I294" s="10"/>
      <c r="J294" s="13"/>
      <c r="K294" s="13"/>
      <c r="L294" s="77" t="str">
        <f t="shared" si="64"/>
        <v/>
      </c>
      <c r="M294" s="11"/>
      <c r="N294" s="41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63" t="s">
        <v>22</v>
      </c>
      <c r="E295" s="11">
        <v>0</v>
      </c>
      <c r="F295" s="17">
        <f t="shared" si="63"/>
        <v>0</v>
      </c>
      <c r="G295" s="10"/>
      <c r="H295" s="10"/>
      <c r="I295" s="10"/>
      <c r="J295" s="13"/>
      <c r="K295" s="13"/>
      <c r="L295" s="71" t="str">
        <f t="shared" si="64"/>
        <v/>
      </c>
      <c r="M295" s="11"/>
      <c r="N295" s="41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63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41"/>
    </row>
    <row r="297" spans="1:14" ht="15.75" customHeight="1">
      <c r="A297" s="105" t="s">
        <v>193</v>
      </c>
      <c r="B297" s="105"/>
      <c r="C297" s="105"/>
      <c r="D297" s="105"/>
      <c r="E297" s="19">
        <f>SUM(E285:E296)</f>
        <v>53</v>
      </c>
      <c r="F297" s="19">
        <f>SUM(F285:F296)</f>
        <v>212</v>
      </c>
      <c r="G297" s="38"/>
      <c r="H297" s="38"/>
      <c r="I297" s="38"/>
      <c r="J297" s="38"/>
      <c r="K297" s="38"/>
      <c r="L297" s="72">
        <f>IFERROR(SUM(L285:L296),"")</f>
        <v>0.39583333333333326</v>
      </c>
      <c r="M297" s="19" t="s">
        <v>192</v>
      </c>
      <c r="N297" s="20">
        <f>124260+105220</f>
        <v>229480</v>
      </c>
    </row>
    <row r="298" spans="1:14" ht="18" customHeight="1">
      <c r="A298" s="98" t="s">
        <v>194</v>
      </c>
      <c r="B298" s="98"/>
      <c r="C298" s="98"/>
      <c r="D298" s="98"/>
      <c r="E298" s="22">
        <f>E284+E297</f>
        <v>146</v>
      </c>
      <c r="F298" s="22">
        <f>F284+F297</f>
        <v>584</v>
      </c>
      <c r="G298" s="39"/>
      <c r="H298" s="39"/>
      <c r="I298" s="39"/>
      <c r="J298" s="39"/>
      <c r="K298" s="39"/>
      <c r="L298" s="73">
        <f>IFERROR(L284+L297,"")</f>
        <v>0.59027777777777768</v>
      </c>
      <c r="M298" s="22" t="s">
        <v>195</v>
      </c>
      <c r="N298" s="31">
        <f>IFERROR(N284+N297,"")</f>
        <v>638593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63" t="s">
        <v>22</v>
      </c>
      <c r="E299" s="11">
        <v>0</v>
      </c>
      <c r="F299" s="17">
        <f t="shared" ref="F299:F310" si="66">IF(E299="","",E299*4)</f>
        <v>0</v>
      </c>
      <c r="G299" s="16" t="s">
        <v>17</v>
      </c>
      <c r="H299" s="16" t="s">
        <v>339</v>
      </c>
      <c r="I299" s="16" t="s">
        <v>54</v>
      </c>
      <c r="J299" s="13">
        <v>0.29166666666666669</v>
      </c>
      <c r="K299" s="13">
        <v>0.41458333333333336</v>
      </c>
      <c r="L299" s="71">
        <f t="shared" ref="L299:L310" si="67">IFERROR(IF(K299="","",IF(K299&gt;=J299,K299-J299,K299+1-J299)),"")</f>
        <v>0.12291666666666667</v>
      </c>
      <c r="M299" s="11" t="s">
        <v>341</v>
      </c>
      <c r="N299" s="41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63" t="s">
        <v>30</v>
      </c>
      <c r="E300" s="11">
        <v>6</v>
      </c>
      <c r="F300" s="12">
        <f t="shared" si="66"/>
        <v>24</v>
      </c>
      <c r="G300" s="10" t="s">
        <v>20</v>
      </c>
      <c r="H300" s="10" t="s">
        <v>52</v>
      </c>
      <c r="I300" s="10" t="s">
        <v>56</v>
      </c>
      <c r="J300" s="13">
        <v>0.625</v>
      </c>
      <c r="K300" s="13">
        <v>0.64583333333333337</v>
      </c>
      <c r="L300" s="70">
        <f t="shared" si="67"/>
        <v>2.083333333333337E-2</v>
      </c>
      <c r="M300" s="11" t="s">
        <v>310</v>
      </c>
      <c r="N300" s="41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63" t="s">
        <v>30</v>
      </c>
      <c r="E301" s="11">
        <v>0</v>
      </c>
      <c r="F301" s="17">
        <f t="shared" si="66"/>
        <v>0</v>
      </c>
      <c r="G301" s="16"/>
      <c r="H301" s="16"/>
      <c r="I301" s="76"/>
      <c r="J301" s="78"/>
      <c r="K301" s="13"/>
      <c r="L301" s="71" t="str">
        <f>IFERROR(IF(K301="","",IF(K301&gt;=I301,K301-I301,K301+1-I301)),"")</f>
        <v/>
      </c>
      <c r="M301" s="11"/>
      <c r="N301" s="41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63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11"/>
      <c r="N302" s="41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63" t="s">
        <v>30</v>
      </c>
      <c r="E303" s="11">
        <v>15</v>
      </c>
      <c r="F303" s="17">
        <f t="shared" si="66"/>
        <v>60</v>
      </c>
      <c r="G303" s="16"/>
      <c r="H303" s="16"/>
      <c r="I303" s="16"/>
      <c r="J303" s="13"/>
      <c r="K303" s="13"/>
      <c r="L303" s="71" t="str">
        <f t="shared" si="67"/>
        <v/>
      </c>
      <c r="M303" s="11"/>
      <c r="N303" s="41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63" t="s">
        <v>30</v>
      </c>
      <c r="E304" s="11">
        <v>17</v>
      </c>
      <c r="F304" s="12">
        <f t="shared" si="66"/>
        <v>68</v>
      </c>
      <c r="G304" s="10"/>
      <c r="H304" s="10"/>
      <c r="I304" s="10"/>
      <c r="J304" s="13"/>
      <c r="K304" s="13"/>
      <c r="L304" s="70" t="str">
        <f t="shared" si="67"/>
        <v/>
      </c>
      <c r="M304" s="11"/>
      <c r="N304" s="41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63" t="s">
        <v>30</v>
      </c>
      <c r="E305" s="11">
        <v>4</v>
      </c>
      <c r="F305" s="17">
        <f t="shared" si="66"/>
        <v>16</v>
      </c>
      <c r="G305" s="16"/>
      <c r="H305" s="16"/>
      <c r="I305" s="16"/>
      <c r="J305" s="13"/>
      <c r="K305" s="13"/>
      <c r="L305" s="71" t="str">
        <f t="shared" si="67"/>
        <v/>
      </c>
      <c r="M305" s="11"/>
      <c r="N305" s="41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63" t="s">
        <v>30</v>
      </c>
      <c r="E306" s="11">
        <v>9</v>
      </c>
      <c r="F306" s="12">
        <f t="shared" si="66"/>
        <v>36</v>
      </c>
      <c r="G306" s="10"/>
      <c r="H306" s="10"/>
      <c r="I306" s="10"/>
      <c r="J306" s="13"/>
      <c r="K306" s="13"/>
      <c r="L306" s="70" t="str">
        <f t="shared" si="67"/>
        <v/>
      </c>
      <c r="M306" s="11"/>
      <c r="N306" s="41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63" t="s">
        <v>30</v>
      </c>
      <c r="E307" s="11">
        <v>3</v>
      </c>
      <c r="F307" s="17">
        <f t="shared" si="66"/>
        <v>12</v>
      </c>
      <c r="G307" s="16"/>
      <c r="H307" s="16"/>
      <c r="I307" s="16"/>
      <c r="J307" s="13"/>
      <c r="K307" s="13"/>
      <c r="L307" s="71" t="str">
        <f t="shared" si="67"/>
        <v/>
      </c>
      <c r="M307" s="11"/>
      <c r="N307" s="41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63" t="s">
        <v>30</v>
      </c>
      <c r="E308" s="11">
        <v>5</v>
      </c>
      <c r="F308" s="12">
        <f t="shared" si="66"/>
        <v>20</v>
      </c>
      <c r="G308" s="10"/>
      <c r="H308" s="10"/>
      <c r="I308" s="10"/>
      <c r="J308" s="13"/>
      <c r="K308" s="13"/>
      <c r="L308" s="70" t="str">
        <f t="shared" si="67"/>
        <v/>
      </c>
      <c r="M308" s="11"/>
      <c r="N308" s="41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63" t="s">
        <v>30</v>
      </c>
      <c r="E309" s="11">
        <v>15</v>
      </c>
      <c r="F309" s="17">
        <f t="shared" si="66"/>
        <v>60</v>
      </c>
      <c r="G309" s="16"/>
      <c r="H309" s="16"/>
      <c r="I309" s="16"/>
      <c r="J309" s="13"/>
      <c r="K309" s="13"/>
      <c r="L309" s="71" t="str">
        <f t="shared" si="67"/>
        <v/>
      </c>
      <c r="M309" s="11"/>
      <c r="N309" s="41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63" t="s">
        <v>30</v>
      </c>
      <c r="E310" s="11">
        <v>8</v>
      </c>
      <c r="F310" s="12">
        <f t="shared" si="66"/>
        <v>32</v>
      </c>
      <c r="G310" s="10"/>
      <c r="H310" s="10"/>
      <c r="I310" s="10"/>
      <c r="J310" s="13"/>
      <c r="K310" s="13"/>
      <c r="L310" s="70" t="str">
        <f t="shared" si="67"/>
        <v/>
      </c>
      <c r="M310" s="11"/>
      <c r="N310" s="41"/>
    </row>
    <row r="311" spans="1:14" ht="15.75" customHeight="1">
      <c r="A311" s="105" t="s">
        <v>191</v>
      </c>
      <c r="B311" s="105"/>
      <c r="C311" s="105"/>
      <c r="D311" s="105"/>
      <c r="E311" s="19">
        <f>SUM(E299:E310)</f>
        <v>92</v>
      </c>
      <c r="F311" s="19">
        <f>SUM(F299:F310)</f>
        <v>368</v>
      </c>
      <c r="G311" s="38"/>
      <c r="H311" s="38"/>
      <c r="I311" s="38"/>
      <c r="J311" s="38"/>
      <c r="K311" s="38"/>
      <c r="L311" s="72">
        <f>IFERROR(SUM(L299:L310),"")</f>
        <v>0.14375000000000004</v>
      </c>
      <c r="M311" s="19" t="s">
        <v>192</v>
      </c>
      <c r="N311" s="20">
        <v>459880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62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41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62" t="s">
        <v>30</v>
      </c>
      <c r="E313" s="11">
        <v>5</v>
      </c>
      <c r="F313" s="17">
        <f t="shared" si="69"/>
        <v>20</v>
      </c>
      <c r="G313" s="16" t="s">
        <v>20</v>
      </c>
      <c r="H313" s="16" t="s">
        <v>57</v>
      </c>
      <c r="I313" s="16" t="s">
        <v>56</v>
      </c>
      <c r="J313" s="13">
        <v>0.85902777777777772</v>
      </c>
      <c r="K313" s="13">
        <v>0.87986111111111109</v>
      </c>
      <c r="L313" s="71">
        <f t="shared" si="70"/>
        <v>2.083333333333337E-2</v>
      </c>
      <c r="M313" s="11" t="s">
        <v>342</v>
      </c>
      <c r="N313" s="41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62" t="s">
        <v>30</v>
      </c>
      <c r="E314" s="11">
        <v>10</v>
      </c>
      <c r="F314" s="12">
        <f t="shared" si="69"/>
        <v>40</v>
      </c>
      <c r="G314" s="10" t="s">
        <v>20</v>
      </c>
      <c r="H314" s="10" t="s">
        <v>154</v>
      </c>
      <c r="I314" s="10" t="s">
        <v>56</v>
      </c>
      <c r="J314" s="13">
        <v>0.94444444444444442</v>
      </c>
      <c r="K314" s="13">
        <v>0.97222222222222221</v>
      </c>
      <c r="L314" s="70">
        <f t="shared" si="70"/>
        <v>2.777777777777779E-2</v>
      </c>
      <c r="M314" s="11" t="s">
        <v>342</v>
      </c>
      <c r="N314" s="41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62" t="s">
        <v>30</v>
      </c>
      <c r="E315" s="11">
        <v>10</v>
      </c>
      <c r="F315" s="17">
        <f t="shared" si="69"/>
        <v>40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41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62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41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62" t="s">
        <v>30</v>
      </c>
      <c r="E317" s="11">
        <v>10</v>
      </c>
      <c r="F317" s="17">
        <f t="shared" si="69"/>
        <v>40</v>
      </c>
      <c r="G317" s="16" t="s">
        <v>20</v>
      </c>
      <c r="H317" s="16" t="s">
        <v>154</v>
      </c>
      <c r="I317" s="16" t="s">
        <v>56</v>
      </c>
      <c r="J317" s="13">
        <v>6.5972222222222224E-2</v>
      </c>
      <c r="K317" s="13">
        <v>0.1</v>
      </c>
      <c r="L317" s="71">
        <f t="shared" si="70"/>
        <v>3.4027777777777782E-2</v>
      </c>
      <c r="M317" s="11" t="s">
        <v>342</v>
      </c>
      <c r="N317" s="41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62" t="s">
        <v>30</v>
      </c>
      <c r="E318" s="11">
        <v>5</v>
      </c>
      <c r="F318" s="12">
        <f t="shared" si="69"/>
        <v>20</v>
      </c>
      <c r="G318" s="10" t="s">
        <v>20</v>
      </c>
      <c r="H318" s="10" t="s">
        <v>154</v>
      </c>
      <c r="I318" s="10" t="s">
        <v>28</v>
      </c>
      <c r="J318" s="13">
        <v>0.1125</v>
      </c>
      <c r="K318" s="13">
        <v>0.1875</v>
      </c>
      <c r="L318" s="70">
        <f t="shared" si="70"/>
        <v>7.4999999999999997E-2</v>
      </c>
      <c r="M318" s="11" t="s">
        <v>343</v>
      </c>
      <c r="N318" s="41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62" t="s">
        <v>30</v>
      </c>
      <c r="E319" s="11">
        <v>5</v>
      </c>
      <c r="F319" s="17">
        <f t="shared" si="69"/>
        <v>20</v>
      </c>
      <c r="G319" s="16"/>
      <c r="H319" s="16"/>
      <c r="I319" s="16"/>
      <c r="J319" s="13"/>
      <c r="K319" s="13"/>
      <c r="L319" s="71" t="str">
        <f t="shared" si="70"/>
        <v/>
      </c>
      <c r="M319" s="11"/>
      <c r="N319" s="41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62" t="s">
        <v>30</v>
      </c>
      <c r="E320" s="11">
        <v>2</v>
      </c>
      <c r="F320" s="12">
        <f t="shared" si="69"/>
        <v>8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41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62" t="s">
        <v>30</v>
      </c>
      <c r="E321" s="11">
        <v>4</v>
      </c>
      <c r="F321" s="17">
        <f t="shared" si="69"/>
        <v>16</v>
      </c>
      <c r="G321" s="16"/>
      <c r="H321" s="16"/>
      <c r="I321" s="16"/>
      <c r="J321" s="13"/>
      <c r="K321" s="13"/>
      <c r="L321" s="71" t="str">
        <f t="shared" si="70"/>
        <v/>
      </c>
      <c r="M321" s="11"/>
      <c r="N321" s="41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62" t="s">
        <v>30</v>
      </c>
      <c r="E322" s="11">
        <v>20</v>
      </c>
      <c r="F322" s="12">
        <f t="shared" si="69"/>
        <v>80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41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62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41"/>
    </row>
    <row r="324" spans="1:14" ht="15.75" customHeight="1">
      <c r="A324" s="105" t="s">
        <v>193</v>
      </c>
      <c r="B324" s="105"/>
      <c r="C324" s="105"/>
      <c r="D324" s="105"/>
      <c r="E324" s="19">
        <f>SUM(E312:E323)</f>
        <v>98</v>
      </c>
      <c r="F324" s="19">
        <f>SUM(F312:F323)</f>
        <v>392</v>
      </c>
      <c r="G324" s="38"/>
      <c r="H324" s="38"/>
      <c r="I324" s="38"/>
      <c r="J324" s="38"/>
      <c r="K324" s="38"/>
      <c r="L324" s="72">
        <f>IFERROR(SUM(L312:L323),"")</f>
        <v>0.15763888888888894</v>
      </c>
      <c r="M324" s="19" t="s">
        <v>192</v>
      </c>
      <c r="N324" s="20">
        <f>311920+165290</f>
        <v>477210</v>
      </c>
    </row>
    <row r="325" spans="1:14" ht="18" customHeight="1">
      <c r="A325" s="98" t="s">
        <v>194</v>
      </c>
      <c r="B325" s="98"/>
      <c r="C325" s="98"/>
      <c r="D325" s="98"/>
      <c r="E325" s="22">
        <f>E311+E324</f>
        <v>190</v>
      </c>
      <c r="F325" s="22">
        <f>F311+F324</f>
        <v>760</v>
      </c>
      <c r="G325" s="39"/>
      <c r="H325" s="39"/>
      <c r="I325" s="39"/>
      <c r="J325" s="39"/>
      <c r="K325" s="39"/>
      <c r="L325" s="73">
        <f>IFERROR(L311+L324,"")</f>
        <v>0.30138888888888898</v>
      </c>
      <c r="M325" s="22" t="s">
        <v>195</v>
      </c>
      <c r="N325" s="31">
        <f>IFERROR(N311+N324,"")</f>
        <v>937090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62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154</v>
      </c>
      <c r="I326" s="10" t="s">
        <v>27</v>
      </c>
      <c r="J326" s="13">
        <v>0.37777777777777777</v>
      </c>
      <c r="K326" s="13">
        <v>0.41180555555555554</v>
      </c>
      <c r="L326" s="70">
        <f t="shared" ref="L326:L337" si="73">IFERROR(IF(K326="","",IF(K326&gt;=J326,K326-J326,K326+1-J326)),"")</f>
        <v>3.4027777777777768E-2</v>
      </c>
      <c r="M326" s="11"/>
      <c r="N326" s="41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62" t="s">
        <v>22</v>
      </c>
      <c r="E327" s="11">
        <v>11</v>
      </c>
      <c r="F327" s="17">
        <f t="shared" si="72"/>
        <v>44</v>
      </c>
      <c r="G327" s="16"/>
      <c r="H327" s="16"/>
      <c r="I327" s="16"/>
      <c r="J327" s="13"/>
      <c r="K327" s="13"/>
      <c r="L327" s="71" t="str">
        <f t="shared" si="73"/>
        <v/>
      </c>
      <c r="M327" s="11"/>
      <c r="N327" s="41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62" t="s">
        <v>22</v>
      </c>
      <c r="E328" s="11">
        <v>5</v>
      </c>
      <c r="F328" s="12">
        <f t="shared" si="72"/>
        <v>20</v>
      </c>
      <c r="G328" s="10"/>
      <c r="H328" s="10"/>
      <c r="I328" s="10"/>
      <c r="J328" s="13"/>
      <c r="K328" s="13"/>
      <c r="L328" s="70" t="str">
        <f t="shared" si="73"/>
        <v/>
      </c>
      <c r="M328" s="11"/>
      <c r="N328" s="41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62" t="s">
        <v>22</v>
      </c>
      <c r="E329" s="11">
        <v>21</v>
      </c>
      <c r="F329" s="17">
        <f t="shared" si="72"/>
        <v>84</v>
      </c>
      <c r="G329" s="16"/>
      <c r="H329" s="16"/>
      <c r="I329" s="16"/>
      <c r="J329" s="13"/>
      <c r="K329" s="13"/>
      <c r="L329" s="71" t="str">
        <f t="shared" si="73"/>
        <v/>
      </c>
      <c r="M329" s="11"/>
      <c r="N329" s="41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62" t="s">
        <v>22</v>
      </c>
      <c r="E330" s="11">
        <v>7</v>
      </c>
      <c r="F330" s="12">
        <f t="shared" si="72"/>
        <v>28</v>
      </c>
      <c r="G330" s="10"/>
      <c r="H330" s="10"/>
      <c r="I330" s="10"/>
      <c r="J330" s="13"/>
      <c r="K330" s="13"/>
      <c r="L330" s="70" t="str">
        <f t="shared" si="73"/>
        <v/>
      </c>
      <c r="M330" s="11"/>
      <c r="N330" s="41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62" t="s">
        <v>22</v>
      </c>
      <c r="E331" s="11">
        <v>22</v>
      </c>
      <c r="F331" s="17">
        <f t="shared" si="72"/>
        <v>88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41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62" t="s">
        <v>22</v>
      </c>
      <c r="E332" s="11">
        <v>8</v>
      </c>
      <c r="F332" s="12">
        <f t="shared" si="72"/>
        <v>32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41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62" t="s">
        <v>22</v>
      </c>
      <c r="E333" s="11">
        <v>9</v>
      </c>
      <c r="F333" s="17">
        <f t="shared" si="72"/>
        <v>36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41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62" t="s">
        <v>22</v>
      </c>
      <c r="E334" s="11">
        <v>17</v>
      </c>
      <c r="F334" s="12">
        <f t="shared" si="72"/>
        <v>68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41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62" t="s">
        <v>22</v>
      </c>
      <c r="E335" s="11">
        <v>11</v>
      </c>
      <c r="F335" s="17">
        <f t="shared" si="72"/>
        <v>44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41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62" t="s">
        <v>22</v>
      </c>
      <c r="E336" s="11">
        <v>15</v>
      </c>
      <c r="F336" s="12">
        <f t="shared" si="72"/>
        <v>60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41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62" t="s">
        <v>22</v>
      </c>
      <c r="E337" s="11">
        <v>8</v>
      </c>
      <c r="F337" s="17">
        <f t="shared" si="72"/>
        <v>32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41"/>
    </row>
    <row r="338" spans="1:14" ht="15.75" customHeight="1">
      <c r="A338" s="105" t="s">
        <v>191</v>
      </c>
      <c r="B338" s="105"/>
      <c r="C338" s="105"/>
      <c r="D338" s="105"/>
      <c r="E338" s="19">
        <f>SUM(E326:E337)</f>
        <v>153</v>
      </c>
      <c r="F338" s="19">
        <f>SUM(F326:F337)</f>
        <v>612</v>
      </c>
      <c r="G338" s="38"/>
      <c r="H338" s="38"/>
      <c r="I338" s="38"/>
      <c r="J338" s="38"/>
      <c r="K338" s="38"/>
      <c r="L338" s="72">
        <f>IFERROR(SUM(L326:L337),"")</f>
        <v>3.4027777777777768E-2</v>
      </c>
      <c r="M338" s="19" t="s">
        <v>192</v>
      </c>
      <c r="N338" s="20">
        <f>94060+504430</f>
        <v>598490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63" t="s">
        <v>22</v>
      </c>
      <c r="E339" s="11">
        <v>0</v>
      </c>
      <c r="F339" s="17">
        <f t="shared" ref="F339:F350" si="75">IF(E339="","",E339*4)</f>
        <v>0</v>
      </c>
      <c r="G339" s="16" t="s">
        <v>19</v>
      </c>
      <c r="H339" s="16" t="s">
        <v>154</v>
      </c>
      <c r="I339" s="16" t="s">
        <v>27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 t="s">
        <v>344</v>
      </c>
      <c r="N339" s="41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63" t="s">
        <v>22</v>
      </c>
      <c r="E340" s="11">
        <v>20</v>
      </c>
      <c r="F340" s="12">
        <f t="shared" si="75"/>
        <v>80</v>
      </c>
      <c r="G340" s="10" t="s">
        <v>20</v>
      </c>
      <c r="H340" s="10" t="s">
        <v>154</v>
      </c>
      <c r="I340" s="10" t="s">
        <v>111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11" t="s">
        <v>258</v>
      </c>
      <c r="N340" s="41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63" t="s">
        <v>22</v>
      </c>
      <c r="E341" s="11">
        <v>18</v>
      </c>
      <c r="F341" s="17">
        <f t="shared" si="75"/>
        <v>72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41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63" t="s">
        <v>22</v>
      </c>
      <c r="E342" s="11">
        <v>17</v>
      </c>
      <c r="F342" s="12">
        <f t="shared" si="75"/>
        <v>68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41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63" t="s">
        <v>22</v>
      </c>
      <c r="E343" s="11">
        <v>23</v>
      </c>
      <c r="F343" s="17">
        <f t="shared" si="75"/>
        <v>92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41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63" t="s">
        <v>22</v>
      </c>
      <c r="E344" s="11">
        <v>20</v>
      </c>
      <c r="F344" s="12">
        <f t="shared" si="75"/>
        <v>80</v>
      </c>
      <c r="G344" s="10"/>
      <c r="H344" s="10"/>
      <c r="I344" s="10"/>
      <c r="J344" s="13"/>
      <c r="K344" s="13"/>
      <c r="L344" s="70" t="str">
        <f t="shared" si="76"/>
        <v/>
      </c>
      <c r="M344" s="11"/>
      <c r="N344" s="41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63" t="s">
        <v>38</v>
      </c>
      <c r="E345" s="11">
        <v>18</v>
      </c>
      <c r="F345" s="17">
        <f t="shared" si="75"/>
        <v>72</v>
      </c>
      <c r="G345" s="16"/>
      <c r="H345" s="16"/>
      <c r="I345" s="16"/>
      <c r="J345" s="13"/>
      <c r="K345" s="13"/>
      <c r="L345" s="71" t="str">
        <f t="shared" si="76"/>
        <v/>
      </c>
      <c r="M345" s="11"/>
      <c r="N345" s="41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63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11"/>
      <c r="N346" s="41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63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41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63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41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63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41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63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41"/>
    </row>
    <row r="351" spans="1:14" ht="15.75" customHeight="1">
      <c r="A351" s="105" t="s">
        <v>193</v>
      </c>
      <c r="B351" s="105"/>
      <c r="C351" s="105"/>
      <c r="D351" s="105"/>
      <c r="E351" s="19">
        <f>SUM(E339:E350)</f>
        <v>116</v>
      </c>
      <c r="F351" s="19">
        <f>SUM(F339:F350)</f>
        <v>464</v>
      </c>
      <c r="G351" s="38"/>
      <c r="H351" s="38"/>
      <c r="I351" s="38"/>
      <c r="J351" s="38"/>
      <c r="K351" s="38"/>
      <c r="L351" s="72">
        <f>IFERROR(SUM(L339:L350),"")</f>
        <v>0.25000000000000011</v>
      </c>
      <c r="M351" s="19" t="s">
        <v>192</v>
      </c>
      <c r="N351" s="20">
        <f>117790+390790</f>
        <v>508580</v>
      </c>
    </row>
    <row r="352" spans="1:14" ht="18" customHeight="1">
      <c r="A352" s="98" t="s">
        <v>194</v>
      </c>
      <c r="B352" s="98"/>
      <c r="C352" s="98"/>
      <c r="D352" s="98"/>
      <c r="E352" s="22">
        <f>E338+E351</f>
        <v>269</v>
      </c>
      <c r="F352" s="22">
        <f>F338+F351</f>
        <v>1076</v>
      </c>
      <c r="G352" s="39"/>
      <c r="H352" s="39"/>
      <c r="I352" s="39"/>
      <c r="J352" s="39"/>
      <c r="K352" s="39"/>
      <c r="L352" s="73">
        <f>IFERROR(L338+L351,"")</f>
        <v>0.28402777777777788</v>
      </c>
      <c r="M352" s="22" t="s">
        <v>195</v>
      </c>
      <c r="N352" s="31">
        <f>IFERROR(N338+N351,"")</f>
        <v>1107070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63" t="s">
        <v>30</v>
      </c>
      <c r="E353" s="11">
        <v>0</v>
      </c>
      <c r="F353" s="17">
        <f t="shared" ref="F353:F364" si="78">IF(E353="","",E353*4)</f>
        <v>0</v>
      </c>
      <c r="G353" s="16" t="s">
        <v>16</v>
      </c>
      <c r="H353" s="16" t="s">
        <v>100</v>
      </c>
      <c r="I353" s="16" t="s">
        <v>24</v>
      </c>
      <c r="J353" s="13">
        <v>0.29166666666666669</v>
      </c>
      <c r="K353" s="13">
        <v>0.33333333333333331</v>
      </c>
      <c r="L353" s="71">
        <f t="shared" ref="L353:L364" si="79">IFERROR(IF(K353="","",IF(K353&gt;=J353,K353-J353,K353+1-J353)),"")</f>
        <v>4.166666666666663E-2</v>
      </c>
      <c r="M353" s="11" t="s">
        <v>345</v>
      </c>
      <c r="N353" s="41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63" t="s">
        <v>30</v>
      </c>
      <c r="E354" s="11">
        <v>12</v>
      </c>
      <c r="F354" s="12">
        <f t="shared" si="78"/>
        <v>48</v>
      </c>
      <c r="G354" s="10" t="s">
        <v>20</v>
      </c>
      <c r="H354" s="10" t="s">
        <v>52</v>
      </c>
      <c r="I354" s="10" t="s">
        <v>28</v>
      </c>
      <c r="J354" s="13">
        <v>0.58750000000000002</v>
      </c>
      <c r="K354" s="13">
        <v>0.59305555555555556</v>
      </c>
      <c r="L354" s="70">
        <f t="shared" si="79"/>
        <v>5.5555555555555358E-3</v>
      </c>
      <c r="M354" s="11" t="s">
        <v>346</v>
      </c>
      <c r="N354" s="41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63" t="s">
        <v>30</v>
      </c>
      <c r="E355" s="11">
        <v>9</v>
      </c>
      <c r="F355" s="17">
        <f t="shared" si="78"/>
        <v>36</v>
      </c>
      <c r="G355" s="16"/>
      <c r="H355" s="16"/>
      <c r="I355" s="16"/>
      <c r="J355" s="13"/>
      <c r="K355" s="13"/>
      <c r="L355" s="71" t="str">
        <f t="shared" si="79"/>
        <v/>
      </c>
      <c r="M355" s="29" t="s">
        <v>312</v>
      </c>
      <c r="N355" s="41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63" t="s">
        <v>30</v>
      </c>
      <c r="E356" s="11">
        <v>8</v>
      </c>
      <c r="F356" s="12">
        <f t="shared" si="78"/>
        <v>32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41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63" t="s">
        <v>30</v>
      </c>
      <c r="E357" s="11">
        <v>10</v>
      </c>
      <c r="F357" s="17">
        <f t="shared" si="78"/>
        <v>40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41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63" t="s">
        <v>30</v>
      </c>
      <c r="E358" s="11">
        <v>9</v>
      </c>
      <c r="F358" s="12">
        <f t="shared" si="78"/>
        <v>36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41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63" t="s">
        <v>30</v>
      </c>
      <c r="E359" s="11">
        <v>8</v>
      </c>
      <c r="F359" s="17">
        <f t="shared" si="78"/>
        <v>32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41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63" t="s">
        <v>30</v>
      </c>
      <c r="E360" s="11">
        <v>9</v>
      </c>
      <c r="F360" s="12">
        <f t="shared" si="78"/>
        <v>36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41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63" t="s">
        <v>30</v>
      </c>
      <c r="E361" s="11">
        <v>5</v>
      </c>
      <c r="F361" s="17">
        <f t="shared" si="78"/>
        <v>20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41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63" t="s">
        <v>30</v>
      </c>
      <c r="E362" s="11">
        <v>9</v>
      </c>
      <c r="F362" s="12">
        <f t="shared" si="78"/>
        <v>36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41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63" t="s">
        <v>30</v>
      </c>
      <c r="E363" s="11">
        <v>13</v>
      </c>
      <c r="F363" s="17">
        <f t="shared" si="78"/>
        <v>52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41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63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41"/>
    </row>
    <row r="365" spans="1:14" ht="15.75" customHeight="1">
      <c r="A365" s="105" t="s">
        <v>191</v>
      </c>
      <c r="B365" s="105"/>
      <c r="C365" s="105"/>
      <c r="D365" s="105"/>
      <c r="E365" s="19">
        <f>SUM(E353:E364)</f>
        <v>94</v>
      </c>
      <c r="F365" s="19">
        <f>SUM(F353:F364)</f>
        <v>376</v>
      </c>
      <c r="G365" s="38"/>
      <c r="H365" s="38"/>
      <c r="I365" s="38"/>
      <c r="J365" s="38"/>
      <c r="K365" s="38"/>
      <c r="L365" s="72">
        <f>IFERROR(SUM(L353:L364),"")</f>
        <v>4.7222222222222165E-2</v>
      </c>
      <c r="M365" s="19" t="s">
        <v>192</v>
      </c>
      <c r="N365" s="20">
        <f>331370+57650</f>
        <v>389020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62" t="s">
        <v>22</v>
      </c>
      <c r="E366" s="11">
        <v>7</v>
      </c>
      <c r="F366" s="12">
        <f t="shared" ref="F366:F377" si="81">IF(E366="","",E366*4)</f>
        <v>28</v>
      </c>
      <c r="G366" s="10" t="s">
        <v>19</v>
      </c>
      <c r="H366" s="10" t="s">
        <v>154</v>
      </c>
      <c r="I366" s="10" t="s">
        <v>27</v>
      </c>
      <c r="J366" s="13">
        <v>0.89583333333333337</v>
      </c>
      <c r="K366" s="13">
        <v>0.91666666666666663</v>
      </c>
      <c r="L366" s="70">
        <f t="shared" ref="L366:L377" si="82">IFERROR(IF(K366="","",IF(K366&gt;=J366,K366-J366,K366+1-J366)),"")</f>
        <v>2.0833333333333259E-2</v>
      </c>
      <c r="M366" s="11"/>
      <c r="N366" s="41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62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41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62" t="s">
        <v>22</v>
      </c>
      <c r="E368" s="11">
        <v>3</v>
      </c>
      <c r="F368" s="12">
        <f t="shared" si="81"/>
        <v>12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41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62" t="s">
        <v>22</v>
      </c>
      <c r="E369" s="11">
        <v>10</v>
      </c>
      <c r="F369" s="17">
        <f t="shared" si="81"/>
        <v>40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41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62" t="s">
        <v>22</v>
      </c>
      <c r="E370" s="11">
        <v>22</v>
      </c>
      <c r="F370" s="12">
        <f t="shared" si="81"/>
        <v>88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41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62" t="s">
        <v>22</v>
      </c>
      <c r="E371" s="11">
        <v>18</v>
      </c>
      <c r="F371" s="17">
        <f t="shared" si="81"/>
        <v>72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41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62" t="s">
        <v>22</v>
      </c>
      <c r="E372" s="11">
        <v>15</v>
      </c>
      <c r="F372" s="12">
        <f t="shared" si="81"/>
        <v>60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41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62" t="s">
        <v>30</v>
      </c>
      <c r="E373" s="11">
        <v>9</v>
      </c>
      <c r="F373" s="17">
        <f t="shared" si="81"/>
        <v>36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41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62" t="s">
        <v>30</v>
      </c>
      <c r="E374" s="11">
        <v>19</v>
      </c>
      <c r="F374" s="12">
        <f t="shared" si="81"/>
        <v>76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41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62" t="s">
        <v>30</v>
      </c>
      <c r="E375" s="11">
        <v>27</v>
      </c>
      <c r="F375" s="17">
        <f t="shared" si="81"/>
        <v>108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41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62" t="s">
        <v>30</v>
      </c>
      <c r="E376" s="11">
        <v>22</v>
      </c>
      <c r="F376" s="12">
        <f t="shared" si="81"/>
        <v>88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41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62" t="s">
        <v>30</v>
      </c>
      <c r="E377" s="11">
        <v>10</v>
      </c>
      <c r="F377" s="17">
        <f t="shared" si="81"/>
        <v>40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41"/>
    </row>
    <row r="378" spans="1:14" ht="15.75" customHeight="1">
      <c r="A378" s="105" t="s">
        <v>193</v>
      </c>
      <c r="B378" s="105"/>
      <c r="C378" s="105"/>
      <c r="D378" s="105"/>
      <c r="E378" s="19">
        <f>SUM(E366:E377)</f>
        <v>172</v>
      </c>
      <c r="F378" s="19">
        <f>SUM(F366:F377)</f>
        <v>688</v>
      </c>
      <c r="G378" s="38"/>
      <c r="H378" s="38"/>
      <c r="I378" s="38"/>
      <c r="J378" s="38"/>
      <c r="K378" s="38"/>
      <c r="L378" s="72">
        <f>IFERROR(SUM(L366:L377),"")</f>
        <v>2.0833333333333259E-2</v>
      </c>
      <c r="M378" s="19" t="s">
        <v>192</v>
      </c>
      <c r="N378" s="20">
        <f>490380+390690</f>
        <v>881070</v>
      </c>
    </row>
    <row r="379" spans="1:14" ht="18" customHeight="1">
      <c r="A379" s="98" t="s">
        <v>194</v>
      </c>
      <c r="B379" s="98"/>
      <c r="C379" s="98"/>
      <c r="D379" s="98"/>
      <c r="E379" s="22">
        <f>E365+E378</f>
        <v>266</v>
      </c>
      <c r="F379" s="22">
        <f>F365+F378</f>
        <v>1064</v>
      </c>
      <c r="G379" s="39"/>
      <c r="H379" s="39"/>
      <c r="I379" s="39"/>
      <c r="J379" s="39"/>
      <c r="K379" s="39"/>
      <c r="L379" s="73">
        <f>IFERROR(L365+L378,"")</f>
        <v>6.8055555555555425E-2</v>
      </c>
      <c r="M379" s="22" t="s">
        <v>195</v>
      </c>
      <c r="N379" s="31">
        <f>IFERROR(N365+N378,"")</f>
        <v>1270090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62" t="s">
        <v>30</v>
      </c>
      <c r="E380" s="11">
        <v>13</v>
      </c>
      <c r="F380" s="12">
        <f t="shared" ref="F380:F391" si="84">IF(E380="","",E380*4)</f>
        <v>52</v>
      </c>
      <c r="G380" s="10" t="s">
        <v>20</v>
      </c>
      <c r="H380" s="10" t="s">
        <v>52</v>
      </c>
      <c r="I380" s="10" t="s">
        <v>126</v>
      </c>
      <c r="J380" s="13">
        <v>0.30555555555555558</v>
      </c>
      <c r="K380" s="13">
        <v>0.31944444444444442</v>
      </c>
      <c r="L380" s="70">
        <f t="shared" ref="L380:L391" si="85">IFERROR(IF(K380="","",IF(K380&gt;=J380,K380-J380,K380+1-J380)),"")</f>
        <v>1.388888888888884E-2</v>
      </c>
      <c r="M380" s="11"/>
      <c r="N380" s="41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62" t="s">
        <v>30</v>
      </c>
      <c r="E381" s="11">
        <v>13</v>
      </c>
      <c r="F381" s="17">
        <f t="shared" si="84"/>
        <v>52</v>
      </c>
      <c r="G381" s="16" t="s">
        <v>19</v>
      </c>
      <c r="H381" s="16" t="s">
        <v>154</v>
      </c>
      <c r="I381" s="16" t="s">
        <v>27</v>
      </c>
      <c r="J381" s="13">
        <v>0.38958333333333334</v>
      </c>
      <c r="K381" s="13">
        <v>0.42638888888888887</v>
      </c>
      <c r="L381" s="71">
        <f t="shared" si="85"/>
        <v>3.6805555555555536E-2</v>
      </c>
      <c r="M381" s="11"/>
      <c r="N381" s="41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62" t="s">
        <v>30</v>
      </c>
      <c r="E382" s="11">
        <v>4</v>
      </c>
      <c r="F382" s="12">
        <f t="shared" si="84"/>
        <v>16</v>
      </c>
      <c r="G382" s="10" t="s">
        <v>17</v>
      </c>
      <c r="H382" s="10"/>
      <c r="I382" s="10" t="s">
        <v>25</v>
      </c>
      <c r="J382" s="13">
        <v>0.4375</v>
      </c>
      <c r="K382" s="13">
        <v>0.4513888888888889</v>
      </c>
      <c r="L382" s="70">
        <f t="shared" si="85"/>
        <v>1.3888888888888895E-2</v>
      </c>
      <c r="M382" s="11"/>
      <c r="N382" s="41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62" t="s">
        <v>30</v>
      </c>
      <c r="E383" s="11">
        <v>8</v>
      </c>
      <c r="F383" s="17">
        <f t="shared" si="84"/>
        <v>32</v>
      </c>
      <c r="G383" s="16" t="s">
        <v>20</v>
      </c>
      <c r="H383" s="16" t="s">
        <v>57</v>
      </c>
      <c r="I383" s="16" t="s">
        <v>36</v>
      </c>
      <c r="J383" s="13">
        <v>0.51875000000000004</v>
      </c>
      <c r="K383" s="13">
        <v>0.52222222222222225</v>
      </c>
      <c r="L383" s="71">
        <f t="shared" si="85"/>
        <v>3.4722222222222099E-3</v>
      </c>
      <c r="M383" s="11"/>
      <c r="N383" s="41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62" t="s">
        <v>30</v>
      </c>
      <c r="E384" s="11">
        <v>6</v>
      </c>
      <c r="F384" s="12">
        <f t="shared" si="84"/>
        <v>24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41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62" t="s">
        <v>30</v>
      </c>
      <c r="E385" s="11">
        <v>13</v>
      </c>
      <c r="F385" s="17">
        <f t="shared" si="84"/>
        <v>52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41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62" t="s">
        <v>30</v>
      </c>
      <c r="E386" s="11">
        <v>10</v>
      </c>
      <c r="F386" s="12">
        <f t="shared" si="84"/>
        <v>40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41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62" t="s">
        <v>30</v>
      </c>
      <c r="E387" s="11">
        <v>9</v>
      </c>
      <c r="F387" s="17">
        <f t="shared" si="84"/>
        <v>36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41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62" t="s">
        <v>30</v>
      </c>
      <c r="E388" s="11">
        <v>19</v>
      </c>
      <c r="F388" s="12">
        <f t="shared" si="84"/>
        <v>76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41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62" t="s">
        <v>30</v>
      </c>
      <c r="E389" s="11">
        <v>9</v>
      </c>
      <c r="F389" s="17">
        <f t="shared" si="84"/>
        <v>36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41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62" t="s">
        <v>30</v>
      </c>
      <c r="E390" s="11">
        <v>21</v>
      </c>
      <c r="F390" s="12">
        <f t="shared" si="84"/>
        <v>84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41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62" t="s">
        <v>30</v>
      </c>
      <c r="E391" s="11">
        <v>5</v>
      </c>
      <c r="F391" s="17">
        <f t="shared" si="84"/>
        <v>20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41"/>
    </row>
    <row r="392" spans="1:14" ht="15.75" customHeight="1">
      <c r="A392" s="105" t="s">
        <v>191</v>
      </c>
      <c r="B392" s="105"/>
      <c r="C392" s="105"/>
      <c r="D392" s="105"/>
      <c r="E392" s="19">
        <f>SUM(E380:E391)</f>
        <v>130</v>
      </c>
      <c r="F392" s="19">
        <f>SUM(F380:F391)</f>
        <v>520</v>
      </c>
      <c r="G392" s="38"/>
      <c r="H392" s="38"/>
      <c r="I392" s="38"/>
      <c r="J392" s="38"/>
      <c r="K392" s="38"/>
      <c r="L392" s="72">
        <f>IFERROR(SUM(L380:L391),"")</f>
        <v>6.805555555555548E-2</v>
      </c>
      <c r="M392" s="19" t="s">
        <v>192</v>
      </c>
      <c r="N392" s="20">
        <v>629980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63" t="s">
        <v>30</v>
      </c>
      <c r="E393" s="11">
        <v>10</v>
      </c>
      <c r="F393" s="17">
        <f t="shared" ref="F393:F404" si="87">IF(E393="","",E393*4)</f>
        <v>40</v>
      </c>
      <c r="G393" s="16" t="s">
        <v>17</v>
      </c>
      <c r="H393" s="16" t="s">
        <v>157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41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63" t="s">
        <v>30</v>
      </c>
      <c r="E394" s="11">
        <v>13</v>
      </c>
      <c r="F394" s="12">
        <f t="shared" si="87"/>
        <v>52</v>
      </c>
      <c r="G394" s="10" t="s">
        <v>19</v>
      </c>
      <c r="H394" s="10" t="s">
        <v>154</v>
      </c>
      <c r="I394" s="10" t="s">
        <v>27</v>
      </c>
      <c r="J394" s="13">
        <v>2.0833333333333332E-2</v>
      </c>
      <c r="K394" s="13">
        <v>5.9027777777777776E-2</v>
      </c>
      <c r="L394" s="70">
        <f t="shared" si="88"/>
        <v>3.8194444444444448E-2</v>
      </c>
      <c r="M394" s="11"/>
      <c r="N394" s="41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63" t="s">
        <v>30</v>
      </c>
      <c r="E395" s="11">
        <v>10</v>
      </c>
      <c r="F395" s="17">
        <f t="shared" si="87"/>
        <v>40</v>
      </c>
      <c r="G395" s="16" t="s">
        <v>17</v>
      </c>
      <c r="H395" s="16" t="s">
        <v>100</v>
      </c>
      <c r="I395" s="16" t="s">
        <v>49</v>
      </c>
      <c r="J395" s="13">
        <v>0.21527777777777779</v>
      </c>
      <c r="K395" s="13">
        <v>0.27083333333333331</v>
      </c>
      <c r="L395" s="71">
        <f t="shared" si="88"/>
        <v>5.5555555555555525E-2</v>
      </c>
      <c r="M395" s="81"/>
      <c r="N395" s="41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63" t="s">
        <v>30</v>
      </c>
      <c r="E396" s="11">
        <v>20</v>
      </c>
      <c r="F396" s="12">
        <f t="shared" si="87"/>
        <v>80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41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63" t="s">
        <v>30</v>
      </c>
      <c r="E397" s="11">
        <v>13</v>
      </c>
      <c r="F397" s="17">
        <f t="shared" si="87"/>
        <v>52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41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63" t="s">
        <v>30</v>
      </c>
      <c r="E398" s="11">
        <v>8</v>
      </c>
      <c r="F398" s="12">
        <f t="shared" si="87"/>
        <v>32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41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63" t="s">
        <v>30</v>
      </c>
      <c r="E399" s="11">
        <v>7</v>
      </c>
      <c r="F399" s="17">
        <f t="shared" si="87"/>
        <v>28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41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63" t="s">
        <v>30</v>
      </c>
      <c r="E400" s="11">
        <v>7</v>
      </c>
      <c r="F400" s="12">
        <f t="shared" si="87"/>
        <v>28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41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63" t="s">
        <v>30</v>
      </c>
      <c r="E401" s="11">
        <v>18</v>
      </c>
      <c r="F401" s="17">
        <f t="shared" si="87"/>
        <v>72</v>
      </c>
      <c r="G401" s="16" t="s">
        <v>18</v>
      </c>
      <c r="H401" s="16" t="s">
        <v>144</v>
      </c>
      <c r="I401" s="16" t="s">
        <v>122</v>
      </c>
      <c r="J401" s="13">
        <v>0.16666666666666666</v>
      </c>
      <c r="K401" s="13">
        <v>0.18402777777777779</v>
      </c>
      <c r="L401" s="71">
        <f t="shared" si="88"/>
        <v>1.7361111111111133E-2</v>
      </c>
      <c r="M401" s="11"/>
      <c r="N401" s="41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63" t="s">
        <v>30</v>
      </c>
      <c r="E402" s="11">
        <v>11</v>
      </c>
      <c r="F402" s="12">
        <f t="shared" si="87"/>
        <v>44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41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63" t="s">
        <v>30</v>
      </c>
      <c r="E403" s="11">
        <v>0</v>
      </c>
      <c r="F403" s="17">
        <f t="shared" si="87"/>
        <v>0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41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63" t="s">
        <v>30</v>
      </c>
      <c r="E404" s="11">
        <v>0</v>
      </c>
      <c r="F404" s="12">
        <f t="shared" si="87"/>
        <v>0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41"/>
    </row>
    <row r="405" spans="1:14" ht="15.75" customHeight="1">
      <c r="A405" s="105" t="s">
        <v>193</v>
      </c>
      <c r="B405" s="105"/>
      <c r="C405" s="105"/>
      <c r="D405" s="105"/>
      <c r="E405" s="19">
        <f>SUM(E393:E404)</f>
        <v>117</v>
      </c>
      <c r="F405" s="19">
        <f>SUM(F393:F404)</f>
        <v>468</v>
      </c>
      <c r="G405" s="38"/>
      <c r="H405" s="38"/>
      <c r="I405" s="38"/>
      <c r="J405" s="38"/>
      <c r="K405" s="38"/>
      <c r="L405" s="72">
        <f>IFERROR(SUM(L393:L404),"")</f>
        <v>0.12152777777777785</v>
      </c>
      <c r="M405" s="19" t="s">
        <v>192</v>
      </c>
      <c r="N405" s="20">
        <v>745910</v>
      </c>
    </row>
    <row r="406" spans="1:14" ht="18" customHeight="1">
      <c r="A406" s="98" t="s">
        <v>194</v>
      </c>
      <c r="B406" s="98"/>
      <c r="C406" s="98"/>
      <c r="D406" s="98"/>
      <c r="E406" s="22">
        <f>E392+E405</f>
        <v>247</v>
      </c>
      <c r="F406" s="22">
        <f>F392+F405</f>
        <v>988</v>
      </c>
      <c r="G406" s="39"/>
      <c r="H406" s="39"/>
      <c r="I406" s="39"/>
      <c r="J406" s="39"/>
      <c r="K406" s="39"/>
      <c r="L406" s="73">
        <f>IFERROR(L392+L405,"")</f>
        <v>0.18958333333333333</v>
      </c>
      <c r="M406" s="22" t="s">
        <v>195</v>
      </c>
      <c r="N406" s="31">
        <f>IFERROR(N392+N405,"")</f>
        <v>1375890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63" t="s">
        <v>30</v>
      </c>
      <c r="E407" s="11">
        <v>12</v>
      </c>
      <c r="F407" s="17">
        <f t="shared" ref="F407:F418" si="90">IF(E407="","",E407*4)</f>
        <v>48</v>
      </c>
      <c r="G407" s="16" t="s">
        <v>19</v>
      </c>
      <c r="H407" s="16" t="s">
        <v>57</v>
      </c>
      <c r="I407" s="16" t="s">
        <v>35</v>
      </c>
      <c r="J407" s="13">
        <v>0.29166666666666669</v>
      </c>
      <c r="K407" s="13">
        <v>0.41249999999999998</v>
      </c>
      <c r="L407" s="71">
        <f t="shared" ref="L407:L418" si="91">IFERROR(IF(K407="","",IF(K407&gt;=J407,K407-J407,K407+1-J407)),"")</f>
        <v>0.12083333333333329</v>
      </c>
      <c r="M407" s="11" t="s">
        <v>347</v>
      </c>
      <c r="N407" s="41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63" t="s">
        <v>30</v>
      </c>
      <c r="E408" s="11">
        <v>0</v>
      </c>
      <c r="F408" s="12">
        <f t="shared" si="90"/>
        <v>0</v>
      </c>
      <c r="G408" s="10" t="s">
        <v>19</v>
      </c>
      <c r="H408" s="10" t="s">
        <v>52</v>
      </c>
      <c r="I408" s="10" t="s">
        <v>27</v>
      </c>
      <c r="J408" s="13">
        <v>0.52083333333333337</v>
      </c>
      <c r="K408" s="13">
        <v>0.54166666666666663</v>
      </c>
      <c r="L408" s="70">
        <f t="shared" si="91"/>
        <v>2.0833333333333259E-2</v>
      </c>
      <c r="M408" s="11"/>
      <c r="N408" s="41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63" t="s">
        <v>30</v>
      </c>
      <c r="E409" s="11">
        <v>0</v>
      </c>
      <c r="F409" s="17">
        <f t="shared" si="90"/>
        <v>0</v>
      </c>
      <c r="G409" s="16" t="s">
        <v>20</v>
      </c>
      <c r="H409" s="16" t="s">
        <v>52</v>
      </c>
      <c r="I409" s="16" t="s">
        <v>28</v>
      </c>
      <c r="J409" s="13">
        <v>0.63611111111111107</v>
      </c>
      <c r="K409" s="13">
        <v>0.65277777777777779</v>
      </c>
      <c r="L409" s="71">
        <f t="shared" si="91"/>
        <v>1.6666666666666718E-2</v>
      </c>
      <c r="M409" s="11" t="s">
        <v>348</v>
      </c>
      <c r="N409" s="41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63" t="s">
        <v>22</v>
      </c>
      <c r="E410" s="11">
        <v>14</v>
      </c>
      <c r="F410" s="12">
        <f t="shared" si="90"/>
        <v>56</v>
      </c>
      <c r="G410" s="10" t="s">
        <v>20</v>
      </c>
      <c r="H410" s="10" t="s">
        <v>57</v>
      </c>
      <c r="I410" s="10" t="s">
        <v>51</v>
      </c>
      <c r="J410" s="13">
        <v>0.6791666666666667</v>
      </c>
      <c r="K410" s="13">
        <v>0.69305555555555554</v>
      </c>
      <c r="L410" s="70">
        <f t="shared" si="91"/>
        <v>1.388888888888884E-2</v>
      </c>
      <c r="M410" s="11" t="s">
        <v>349</v>
      </c>
      <c r="N410" s="41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63" t="s">
        <v>22</v>
      </c>
      <c r="E411" s="11">
        <v>9</v>
      </c>
      <c r="F411" s="17">
        <f t="shared" si="90"/>
        <v>36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41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63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41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63" t="s">
        <v>22</v>
      </c>
      <c r="E413" s="11">
        <v>15</v>
      </c>
      <c r="F413" s="17">
        <f t="shared" si="90"/>
        <v>60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41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63" t="s">
        <v>22</v>
      </c>
      <c r="E414" s="11">
        <v>12</v>
      </c>
      <c r="F414" s="12">
        <f t="shared" si="90"/>
        <v>48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41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63" t="s">
        <v>22</v>
      </c>
      <c r="E415" s="11">
        <v>0</v>
      </c>
      <c r="F415" s="17">
        <f t="shared" si="90"/>
        <v>0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41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63" t="s">
        <v>22</v>
      </c>
      <c r="E416" s="11">
        <v>5</v>
      </c>
      <c r="F416" s="12">
        <f t="shared" si="90"/>
        <v>20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41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63" t="s">
        <v>22</v>
      </c>
      <c r="E417" s="11">
        <v>11</v>
      </c>
      <c r="F417" s="17">
        <f t="shared" si="90"/>
        <v>44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41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63" t="s">
        <v>22</v>
      </c>
      <c r="E418" s="11">
        <v>11</v>
      </c>
      <c r="F418" s="12">
        <f t="shared" si="90"/>
        <v>44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41"/>
    </row>
    <row r="419" spans="1:14" ht="15.75" customHeight="1">
      <c r="A419" s="105" t="s">
        <v>191</v>
      </c>
      <c r="B419" s="105"/>
      <c r="C419" s="105"/>
      <c r="D419" s="105"/>
      <c r="E419" s="19">
        <f>SUM(E407:E418)</f>
        <v>98</v>
      </c>
      <c r="F419" s="19">
        <f>SUM(F407:F418)</f>
        <v>392</v>
      </c>
      <c r="G419" s="38"/>
      <c r="H419" s="38"/>
      <c r="I419" s="38"/>
      <c r="J419" s="38"/>
      <c r="K419" s="38"/>
      <c r="L419" s="72">
        <f>IFERROR(SUM(L407:L418),"")</f>
        <v>0.17222222222222211</v>
      </c>
      <c r="M419" s="19" t="s">
        <v>192</v>
      </c>
      <c r="N419" s="20">
        <v>456300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62" t="s">
        <v>22</v>
      </c>
      <c r="E420" s="11">
        <v>23</v>
      </c>
      <c r="F420" s="12">
        <f t="shared" ref="F420:F431" si="93">IF(E420="","",E420*4)</f>
        <v>92</v>
      </c>
      <c r="G420" s="10" t="s">
        <v>19</v>
      </c>
      <c r="H420" s="10" t="s">
        <v>154</v>
      </c>
      <c r="I420" s="10" t="s">
        <v>27</v>
      </c>
      <c r="J420" s="13">
        <v>0.97569444444444442</v>
      </c>
      <c r="K420" s="13">
        <v>0</v>
      </c>
      <c r="L420" s="70">
        <f t="shared" ref="L420:L431" si="94">IFERROR(IF(K420="","",IF(K420&gt;=J420,K420-J420,K420+1-J420)),"")</f>
        <v>2.430555555555558E-2</v>
      </c>
      <c r="M420" s="11"/>
      <c r="N420" s="41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62" t="s">
        <v>22</v>
      </c>
      <c r="E421" s="11">
        <v>19</v>
      </c>
      <c r="F421" s="17">
        <f t="shared" si="93"/>
        <v>76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41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62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41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62" t="s">
        <v>22</v>
      </c>
      <c r="E423" s="11">
        <v>21</v>
      </c>
      <c r="F423" s="17">
        <f t="shared" si="93"/>
        <v>84</v>
      </c>
      <c r="G423" s="16"/>
      <c r="H423" s="16"/>
      <c r="I423" s="16"/>
      <c r="J423" s="13"/>
      <c r="K423" s="13"/>
      <c r="L423" s="71" t="str">
        <f t="shared" si="94"/>
        <v/>
      </c>
      <c r="M423" s="11"/>
      <c r="N423" s="41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62" t="s">
        <v>22</v>
      </c>
      <c r="E424" s="11">
        <v>4</v>
      </c>
      <c r="F424" s="12">
        <f t="shared" si="93"/>
        <v>16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41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62" t="s">
        <v>22</v>
      </c>
      <c r="E425" s="11">
        <v>15</v>
      </c>
      <c r="F425" s="17">
        <f t="shared" si="93"/>
        <v>60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41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62" t="s">
        <v>22</v>
      </c>
      <c r="E426" s="11">
        <v>21</v>
      </c>
      <c r="F426" s="12">
        <f t="shared" si="93"/>
        <v>84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41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62" t="s">
        <v>30</v>
      </c>
      <c r="E427" s="11">
        <v>11</v>
      </c>
      <c r="F427" s="17">
        <f t="shared" si="93"/>
        <v>44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41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62" t="s">
        <v>30</v>
      </c>
      <c r="E428" s="11">
        <v>14</v>
      </c>
      <c r="F428" s="12">
        <f t="shared" si="93"/>
        <v>56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41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62" t="s">
        <v>30</v>
      </c>
      <c r="E429" s="11">
        <v>15</v>
      </c>
      <c r="F429" s="17">
        <f t="shared" si="93"/>
        <v>60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41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62" t="s">
        <v>30</v>
      </c>
      <c r="E430" s="11">
        <v>9</v>
      </c>
      <c r="F430" s="12">
        <f t="shared" si="93"/>
        <v>36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41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62" t="s">
        <v>30</v>
      </c>
      <c r="E431" s="11">
        <v>7</v>
      </c>
      <c r="F431" s="17">
        <f t="shared" si="93"/>
        <v>28</v>
      </c>
      <c r="G431" s="16"/>
      <c r="H431" s="16"/>
      <c r="I431" s="16"/>
      <c r="J431" s="13"/>
      <c r="K431" s="13"/>
      <c r="L431" s="71" t="str">
        <f t="shared" si="94"/>
        <v/>
      </c>
      <c r="M431" s="11"/>
      <c r="N431" s="41"/>
    </row>
    <row r="432" spans="1:14" ht="15.75" customHeight="1">
      <c r="A432" s="105" t="s">
        <v>193</v>
      </c>
      <c r="B432" s="105"/>
      <c r="C432" s="105"/>
      <c r="D432" s="105"/>
      <c r="E432" s="19">
        <f>SUM(E420:E431)</f>
        <v>164</v>
      </c>
      <c r="F432" s="19">
        <f>SUM(F420:F431)</f>
        <v>656</v>
      </c>
      <c r="G432" s="38"/>
      <c r="H432" s="38"/>
      <c r="I432" s="38"/>
      <c r="J432" s="38"/>
      <c r="K432" s="38"/>
      <c r="L432" s="72">
        <f>IFERROR(SUM(L420:L431),"")</f>
        <v>2.430555555555558E-2</v>
      </c>
      <c r="M432" s="19" t="s">
        <v>192</v>
      </c>
      <c r="N432" s="20">
        <v>669300</v>
      </c>
    </row>
    <row r="433" spans="1:16" ht="18" customHeight="1">
      <c r="A433" s="98" t="s">
        <v>194</v>
      </c>
      <c r="B433" s="98"/>
      <c r="C433" s="98"/>
      <c r="D433" s="98"/>
      <c r="E433" s="22">
        <f>E419+E432</f>
        <v>262</v>
      </c>
      <c r="F433" s="22">
        <f>F419+F432</f>
        <v>1048</v>
      </c>
      <c r="G433" s="39"/>
      <c r="H433" s="39"/>
      <c r="I433" s="39"/>
      <c r="J433" s="39"/>
      <c r="K433" s="39"/>
      <c r="L433" s="73">
        <f>IFERROR(L419+L432,"")</f>
        <v>0.19652777777777769</v>
      </c>
      <c r="M433" s="22" t="s">
        <v>195</v>
      </c>
      <c r="N433" s="31">
        <f>IFERROR(N419+N432,"")</f>
        <v>1125600</v>
      </c>
    </row>
    <row r="434" spans="1:16" ht="15" customHeight="1">
      <c r="A434" s="58">
        <v>46190</v>
      </c>
      <c r="B434" s="9">
        <v>0.33333333333333298</v>
      </c>
      <c r="C434" s="10" t="s">
        <v>29</v>
      </c>
      <c r="D434" s="62" t="s">
        <v>30</v>
      </c>
      <c r="E434" s="11">
        <v>0</v>
      </c>
      <c r="F434" s="12">
        <f t="shared" ref="F434:F445" si="96">IF(E434="","",E434*4)</f>
        <v>0</v>
      </c>
      <c r="G434" s="10" t="s">
        <v>19</v>
      </c>
      <c r="H434" s="10" t="s">
        <v>144</v>
      </c>
      <c r="I434" s="10" t="s">
        <v>43</v>
      </c>
      <c r="J434" s="13">
        <v>0.29166666666666669</v>
      </c>
      <c r="K434" s="13">
        <v>0.74791666666666667</v>
      </c>
      <c r="L434" s="70">
        <f t="shared" ref="L434:L445" si="97">IFERROR(IF(K434="","",IF(K434&gt;=J434,K434-J434,K434+1-J434)),"")</f>
        <v>0.45624999999999999</v>
      </c>
      <c r="M434" s="11"/>
      <c r="N434" s="41"/>
    </row>
    <row r="435" spans="1:16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62" t="s">
        <v>30</v>
      </c>
      <c r="E435" s="11">
        <v>8</v>
      </c>
      <c r="F435" s="12">
        <f t="shared" ref="F435" si="99">IF(E435="","",E435*4)</f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41"/>
    </row>
    <row r="436" spans="1:16" ht="15" customHeight="1">
      <c r="A436" s="58">
        <v>46190</v>
      </c>
      <c r="B436" s="9">
        <f t="shared" si="98"/>
        <v>0.41666666666666635</v>
      </c>
      <c r="C436" s="10" t="s">
        <v>29</v>
      </c>
      <c r="D436" s="62" t="s">
        <v>30</v>
      </c>
      <c r="E436" s="11">
        <v>0</v>
      </c>
      <c r="F436" s="12">
        <f t="shared" si="96"/>
        <v>0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41"/>
    </row>
    <row r="437" spans="1:16" ht="15" customHeight="1">
      <c r="A437" s="59">
        <v>46190</v>
      </c>
      <c r="B437" s="15">
        <f t="shared" si="98"/>
        <v>0.45833333333333304</v>
      </c>
      <c r="C437" s="10" t="s">
        <v>29</v>
      </c>
      <c r="D437" s="62" t="s">
        <v>30</v>
      </c>
      <c r="E437" s="11">
        <v>0</v>
      </c>
      <c r="F437" s="17">
        <f t="shared" si="96"/>
        <v>0</v>
      </c>
      <c r="G437" s="16"/>
      <c r="H437" s="16"/>
      <c r="I437" s="16"/>
      <c r="J437" s="13"/>
      <c r="K437" s="13"/>
      <c r="L437" s="71" t="str">
        <f t="shared" si="97"/>
        <v/>
      </c>
      <c r="M437" s="11"/>
      <c r="N437" s="41"/>
    </row>
    <row r="438" spans="1:16" ht="15" customHeight="1">
      <c r="A438" s="58">
        <v>46190</v>
      </c>
      <c r="B438" s="9">
        <f t="shared" si="98"/>
        <v>0.49999999999999972</v>
      </c>
      <c r="C438" s="10" t="s">
        <v>29</v>
      </c>
      <c r="D438" s="62" t="s">
        <v>30</v>
      </c>
      <c r="E438" s="11">
        <v>0</v>
      </c>
      <c r="F438" s="12">
        <f t="shared" si="96"/>
        <v>0</v>
      </c>
      <c r="G438" s="10"/>
      <c r="H438" s="10"/>
      <c r="I438" s="10"/>
      <c r="J438" s="13"/>
      <c r="K438" s="13"/>
      <c r="L438" s="70" t="str">
        <f t="shared" si="97"/>
        <v/>
      </c>
      <c r="M438" s="11"/>
      <c r="N438" s="41"/>
    </row>
    <row r="439" spans="1:16" ht="15" customHeight="1">
      <c r="A439" s="59">
        <v>46190</v>
      </c>
      <c r="B439" s="15">
        <f t="shared" si="98"/>
        <v>0.54166666666666641</v>
      </c>
      <c r="C439" s="10" t="s">
        <v>29</v>
      </c>
      <c r="D439" s="62" t="s">
        <v>30</v>
      </c>
      <c r="E439" s="11">
        <v>0</v>
      </c>
      <c r="F439" s="17">
        <f t="shared" si="96"/>
        <v>0</v>
      </c>
      <c r="G439" s="16"/>
      <c r="H439" s="16"/>
      <c r="I439" s="16"/>
      <c r="J439" s="13"/>
      <c r="K439" s="13"/>
      <c r="L439" s="71" t="str">
        <f t="shared" si="97"/>
        <v/>
      </c>
      <c r="M439" s="11"/>
      <c r="N439" s="41"/>
    </row>
    <row r="440" spans="1:16" ht="15" customHeight="1">
      <c r="A440" s="58">
        <v>46190</v>
      </c>
      <c r="B440" s="9">
        <f t="shared" si="98"/>
        <v>0.58333333333333304</v>
      </c>
      <c r="C440" s="10" t="s">
        <v>29</v>
      </c>
      <c r="D440" s="62" t="s">
        <v>30</v>
      </c>
      <c r="E440" s="11">
        <v>0</v>
      </c>
      <c r="F440" s="12">
        <f t="shared" si="96"/>
        <v>0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41"/>
    </row>
    <row r="441" spans="1:16" ht="15" customHeight="1">
      <c r="A441" s="59">
        <v>46190</v>
      </c>
      <c r="B441" s="15">
        <f t="shared" si="98"/>
        <v>0.62499999999999967</v>
      </c>
      <c r="C441" s="10" t="s">
        <v>29</v>
      </c>
      <c r="D441" s="62" t="s">
        <v>30</v>
      </c>
      <c r="E441" s="11">
        <v>0</v>
      </c>
      <c r="F441" s="17">
        <f t="shared" si="96"/>
        <v>0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41"/>
    </row>
    <row r="442" spans="1:16" ht="15" customHeight="1">
      <c r="A442" s="58">
        <v>46190</v>
      </c>
      <c r="B442" s="9">
        <f t="shared" si="98"/>
        <v>0.6666666666666663</v>
      </c>
      <c r="C442" s="10" t="s">
        <v>29</v>
      </c>
      <c r="D442" s="62" t="s">
        <v>30</v>
      </c>
      <c r="E442" s="11">
        <v>0</v>
      </c>
      <c r="F442" s="12">
        <f t="shared" si="96"/>
        <v>0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41"/>
    </row>
    <row r="443" spans="1:16" ht="15" customHeight="1">
      <c r="A443" s="59">
        <v>46190</v>
      </c>
      <c r="B443" s="15">
        <f t="shared" si="98"/>
        <v>0.70833333333333293</v>
      </c>
      <c r="C443" s="10" t="s">
        <v>29</v>
      </c>
      <c r="D443" s="62" t="s">
        <v>30</v>
      </c>
      <c r="E443" s="11">
        <v>0</v>
      </c>
      <c r="F443" s="17">
        <f t="shared" si="96"/>
        <v>0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41"/>
    </row>
    <row r="444" spans="1:16" ht="15" customHeight="1">
      <c r="A444" s="58">
        <v>46190</v>
      </c>
      <c r="B444" s="9">
        <f t="shared" si="98"/>
        <v>0.74999999999999956</v>
      </c>
      <c r="C444" s="10" t="s">
        <v>29</v>
      </c>
      <c r="D444" s="62" t="s">
        <v>30</v>
      </c>
      <c r="E444" s="11">
        <v>0</v>
      </c>
      <c r="F444" s="12">
        <f t="shared" si="96"/>
        <v>0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41"/>
    </row>
    <row r="445" spans="1:16" ht="15" customHeight="1">
      <c r="A445" s="59">
        <v>46190</v>
      </c>
      <c r="B445" s="15">
        <f t="shared" si="98"/>
        <v>0.79166666666666619</v>
      </c>
      <c r="C445" s="10" t="s">
        <v>29</v>
      </c>
      <c r="D445" s="62" t="s">
        <v>30</v>
      </c>
      <c r="E445" s="11">
        <v>0</v>
      </c>
      <c r="F445" s="17">
        <f t="shared" si="96"/>
        <v>0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41"/>
    </row>
    <row r="446" spans="1:16" ht="15.75" customHeight="1">
      <c r="A446" s="105" t="s">
        <v>191</v>
      </c>
      <c r="B446" s="105"/>
      <c r="C446" s="105"/>
      <c r="D446" s="105"/>
      <c r="E446" s="19">
        <f>SUM(E434:E445)</f>
        <v>8</v>
      </c>
      <c r="F446" s="19">
        <f>SUM(F434:F445)</f>
        <v>32</v>
      </c>
      <c r="G446" s="38"/>
      <c r="H446" s="38"/>
      <c r="I446" s="38"/>
      <c r="J446" s="38"/>
      <c r="K446" s="38"/>
      <c r="L446" s="72">
        <f>IFERROR(SUM(L434:L445),"")</f>
        <v>0.45624999999999999</v>
      </c>
      <c r="M446" s="19" t="s">
        <v>192</v>
      </c>
      <c r="N446" s="20">
        <v>32</v>
      </c>
    </row>
    <row r="447" spans="1:16" ht="15" customHeight="1">
      <c r="A447" s="59">
        <v>46190</v>
      </c>
      <c r="B447" s="15">
        <v>0.83333333333333304</v>
      </c>
      <c r="C447" s="16" t="s">
        <v>21</v>
      </c>
      <c r="D447" s="63" t="s">
        <v>30</v>
      </c>
      <c r="E447" s="11">
        <v>0</v>
      </c>
      <c r="F447" s="17">
        <f t="shared" ref="F447:F458" si="100">IF(E447="","",E447*4)</f>
        <v>0</v>
      </c>
      <c r="G447" s="16" t="s">
        <v>18</v>
      </c>
      <c r="H447" s="16" t="s">
        <v>124</v>
      </c>
      <c r="I447" s="16" t="s">
        <v>164</v>
      </c>
      <c r="J447" s="13">
        <v>0.79166666666666663</v>
      </c>
      <c r="K447" s="13">
        <v>0.83611111111111114</v>
      </c>
      <c r="L447" s="71">
        <f t="shared" ref="L447:L458" si="101">IFERROR(IF(K447="","",IF(K447&gt;=J447,K447-J447,K447+1-J447)),"")</f>
        <v>4.4444444444444509E-2</v>
      </c>
      <c r="M447" s="11"/>
      <c r="N447" s="41"/>
    </row>
    <row r="448" spans="1:16" ht="15" customHeight="1">
      <c r="A448" s="58">
        <v>46190</v>
      </c>
      <c r="B448" s="9">
        <f t="shared" ref="B448:B458" si="102">B447+TIME(0,60,0)</f>
        <v>0.87499999999999967</v>
      </c>
      <c r="C448" s="16" t="s">
        <v>21</v>
      </c>
      <c r="D448" s="63" t="s">
        <v>30</v>
      </c>
      <c r="E448" s="11">
        <v>8</v>
      </c>
      <c r="F448" s="12">
        <f t="shared" si="100"/>
        <v>32</v>
      </c>
      <c r="G448" s="10" t="s">
        <v>17</v>
      </c>
      <c r="H448" s="10" t="s">
        <v>339</v>
      </c>
      <c r="I448" s="10" t="s">
        <v>65</v>
      </c>
      <c r="J448" s="13">
        <v>0.9375</v>
      </c>
      <c r="K448" s="13">
        <v>0.95138888888888884</v>
      </c>
      <c r="L448" s="70">
        <f t="shared" si="101"/>
        <v>1.388888888888884E-2</v>
      </c>
      <c r="M448" s="11"/>
      <c r="N448" s="41"/>
      <c r="P448" s="83"/>
    </row>
    <row r="449" spans="1:14" ht="15" customHeight="1">
      <c r="A449" s="59">
        <v>46190</v>
      </c>
      <c r="B449" s="15">
        <f t="shared" si="102"/>
        <v>0.9166666666666663</v>
      </c>
      <c r="C449" s="16" t="s">
        <v>21</v>
      </c>
      <c r="D449" s="63" t="s">
        <v>30</v>
      </c>
      <c r="E449" s="11">
        <v>17</v>
      </c>
      <c r="F449" s="17">
        <f t="shared" si="100"/>
        <v>68</v>
      </c>
      <c r="G449" s="16" t="s">
        <v>20</v>
      </c>
      <c r="H449" s="16" t="s">
        <v>52</v>
      </c>
      <c r="I449" s="16" t="s">
        <v>123</v>
      </c>
      <c r="J449" s="13">
        <v>7.2916666666666671E-2</v>
      </c>
      <c r="K449" s="13">
        <v>7.9166666666666663E-2</v>
      </c>
      <c r="L449" s="71">
        <f t="shared" si="101"/>
        <v>6.2499999999999917E-3</v>
      </c>
      <c r="M449" s="11"/>
      <c r="N449" s="41"/>
    </row>
    <row r="450" spans="1:14" ht="15" customHeight="1">
      <c r="A450" s="58">
        <v>46190</v>
      </c>
      <c r="B450" s="9">
        <f t="shared" si="102"/>
        <v>0.95833333333333293</v>
      </c>
      <c r="C450" s="16" t="s">
        <v>21</v>
      </c>
      <c r="D450" s="63" t="s">
        <v>30</v>
      </c>
      <c r="E450" s="11">
        <v>7</v>
      </c>
      <c r="F450" s="12">
        <f t="shared" si="100"/>
        <v>28</v>
      </c>
      <c r="G450" s="10" t="s">
        <v>19</v>
      </c>
      <c r="H450" s="10" t="s">
        <v>154</v>
      </c>
      <c r="I450" s="10" t="s">
        <v>27</v>
      </c>
      <c r="J450" s="13">
        <v>8.4722222222222227E-2</v>
      </c>
      <c r="K450" s="13">
        <v>9.7916666666666666E-2</v>
      </c>
      <c r="L450" s="70">
        <f t="shared" si="101"/>
        <v>1.3194444444444439E-2</v>
      </c>
      <c r="M450" s="11"/>
      <c r="N450" s="41"/>
    </row>
    <row r="451" spans="1:14" ht="15" customHeight="1">
      <c r="A451" s="59">
        <v>46190</v>
      </c>
      <c r="B451" s="15">
        <f t="shared" si="102"/>
        <v>0.99999999999999956</v>
      </c>
      <c r="C451" s="16" t="s">
        <v>21</v>
      </c>
      <c r="D451" s="63" t="s">
        <v>30</v>
      </c>
      <c r="E451" s="11">
        <v>12</v>
      </c>
      <c r="F451" s="17">
        <f t="shared" si="100"/>
        <v>48</v>
      </c>
      <c r="G451" s="16" t="s">
        <v>17</v>
      </c>
      <c r="H451" s="16"/>
      <c r="I451" s="16" t="s">
        <v>25</v>
      </c>
      <c r="J451" s="13">
        <v>0</v>
      </c>
      <c r="K451" s="13">
        <v>3.8194444444444448E-2</v>
      </c>
      <c r="L451" s="71">
        <f t="shared" si="101"/>
        <v>3.8194444444444448E-2</v>
      </c>
      <c r="M451" s="11"/>
      <c r="N451" s="41"/>
    </row>
    <row r="452" spans="1:14" ht="15" customHeight="1">
      <c r="A452" s="58">
        <v>46190</v>
      </c>
      <c r="B452" s="9">
        <f t="shared" si="102"/>
        <v>1.0416666666666663</v>
      </c>
      <c r="C452" s="16" t="s">
        <v>21</v>
      </c>
      <c r="D452" s="63" t="s">
        <v>30</v>
      </c>
      <c r="E452" s="11">
        <v>0</v>
      </c>
      <c r="F452" s="12">
        <f t="shared" si="100"/>
        <v>0</v>
      </c>
      <c r="G452" s="10" t="s">
        <v>17</v>
      </c>
      <c r="H452" s="10" t="s">
        <v>339</v>
      </c>
      <c r="I452" s="10" t="s">
        <v>65</v>
      </c>
      <c r="J452" s="13">
        <v>0.15277777777777779</v>
      </c>
      <c r="K452" s="13">
        <v>0.15972222222222221</v>
      </c>
      <c r="L452" s="70">
        <f t="shared" si="101"/>
        <v>6.9444444444444198E-3</v>
      </c>
      <c r="M452" s="11"/>
      <c r="N452" s="41"/>
    </row>
    <row r="453" spans="1:14" ht="15" customHeight="1">
      <c r="A453" s="59">
        <v>46190</v>
      </c>
      <c r="B453" s="15">
        <f t="shared" si="102"/>
        <v>1.083333333333333</v>
      </c>
      <c r="C453" s="16" t="s">
        <v>21</v>
      </c>
      <c r="D453" s="63" t="s">
        <v>30</v>
      </c>
      <c r="E453" s="11">
        <v>8</v>
      </c>
      <c r="F453" s="17">
        <f t="shared" si="100"/>
        <v>32</v>
      </c>
      <c r="G453" s="16" t="s">
        <v>20</v>
      </c>
      <c r="H453" s="16" t="s">
        <v>57</v>
      </c>
      <c r="I453" s="16" t="s">
        <v>51</v>
      </c>
      <c r="J453" s="13">
        <v>0.21180555555555555</v>
      </c>
      <c r="K453" s="13">
        <v>0.21527777777777779</v>
      </c>
      <c r="L453" s="71">
        <f t="shared" si="101"/>
        <v>3.4722222222222376E-3</v>
      </c>
      <c r="M453" s="11"/>
      <c r="N453" s="41"/>
    </row>
    <row r="454" spans="1:14" ht="15" customHeight="1">
      <c r="A454" s="58">
        <v>46190</v>
      </c>
      <c r="B454" s="9">
        <f t="shared" si="102"/>
        <v>1.1249999999999998</v>
      </c>
      <c r="C454" s="16" t="s">
        <v>21</v>
      </c>
      <c r="D454" s="63" t="s">
        <v>30</v>
      </c>
      <c r="E454" s="11">
        <v>8</v>
      </c>
      <c r="F454" s="12">
        <f t="shared" si="100"/>
        <v>32</v>
      </c>
      <c r="G454" s="10" t="s">
        <v>19</v>
      </c>
      <c r="H454" s="10" t="s">
        <v>52</v>
      </c>
      <c r="I454" s="10" t="s">
        <v>27</v>
      </c>
      <c r="J454" s="13">
        <v>0.24305555555555555</v>
      </c>
      <c r="K454" s="13">
        <v>0.25694444444444442</v>
      </c>
      <c r="L454" s="70">
        <f t="shared" si="101"/>
        <v>1.3888888888888867E-2</v>
      </c>
      <c r="M454" s="11"/>
      <c r="N454" s="41"/>
    </row>
    <row r="455" spans="1:14" ht="15" customHeight="1">
      <c r="A455" s="59">
        <v>46190</v>
      </c>
      <c r="B455" s="15">
        <f t="shared" si="102"/>
        <v>1.1666666666666665</v>
      </c>
      <c r="C455" s="16" t="s">
        <v>21</v>
      </c>
      <c r="D455" s="63" t="s">
        <v>30</v>
      </c>
      <c r="E455" s="11">
        <v>8</v>
      </c>
      <c r="F455" s="17">
        <f t="shared" si="100"/>
        <v>32</v>
      </c>
      <c r="G455" s="16"/>
      <c r="H455" s="16"/>
      <c r="I455" s="16"/>
      <c r="J455" s="13"/>
      <c r="K455" s="13"/>
      <c r="L455" s="71" t="str">
        <f t="shared" si="101"/>
        <v/>
      </c>
      <c r="M455" s="11"/>
      <c r="N455" s="41"/>
    </row>
    <row r="456" spans="1:14" ht="15" customHeight="1">
      <c r="A456" s="58">
        <v>46190</v>
      </c>
      <c r="B456" s="9">
        <f t="shared" si="102"/>
        <v>1.2083333333333333</v>
      </c>
      <c r="C456" s="16" t="s">
        <v>21</v>
      </c>
      <c r="D456" s="63" t="s">
        <v>30</v>
      </c>
      <c r="E456" s="11">
        <v>14</v>
      </c>
      <c r="F456" s="12">
        <f t="shared" si="100"/>
        <v>56</v>
      </c>
      <c r="G456" s="10"/>
      <c r="H456" s="10"/>
      <c r="I456" s="10"/>
      <c r="J456" s="13"/>
      <c r="K456" s="13"/>
      <c r="L456" s="70" t="str">
        <f t="shared" si="101"/>
        <v/>
      </c>
      <c r="M456" s="11"/>
      <c r="N456" s="41"/>
    </row>
    <row r="457" spans="1:14" ht="15" customHeight="1">
      <c r="A457" s="59">
        <v>46190</v>
      </c>
      <c r="B457" s="15">
        <f t="shared" si="102"/>
        <v>1.25</v>
      </c>
      <c r="C457" s="16" t="s">
        <v>21</v>
      </c>
      <c r="D457" s="63" t="s">
        <v>30</v>
      </c>
      <c r="E457" s="11">
        <v>8</v>
      </c>
      <c r="F457" s="17">
        <f t="shared" si="100"/>
        <v>32</v>
      </c>
      <c r="G457" s="16"/>
      <c r="H457" s="16"/>
      <c r="I457" s="16"/>
      <c r="J457" s="13"/>
      <c r="K457" s="13"/>
      <c r="L457" s="71" t="str">
        <f t="shared" si="101"/>
        <v/>
      </c>
      <c r="M457" s="11"/>
      <c r="N457" s="41"/>
    </row>
    <row r="458" spans="1:14" ht="15" customHeight="1">
      <c r="A458" s="58">
        <v>46190</v>
      </c>
      <c r="B458" s="9">
        <f t="shared" si="102"/>
        <v>1.2916666666666667</v>
      </c>
      <c r="C458" s="16" t="s">
        <v>21</v>
      </c>
      <c r="D458" s="63" t="s">
        <v>30</v>
      </c>
      <c r="E458" s="11">
        <v>11</v>
      </c>
      <c r="F458" s="12">
        <f t="shared" si="100"/>
        <v>44</v>
      </c>
      <c r="G458" s="10"/>
      <c r="H458" s="10"/>
      <c r="I458" s="10"/>
      <c r="J458" s="13"/>
      <c r="K458" s="13"/>
      <c r="L458" s="70" t="str">
        <f t="shared" si="101"/>
        <v/>
      </c>
      <c r="M458" s="11"/>
      <c r="N458" s="41"/>
    </row>
    <row r="459" spans="1:14" ht="15.75" customHeight="1">
      <c r="A459" s="105" t="s">
        <v>193</v>
      </c>
      <c r="B459" s="105"/>
      <c r="C459" s="105"/>
      <c r="D459" s="105"/>
      <c r="E459" s="19">
        <f>SUM(E447:E458)</f>
        <v>101</v>
      </c>
      <c r="F459" s="19">
        <f>SUM(F447:F458)</f>
        <v>404</v>
      </c>
      <c r="G459" s="38"/>
      <c r="H459" s="38"/>
      <c r="I459" s="38"/>
      <c r="J459" s="38"/>
      <c r="K459" s="38"/>
      <c r="L459" s="72">
        <f>IFERROR(SUM(L447:L458),"")</f>
        <v>0.14027777777777775</v>
      </c>
      <c r="M459" s="19" t="s">
        <v>192</v>
      </c>
      <c r="N459" s="20">
        <v>561580</v>
      </c>
    </row>
    <row r="460" spans="1:14" ht="18" customHeight="1">
      <c r="A460" s="98" t="s">
        <v>194</v>
      </c>
      <c r="B460" s="98"/>
      <c r="C460" s="98"/>
      <c r="D460" s="98"/>
      <c r="E460" s="22">
        <f>E446+E459</f>
        <v>109</v>
      </c>
      <c r="F460" s="22">
        <f>F446+F459</f>
        <v>436</v>
      </c>
      <c r="G460" s="39"/>
      <c r="H460" s="39"/>
      <c r="I460" s="39"/>
      <c r="J460" s="39"/>
      <c r="K460" s="39"/>
      <c r="L460" s="73">
        <f>IFERROR(L446+L459,"")</f>
        <v>0.59652777777777777</v>
      </c>
      <c r="M460" s="22" t="s">
        <v>195</v>
      </c>
      <c r="N460" s="31">
        <f>IFERROR(N446+N459,"")</f>
        <v>561612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63" t="s">
        <v>30</v>
      </c>
      <c r="E461" s="11">
        <v>0</v>
      </c>
      <c r="F461" s="17">
        <f t="shared" ref="F461:F472" si="103">IF(E461="","",E461*4)</f>
        <v>0</v>
      </c>
      <c r="G461" s="16" t="s">
        <v>20</v>
      </c>
      <c r="H461" s="16" t="s">
        <v>52</v>
      </c>
      <c r="I461" s="16" t="s">
        <v>28</v>
      </c>
      <c r="J461" s="13">
        <v>0.29791666666666666</v>
      </c>
      <c r="K461" s="13">
        <v>0.3125</v>
      </c>
      <c r="L461" s="71">
        <f t="shared" ref="L461:L472" si="104">IFERROR(IF(K461="","",IF(K461&gt;=J461,K461-J461,K461+1-J461)),"")</f>
        <v>1.4583333333333337E-2</v>
      </c>
      <c r="M461" s="11"/>
      <c r="N461" s="41"/>
    </row>
    <row r="462" spans="1:14" ht="15" customHeight="1">
      <c r="A462" s="58">
        <v>46191</v>
      </c>
      <c r="B462" s="9">
        <f t="shared" ref="B462:B472" si="105">B461+TIME(0,60,0)</f>
        <v>0.37499999999999967</v>
      </c>
      <c r="C462" s="16" t="s">
        <v>29</v>
      </c>
      <c r="D462" s="63" t="s">
        <v>30</v>
      </c>
      <c r="E462" s="11">
        <v>0</v>
      </c>
      <c r="F462" s="12">
        <f t="shared" si="103"/>
        <v>0</v>
      </c>
      <c r="G462" s="10" t="s">
        <v>19</v>
      </c>
      <c r="H462" s="10" t="s">
        <v>144</v>
      </c>
      <c r="I462" s="10" t="s">
        <v>160</v>
      </c>
      <c r="J462" s="13">
        <v>0.30277777777777776</v>
      </c>
      <c r="K462" s="13">
        <v>0.54166666666666663</v>
      </c>
      <c r="L462" s="70">
        <f t="shared" si="104"/>
        <v>0.23888888888888887</v>
      </c>
      <c r="M462" s="11"/>
      <c r="N462" s="41"/>
    </row>
    <row r="463" spans="1:14" ht="15" customHeight="1">
      <c r="A463" s="59">
        <v>46191</v>
      </c>
      <c r="B463" s="15">
        <f t="shared" si="105"/>
        <v>0.41666666666666635</v>
      </c>
      <c r="C463" s="16" t="s">
        <v>29</v>
      </c>
      <c r="D463" s="63" t="s">
        <v>30</v>
      </c>
      <c r="E463" s="11">
        <v>0</v>
      </c>
      <c r="F463" s="17">
        <f t="shared" si="103"/>
        <v>0</v>
      </c>
      <c r="G463" s="16" t="s">
        <v>17</v>
      </c>
      <c r="H463" s="16" t="s">
        <v>108</v>
      </c>
      <c r="I463" s="16" t="s">
        <v>71</v>
      </c>
      <c r="J463" s="13">
        <v>0.59791666666666665</v>
      </c>
      <c r="K463" s="13">
        <v>0.66527777777777775</v>
      </c>
      <c r="L463" s="71">
        <f t="shared" si="104"/>
        <v>6.7361111111111094E-2</v>
      </c>
      <c r="M463" s="11"/>
      <c r="N463" s="41"/>
    </row>
    <row r="464" spans="1:14" ht="15" customHeight="1">
      <c r="A464" s="58">
        <v>46191</v>
      </c>
      <c r="B464" s="9">
        <f t="shared" si="105"/>
        <v>0.45833333333333304</v>
      </c>
      <c r="C464" s="16" t="s">
        <v>29</v>
      </c>
      <c r="D464" s="63" t="s">
        <v>30</v>
      </c>
      <c r="E464" s="11">
        <v>0</v>
      </c>
      <c r="F464" s="12">
        <f t="shared" si="103"/>
        <v>0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4"/>
        <v>1.5972222222222165E-2</v>
      </c>
      <c r="M464" s="11"/>
      <c r="N464" s="41"/>
    </row>
    <row r="465" spans="1:14" ht="15" customHeight="1">
      <c r="A465" s="59">
        <v>46191</v>
      </c>
      <c r="B465" s="15">
        <f t="shared" si="105"/>
        <v>0.49999999999999972</v>
      </c>
      <c r="C465" s="16" t="s">
        <v>29</v>
      </c>
      <c r="D465" s="63" t="s">
        <v>30</v>
      </c>
      <c r="E465" s="11">
        <v>0</v>
      </c>
      <c r="F465" s="17">
        <f t="shared" si="103"/>
        <v>0</v>
      </c>
      <c r="G465" s="16"/>
      <c r="H465" s="16"/>
      <c r="I465" s="16"/>
      <c r="J465" s="13"/>
      <c r="K465" s="13"/>
      <c r="L465" s="71" t="str">
        <f t="shared" si="104"/>
        <v/>
      </c>
      <c r="M465" s="11"/>
      <c r="N465" s="41"/>
    </row>
    <row r="466" spans="1:14" ht="15" customHeight="1">
      <c r="A466" s="58">
        <v>46191</v>
      </c>
      <c r="B466" s="9">
        <f t="shared" si="105"/>
        <v>0.54166666666666641</v>
      </c>
      <c r="C466" s="16" t="s">
        <v>29</v>
      </c>
      <c r="D466" s="63" t="s">
        <v>30</v>
      </c>
      <c r="E466" s="11">
        <v>9</v>
      </c>
      <c r="F466" s="12">
        <f t="shared" si="103"/>
        <v>36</v>
      </c>
      <c r="G466" s="10"/>
      <c r="H466" s="10"/>
      <c r="I466" s="10"/>
      <c r="J466" s="13"/>
      <c r="K466" s="13"/>
      <c r="L466" s="70" t="str">
        <f t="shared" si="104"/>
        <v/>
      </c>
      <c r="M466" s="11"/>
      <c r="N466" s="41"/>
    </row>
    <row r="467" spans="1:14" ht="15" customHeight="1">
      <c r="A467" s="59">
        <v>46191</v>
      </c>
      <c r="B467" s="15">
        <f t="shared" si="105"/>
        <v>0.58333333333333304</v>
      </c>
      <c r="C467" s="16" t="s">
        <v>29</v>
      </c>
      <c r="D467" s="63" t="s">
        <v>30</v>
      </c>
      <c r="E467" s="11">
        <v>21</v>
      </c>
      <c r="F467" s="17">
        <f t="shared" si="103"/>
        <v>84</v>
      </c>
      <c r="G467" s="16"/>
      <c r="H467" s="16"/>
      <c r="I467" s="16"/>
      <c r="J467" s="13"/>
      <c r="K467" s="13"/>
      <c r="L467" s="71" t="str">
        <f t="shared" si="104"/>
        <v/>
      </c>
      <c r="M467" s="11"/>
      <c r="N467" s="41"/>
    </row>
    <row r="468" spans="1:14" ht="15" customHeight="1">
      <c r="A468" s="58">
        <v>46191</v>
      </c>
      <c r="B468" s="9">
        <f t="shared" si="105"/>
        <v>0.62499999999999967</v>
      </c>
      <c r="C468" s="16" t="s">
        <v>29</v>
      </c>
      <c r="D468" s="63" t="s">
        <v>30</v>
      </c>
      <c r="E468" s="11">
        <v>0</v>
      </c>
      <c r="F468" s="12">
        <f t="shared" si="103"/>
        <v>0</v>
      </c>
      <c r="G468" s="10"/>
      <c r="H468" s="10"/>
      <c r="I468" s="10"/>
      <c r="J468" s="13"/>
      <c r="K468" s="13"/>
      <c r="L468" s="70" t="str">
        <f t="shared" si="104"/>
        <v/>
      </c>
      <c r="M468" s="11" t="s">
        <v>275</v>
      </c>
      <c r="N468" s="41"/>
    </row>
    <row r="469" spans="1:14" ht="15" customHeight="1">
      <c r="A469" s="59">
        <v>46191</v>
      </c>
      <c r="B469" s="15">
        <f t="shared" si="105"/>
        <v>0.6666666666666663</v>
      </c>
      <c r="C469" s="16" t="s">
        <v>29</v>
      </c>
      <c r="D469" s="63" t="s">
        <v>30</v>
      </c>
      <c r="E469" s="11">
        <v>11</v>
      </c>
      <c r="F469" s="17">
        <f t="shared" si="103"/>
        <v>44</v>
      </c>
      <c r="G469" s="16"/>
      <c r="H469" s="16"/>
      <c r="I469" s="16"/>
      <c r="J469" s="13"/>
      <c r="K469" s="13"/>
      <c r="L469" s="71" t="str">
        <f t="shared" si="104"/>
        <v/>
      </c>
      <c r="M469" s="11"/>
      <c r="N469" s="41"/>
    </row>
    <row r="470" spans="1:14" ht="15" customHeight="1">
      <c r="A470" s="58">
        <v>46191</v>
      </c>
      <c r="B470" s="9">
        <f t="shared" si="105"/>
        <v>0.70833333333333293</v>
      </c>
      <c r="C470" s="16" t="s">
        <v>29</v>
      </c>
      <c r="D470" s="63" t="s">
        <v>30</v>
      </c>
      <c r="E470" s="11">
        <v>31</v>
      </c>
      <c r="F470" s="12">
        <f t="shared" si="103"/>
        <v>124</v>
      </c>
      <c r="G470" s="10"/>
      <c r="H470" s="10"/>
      <c r="I470" s="10"/>
      <c r="J470" s="13"/>
      <c r="K470" s="13"/>
      <c r="L470" s="70" t="str">
        <f t="shared" si="104"/>
        <v/>
      </c>
      <c r="M470" s="11"/>
      <c r="N470" s="41"/>
    </row>
    <row r="471" spans="1:14" ht="15" customHeight="1">
      <c r="A471" s="59">
        <v>46191</v>
      </c>
      <c r="B471" s="15">
        <f t="shared" si="105"/>
        <v>0.74999999999999956</v>
      </c>
      <c r="C471" s="16" t="s">
        <v>29</v>
      </c>
      <c r="D471" s="63" t="s">
        <v>30</v>
      </c>
      <c r="E471" s="11">
        <v>14</v>
      </c>
      <c r="F471" s="17">
        <f t="shared" si="103"/>
        <v>56</v>
      </c>
      <c r="G471" s="16"/>
      <c r="H471" s="16"/>
      <c r="I471" s="16"/>
      <c r="J471" s="13"/>
      <c r="K471" s="13"/>
      <c r="L471" s="71" t="str">
        <f t="shared" si="104"/>
        <v/>
      </c>
      <c r="M471" s="11"/>
      <c r="N471" s="41"/>
    </row>
    <row r="472" spans="1:14" ht="15" customHeight="1">
      <c r="A472" s="58">
        <v>46191</v>
      </c>
      <c r="B472" s="9">
        <f t="shared" si="105"/>
        <v>0.79166666666666619</v>
      </c>
      <c r="C472" s="16" t="s">
        <v>29</v>
      </c>
      <c r="D472" s="63" t="s">
        <v>30</v>
      </c>
      <c r="E472" s="11">
        <v>0</v>
      </c>
      <c r="F472" s="12">
        <f t="shared" si="103"/>
        <v>0</v>
      </c>
      <c r="G472" s="10"/>
      <c r="H472" s="10"/>
      <c r="I472" s="10"/>
      <c r="J472" s="13"/>
      <c r="K472" s="13"/>
      <c r="L472" s="70" t="str">
        <f t="shared" si="104"/>
        <v/>
      </c>
      <c r="M472" s="11" t="s">
        <v>275</v>
      </c>
      <c r="N472" s="41"/>
    </row>
    <row r="473" spans="1:14" ht="15.75" customHeight="1">
      <c r="A473" s="105" t="s">
        <v>191</v>
      </c>
      <c r="B473" s="105"/>
      <c r="C473" s="105"/>
      <c r="D473" s="105"/>
      <c r="E473" s="19">
        <f>SUM(E461:E472)</f>
        <v>86</v>
      </c>
      <c r="F473" s="19">
        <f>SUM(F461:F472)</f>
        <v>344</v>
      </c>
      <c r="G473" s="38"/>
      <c r="H473" s="38"/>
      <c r="I473" s="38"/>
      <c r="J473" s="38"/>
      <c r="K473" s="38"/>
      <c r="L473" s="72">
        <f>IFERROR(SUM(L461:L472),"")</f>
        <v>0.33680555555555547</v>
      </c>
      <c r="M473" s="19" t="s">
        <v>192</v>
      </c>
      <c r="N473" s="20">
        <v>327080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62" t="s">
        <v>30</v>
      </c>
      <c r="E474" s="11">
        <v>13</v>
      </c>
      <c r="F474" s="12">
        <f t="shared" ref="F474:F485" si="106">IF(E474="","",E474*4)</f>
        <v>52</v>
      </c>
      <c r="G474" s="10" t="s">
        <v>19</v>
      </c>
      <c r="H474" s="10" t="s">
        <v>154</v>
      </c>
      <c r="I474" s="10" t="s">
        <v>27</v>
      </c>
      <c r="J474" s="13">
        <v>0.80208333333333337</v>
      </c>
      <c r="K474" s="13">
        <v>0.81944444444444442</v>
      </c>
      <c r="L474" s="70">
        <f t="shared" ref="L474:L485" si="107">IFERROR(IF(K474="","",IF(K474&gt;=J474,K474-J474,K474+1-J474)),"")</f>
        <v>1.7361111111111049E-2</v>
      </c>
      <c r="M474" s="11" t="s">
        <v>350</v>
      </c>
      <c r="N474" s="41"/>
    </row>
    <row r="475" spans="1:14" ht="15" customHeight="1">
      <c r="A475" s="59">
        <v>46191</v>
      </c>
      <c r="B475" s="15">
        <f t="shared" ref="B475:B485" si="108">B474+TIME(0,60,0)</f>
        <v>0.87499999999999967</v>
      </c>
      <c r="C475" s="10" t="s">
        <v>21</v>
      </c>
      <c r="D475" s="62" t="s">
        <v>30</v>
      </c>
      <c r="E475" s="11">
        <v>9</v>
      </c>
      <c r="F475" s="17">
        <f t="shared" si="106"/>
        <v>36</v>
      </c>
      <c r="G475" s="16" t="s">
        <v>20</v>
      </c>
      <c r="H475" s="16" t="s">
        <v>52</v>
      </c>
      <c r="I475" s="16" t="s">
        <v>28</v>
      </c>
      <c r="J475" s="13">
        <v>0.82638888888888884</v>
      </c>
      <c r="K475" s="13">
        <v>0.8354166666666667</v>
      </c>
      <c r="L475" s="71">
        <f t="shared" si="107"/>
        <v>9.0277777777778567E-3</v>
      </c>
      <c r="M475" s="11"/>
      <c r="N475" s="41"/>
    </row>
    <row r="476" spans="1:14" ht="15" customHeight="1">
      <c r="A476" s="58">
        <v>46191</v>
      </c>
      <c r="B476" s="9">
        <f t="shared" si="108"/>
        <v>0.9166666666666663</v>
      </c>
      <c r="C476" s="10" t="s">
        <v>21</v>
      </c>
      <c r="D476" s="62" t="s">
        <v>30</v>
      </c>
      <c r="E476" s="11">
        <v>10</v>
      </c>
      <c r="F476" s="12">
        <f t="shared" si="106"/>
        <v>40</v>
      </c>
      <c r="G476" s="10" t="s">
        <v>20</v>
      </c>
      <c r="H476" s="10" t="s">
        <v>52</v>
      </c>
      <c r="I476" s="10" t="s">
        <v>56</v>
      </c>
      <c r="J476" s="13">
        <v>0.86458333333333337</v>
      </c>
      <c r="K476" s="13">
        <v>0.8833333333333333</v>
      </c>
      <c r="L476" s="70">
        <f t="shared" si="107"/>
        <v>1.8749999999999933E-2</v>
      </c>
      <c r="M476" s="11" t="s">
        <v>324</v>
      </c>
      <c r="N476" s="41"/>
    </row>
    <row r="477" spans="1:14" ht="15" customHeight="1">
      <c r="A477" s="59">
        <v>46191</v>
      </c>
      <c r="B477" s="15">
        <f t="shared" si="108"/>
        <v>0.95833333333333293</v>
      </c>
      <c r="C477" s="10" t="s">
        <v>21</v>
      </c>
      <c r="D477" s="62" t="s">
        <v>30</v>
      </c>
      <c r="E477" s="11">
        <v>8</v>
      </c>
      <c r="F477" s="17">
        <f t="shared" si="106"/>
        <v>32</v>
      </c>
      <c r="G477" s="16" t="s">
        <v>19</v>
      </c>
      <c r="H477" s="16" t="s">
        <v>57</v>
      </c>
      <c r="I477" s="16" t="s">
        <v>27</v>
      </c>
      <c r="J477" s="13">
        <v>0.21319444444444444</v>
      </c>
      <c r="K477" s="13">
        <v>0.22569444444444445</v>
      </c>
      <c r="L477" s="71">
        <f t="shared" si="107"/>
        <v>1.2500000000000011E-2</v>
      </c>
      <c r="M477" s="11" t="s">
        <v>351</v>
      </c>
      <c r="N477" s="41"/>
    </row>
    <row r="478" spans="1:14" ht="15" customHeight="1">
      <c r="A478" s="58">
        <v>46191</v>
      </c>
      <c r="B478" s="9">
        <f t="shared" si="108"/>
        <v>0.99999999999999956</v>
      </c>
      <c r="C478" s="10" t="s">
        <v>21</v>
      </c>
      <c r="D478" s="62" t="s">
        <v>30</v>
      </c>
      <c r="E478" s="11">
        <v>11</v>
      </c>
      <c r="F478" s="12">
        <f t="shared" si="106"/>
        <v>44</v>
      </c>
      <c r="G478" s="10"/>
      <c r="H478" s="10"/>
      <c r="I478" s="10"/>
      <c r="J478" s="13"/>
      <c r="K478" s="13"/>
      <c r="L478" s="70" t="str">
        <f t="shared" si="107"/>
        <v/>
      </c>
      <c r="M478" s="11"/>
      <c r="N478" s="41"/>
    </row>
    <row r="479" spans="1:14" ht="15" customHeight="1">
      <c r="A479" s="59">
        <v>46191</v>
      </c>
      <c r="B479" s="15">
        <f t="shared" si="108"/>
        <v>1.0416666666666663</v>
      </c>
      <c r="C479" s="10" t="s">
        <v>21</v>
      </c>
      <c r="D479" s="62" t="s">
        <v>30</v>
      </c>
      <c r="E479" s="11">
        <v>7</v>
      </c>
      <c r="F479" s="17">
        <f t="shared" si="106"/>
        <v>28</v>
      </c>
      <c r="G479" s="16"/>
      <c r="H479" s="16"/>
      <c r="I479" s="16"/>
      <c r="J479" s="13"/>
      <c r="K479" s="13"/>
      <c r="L479" s="71" t="str">
        <f t="shared" si="107"/>
        <v/>
      </c>
      <c r="M479" s="11"/>
      <c r="N479" s="41"/>
    </row>
    <row r="480" spans="1:14" ht="15" customHeight="1">
      <c r="A480" s="58">
        <v>46191</v>
      </c>
      <c r="B480" s="9">
        <f t="shared" si="108"/>
        <v>1.083333333333333</v>
      </c>
      <c r="C480" s="10" t="s">
        <v>21</v>
      </c>
      <c r="D480" s="62" t="s">
        <v>30</v>
      </c>
      <c r="E480" s="11">
        <v>11</v>
      </c>
      <c r="F480" s="12">
        <f t="shared" si="106"/>
        <v>44</v>
      </c>
      <c r="G480" s="10"/>
      <c r="H480" s="10"/>
      <c r="I480" s="10"/>
      <c r="J480" s="13"/>
      <c r="K480" s="13"/>
      <c r="L480" s="70" t="str">
        <f t="shared" si="107"/>
        <v/>
      </c>
      <c r="M480" s="11"/>
      <c r="N480" s="41"/>
    </row>
    <row r="481" spans="1:14" ht="15" customHeight="1">
      <c r="A481" s="59">
        <v>46191</v>
      </c>
      <c r="B481" s="15">
        <f t="shared" si="108"/>
        <v>1.1249999999999998</v>
      </c>
      <c r="C481" s="10" t="s">
        <v>21</v>
      </c>
      <c r="D481" s="62" t="s">
        <v>30</v>
      </c>
      <c r="E481" s="11">
        <v>16</v>
      </c>
      <c r="F481" s="17">
        <f t="shared" si="106"/>
        <v>64</v>
      </c>
      <c r="G481" s="16"/>
      <c r="H481" s="16"/>
      <c r="I481" s="16"/>
      <c r="J481" s="13"/>
      <c r="K481" s="13"/>
      <c r="L481" s="71" t="str">
        <f t="shared" si="107"/>
        <v/>
      </c>
      <c r="M481" s="11"/>
      <c r="N481" s="41"/>
    </row>
    <row r="482" spans="1:14" ht="15" customHeight="1">
      <c r="A482" s="58">
        <v>46191</v>
      </c>
      <c r="B482" s="9">
        <f t="shared" si="108"/>
        <v>1.1666666666666665</v>
      </c>
      <c r="C482" s="10" t="s">
        <v>21</v>
      </c>
      <c r="D482" s="62" t="s">
        <v>30</v>
      </c>
      <c r="E482" s="11">
        <v>8</v>
      </c>
      <c r="F482" s="12">
        <f t="shared" si="106"/>
        <v>32</v>
      </c>
      <c r="G482" s="10"/>
      <c r="H482" s="10"/>
      <c r="I482" s="10"/>
      <c r="J482" s="13"/>
      <c r="K482" s="13"/>
      <c r="L482" s="70" t="str">
        <f t="shared" si="107"/>
        <v/>
      </c>
      <c r="M482" s="11"/>
      <c r="N482" s="41"/>
    </row>
    <row r="483" spans="1:14" ht="15" customHeight="1">
      <c r="A483" s="59">
        <v>46191</v>
      </c>
      <c r="B483" s="15">
        <f t="shared" si="108"/>
        <v>1.2083333333333333</v>
      </c>
      <c r="C483" s="10" t="s">
        <v>21</v>
      </c>
      <c r="D483" s="62" t="s">
        <v>30</v>
      </c>
      <c r="E483" s="11">
        <v>11</v>
      </c>
      <c r="F483" s="17">
        <f t="shared" si="106"/>
        <v>44</v>
      </c>
      <c r="G483" s="16"/>
      <c r="H483" s="16"/>
      <c r="I483" s="16"/>
      <c r="J483" s="13"/>
      <c r="K483" s="13"/>
      <c r="L483" s="71" t="str">
        <f t="shared" si="107"/>
        <v/>
      </c>
      <c r="M483" s="11"/>
      <c r="N483" s="41"/>
    </row>
    <row r="484" spans="1:14" ht="15" customHeight="1">
      <c r="A484" s="58">
        <v>46191</v>
      </c>
      <c r="B484" s="9">
        <f t="shared" si="108"/>
        <v>1.25</v>
      </c>
      <c r="C484" s="10" t="s">
        <v>21</v>
      </c>
      <c r="D484" s="62" t="s">
        <v>30</v>
      </c>
      <c r="E484" s="11">
        <v>12</v>
      </c>
      <c r="F484" s="12">
        <f t="shared" si="106"/>
        <v>48</v>
      </c>
      <c r="G484" s="10"/>
      <c r="H484" s="10"/>
      <c r="I484" s="10"/>
      <c r="J484" s="13"/>
      <c r="K484" s="13"/>
      <c r="L484" s="70" t="str">
        <f t="shared" si="107"/>
        <v/>
      </c>
      <c r="M484" s="11"/>
      <c r="N484" s="41"/>
    </row>
    <row r="485" spans="1:14" ht="15" customHeight="1">
      <c r="A485" s="59">
        <v>46191</v>
      </c>
      <c r="B485" s="15">
        <f t="shared" si="108"/>
        <v>1.2916666666666667</v>
      </c>
      <c r="C485" s="10" t="s">
        <v>21</v>
      </c>
      <c r="D485" s="62" t="s">
        <v>30</v>
      </c>
      <c r="E485" s="11">
        <v>11</v>
      </c>
      <c r="F485" s="17">
        <f t="shared" si="106"/>
        <v>44</v>
      </c>
      <c r="G485" s="16"/>
      <c r="H485" s="16"/>
      <c r="I485" s="16"/>
      <c r="J485" s="13"/>
      <c r="K485" s="13"/>
      <c r="L485" s="71" t="str">
        <f t="shared" si="107"/>
        <v/>
      </c>
      <c r="M485" s="11"/>
      <c r="N485" s="41"/>
    </row>
    <row r="486" spans="1:14" ht="15.75" customHeight="1">
      <c r="A486" s="105" t="s">
        <v>193</v>
      </c>
      <c r="B486" s="105"/>
      <c r="C486" s="105"/>
      <c r="D486" s="105"/>
      <c r="E486" s="19">
        <f>SUM(E474:E485)</f>
        <v>127</v>
      </c>
      <c r="F486" s="19">
        <f>SUM(F474:F485)</f>
        <v>508</v>
      </c>
      <c r="G486" s="38"/>
      <c r="H486" s="38"/>
      <c r="I486" s="38"/>
      <c r="J486" s="38"/>
      <c r="K486" s="38"/>
      <c r="L486" s="72">
        <f>IFERROR(SUM(L474:L485),"")</f>
        <v>5.7638888888888851E-2</v>
      </c>
      <c r="M486" s="19" t="s">
        <v>192</v>
      </c>
      <c r="N486" s="20">
        <v>508000</v>
      </c>
    </row>
    <row r="487" spans="1:14" ht="18" customHeight="1">
      <c r="A487" s="98" t="s">
        <v>194</v>
      </c>
      <c r="B487" s="98"/>
      <c r="C487" s="98"/>
      <c r="D487" s="98"/>
      <c r="E487" s="22">
        <f>E473+E486</f>
        <v>213</v>
      </c>
      <c r="F487" s="22">
        <f>F473+F486</f>
        <v>852</v>
      </c>
      <c r="G487" s="39"/>
      <c r="H487" s="39"/>
      <c r="I487" s="39"/>
      <c r="J487" s="39"/>
      <c r="K487" s="39"/>
      <c r="L487" s="73">
        <f>IFERROR(L473+L486,"")</f>
        <v>0.39444444444444432</v>
      </c>
      <c r="M487" s="22" t="s">
        <v>195</v>
      </c>
      <c r="N487" s="31">
        <f>IFERROR(N473+N486,"")</f>
        <v>835080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62" t="s">
        <v>30</v>
      </c>
      <c r="E488" s="11">
        <v>21</v>
      </c>
      <c r="F488" s="12">
        <f t="shared" ref="F488:F499" si="109">IF(E488="","",E488*4)</f>
        <v>84</v>
      </c>
      <c r="G488" s="10"/>
      <c r="H488" s="10"/>
      <c r="I488" s="10"/>
      <c r="J488" s="13"/>
      <c r="K488" s="13"/>
      <c r="L488" s="70" t="str">
        <f t="shared" ref="L488:L499" si="110">IFERROR(IF(K488="","",IF(K488&gt;=J488,K488-J488,K488+1-J488)),"")</f>
        <v/>
      </c>
      <c r="M488" s="11"/>
      <c r="N488" s="41"/>
    </row>
    <row r="489" spans="1:14" ht="15" customHeight="1">
      <c r="A489" s="59">
        <v>46192</v>
      </c>
      <c r="B489" s="15">
        <f t="shared" ref="B489:B499" si="111">B488+TIME(0,60,0)</f>
        <v>0.37499999999999967</v>
      </c>
      <c r="C489" s="10" t="s">
        <v>45</v>
      </c>
      <c r="D489" s="62" t="s">
        <v>30</v>
      </c>
      <c r="E489" s="11">
        <v>4</v>
      </c>
      <c r="F489" s="17">
        <f t="shared" si="109"/>
        <v>16</v>
      </c>
      <c r="G489" s="16"/>
      <c r="H489" s="16"/>
      <c r="I489" s="16"/>
      <c r="J489" s="13"/>
      <c r="K489" s="13"/>
      <c r="L489" s="71" t="str">
        <f t="shared" si="110"/>
        <v/>
      </c>
      <c r="M489" s="11"/>
      <c r="N489" s="41"/>
    </row>
    <row r="490" spans="1:14" ht="15" customHeight="1">
      <c r="A490" s="58">
        <v>46192</v>
      </c>
      <c r="B490" s="9">
        <f t="shared" si="111"/>
        <v>0.41666666666666635</v>
      </c>
      <c r="C490" s="10" t="s">
        <v>45</v>
      </c>
      <c r="D490" s="62" t="s">
        <v>30</v>
      </c>
      <c r="E490" s="11">
        <v>20</v>
      </c>
      <c r="F490" s="12">
        <f t="shared" si="109"/>
        <v>80</v>
      </c>
      <c r="G490" s="10"/>
      <c r="H490" s="10"/>
      <c r="I490" s="10"/>
      <c r="J490" s="13"/>
      <c r="K490" s="13"/>
      <c r="L490" s="70" t="str">
        <f t="shared" si="110"/>
        <v/>
      </c>
      <c r="M490" s="11"/>
      <c r="N490" s="41"/>
    </row>
    <row r="491" spans="1:14" ht="15" customHeight="1">
      <c r="A491" s="59">
        <v>46192</v>
      </c>
      <c r="B491" s="15">
        <f t="shared" si="111"/>
        <v>0.45833333333333304</v>
      </c>
      <c r="C491" s="10" t="s">
        <v>45</v>
      </c>
      <c r="D491" s="62" t="s">
        <v>30</v>
      </c>
      <c r="E491" s="11">
        <v>3</v>
      </c>
      <c r="F491" s="17">
        <f t="shared" si="109"/>
        <v>12</v>
      </c>
      <c r="G491" s="16" t="s">
        <v>20</v>
      </c>
      <c r="H491" s="16" t="s">
        <v>19</v>
      </c>
      <c r="I491" s="16" t="s">
        <v>27</v>
      </c>
      <c r="J491" s="13">
        <v>0.49375000000000002</v>
      </c>
      <c r="K491" s="13">
        <v>0.51527777777777772</v>
      </c>
      <c r="L491" s="71">
        <f t="shared" si="110"/>
        <v>2.1527777777777701E-2</v>
      </c>
      <c r="M491" s="11"/>
      <c r="N491" s="41"/>
    </row>
    <row r="492" spans="1:14" ht="15" customHeight="1">
      <c r="A492" s="58">
        <v>46192</v>
      </c>
      <c r="B492" s="9">
        <f t="shared" si="111"/>
        <v>0.49999999999999972</v>
      </c>
      <c r="C492" s="10" t="s">
        <v>45</v>
      </c>
      <c r="D492" s="62" t="s">
        <v>30</v>
      </c>
      <c r="E492" s="11">
        <v>10</v>
      </c>
      <c r="F492" s="12">
        <f t="shared" si="109"/>
        <v>40</v>
      </c>
      <c r="H492" s="16"/>
      <c r="I492" s="16"/>
      <c r="J492" s="13"/>
      <c r="K492" s="13"/>
      <c r="L492" s="70"/>
      <c r="M492" s="11"/>
      <c r="N492" s="41"/>
    </row>
    <row r="493" spans="1:14" ht="15" customHeight="1">
      <c r="A493" s="59">
        <v>46192</v>
      </c>
      <c r="B493" s="15">
        <f t="shared" si="111"/>
        <v>0.54166666666666641</v>
      </c>
      <c r="C493" s="10" t="s">
        <v>45</v>
      </c>
      <c r="D493" s="62" t="s">
        <v>30</v>
      </c>
      <c r="E493" s="11">
        <v>7</v>
      </c>
      <c r="F493" s="17">
        <f t="shared" si="109"/>
        <v>28</v>
      </c>
      <c r="G493" s="16"/>
      <c r="H493" s="16"/>
      <c r="I493" s="16"/>
      <c r="J493" s="13"/>
      <c r="K493" s="13"/>
      <c r="L493" s="71" t="str">
        <f t="shared" si="110"/>
        <v/>
      </c>
      <c r="M493" s="11"/>
      <c r="N493" s="41"/>
    </row>
    <row r="494" spans="1:14" ht="15" customHeight="1">
      <c r="A494" s="58">
        <v>46192</v>
      </c>
      <c r="B494" s="9">
        <f t="shared" si="111"/>
        <v>0.58333333333333304</v>
      </c>
      <c r="C494" s="10" t="s">
        <v>45</v>
      </c>
      <c r="D494" s="62" t="s">
        <v>30</v>
      </c>
      <c r="E494" s="11">
        <v>0</v>
      </c>
      <c r="F494" s="12">
        <f t="shared" si="109"/>
        <v>0</v>
      </c>
      <c r="G494" s="10"/>
      <c r="H494" s="10"/>
      <c r="I494" s="10"/>
      <c r="J494" s="13"/>
      <c r="K494" s="13"/>
      <c r="L494" s="70" t="str">
        <f t="shared" si="110"/>
        <v/>
      </c>
      <c r="M494" s="11"/>
      <c r="N494" s="41"/>
    </row>
    <row r="495" spans="1:14" ht="15" customHeight="1">
      <c r="A495" s="59">
        <v>46192</v>
      </c>
      <c r="B495" s="15">
        <f t="shared" si="111"/>
        <v>0.62499999999999967</v>
      </c>
      <c r="C495" s="10" t="s">
        <v>45</v>
      </c>
      <c r="D495" s="62" t="s">
        <v>30</v>
      </c>
      <c r="E495" s="11">
        <v>14</v>
      </c>
      <c r="F495" s="17">
        <f t="shared" si="109"/>
        <v>56</v>
      </c>
      <c r="G495" s="16" t="s">
        <v>20</v>
      </c>
      <c r="H495" s="16" t="s">
        <v>52</v>
      </c>
      <c r="I495" s="16" t="s">
        <v>28</v>
      </c>
      <c r="J495" s="13">
        <v>0.63194444444444442</v>
      </c>
      <c r="K495" s="13">
        <v>0.65208333333333335</v>
      </c>
      <c r="L495" s="71">
        <f t="shared" si="110"/>
        <v>2.0138888888888928E-2</v>
      </c>
      <c r="M495" s="11"/>
      <c r="N495" s="41"/>
    </row>
    <row r="496" spans="1:14" ht="15" customHeight="1">
      <c r="A496" s="58">
        <v>46192</v>
      </c>
      <c r="B496" s="9">
        <f t="shared" si="111"/>
        <v>0.6666666666666663</v>
      </c>
      <c r="C496" s="10" t="s">
        <v>45</v>
      </c>
      <c r="D496" s="62" t="s">
        <v>30</v>
      </c>
      <c r="E496" s="11">
        <v>4</v>
      </c>
      <c r="F496" s="12">
        <f t="shared" si="109"/>
        <v>16</v>
      </c>
      <c r="G496" s="10"/>
      <c r="H496" s="10"/>
      <c r="I496" s="10"/>
      <c r="J496" s="13"/>
      <c r="K496" s="13"/>
      <c r="L496" s="70" t="str">
        <f t="shared" si="110"/>
        <v/>
      </c>
      <c r="M496" s="11"/>
      <c r="N496" s="41"/>
    </row>
    <row r="497" spans="1:14" ht="15" customHeight="1">
      <c r="A497" s="59">
        <v>46192</v>
      </c>
      <c r="B497" s="15">
        <f t="shared" si="111"/>
        <v>0.70833333333333293</v>
      </c>
      <c r="C497" s="10" t="s">
        <v>45</v>
      </c>
      <c r="D497" s="62" t="s">
        <v>30</v>
      </c>
      <c r="E497" s="11">
        <v>10</v>
      </c>
      <c r="F497" s="17">
        <f t="shared" si="109"/>
        <v>40</v>
      </c>
      <c r="G497" s="16"/>
      <c r="H497" s="16"/>
      <c r="I497" s="10"/>
      <c r="J497" s="13"/>
      <c r="K497" s="13"/>
      <c r="L497" s="71" t="str">
        <f t="shared" si="110"/>
        <v/>
      </c>
      <c r="M497" s="11"/>
      <c r="N497" s="41"/>
    </row>
    <row r="498" spans="1:14" ht="15" customHeight="1">
      <c r="A498" s="58">
        <v>46192</v>
      </c>
      <c r="B498" s="9">
        <f t="shared" si="111"/>
        <v>0.74999999999999956</v>
      </c>
      <c r="C498" s="10" t="s">
        <v>45</v>
      </c>
      <c r="D498" s="62" t="s">
        <v>30</v>
      </c>
      <c r="E498" s="11">
        <v>10</v>
      </c>
      <c r="F498" s="12">
        <f t="shared" si="109"/>
        <v>40</v>
      </c>
      <c r="G498" s="10"/>
      <c r="H498" s="10"/>
      <c r="I498" s="10"/>
      <c r="J498" s="13"/>
      <c r="K498" s="13"/>
      <c r="L498" s="70" t="str">
        <f t="shared" si="110"/>
        <v/>
      </c>
      <c r="M498" s="11"/>
      <c r="N498" s="41"/>
    </row>
    <row r="499" spans="1:14" ht="15" customHeight="1">
      <c r="A499" s="59">
        <v>46192</v>
      </c>
      <c r="B499" s="15">
        <f t="shared" si="111"/>
        <v>0.79166666666666619</v>
      </c>
      <c r="C499" s="10" t="s">
        <v>45</v>
      </c>
      <c r="D499" s="62" t="s">
        <v>30</v>
      </c>
      <c r="E499" s="11">
        <v>6</v>
      </c>
      <c r="F499" s="17">
        <f t="shared" si="109"/>
        <v>24</v>
      </c>
      <c r="G499" s="16"/>
      <c r="H499" s="16"/>
      <c r="I499" s="16"/>
      <c r="J499" s="13"/>
      <c r="K499" s="13"/>
      <c r="L499" s="71" t="str">
        <f t="shared" si="110"/>
        <v/>
      </c>
      <c r="M499" s="11"/>
      <c r="N499" s="41"/>
    </row>
    <row r="500" spans="1:14" ht="15.75" customHeight="1">
      <c r="A500" s="105" t="s">
        <v>191</v>
      </c>
      <c r="B500" s="105"/>
      <c r="C500" s="105"/>
      <c r="D500" s="105"/>
      <c r="E500" s="19">
        <f>SUM(E488:E499)</f>
        <v>109</v>
      </c>
      <c r="F500" s="19">
        <f>SUM(F488:F499)</f>
        <v>436</v>
      </c>
      <c r="G500" s="38"/>
      <c r="H500" s="38"/>
      <c r="I500" s="38"/>
      <c r="J500" s="38"/>
      <c r="K500" s="38"/>
      <c r="L500" s="72">
        <f>IFERROR(SUM(L488:L499),"")</f>
        <v>4.166666666666663E-2</v>
      </c>
      <c r="M500" s="19" t="s">
        <v>192</v>
      </c>
      <c r="N500" s="20">
        <f>311280+52610+97870</f>
        <v>461760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63" t="s">
        <v>30</v>
      </c>
      <c r="E501" s="11">
        <v>2</v>
      </c>
      <c r="F501" s="17">
        <f t="shared" ref="F501:F512" si="112">IF(E501="","",E501*4)</f>
        <v>8</v>
      </c>
      <c r="G501" s="16" t="s">
        <v>20</v>
      </c>
      <c r="H501" s="16" t="s">
        <v>52</v>
      </c>
      <c r="I501" s="16" t="s">
        <v>28</v>
      </c>
      <c r="J501" s="13">
        <v>0.79166666666666663</v>
      </c>
      <c r="K501" s="13">
        <v>0.81944444444444442</v>
      </c>
      <c r="L501" s="71">
        <f t="shared" ref="L501:L512" si="113">IFERROR(IF(K501="","",IF(K501&gt;=J501,K501-J501,K501+1-J501)),"")</f>
        <v>2.777777777777779E-2</v>
      </c>
      <c r="M501" s="11" t="s">
        <v>352</v>
      </c>
      <c r="N501" s="41"/>
    </row>
    <row r="502" spans="1:14" ht="15" customHeight="1">
      <c r="A502" s="58">
        <v>46192</v>
      </c>
      <c r="B502" s="9">
        <f t="shared" ref="B502:B512" si="114">B501+TIME(0,60,0)</f>
        <v>0.87499999999999967</v>
      </c>
      <c r="C502" s="16" t="s">
        <v>21</v>
      </c>
      <c r="D502" s="63" t="s">
        <v>30</v>
      </c>
      <c r="E502" s="11">
        <v>6</v>
      </c>
      <c r="F502" s="12">
        <f t="shared" si="112"/>
        <v>24</v>
      </c>
      <c r="G502" s="10" t="s">
        <v>19</v>
      </c>
      <c r="H502" s="10" t="s">
        <v>154</v>
      </c>
      <c r="I502" s="10" t="s">
        <v>27</v>
      </c>
      <c r="J502" s="13">
        <v>0.97916666666666663</v>
      </c>
      <c r="K502" s="13">
        <v>0.99583333333333335</v>
      </c>
      <c r="L502" s="70">
        <f t="shared" si="113"/>
        <v>1.6666666666666718E-2</v>
      </c>
      <c r="M502" s="11"/>
      <c r="N502" s="41"/>
    </row>
    <row r="503" spans="1:14" ht="15" customHeight="1">
      <c r="A503" s="59">
        <v>46192</v>
      </c>
      <c r="B503" s="15">
        <f t="shared" si="114"/>
        <v>0.9166666666666663</v>
      </c>
      <c r="C503" s="16" t="s">
        <v>21</v>
      </c>
      <c r="D503" s="63" t="s">
        <v>30</v>
      </c>
      <c r="E503" s="11">
        <v>16</v>
      </c>
      <c r="F503" s="17">
        <f t="shared" si="112"/>
        <v>64</v>
      </c>
      <c r="G503" s="16" t="s">
        <v>20</v>
      </c>
      <c r="H503" s="16" t="s">
        <v>57</v>
      </c>
      <c r="I503" s="16" t="s">
        <v>51</v>
      </c>
      <c r="J503" s="13">
        <v>4.5138888888888888E-2</v>
      </c>
      <c r="K503" s="13">
        <v>5.486111111111111E-2</v>
      </c>
      <c r="L503" s="71">
        <f t="shared" si="113"/>
        <v>9.7222222222222224E-3</v>
      </c>
      <c r="M503" s="11"/>
      <c r="N503" s="41"/>
    </row>
    <row r="504" spans="1:14" ht="15" customHeight="1">
      <c r="A504" s="58">
        <v>46192</v>
      </c>
      <c r="B504" s="9">
        <f t="shared" si="114"/>
        <v>0.95833333333333293</v>
      </c>
      <c r="C504" s="16" t="s">
        <v>21</v>
      </c>
      <c r="D504" s="63" t="s">
        <v>30</v>
      </c>
      <c r="E504" s="11">
        <v>14</v>
      </c>
      <c r="F504" s="12">
        <f t="shared" si="112"/>
        <v>56</v>
      </c>
      <c r="G504" s="10" t="s">
        <v>20</v>
      </c>
      <c r="H504" s="10" t="s">
        <v>52</v>
      </c>
      <c r="I504" s="10" t="s">
        <v>62</v>
      </c>
      <c r="J504" s="13">
        <v>6.5972222222222224E-2</v>
      </c>
      <c r="K504" s="13">
        <v>7.2222222222222215E-2</v>
      </c>
      <c r="L504" s="70">
        <f t="shared" si="113"/>
        <v>6.2499999999999917E-3</v>
      </c>
      <c r="M504" s="11"/>
      <c r="N504" s="41"/>
    </row>
    <row r="505" spans="1:14" ht="15" customHeight="1">
      <c r="A505" s="59">
        <v>46192</v>
      </c>
      <c r="B505" s="15">
        <f t="shared" si="114"/>
        <v>0.99999999999999956</v>
      </c>
      <c r="C505" s="16" t="s">
        <v>21</v>
      </c>
      <c r="D505" s="63" t="s">
        <v>30</v>
      </c>
      <c r="E505" s="11">
        <v>6</v>
      </c>
      <c r="F505" s="17">
        <f t="shared" si="112"/>
        <v>24</v>
      </c>
      <c r="G505" s="16" t="s">
        <v>20</v>
      </c>
      <c r="H505" s="16" t="s">
        <v>52</v>
      </c>
      <c r="I505" s="16" t="s">
        <v>62</v>
      </c>
      <c r="J505" s="13">
        <v>0.10555555555555556</v>
      </c>
      <c r="K505" s="13">
        <v>0.11458333333333333</v>
      </c>
      <c r="L505" s="71">
        <f t="shared" si="113"/>
        <v>9.0277777777777735E-3</v>
      </c>
      <c r="M505" s="11"/>
      <c r="N505" s="41"/>
    </row>
    <row r="506" spans="1:14" ht="15" customHeight="1">
      <c r="A506" s="58">
        <v>46192</v>
      </c>
      <c r="B506" s="9">
        <f t="shared" si="114"/>
        <v>1.0416666666666663</v>
      </c>
      <c r="C506" s="16" t="s">
        <v>21</v>
      </c>
      <c r="D506" s="63" t="s">
        <v>30</v>
      </c>
      <c r="E506" s="11">
        <v>12</v>
      </c>
      <c r="F506" s="12">
        <f t="shared" si="112"/>
        <v>48</v>
      </c>
      <c r="G506" s="10" t="s">
        <v>18</v>
      </c>
      <c r="H506" s="10" t="s">
        <v>57</v>
      </c>
      <c r="I506" s="10" t="s">
        <v>158</v>
      </c>
      <c r="J506" s="13">
        <v>0.19791666666666666</v>
      </c>
      <c r="K506" s="13">
        <v>0.21597222222222223</v>
      </c>
      <c r="L506" s="70">
        <f t="shared" si="113"/>
        <v>1.8055555555555575E-2</v>
      </c>
      <c r="M506" s="11"/>
      <c r="N506" s="41"/>
    </row>
    <row r="507" spans="1:14" ht="15" customHeight="1">
      <c r="A507" s="59">
        <v>46192</v>
      </c>
      <c r="B507" s="15">
        <f t="shared" si="114"/>
        <v>1.083333333333333</v>
      </c>
      <c r="C507" s="16" t="s">
        <v>21</v>
      </c>
      <c r="D507" s="63" t="s">
        <v>30</v>
      </c>
      <c r="E507" s="11">
        <v>7</v>
      </c>
      <c r="F507" s="17">
        <f t="shared" si="112"/>
        <v>28</v>
      </c>
      <c r="G507" s="16" t="s">
        <v>17</v>
      </c>
      <c r="H507" s="16"/>
      <c r="I507" s="16" t="s">
        <v>86</v>
      </c>
      <c r="J507" s="13">
        <v>0.27083333333333331</v>
      </c>
      <c r="K507" s="13">
        <v>0.29166666666666669</v>
      </c>
      <c r="L507" s="71">
        <f t="shared" si="113"/>
        <v>2.083333333333337E-2</v>
      </c>
      <c r="M507" s="11" t="s">
        <v>353</v>
      </c>
      <c r="N507" s="41"/>
    </row>
    <row r="508" spans="1:14" ht="15" customHeight="1">
      <c r="A508" s="58">
        <v>46192</v>
      </c>
      <c r="B508" s="9">
        <f t="shared" si="114"/>
        <v>1.1249999999999998</v>
      </c>
      <c r="C508" s="16" t="s">
        <v>21</v>
      </c>
      <c r="D508" s="63" t="s">
        <v>30</v>
      </c>
      <c r="E508" s="11">
        <v>17</v>
      </c>
      <c r="F508" s="12">
        <f t="shared" si="112"/>
        <v>68</v>
      </c>
      <c r="G508" s="10"/>
      <c r="H508" s="10"/>
      <c r="I508" s="10"/>
      <c r="J508" s="13"/>
      <c r="K508" s="13"/>
      <c r="L508" s="70" t="str">
        <f t="shared" si="113"/>
        <v/>
      </c>
      <c r="M508" s="11"/>
      <c r="N508" s="41"/>
    </row>
    <row r="509" spans="1:14" ht="15" customHeight="1">
      <c r="A509" s="59">
        <v>46192</v>
      </c>
      <c r="B509" s="15">
        <f t="shared" si="114"/>
        <v>1.1666666666666665</v>
      </c>
      <c r="C509" s="16" t="s">
        <v>21</v>
      </c>
      <c r="D509" s="63" t="s">
        <v>30</v>
      </c>
      <c r="E509" s="11">
        <v>15</v>
      </c>
      <c r="F509" s="17">
        <f t="shared" si="112"/>
        <v>60</v>
      </c>
      <c r="G509" s="16"/>
      <c r="H509" s="16"/>
      <c r="I509" s="16"/>
      <c r="J509" s="13"/>
      <c r="K509" s="13"/>
      <c r="L509" s="71" t="str">
        <f t="shared" si="113"/>
        <v/>
      </c>
      <c r="M509" s="11"/>
      <c r="N509" s="41"/>
    </row>
    <row r="510" spans="1:14" ht="15" customHeight="1">
      <c r="A510" s="58">
        <v>46192</v>
      </c>
      <c r="B510" s="9">
        <f t="shared" si="114"/>
        <v>1.2083333333333333</v>
      </c>
      <c r="C510" s="16" t="s">
        <v>21</v>
      </c>
      <c r="D510" s="63" t="s">
        <v>30</v>
      </c>
      <c r="E510" s="11">
        <v>16</v>
      </c>
      <c r="F510" s="12">
        <f t="shared" si="112"/>
        <v>64</v>
      </c>
      <c r="G510" s="10"/>
      <c r="H510" s="10"/>
      <c r="I510" s="10"/>
      <c r="J510" s="13"/>
      <c r="K510" s="13"/>
      <c r="L510" s="70" t="str">
        <f t="shared" si="113"/>
        <v/>
      </c>
      <c r="M510" s="11"/>
      <c r="N510" s="41"/>
    </row>
    <row r="511" spans="1:14" ht="15" customHeight="1">
      <c r="A511" s="59">
        <v>46192</v>
      </c>
      <c r="B511" s="15">
        <f t="shared" si="114"/>
        <v>1.25</v>
      </c>
      <c r="C511" s="16" t="s">
        <v>21</v>
      </c>
      <c r="D511" s="63" t="s">
        <v>30</v>
      </c>
      <c r="E511" s="11">
        <v>9</v>
      </c>
      <c r="F511" s="17">
        <f t="shared" si="112"/>
        <v>36</v>
      </c>
      <c r="G511" s="16"/>
      <c r="H511" s="16"/>
      <c r="I511" s="16"/>
      <c r="J511" s="13"/>
      <c r="K511" s="13"/>
      <c r="L511" s="71" t="str">
        <f t="shared" si="113"/>
        <v/>
      </c>
      <c r="M511" s="11"/>
      <c r="N511" s="41"/>
    </row>
    <row r="512" spans="1:14" ht="15" customHeight="1">
      <c r="A512" s="58">
        <v>46192</v>
      </c>
      <c r="B512" s="9">
        <f t="shared" si="114"/>
        <v>1.2916666666666667</v>
      </c>
      <c r="C512" s="16" t="s">
        <v>21</v>
      </c>
      <c r="D512" s="63" t="s">
        <v>30</v>
      </c>
      <c r="E512" s="11">
        <v>1</v>
      </c>
      <c r="F512" s="12">
        <f t="shared" si="112"/>
        <v>4</v>
      </c>
      <c r="G512" s="10"/>
      <c r="H512" s="10"/>
      <c r="I512" s="10"/>
      <c r="J512" s="13"/>
      <c r="K512" s="13"/>
      <c r="L512" s="70" t="str">
        <f t="shared" si="113"/>
        <v/>
      </c>
      <c r="M512" s="11"/>
      <c r="N512" s="41"/>
    </row>
    <row r="513" spans="1:14" ht="15.75" customHeight="1">
      <c r="A513" s="105" t="s">
        <v>193</v>
      </c>
      <c r="B513" s="105"/>
      <c r="C513" s="105"/>
      <c r="D513" s="105"/>
      <c r="E513" s="19">
        <f>SUM(E501:E512)</f>
        <v>121</v>
      </c>
      <c r="F513" s="19">
        <f>SUM(F501:F512)</f>
        <v>484</v>
      </c>
      <c r="G513" s="38"/>
      <c r="H513" s="38"/>
      <c r="I513" s="38"/>
      <c r="J513" s="38"/>
      <c r="K513" s="38"/>
      <c r="L513" s="72">
        <f>IFERROR(SUM(L501:L512),"")</f>
        <v>0.10833333333333345</v>
      </c>
      <c r="M513" s="19" t="s">
        <v>192</v>
      </c>
      <c r="N513" s="20">
        <v>745760</v>
      </c>
    </row>
    <row r="514" spans="1:14" ht="18" customHeight="1">
      <c r="A514" s="98" t="s">
        <v>194</v>
      </c>
      <c r="B514" s="98"/>
      <c r="C514" s="98"/>
      <c r="D514" s="98"/>
      <c r="E514" s="22">
        <f>E500+E513</f>
        <v>230</v>
      </c>
      <c r="F514" s="22">
        <f>F500+F513</f>
        <v>920</v>
      </c>
      <c r="G514" s="39"/>
      <c r="H514" s="39"/>
      <c r="I514" s="39"/>
      <c r="J514" s="39"/>
      <c r="K514" s="39"/>
      <c r="L514" s="73">
        <f>IFERROR(L500+L513,"")</f>
        <v>0.15000000000000008</v>
      </c>
      <c r="M514" s="22" t="s">
        <v>195</v>
      </c>
      <c r="N514" s="31">
        <f>IFERROR(N500+N513,"")</f>
        <v>1207520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63" t="s">
        <v>30</v>
      </c>
      <c r="E515" s="11">
        <v>0</v>
      </c>
      <c r="F515" s="17">
        <f t="shared" ref="F515:F526" si="115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6">IFERROR(IF(K515="","",IF(K515&gt;=J515,K515-J515,K515+1-J515)),"")</f>
        <v>0.15486111111111112</v>
      </c>
      <c r="M515" s="11"/>
      <c r="N515" s="41"/>
    </row>
    <row r="516" spans="1:14" ht="15" customHeight="1">
      <c r="A516" s="58">
        <v>46193</v>
      </c>
      <c r="B516" s="9">
        <f t="shared" ref="B516:B526" si="117">B515+TIME(0,60,0)</f>
        <v>0.37499999999999967</v>
      </c>
      <c r="C516" s="76" t="s">
        <v>45</v>
      </c>
      <c r="D516" s="87" t="s">
        <v>30</v>
      </c>
      <c r="E516" s="11">
        <v>0</v>
      </c>
      <c r="F516" s="12">
        <f t="shared" si="115"/>
        <v>0</v>
      </c>
      <c r="G516" s="10" t="s">
        <v>19</v>
      </c>
      <c r="H516" s="10" t="s">
        <v>57</v>
      </c>
      <c r="I516" s="10" t="s">
        <v>27</v>
      </c>
      <c r="J516" s="13">
        <v>0.42499999999999999</v>
      </c>
      <c r="K516" s="13">
        <v>0.4375</v>
      </c>
      <c r="L516" s="70">
        <f t="shared" si="116"/>
        <v>1.2500000000000011E-2</v>
      </c>
      <c r="M516" s="11"/>
      <c r="N516" s="41"/>
    </row>
    <row r="517" spans="1:14" ht="15" customHeight="1">
      <c r="A517" s="59">
        <v>46193</v>
      </c>
      <c r="B517" s="15">
        <f t="shared" si="117"/>
        <v>0.41666666666666635</v>
      </c>
      <c r="C517" s="16" t="s">
        <v>45</v>
      </c>
      <c r="D517" s="63" t="s">
        <v>30</v>
      </c>
      <c r="E517" s="11">
        <v>5</v>
      </c>
      <c r="F517" s="17">
        <f t="shared" si="115"/>
        <v>20</v>
      </c>
      <c r="G517" s="16" t="s">
        <v>19</v>
      </c>
      <c r="H517" s="16" t="s">
        <v>52</v>
      </c>
      <c r="I517" s="16" t="s">
        <v>27</v>
      </c>
      <c r="J517" s="13">
        <v>0.56111111111111112</v>
      </c>
      <c r="K517" s="13">
        <v>0.57499999999999996</v>
      </c>
      <c r="L517" s="71">
        <f t="shared" si="116"/>
        <v>1.388888888888884E-2</v>
      </c>
      <c r="M517" s="11"/>
      <c r="N517" s="41"/>
    </row>
    <row r="518" spans="1:14" ht="15" customHeight="1">
      <c r="A518" s="58">
        <v>46193</v>
      </c>
      <c r="B518" s="9">
        <f t="shared" si="117"/>
        <v>0.45833333333333304</v>
      </c>
      <c r="C518" s="76" t="s">
        <v>45</v>
      </c>
      <c r="D518" s="87" t="s">
        <v>30</v>
      </c>
      <c r="E518" s="11">
        <v>21</v>
      </c>
      <c r="F518" s="12">
        <f t="shared" si="115"/>
        <v>84</v>
      </c>
      <c r="G518" s="10" t="s">
        <v>20</v>
      </c>
      <c r="H518" s="10" t="s">
        <v>57</v>
      </c>
      <c r="I518" s="10" t="s">
        <v>36</v>
      </c>
      <c r="J518" s="13">
        <v>0.73819444444444449</v>
      </c>
      <c r="K518" s="13">
        <v>0.75347222222222221</v>
      </c>
      <c r="L518" s="70">
        <f t="shared" si="116"/>
        <v>1.5277777777777724E-2</v>
      </c>
      <c r="M518" s="11"/>
      <c r="N518" s="41"/>
    </row>
    <row r="519" spans="1:14" ht="15" customHeight="1">
      <c r="A519" s="59">
        <v>46193</v>
      </c>
      <c r="B519" s="15">
        <f t="shared" si="117"/>
        <v>0.49999999999999972</v>
      </c>
      <c r="C519" s="16" t="s">
        <v>45</v>
      </c>
      <c r="D519" s="63" t="s">
        <v>30</v>
      </c>
      <c r="E519" s="11">
        <v>19</v>
      </c>
      <c r="F519" s="17">
        <f t="shared" si="115"/>
        <v>76</v>
      </c>
      <c r="G519" s="16"/>
      <c r="H519" s="16"/>
      <c r="I519" s="16"/>
      <c r="J519" s="13"/>
      <c r="K519" s="13"/>
      <c r="L519" s="71" t="str">
        <f t="shared" si="116"/>
        <v/>
      </c>
      <c r="M519" s="11"/>
      <c r="N519" s="41"/>
    </row>
    <row r="520" spans="1:14" ht="15" customHeight="1">
      <c r="A520" s="58">
        <v>46193</v>
      </c>
      <c r="B520" s="9">
        <f t="shared" si="117"/>
        <v>0.54166666666666641</v>
      </c>
      <c r="C520" s="76" t="s">
        <v>45</v>
      </c>
      <c r="D520" s="87" t="s">
        <v>30</v>
      </c>
      <c r="E520" s="11">
        <v>8</v>
      </c>
      <c r="F520" s="12">
        <f t="shared" si="115"/>
        <v>32</v>
      </c>
      <c r="G520" s="10"/>
      <c r="H520" s="10"/>
      <c r="I520" s="10"/>
      <c r="J520" s="13"/>
      <c r="K520" s="13"/>
      <c r="L520" s="70" t="str">
        <f t="shared" si="116"/>
        <v/>
      </c>
      <c r="M520" s="11"/>
      <c r="N520" s="41"/>
    </row>
    <row r="521" spans="1:14" ht="15" customHeight="1">
      <c r="A521" s="59">
        <v>46193</v>
      </c>
      <c r="B521" s="15">
        <f t="shared" si="117"/>
        <v>0.58333333333333304</v>
      </c>
      <c r="C521" s="16" t="s">
        <v>45</v>
      </c>
      <c r="D521" s="63" t="s">
        <v>30</v>
      </c>
      <c r="E521" s="11"/>
      <c r="F521" s="17" t="str">
        <f t="shared" si="115"/>
        <v/>
      </c>
      <c r="G521" s="16"/>
      <c r="H521" s="16"/>
      <c r="I521" s="16"/>
      <c r="J521" s="13"/>
      <c r="K521" s="13"/>
      <c r="L521" s="71" t="str">
        <f t="shared" si="116"/>
        <v/>
      </c>
      <c r="M521" s="11"/>
      <c r="N521" s="41"/>
    </row>
    <row r="522" spans="1:14" ht="15" customHeight="1">
      <c r="A522" s="58">
        <v>46193</v>
      </c>
      <c r="B522" s="9">
        <f t="shared" si="117"/>
        <v>0.62499999999999967</v>
      </c>
      <c r="C522" s="76" t="s">
        <v>45</v>
      </c>
      <c r="D522" s="87" t="s">
        <v>30</v>
      </c>
      <c r="E522" s="11">
        <v>20</v>
      </c>
      <c r="F522" s="12">
        <f t="shared" si="115"/>
        <v>80</v>
      </c>
      <c r="G522" s="10"/>
      <c r="H522" s="10"/>
      <c r="I522" s="10"/>
      <c r="J522" s="13"/>
      <c r="K522" s="13"/>
      <c r="L522" s="70" t="str">
        <f t="shared" si="116"/>
        <v/>
      </c>
      <c r="M522" s="11"/>
      <c r="N522" s="41"/>
    </row>
    <row r="523" spans="1:14" ht="15" customHeight="1">
      <c r="A523" s="59">
        <v>46193</v>
      </c>
      <c r="B523" s="15">
        <f t="shared" si="117"/>
        <v>0.6666666666666663</v>
      </c>
      <c r="C523" s="16" t="s">
        <v>45</v>
      </c>
      <c r="D523" s="63" t="s">
        <v>30</v>
      </c>
      <c r="E523" s="11">
        <v>14</v>
      </c>
      <c r="F523" s="17">
        <f t="shared" si="115"/>
        <v>56</v>
      </c>
      <c r="G523" s="16"/>
      <c r="H523" s="16"/>
      <c r="I523" s="16"/>
      <c r="J523" s="13"/>
      <c r="K523" s="13"/>
      <c r="L523" s="71" t="str">
        <f t="shared" si="116"/>
        <v/>
      </c>
      <c r="M523" s="11"/>
      <c r="N523" s="41"/>
    </row>
    <row r="524" spans="1:14" ht="15" customHeight="1">
      <c r="A524" s="58">
        <v>46193</v>
      </c>
      <c r="B524" s="9">
        <f t="shared" si="117"/>
        <v>0.70833333333333293</v>
      </c>
      <c r="C524" s="76" t="s">
        <v>45</v>
      </c>
      <c r="D524" s="87" t="s">
        <v>30</v>
      </c>
      <c r="E524" s="11">
        <v>17</v>
      </c>
      <c r="F524" s="12">
        <f t="shared" si="115"/>
        <v>68</v>
      </c>
      <c r="G524" s="10"/>
      <c r="H524" s="10"/>
      <c r="I524" s="10"/>
      <c r="J524" s="13"/>
      <c r="K524" s="13"/>
      <c r="L524" s="70" t="str">
        <f t="shared" si="116"/>
        <v/>
      </c>
      <c r="M524" s="11"/>
      <c r="N524" s="41"/>
    </row>
    <row r="525" spans="1:14" ht="15" customHeight="1">
      <c r="A525" s="59">
        <v>46193</v>
      </c>
      <c r="B525" s="15">
        <f t="shared" si="117"/>
        <v>0.74999999999999956</v>
      </c>
      <c r="C525" s="16" t="s">
        <v>45</v>
      </c>
      <c r="D525" s="63" t="s">
        <v>30</v>
      </c>
      <c r="E525" s="11">
        <v>9</v>
      </c>
      <c r="F525" s="17">
        <f t="shared" si="115"/>
        <v>36</v>
      </c>
      <c r="G525" s="16"/>
      <c r="H525" s="16"/>
      <c r="I525" s="16"/>
      <c r="J525" s="13"/>
      <c r="K525" s="13"/>
      <c r="L525" s="71" t="str">
        <f t="shared" si="116"/>
        <v/>
      </c>
      <c r="M525" s="11"/>
      <c r="N525" s="41"/>
    </row>
    <row r="526" spans="1:14" ht="15" customHeight="1">
      <c r="A526" s="58">
        <v>46193</v>
      </c>
      <c r="B526" s="9">
        <f t="shared" si="117"/>
        <v>0.79166666666666619</v>
      </c>
      <c r="C526" s="76" t="s">
        <v>45</v>
      </c>
      <c r="D526" s="87" t="s">
        <v>30</v>
      </c>
      <c r="E526" s="11">
        <v>6</v>
      </c>
      <c r="F526" s="12">
        <f t="shared" si="115"/>
        <v>24</v>
      </c>
      <c r="G526" s="10"/>
      <c r="H526" s="10"/>
      <c r="I526" s="10"/>
      <c r="J526" s="13"/>
      <c r="K526" s="13"/>
      <c r="L526" s="70" t="str">
        <f t="shared" si="116"/>
        <v/>
      </c>
      <c r="M526" s="11"/>
      <c r="N526" s="41"/>
    </row>
    <row r="527" spans="1:14" ht="15.75" customHeight="1">
      <c r="A527" s="105" t="s">
        <v>191</v>
      </c>
      <c r="B527" s="105"/>
      <c r="C527" s="105"/>
      <c r="D527" s="105"/>
      <c r="E527" s="19">
        <f>SUM(E515:E526)</f>
        <v>119</v>
      </c>
      <c r="F527" s="19">
        <f>SUM(F515:F526)</f>
        <v>476</v>
      </c>
      <c r="G527" s="38"/>
      <c r="H527" s="38"/>
      <c r="I527" s="38"/>
      <c r="J527" s="38"/>
      <c r="K527" s="38"/>
      <c r="L527" s="72">
        <f>IFERROR(SUM(L515:L526),"")</f>
        <v>0.19652777777777769</v>
      </c>
      <c r="M527" s="19" t="s">
        <v>192</v>
      </c>
      <c r="N527" s="20">
        <v>474000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62" t="s">
        <v>30</v>
      </c>
      <c r="E528" s="11">
        <v>6</v>
      </c>
      <c r="F528" s="12">
        <f t="shared" ref="F528:F539" si="118">IF(E528="","",E528*4)</f>
        <v>24</v>
      </c>
      <c r="G528" s="10" t="s">
        <v>19</v>
      </c>
      <c r="H528" s="10" t="s">
        <v>154</v>
      </c>
      <c r="I528" s="10" t="s">
        <v>27</v>
      </c>
      <c r="J528" s="13">
        <v>0.86111111111111116</v>
      </c>
      <c r="K528" s="13">
        <v>0.90486111111111112</v>
      </c>
      <c r="L528" s="70">
        <f t="shared" ref="L528:L539" si="119">IFERROR(IF(K528="","",IF(K528&gt;=J528,K528-J528,K528+1-J528)),"")</f>
        <v>4.3749999999999956E-2</v>
      </c>
      <c r="M528" s="11"/>
      <c r="N528" s="41"/>
    </row>
    <row r="529" spans="1:14" ht="15" customHeight="1">
      <c r="A529" s="59">
        <v>46193</v>
      </c>
      <c r="B529" s="15">
        <f t="shared" ref="B529:B539" si="120">B528+TIME(0,60,0)</f>
        <v>0.87499999999999967</v>
      </c>
      <c r="C529" s="10" t="s">
        <v>29</v>
      </c>
      <c r="D529" s="62" t="s">
        <v>30</v>
      </c>
      <c r="E529" s="11">
        <v>12</v>
      </c>
      <c r="F529" s="17">
        <f t="shared" si="118"/>
        <v>48</v>
      </c>
      <c r="G529" s="16" t="s">
        <v>17</v>
      </c>
      <c r="H529" s="16" t="s">
        <v>104</v>
      </c>
      <c r="I529" s="16" t="s">
        <v>65</v>
      </c>
      <c r="J529" s="13">
        <v>0.875</v>
      </c>
      <c r="K529" s="13">
        <v>0.87986111111111109</v>
      </c>
      <c r="L529" s="71">
        <f t="shared" si="119"/>
        <v>4.8611111111110938E-3</v>
      </c>
      <c r="M529" s="11"/>
      <c r="N529" s="41"/>
    </row>
    <row r="530" spans="1:14" ht="15" customHeight="1">
      <c r="A530" s="58">
        <v>46193</v>
      </c>
      <c r="B530" s="9">
        <f t="shared" si="120"/>
        <v>0.9166666666666663</v>
      </c>
      <c r="C530" s="10" t="s">
        <v>29</v>
      </c>
      <c r="D530" s="62" t="s">
        <v>30</v>
      </c>
      <c r="E530" s="11">
        <v>9</v>
      </c>
      <c r="F530" s="12">
        <f t="shared" si="118"/>
        <v>36</v>
      </c>
      <c r="G530" s="10" t="s">
        <v>20</v>
      </c>
      <c r="H530" s="10" t="s">
        <v>154</v>
      </c>
      <c r="I530" s="10" t="s">
        <v>56</v>
      </c>
      <c r="J530" s="13">
        <v>2.1527777777777778E-2</v>
      </c>
      <c r="K530" s="13">
        <v>5.1388888888888887E-2</v>
      </c>
      <c r="L530" s="70">
        <f t="shared" si="119"/>
        <v>2.9861111111111109E-2</v>
      </c>
      <c r="M530" s="11" t="s">
        <v>354</v>
      </c>
      <c r="N530" s="41"/>
    </row>
    <row r="531" spans="1:14" ht="15" customHeight="1">
      <c r="A531" s="59">
        <v>46193</v>
      </c>
      <c r="B531" s="15">
        <f t="shared" si="120"/>
        <v>0.95833333333333293</v>
      </c>
      <c r="C531" s="10" t="s">
        <v>29</v>
      </c>
      <c r="D531" s="62" t="s">
        <v>30</v>
      </c>
      <c r="E531" s="11">
        <v>11</v>
      </c>
      <c r="F531" s="17">
        <f t="shared" si="118"/>
        <v>44</v>
      </c>
      <c r="G531" s="16" t="s">
        <v>19</v>
      </c>
      <c r="H531" s="16" t="s">
        <v>52</v>
      </c>
      <c r="I531" s="16" t="s">
        <v>98</v>
      </c>
      <c r="J531" s="13">
        <v>6.5277777777777782E-2</v>
      </c>
      <c r="K531" s="13">
        <v>0.13055555555555556</v>
      </c>
      <c r="L531" s="71">
        <f t="shared" si="119"/>
        <v>6.5277777777777782E-2</v>
      </c>
      <c r="M531" s="11" t="s">
        <v>355</v>
      </c>
      <c r="N531" s="41"/>
    </row>
    <row r="532" spans="1:14" ht="15" customHeight="1">
      <c r="A532" s="58">
        <v>46193</v>
      </c>
      <c r="B532" s="9">
        <f t="shared" si="120"/>
        <v>0.99999999999999956</v>
      </c>
      <c r="C532" s="10" t="s">
        <v>29</v>
      </c>
      <c r="D532" s="62" t="s">
        <v>30</v>
      </c>
      <c r="E532" s="11">
        <v>10</v>
      </c>
      <c r="F532" s="12">
        <f t="shared" si="118"/>
        <v>40</v>
      </c>
      <c r="G532" s="10" t="s">
        <v>17</v>
      </c>
      <c r="H532" s="10" t="s">
        <v>95</v>
      </c>
      <c r="I532" s="10" t="s">
        <v>25</v>
      </c>
      <c r="J532" s="13">
        <v>5.1388888888888887E-2</v>
      </c>
      <c r="K532" s="13">
        <v>8.611111111111111E-2</v>
      </c>
      <c r="L532" s="70">
        <f t="shared" si="119"/>
        <v>3.4722222222222224E-2</v>
      </c>
      <c r="M532" s="11"/>
      <c r="N532" s="41"/>
    </row>
    <row r="533" spans="1:14" ht="15" customHeight="1">
      <c r="A533" s="59">
        <v>46193</v>
      </c>
      <c r="B533" s="15">
        <f t="shared" si="120"/>
        <v>1.0416666666666663</v>
      </c>
      <c r="C533" s="10" t="s">
        <v>29</v>
      </c>
      <c r="D533" s="62" t="s">
        <v>30</v>
      </c>
      <c r="E533" s="11">
        <v>7</v>
      </c>
      <c r="F533" s="17">
        <f t="shared" si="118"/>
        <v>28</v>
      </c>
      <c r="G533" s="16" t="s">
        <v>17</v>
      </c>
      <c r="H533" s="16" t="s">
        <v>104</v>
      </c>
      <c r="I533" s="16" t="s">
        <v>25</v>
      </c>
      <c r="J533" s="13">
        <v>5.1388888888888887E-2</v>
      </c>
      <c r="K533" s="13">
        <v>8.611111111111111E-2</v>
      </c>
      <c r="L533" s="71">
        <f t="shared" si="119"/>
        <v>3.4722222222222224E-2</v>
      </c>
      <c r="M533" s="11"/>
      <c r="N533" s="41"/>
    </row>
    <row r="534" spans="1:14" ht="15" customHeight="1">
      <c r="A534" s="58">
        <v>46193</v>
      </c>
      <c r="B534" s="9">
        <f t="shared" si="120"/>
        <v>1.083333333333333</v>
      </c>
      <c r="C534" s="10" t="s">
        <v>29</v>
      </c>
      <c r="D534" s="62" t="s">
        <v>30</v>
      </c>
      <c r="E534" s="11">
        <v>2</v>
      </c>
      <c r="F534" s="12">
        <f t="shared" si="118"/>
        <v>8</v>
      </c>
      <c r="G534" s="10" t="s">
        <v>20</v>
      </c>
      <c r="H534" s="10" t="s">
        <v>52</v>
      </c>
      <c r="I534" s="10" t="s">
        <v>51</v>
      </c>
      <c r="J534" s="13">
        <v>0.18333333333333332</v>
      </c>
      <c r="K534" s="13">
        <v>0.1875</v>
      </c>
      <c r="L534" s="70">
        <f t="shared" si="119"/>
        <v>4.1666666666666796E-3</v>
      </c>
      <c r="M534" s="11"/>
      <c r="N534" s="41"/>
    </row>
    <row r="535" spans="1:14" ht="15" customHeight="1">
      <c r="A535" s="59">
        <v>46193</v>
      </c>
      <c r="B535" s="15">
        <f t="shared" si="120"/>
        <v>1.1249999999999998</v>
      </c>
      <c r="C535" s="10" t="s">
        <v>29</v>
      </c>
      <c r="D535" s="62" t="s">
        <v>30</v>
      </c>
      <c r="E535" s="11">
        <v>0</v>
      </c>
      <c r="F535" s="17">
        <f t="shared" si="118"/>
        <v>0</v>
      </c>
      <c r="G535" s="16" t="s">
        <v>20</v>
      </c>
      <c r="H535" s="16" t="s">
        <v>52</v>
      </c>
      <c r="I535" s="16" t="s">
        <v>51</v>
      </c>
      <c r="J535" s="13">
        <v>0.2638888888888889</v>
      </c>
      <c r="K535" s="13">
        <v>0.27777777777777779</v>
      </c>
      <c r="L535" s="71">
        <f t="shared" si="119"/>
        <v>1.3888888888888895E-2</v>
      </c>
      <c r="M535" s="11" t="s">
        <v>253</v>
      </c>
      <c r="N535" s="41"/>
    </row>
    <row r="536" spans="1:14" ht="15" customHeight="1">
      <c r="A536" s="58">
        <v>46193</v>
      </c>
      <c r="B536" s="9">
        <f t="shared" si="120"/>
        <v>1.1666666666666665</v>
      </c>
      <c r="C536" s="10" t="s">
        <v>29</v>
      </c>
      <c r="D536" s="62" t="s">
        <v>30</v>
      </c>
      <c r="E536" s="11">
        <v>8</v>
      </c>
      <c r="F536" s="12">
        <f t="shared" si="118"/>
        <v>32</v>
      </c>
      <c r="G536" s="10"/>
      <c r="H536" s="10"/>
      <c r="I536" s="10"/>
      <c r="J536" s="13"/>
      <c r="K536" s="13"/>
      <c r="L536" s="70" t="str">
        <f t="shared" si="119"/>
        <v/>
      </c>
      <c r="M536" s="11"/>
      <c r="N536" s="41"/>
    </row>
    <row r="537" spans="1:14" ht="15" customHeight="1">
      <c r="A537" s="59">
        <v>46193</v>
      </c>
      <c r="B537" s="15">
        <f t="shared" si="120"/>
        <v>1.2083333333333333</v>
      </c>
      <c r="C537" s="10" t="s">
        <v>29</v>
      </c>
      <c r="D537" s="62" t="s">
        <v>30</v>
      </c>
      <c r="E537" s="11">
        <v>13</v>
      </c>
      <c r="F537" s="17">
        <f t="shared" si="118"/>
        <v>52</v>
      </c>
      <c r="G537" s="16"/>
      <c r="H537" s="16"/>
      <c r="I537" s="16"/>
      <c r="J537" s="13"/>
      <c r="K537" s="13"/>
      <c r="L537" s="71" t="str">
        <f t="shared" si="119"/>
        <v/>
      </c>
      <c r="M537" s="11"/>
      <c r="N537" s="41"/>
    </row>
    <row r="538" spans="1:14" ht="15" customHeight="1">
      <c r="A538" s="58">
        <v>46193</v>
      </c>
      <c r="B538" s="9">
        <f t="shared" si="120"/>
        <v>1.25</v>
      </c>
      <c r="C538" s="10" t="s">
        <v>29</v>
      </c>
      <c r="D538" s="62" t="s">
        <v>30</v>
      </c>
      <c r="E538" s="11">
        <v>9</v>
      </c>
      <c r="F538" s="12">
        <f t="shared" si="118"/>
        <v>36</v>
      </c>
      <c r="G538" s="10"/>
      <c r="H538" s="10"/>
      <c r="I538" s="10"/>
      <c r="J538" s="13"/>
      <c r="K538" s="13"/>
      <c r="L538" s="70" t="str">
        <f t="shared" si="119"/>
        <v/>
      </c>
      <c r="M538" s="11"/>
      <c r="N538" s="41"/>
    </row>
    <row r="539" spans="1:14" ht="15" customHeight="1">
      <c r="A539" s="59">
        <v>46193</v>
      </c>
      <c r="B539" s="15">
        <f t="shared" si="120"/>
        <v>1.2916666666666667</v>
      </c>
      <c r="C539" s="10" t="s">
        <v>29</v>
      </c>
      <c r="D539" s="62" t="s">
        <v>30</v>
      </c>
      <c r="E539" s="11">
        <v>4</v>
      </c>
      <c r="F539" s="17">
        <f t="shared" si="118"/>
        <v>16</v>
      </c>
      <c r="G539" s="16"/>
      <c r="H539" s="16"/>
      <c r="I539" s="16"/>
      <c r="J539" s="13"/>
      <c r="K539" s="13"/>
      <c r="L539" s="71" t="str">
        <f t="shared" si="119"/>
        <v/>
      </c>
      <c r="M539" s="11"/>
      <c r="N539" s="41"/>
    </row>
    <row r="540" spans="1:14" ht="15.75" customHeight="1">
      <c r="A540" s="105" t="s">
        <v>193</v>
      </c>
      <c r="B540" s="105"/>
      <c r="C540" s="105"/>
      <c r="D540" s="105"/>
      <c r="E540" s="19">
        <f>SUM(E528:E539)</f>
        <v>91</v>
      </c>
      <c r="F540" s="19">
        <f>SUM(F528:F539)</f>
        <v>364</v>
      </c>
      <c r="G540" s="38"/>
      <c r="H540" s="38"/>
      <c r="I540" s="38"/>
      <c r="J540" s="38"/>
      <c r="K540" s="38"/>
      <c r="L540" s="72">
        <f>IFERROR(SUM(L528:L539),"")</f>
        <v>0.23124999999999993</v>
      </c>
      <c r="M540" s="19" t="s">
        <v>192</v>
      </c>
      <c r="N540" s="20">
        <v>426450</v>
      </c>
    </row>
    <row r="541" spans="1:14" ht="18" customHeight="1">
      <c r="A541" s="98" t="s">
        <v>194</v>
      </c>
      <c r="B541" s="98"/>
      <c r="C541" s="98"/>
      <c r="D541" s="98"/>
      <c r="E541" s="22">
        <f>E527+E540</f>
        <v>210</v>
      </c>
      <c r="F541" s="22">
        <f>F527+F540</f>
        <v>840</v>
      </c>
      <c r="G541" s="39"/>
      <c r="H541" s="39"/>
      <c r="I541" s="39"/>
      <c r="J541" s="39"/>
      <c r="K541" s="39"/>
      <c r="L541" s="73">
        <f>IFERROR(L527+L540,"")</f>
        <v>0.42777777777777759</v>
      </c>
      <c r="M541" s="22" t="s">
        <v>195</v>
      </c>
      <c r="N541" s="31">
        <f>IFERROR(N527+N540,"")</f>
        <v>900450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62" t="s">
        <v>30</v>
      </c>
      <c r="E542" s="11">
        <v>18</v>
      </c>
      <c r="F542" s="12">
        <f t="shared" ref="F542:F553" si="121">IF(E542="","",E542*4)</f>
        <v>72</v>
      </c>
      <c r="G542" s="10" t="s">
        <v>20</v>
      </c>
      <c r="H542" s="10" t="s">
        <v>52</v>
      </c>
      <c r="I542" s="10"/>
      <c r="J542" s="13">
        <v>0.4152777777777778</v>
      </c>
      <c r="K542" s="13"/>
      <c r="L542" s="70" t="str">
        <f t="shared" ref="L542:L553" si="122">IFERROR(IF(K542="","",IF(K542&gt;=J542,K542-J542,K542+1-J542)),"")</f>
        <v/>
      </c>
      <c r="M542" s="11" t="s">
        <v>356</v>
      </c>
      <c r="N542" s="41"/>
    </row>
    <row r="543" spans="1:14" ht="15" customHeight="1">
      <c r="A543" s="59">
        <v>46194</v>
      </c>
      <c r="B543" s="15">
        <f t="shared" ref="B543:B553" si="123">B542+TIME(0,60,0)</f>
        <v>0.37499999999999967</v>
      </c>
      <c r="C543" s="10" t="s">
        <v>45</v>
      </c>
      <c r="D543" s="62" t="s">
        <v>30</v>
      </c>
      <c r="E543" s="11">
        <v>19</v>
      </c>
      <c r="F543" s="17">
        <f t="shared" si="121"/>
        <v>76</v>
      </c>
      <c r="G543" s="16" t="s">
        <v>19</v>
      </c>
      <c r="H543" s="16" t="s">
        <v>52</v>
      </c>
      <c r="I543" s="16" t="s">
        <v>27</v>
      </c>
      <c r="J543" s="13">
        <v>0.4152777777777778</v>
      </c>
      <c r="K543" s="13"/>
      <c r="L543" s="71" t="str">
        <f t="shared" si="122"/>
        <v/>
      </c>
      <c r="M543" s="11"/>
      <c r="N543" s="41"/>
    </row>
    <row r="544" spans="1:14" ht="15" customHeight="1">
      <c r="A544" s="58">
        <v>46194</v>
      </c>
      <c r="B544" s="9">
        <f t="shared" si="123"/>
        <v>0.41666666666666635</v>
      </c>
      <c r="C544" s="10" t="s">
        <v>45</v>
      </c>
      <c r="D544" s="62" t="s">
        <v>30</v>
      </c>
      <c r="E544" s="11">
        <v>15</v>
      </c>
      <c r="F544" s="12">
        <f t="shared" si="121"/>
        <v>60</v>
      </c>
      <c r="G544" s="10" t="s">
        <v>19</v>
      </c>
      <c r="H544" s="10" t="s">
        <v>57</v>
      </c>
      <c r="I544" s="10" t="s">
        <v>27</v>
      </c>
      <c r="J544" s="13">
        <v>0.4152777777777778</v>
      </c>
      <c r="K544" s="13">
        <v>0.44861111111111113</v>
      </c>
      <c r="L544" s="70">
        <f t="shared" si="122"/>
        <v>3.3333333333333326E-2</v>
      </c>
      <c r="M544" s="11"/>
      <c r="N544" s="41"/>
    </row>
    <row r="545" spans="1:14" ht="15" customHeight="1">
      <c r="A545" s="59">
        <v>46194</v>
      </c>
      <c r="B545" s="15">
        <f t="shared" si="123"/>
        <v>0.45833333333333304</v>
      </c>
      <c r="C545" s="10" t="s">
        <v>45</v>
      </c>
      <c r="D545" s="62" t="s">
        <v>30</v>
      </c>
      <c r="E545" s="11">
        <v>11</v>
      </c>
      <c r="F545" s="17">
        <f t="shared" si="121"/>
        <v>44</v>
      </c>
      <c r="G545" s="16" t="s">
        <v>19</v>
      </c>
      <c r="H545" s="16" t="s">
        <v>52</v>
      </c>
      <c r="I545" s="16"/>
      <c r="J545" s="13">
        <v>0.4152777777777778</v>
      </c>
      <c r="K545" s="13"/>
      <c r="L545" s="71" t="str">
        <f t="shared" si="122"/>
        <v/>
      </c>
      <c r="M545" s="11" t="s">
        <v>357</v>
      </c>
      <c r="N545" s="41"/>
    </row>
    <row r="546" spans="1:14" ht="15" customHeight="1">
      <c r="A546" s="58">
        <v>46194</v>
      </c>
      <c r="B546" s="9">
        <f t="shared" si="123"/>
        <v>0.49999999999999972</v>
      </c>
      <c r="C546" s="10" t="s">
        <v>45</v>
      </c>
      <c r="D546" s="62" t="s">
        <v>30</v>
      </c>
      <c r="E546" s="11">
        <v>0</v>
      </c>
      <c r="F546" s="12">
        <f t="shared" si="121"/>
        <v>0</v>
      </c>
      <c r="G546" s="10"/>
      <c r="H546" s="10"/>
      <c r="I546" s="10"/>
      <c r="J546" s="13"/>
      <c r="K546" s="13"/>
      <c r="L546" s="70" t="str">
        <f t="shared" si="122"/>
        <v/>
      </c>
      <c r="M546" s="11"/>
      <c r="N546" s="41"/>
    </row>
    <row r="547" spans="1:14" ht="15" customHeight="1">
      <c r="A547" s="59">
        <v>46194</v>
      </c>
      <c r="B547" s="15">
        <f t="shared" si="123"/>
        <v>0.54166666666666641</v>
      </c>
      <c r="C547" s="10" t="s">
        <v>45</v>
      </c>
      <c r="D547" s="62" t="s">
        <v>30</v>
      </c>
      <c r="E547" s="11">
        <v>9</v>
      </c>
      <c r="F547" s="17">
        <f t="shared" si="121"/>
        <v>36</v>
      </c>
      <c r="G547" s="16"/>
      <c r="H547" s="16"/>
      <c r="I547" s="16"/>
      <c r="J547" s="13"/>
      <c r="K547" s="13"/>
      <c r="L547" s="71" t="str">
        <f t="shared" si="122"/>
        <v/>
      </c>
      <c r="M547" s="11"/>
      <c r="N547" s="41"/>
    </row>
    <row r="548" spans="1:14" ht="15" customHeight="1">
      <c r="A548" s="58">
        <v>46194</v>
      </c>
      <c r="B548" s="9">
        <f t="shared" si="123"/>
        <v>0.58333333333333304</v>
      </c>
      <c r="C548" s="10" t="s">
        <v>45</v>
      </c>
      <c r="D548" s="62" t="s">
        <v>30</v>
      </c>
      <c r="E548" s="11">
        <v>6</v>
      </c>
      <c r="F548" s="12">
        <f t="shared" si="121"/>
        <v>24</v>
      </c>
      <c r="G548" s="10"/>
      <c r="H548" s="10"/>
      <c r="I548" s="10"/>
      <c r="J548" s="13"/>
      <c r="K548" s="13"/>
      <c r="L548" s="70" t="str">
        <f t="shared" si="122"/>
        <v/>
      </c>
      <c r="M548" s="11"/>
      <c r="N548" s="41"/>
    </row>
    <row r="549" spans="1:14" ht="15" customHeight="1">
      <c r="A549" s="59">
        <v>46194</v>
      </c>
      <c r="B549" s="15">
        <f t="shared" si="123"/>
        <v>0.62499999999999967</v>
      </c>
      <c r="C549" s="10" t="s">
        <v>45</v>
      </c>
      <c r="D549" s="62" t="s">
        <v>30</v>
      </c>
      <c r="E549" s="11">
        <v>11</v>
      </c>
      <c r="F549" s="17">
        <f t="shared" si="121"/>
        <v>44</v>
      </c>
      <c r="G549" s="16"/>
      <c r="H549" s="16"/>
      <c r="I549" s="16"/>
      <c r="J549" s="13"/>
      <c r="K549" s="13"/>
      <c r="L549" s="71" t="str">
        <f t="shared" si="122"/>
        <v/>
      </c>
      <c r="M549" s="11"/>
      <c r="N549" s="41"/>
    </row>
    <row r="550" spans="1:14" ht="15" customHeight="1">
      <c r="A550" s="58">
        <v>46194</v>
      </c>
      <c r="B550" s="9">
        <f t="shared" si="123"/>
        <v>0.6666666666666663</v>
      </c>
      <c r="C550" s="10" t="s">
        <v>45</v>
      </c>
      <c r="D550" s="62" t="s">
        <v>30</v>
      </c>
      <c r="E550" s="11">
        <v>8</v>
      </c>
      <c r="F550" s="12">
        <f t="shared" si="121"/>
        <v>32</v>
      </c>
      <c r="G550" s="10"/>
      <c r="H550" s="10"/>
      <c r="I550" s="10"/>
      <c r="J550" s="13"/>
      <c r="K550" s="13"/>
      <c r="L550" s="70" t="str">
        <f t="shared" si="122"/>
        <v/>
      </c>
      <c r="M550" s="11"/>
      <c r="N550" s="41"/>
    </row>
    <row r="551" spans="1:14" ht="15" customHeight="1">
      <c r="A551" s="59">
        <v>46194</v>
      </c>
      <c r="B551" s="15">
        <f t="shared" si="123"/>
        <v>0.70833333333333293</v>
      </c>
      <c r="C551" s="10" t="s">
        <v>45</v>
      </c>
      <c r="D551" s="62" t="s">
        <v>30</v>
      </c>
      <c r="E551" s="11">
        <v>20</v>
      </c>
      <c r="F551" s="17">
        <f t="shared" si="121"/>
        <v>80</v>
      </c>
      <c r="G551" s="16"/>
      <c r="H551" s="16"/>
      <c r="I551" s="16"/>
      <c r="J551" s="13"/>
      <c r="K551" s="13"/>
      <c r="L551" s="71" t="str">
        <f t="shared" si="122"/>
        <v/>
      </c>
      <c r="M551" s="11"/>
      <c r="N551" s="41"/>
    </row>
    <row r="552" spans="1:14" ht="15" customHeight="1">
      <c r="A552" s="58">
        <v>46194</v>
      </c>
      <c r="B552" s="9">
        <f t="shared" si="123"/>
        <v>0.74999999999999956</v>
      </c>
      <c r="C552" s="10" t="s">
        <v>45</v>
      </c>
      <c r="D552" s="62" t="s">
        <v>30</v>
      </c>
      <c r="E552" s="11">
        <v>15</v>
      </c>
      <c r="F552" s="12">
        <f t="shared" si="121"/>
        <v>60</v>
      </c>
      <c r="G552" s="10"/>
      <c r="H552" s="10"/>
      <c r="I552" s="10"/>
      <c r="J552" s="13"/>
      <c r="K552" s="13"/>
      <c r="L552" s="70" t="str">
        <f t="shared" si="122"/>
        <v/>
      </c>
      <c r="M552" s="11"/>
      <c r="N552" s="41"/>
    </row>
    <row r="553" spans="1:14" ht="15" customHeight="1">
      <c r="A553" s="59">
        <v>46194</v>
      </c>
      <c r="B553" s="15">
        <f t="shared" si="123"/>
        <v>0.79166666666666619</v>
      </c>
      <c r="C553" s="10" t="s">
        <v>45</v>
      </c>
      <c r="D553" s="62" t="s">
        <v>30</v>
      </c>
      <c r="E553" s="11">
        <v>11</v>
      </c>
      <c r="F553" s="17">
        <f t="shared" si="121"/>
        <v>44</v>
      </c>
      <c r="G553" s="16"/>
      <c r="H553" s="16"/>
      <c r="I553" s="16"/>
      <c r="J553" s="13"/>
      <c r="K553" s="13"/>
      <c r="L553" s="71" t="str">
        <f t="shared" si="122"/>
        <v/>
      </c>
      <c r="M553" s="11"/>
      <c r="N553" s="41"/>
    </row>
    <row r="554" spans="1:14" ht="15.75" customHeight="1">
      <c r="A554" s="105" t="s">
        <v>191</v>
      </c>
      <c r="B554" s="105"/>
      <c r="C554" s="105"/>
      <c r="D554" s="105"/>
      <c r="E554" s="19">
        <f>SUM(E542:E553)</f>
        <v>143</v>
      </c>
      <c r="F554" s="19">
        <f>SUM(F542:F553)</f>
        <v>572</v>
      </c>
      <c r="G554" s="38"/>
      <c r="H554" s="38"/>
      <c r="I554" s="38"/>
      <c r="J554" s="38"/>
      <c r="K554" s="38"/>
      <c r="L554" s="72">
        <f>IFERROR(SUM(L542:L553),"")</f>
        <v>3.3333333333333326E-2</v>
      </c>
      <c r="M554" s="19" t="s">
        <v>192</v>
      </c>
      <c r="N554" s="20">
        <v>630510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63" t="s">
        <v>30</v>
      </c>
      <c r="E555" s="11">
        <v>14</v>
      </c>
      <c r="F555" s="17">
        <f t="shared" ref="F555:F566" si="124">IF(E555="","",E555*4)</f>
        <v>56</v>
      </c>
      <c r="G555" s="16" t="s">
        <v>19</v>
      </c>
      <c r="H555" s="16" t="s">
        <v>57</v>
      </c>
      <c r="I555" s="16" t="s">
        <v>27</v>
      </c>
      <c r="J555" s="13">
        <v>0.79166666666666663</v>
      </c>
      <c r="K555" s="13">
        <v>0.82708333333333328</v>
      </c>
      <c r="L555" s="71">
        <f t="shared" ref="L555:L566" si="125">IFERROR(IF(K555="","",IF(K555&gt;=J555,K555-J555,K555+1-J555)),"")</f>
        <v>3.5416666666666652E-2</v>
      </c>
      <c r="M555" s="11"/>
      <c r="N555" s="41"/>
    </row>
    <row r="556" spans="1:14" ht="15" customHeight="1">
      <c r="A556" s="58">
        <v>46194</v>
      </c>
      <c r="B556" s="9">
        <f t="shared" ref="B556:B566" si="126">B555+TIME(0,60,0)</f>
        <v>0.87499999999999967</v>
      </c>
      <c r="C556" s="16" t="s">
        <v>29</v>
      </c>
      <c r="D556" s="63" t="s">
        <v>30</v>
      </c>
      <c r="E556" s="11">
        <v>9</v>
      </c>
      <c r="F556" s="12">
        <f t="shared" si="124"/>
        <v>36</v>
      </c>
      <c r="G556" s="10" t="s">
        <v>20</v>
      </c>
      <c r="H556" s="10" t="s">
        <v>57</v>
      </c>
      <c r="I556" s="10" t="s">
        <v>36</v>
      </c>
      <c r="J556" s="13">
        <v>0.85833333333333328</v>
      </c>
      <c r="K556" s="13">
        <v>0.86944444444444446</v>
      </c>
      <c r="L556" s="70">
        <f t="shared" si="125"/>
        <v>1.1111111111111183E-2</v>
      </c>
      <c r="M556" s="11"/>
      <c r="N556" s="41"/>
    </row>
    <row r="557" spans="1:14" ht="15" customHeight="1">
      <c r="A557" s="59">
        <v>46194</v>
      </c>
      <c r="B557" s="15">
        <f t="shared" si="126"/>
        <v>0.9166666666666663</v>
      </c>
      <c r="C557" s="16" t="s">
        <v>29</v>
      </c>
      <c r="D557" s="63" t="s">
        <v>30</v>
      </c>
      <c r="E557" s="11">
        <v>6</v>
      </c>
      <c r="F557" s="17">
        <f t="shared" si="124"/>
        <v>24</v>
      </c>
      <c r="G557" s="16" t="s">
        <v>20</v>
      </c>
      <c r="H557" s="16" t="s">
        <v>52</v>
      </c>
      <c r="I557" s="16" t="s">
        <v>51</v>
      </c>
      <c r="J557" s="13">
        <v>2.0833333333333333E-3</v>
      </c>
      <c r="K557" s="13">
        <v>4.9305555555555554E-2</v>
      </c>
      <c r="L557" s="71">
        <f t="shared" si="125"/>
        <v>4.7222222222222221E-2</v>
      </c>
      <c r="M557" s="11" t="s">
        <v>358</v>
      </c>
      <c r="N557" s="41"/>
    </row>
    <row r="558" spans="1:14" ht="15" customHeight="1">
      <c r="A558" s="58">
        <v>46194</v>
      </c>
      <c r="B558" s="9">
        <f t="shared" si="126"/>
        <v>0.95833333333333293</v>
      </c>
      <c r="C558" s="16" t="s">
        <v>29</v>
      </c>
      <c r="D558" s="63" t="s">
        <v>30</v>
      </c>
      <c r="E558" s="11">
        <v>2</v>
      </c>
      <c r="F558" s="12">
        <f t="shared" si="124"/>
        <v>8</v>
      </c>
      <c r="G558" s="10" t="s">
        <v>20</v>
      </c>
      <c r="H558" s="10"/>
      <c r="I558" s="10" t="s">
        <v>150</v>
      </c>
      <c r="J558" s="13">
        <v>9.375E-2</v>
      </c>
      <c r="K558" s="13">
        <v>0.11944444444444445</v>
      </c>
      <c r="L558" s="70">
        <f t="shared" si="125"/>
        <v>2.569444444444445E-2</v>
      </c>
      <c r="M558" s="11"/>
      <c r="N558" s="41"/>
    </row>
    <row r="559" spans="1:14" ht="15" customHeight="1">
      <c r="A559" s="59">
        <v>46194</v>
      </c>
      <c r="B559" s="15">
        <f t="shared" si="126"/>
        <v>0.99999999999999956</v>
      </c>
      <c r="C559" s="16" t="s">
        <v>29</v>
      </c>
      <c r="D559" s="63" t="s">
        <v>30</v>
      </c>
      <c r="E559" s="11">
        <v>10</v>
      </c>
      <c r="F559" s="17">
        <f t="shared" si="124"/>
        <v>40</v>
      </c>
      <c r="G559" s="16" t="s">
        <v>20</v>
      </c>
      <c r="H559" s="16" t="s">
        <v>57</v>
      </c>
      <c r="I559" s="16" t="s">
        <v>51</v>
      </c>
      <c r="J559" s="13">
        <v>0.16180555555555556</v>
      </c>
      <c r="K559" s="13">
        <v>0.16666666666666666</v>
      </c>
      <c r="L559" s="71">
        <f t="shared" si="125"/>
        <v>4.8611111111110938E-3</v>
      </c>
      <c r="M559" s="11"/>
      <c r="N559" s="41"/>
    </row>
    <row r="560" spans="1:14" ht="15" customHeight="1">
      <c r="A560" s="58">
        <v>46194</v>
      </c>
      <c r="B560" s="9">
        <f t="shared" si="126"/>
        <v>1.0416666666666663</v>
      </c>
      <c r="C560" s="16" t="s">
        <v>29</v>
      </c>
      <c r="D560" s="63" t="s">
        <v>30</v>
      </c>
      <c r="E560" s="11">
        <v>1</v>
      </c>
      <c r="F560" s="12">
        <f t="shared" si="124"/>
        <v>4</v>
      </c>
      <c r="G560" s="10" t="s">
        <v>16</v>
      </c>
      <c r="H560" s="10" t="s">
        <v>154</v>
      </c>
      <c r="I560" s="10" t="s">
        <v>53</v>
      </c>
      <c r="J560" s="13">
        <v>0.23680555555555555</v>
      </c>
      <c r="K560" s="13">
        <v>0.24791666666666667</v>
      </c>
      <c r="L560" s="70">
        <f t="shared" si="125"/>
        <v>1.1111111111111127E-2</v>
      </c>
      <c r="M560" s="11"/>
      <c r="N560" s="41"/>
    </row>
    <row r="561" spans="1:14" ht="15" customHeight="1">
      <c r="A561" s="59">
        <v>46194</v>
      </c>
      <c r="B561" s="15">
        <f t="shared" si="126"/>
        <v>1.083333333333333</v>
      </c>
      <c r="C561" s="16" t="s">
        <v>29</v>
      </c>
      <c r="D561" s="63" t="s">
        <v>30</v>
      </c>
      <c r="E561" s="11">
        <v>13</v>
      </c>
      <c r="F561" s="17">
        <f t="shared" si="124"/>
        <v>52</v>
      </c>
      <c r="G561" s="16"/>
      <c r="H561" s="16"/>
      <c r="I561" s="16"/>
      <c r="J561" s="13"/>
      <c r="K561" s="13"/>
      <c r="L561" s="71" t="str">
        <f t="shared" si="125"/>
        <v/>
      </c>
      <c r="M561" s="11"/>
      <c r="N561" s="41"/>
    </row>
    <row r="562" spans="1:14" ht="15" customHeight="1">
      <c r="A562" s="58">
        <v>46194</v>
      </c>
      <c r="B562" s="9">
        <f t="shared" si="126"/>
        <v>1.1249999999999998</v>
      </c>
      <c r="C562" s="16" t="s">
        <v>29</v>
      </c>
      <c r="D562" s="63" t="s">
        <v>30</v>
      </c>
      <c r="E562" s="11">
        <v>4</v>
      </c>
      <c r="F562" s="12">
        <f t="shared" si="124"/>
        <v>16</v>
      </c>
      <c r="G562" s="10"/>
      <c r="H562" s="10"/>
      <c r="I562" s="10"/>
      <c r="J562" s="13"/>
      <c r="K562" s="13"/>
      <c r="L562" s="70" t="str">
        <f t="shared" si="125"/>
        <v/>
      </c>
      <c r="M562" s="11"/>
      <c r="N562" s="41"/>
    </row>
    <row r="563" spans="1:14" ht="15" customHeight="1">
      <c r="A563" s="59">
        <v>46194</v>
      </c>
      <c r="B563" s="15">
        <f t="shared" si="126"/>
        <v>1.1666666666666665</v>
      </c>
      <c r="C563" s="16" t="s">
        <v>29</v>
      </c>
      <c r="D563" s="63" t="s">
        <v>30</v>
      </c>
      <c r="E563" s="11">
        <v>17</v>
      </c>
      <c r="F563" s="17">
        <f t="shared" si="124"/>
        <v>68</v>
      </c>
      <c r="G563" s="16"/>
      <c r="H563" s="16"/>
      <c r="I563" s="16"/>
      <c r="J563" s="13"/>
      <c r="K563" s="13"/>
      <c r="L563" s="71" t="str">
        <f t="shared" si="125"/>
        <v/>
      </c>
      <c r="M563" s="11"/>
      <c r="N563" s="41"/>
    </row>
    <row r="564" spans="1:14" ht="15" customHeight="1">
      <c r="A564" s="58">
        <v>46194</v>
      </c>
      <c r="B564" s="9">
        <f t="shared" si="126"/>
        <v>1.2083333333333333</v>
      </c>
      <c r="C564" s="16" t="s">
        <v>29</v>
      </c>
      <c r="D564" s="63" t="s">
        <v>30</v>
      </c>
      <c r="E564" s="11">
        <v>12</v>
      </c>
      <c r="F564" s="12">
        <f t="shared" si="124"/>
        <v>48</v>
      </c>
      <c r="G564" s="10"/>
      <c r="H564" s="10"/>
      <c r="I564" s="10"/>
      <c r="J564" s="13"/>
      <c r="K564" s="13"/>
      <c r="L564" s="70" t="str">
        <f t="shared" si="125"/>
        <v/>
      </c>
      <c r="M564" s="11"/>
      <c r="N564" s="41"/>
    </row>
    <row r="565" spans="1:14" ht="15" customHeight="1">
      <c r="A565" s="59">
        <v>46194</v>
      </c>
      <c r="B565" s="15">
        <f t="shared" si="126"/>
        <v>1.25</v>
      </c>
      <c r="C565" s="16" t="s">
        <v>29</v>
      </c>
      <c r="D565" s="63" t="s">
        <v>30</v>
      </c>
      <c r="E565" s="11">
        <v>10</v>
      </c>
      <c r="F565" s="17">
        <f t="shared" si="124"/>
        <v>40</v>
      </c>
      <c r="G565" s="16"/>
      <c r="H565" s="16"/>
      <c r="I565" s="16"/>
      <c r="J565" s="13"/>
      <c r="K565" s="13"/>
      <c r="L565" s="71" t="str">
        <f t="shared" si="125"/>
        <v/>
      </c>
      <c r="M565" s="11"/>
      <c r="N565" s="41"/>
    </row>
    <row r="566" spans="1:14" ht="15" customHeight="1">
      <c r="A566" s="58">
        <v>46194</v>
      </c>
      <c r="B566" s="9">
        <f t="shared" si="126"/>
        <v>1.2916666666666667</v>
      </c>
      <c r="C566" s="16" t="s">
        <v>29</v>
      </c>
      <c r="D566" s="63" t="s">
        <v>30</v>
      </c>
      <c r="E566" s="11">
        <v>8</v>
      </c>
      <c r="F566" s="12">
        <f t="shared" si="124"/>
        <v>32</v>
      </c>
      <c r="G566" s="10"/>
      <c r="H566" s="10"/>
      <c r="I566" s="10"/>
      <c r="J566" s="13"/>
      <c r="K566" s="13"/>
      <c r="L566" s="70" t="str">
        <f t="shared" si="125"/>
        <v/>
      </c>
      <c r="M566" s="11"/>
      <c r="N566" s="41"/>
    </row>
    <row r="567" spans="1:14" ht="15.75" customHeight="1">
      <c r="A567" s="105" t="s">
        <v>193</v>
      </c>
      <c r="B567" s="105"/>
      <c r="C567" s="105"/>
      <c r="D567" s="105"/>
      <c r="E567" s="19">
        <f>SUM(E555:E566)</f>
        <v>106</v>
      </c>
      <c r="F567" s="19">
        <f>SUM(F555:F566)</f>
        <v>424</v>
      </c>
      <c r="G567" s="38"/>
      <c r="H567" s="38"/>
      <c r="I567" s="38"/>
      <c r="J567" s="38"/>
      <c r="K567" s="38"/>
      <c r="L567" s="72">
        <f>IFERROR(SUM(L555:L566),"")</f>
        <v>0.13541666666666674</v>
      </c>
      <c r="M567" s="19" t="s">
        <v>192</v>
      </c>
      <c r="N567" s="20">
        <v>652080</v>
      </c>
    </row>
    <row r="568" spans="1:14" ht="18" customHeight="1">
      <c r="A568" s="98" t="s">
        <v>194</v>
      </c>
      <c r="B568" s="98"/>
      <c r="C568" s="98"/>
      <c r="D568" s="98"/>
      <c r="E568" s="22">
        <f>E554+E567</f>
        <v>249</v>
      </c>
      <c r="F568" s="22">
        <f>F554+F567</f>
        <v>996</v>
      </c>
      <c r="G568" s="39"/>
      <c r="H568" s="39"/>
      <c r="I568" s="39"/>
      <c r="J568" s="39"/>
      <c r="K568" s="39"/>
      <c r="L568" s="73">
        <f>IFERROR(L554+L567,"")</f>
        <v>0.16875000000000007</v>
      </c>
      <c r="M568" s="22" t="s">
        <v>195</v>
      </c>
      <c r="N568" s="31">
        <f>IFERROR(N554+N567,"")</f>
        <v>1282590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63" t="s">
        <v>30</v>
      </c>
      <c r="E569" s="11">
        <v>12</v>
      </c>
      <c r="F569" s="17">
        <f>IF(E569="","",E569*4)</f>
        <v>48</v>
      </c>
      <c r="G569" s="16" t="s">
        <v>19</v>
      </c>
      <c r="H569" s="16" t="s">
        <v>52</v>
      </c>
      <c r="I569" s="16" t="s">
        <v>27</v>
      </c>
      <c r="J569" s="13">
        <v>0.3611111111111111</v>
      </c>
      <c r="K569" s="13">
        <v>0.40277777777777779</v>
      </c>
      <c r="L569" s="71">
        <f t="shared" ref="L569:L580" si="127">IFERROR(IF(K569="","",IF(K569&gt;=J569,K569-J569,K569+1-J569)),"")</f>
        <v>4.1666666666666685E-2</v>
      </c>
      <c r="M569" s="11"/>
      <c r="N569" s="41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63" t="s">
        <v>30</v>
      </c>
      <c r="E570" s="11">
        <v>15</v>
      </c>
      <c r="F570" s="17">
        <f t="shared" ref="F570:F580" si="129">IF(E570="","",E570*4)</f>
        <v>60</v>
      </c>
      <c r="G570" s="10" t="s">
        <v>19</v>
      </c>
      <c r="H570" s="10" t="s">
        <v>57</v>
      </c>
      <c r="I570" s="10" t="s">
        <v>27</v>
      </c>
      <c r="J570" s="13">
        <v>0.3611111111111111</v>
      </c>
      <c r="K570" s="13">
        <v>0.40277777777777779</v>
      </c>
      <c r="L570" s="70">
        <f t="shared" si="127"/>
        <v>4.1666666666666685E-2</v>
      </c>
      <c r="M570" s="11"/>
      <c r="N570" s="41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63" t="s">
        <v>30</v>
      </c>
      <c r="E571" s="11">
        <v>2</v>
      </c>
      <c r="F571" s="17">
        <f t="shared" si="129"/>
        <v>8</v>
      </c>
      <c r="G571" s="16" t="s">
        <v>19</v>
      </c>
      <c r="H571" s="16" t="s">
        <v>52</v>
      </c>
      <c r="I571" s="16" t="s">
        <v>50</v>
      </c>
      <c r="J571" s="13">
        <v>0.48333333333333334</v>
      </c>
      <c r="K571" s="13">
        <v>0.56041666666666667</v>
      </c>
      <c r="L571" s="71">
        <f t="shared" si="127"/>
        <v>7.7083333333333337E-2</v>
      </c>
      <c r="M571" s="11" t="s">
        <v>359</v>
      </c>
      <c r="N571" s="41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63" t="s">
        <v>30</v>
      </c>
      <c r="E572" s="11">
        <v>18</v>
      </c>
      <c r="F572" s="17">
        <f t="shared" si="129"/>
        <v>72</v>
      </c>
      <c r="G572" s="10" t="s">
        <v>20</v>
      </c>
      <c r="H572" s="10" t="s">
        <v>57</v>
      </c>
      <c r="I572" s="16" t="s">
        <v>156</v>
      </c>
      <c r="J572" s="13">
        <v>0.57430555555555551</v>
      </c>
      <c r="K572" s="13">
        <v>0.59097222222222223</v>
      </c>
      <c r="L572" s="70">
        <f t="shared" si="127"/>
        <v>1.6666666666666718E-2</v>
      </c>
      <c r="M572" s="11" t="s">
        <v>360</v>
      </c>
      <c r="N572" s="41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63" t="s">
        <v>30</v>
      </c>
      <c r="E573" s="11">
        <v>5</v>
      </c>
      <c r="F573" s="17">
        <f t="shared" si="129"/>
        <v>20</v>
      </c>
      <c r="G573" s="16" t="s">
        <v>18</v>
      </c>
      <c r="H573" s="16" t="s">
        <v>144</v>
      </c>
      <c r="I573" s="16" t="s">
        <v>122</v>
      </c>
      <c r="J573" s="13">
        <v>0.66805555555555551</v>
      </c>
      <c r="K573" s="13">
        <v>0.6875</v>
      </c>
      <c r="L573" s="71">
        <f t="shared" si="127"/>
        <v>1.9444444444444486E-2</v>
      </c>
      <c r="M573" s="11"/>
      <c r="N573" s="41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63" t="s">
        <v>30</v>
      </c>
      <c r="E574" s="11">
        <v>2</v>
      </c>
      <c r="F574" s="17">
        <f t="shared" si="129"/>
        <v>8</v>
      </c>
      <c r="G574" s="10" t="s">
        <v>20</v>
      </c>
      <c r="H574" s="10"/>
      <c r="I574" s="10" t="s">
        <v>161</v>
      </c>
      <c r="J574" s="13">
        <v>0.6875</v>
      </c>
      <c r="K574" s="13">
        <v>0.75694444444444442</v>
      </c>
      <c r="L574" s="70">
        <f t="shared" si="127"/>
        <v>6.944444444444442E-2</v>
      </c>
      <c r="M574" s="11"/>
      <c r="N574" s="41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63" t="s">
        <v>30</v>
      </c>
      <c r="E575" s="11">
        <v>0</v>
      </c>
      <c r="F575" s="17">
        <f t="shared" si="129"/>
        <v>0</v>
      </c>
      <c r="G575" s="16"/>
      <c r="H575" s="16"/>
      <c r="I575" s="10"/>
      <c r="J575" s="13"/>
      <c r="K575" s="13"/>
      <c r="L575" s="71"/>
      <c r="M575" s="11"/>
      <c r="N575" s="41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63" t="s">
        <v>30</v>
      </c>
      <c r="E576" s="79">
        <v>23</v>
      </c>
      <c r="F576" s="17">
        <f t="shared" si="129"/>
        <v>92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41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63" t="s">
        <v>30</v>
      </c>
      <c r="E577" s="11">
        <v>18</v>
      </c>
      <c r="F577" s="17">
        <f t="shared" si="129"/>
        <v>72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41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63" t="s">
        <v>30</v>
      </c>
      <c r="E578" s="11">
        <v>12</v>
      </c>
      <c r="F578" s="17">
        <f t="shared" si="129"/>
        <v>48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41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63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41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63" t="s">
        <v>30</v>
      </c>
      <c r="E580" s="11">
        <v>12</v>
      </c>
      <c r="F580" s="17">
        <f t="shared" si="129"/>
        <v>48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41"/>
    </row>
    <row r="581" spans="1:14" ht="15.75" customHeight="1">
      <c r="A581" s="19" t="s">
        <v>191</v>
      </c>
      <c r="B581" s="19"/>
      <c r="C581" s="88"/>
      <c r="D581" s="19"/>
      <c r="E581" s="19">
        <f>SUM(E569:E580)</f>
        <v>119</v>
      </c>
      <c r="F581" s="19">
        <f>SUM(F569:F580)</f>
        <v>476</v>
      </c>
      <c r="G581" s="38"/>
      <c r="H581" s="38"/>
      <c r="I581" s="38"/>
      <c r="J581" s="38"/>
      <c r="K581" s="38"/>
      <c r="L581" s="72">
        <f>IFERROR(SUM(L569:L580),"")</f>
        <v>0.26597222222222233</v>
      </c>
      <c r="M581" s="19" t="s">
        <v>192</v>
      </c>
      <c r="N581" s="20">
        <v>472220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62" t="s">
        <v>30</v>
      </c>
      <c r="E582" s="11">
        <v>0</v>
      </c>
      <c r="F582" s="12">
        <f t="shared" ref="F582:F593" si="130">IF(E582="","",E582*4)</f>
        <v>0</v>
      </c>
      <c r="G582" s="10" t="s">
        <v>19</v>
      </c>
      <c r="H582" s="10" t="s">
        <v>52</v>
      </c>
      <c r="I582" s="10" t="s">
        <v>27</v>
      </c>
      <c r="J582" s="13">
        <v>0.80625000000000002</v>
      </c>
      <c r="K582" s="13">
        <v>0.84791666666666665</v>
      </c>
      <c r="L582" s="70">
        <f t="shared" ref="L582:L593" si="131">IFERROR(IF(K582="","",IF(K582&gt;=J582,K582-J582,K582+1-J582)),"")</f>
        <v>4.166666666666663E-2</v>
      </c>
      <c r="M582" s="11" t="s">
        <v>361</v>
      </c>
      <c r="N582" s="41"/>
    </row>
    <row r="583" spans="1:14" ht="15" customHeight="1">
      <c r="A583" s="59">
        <v>46195</v>
      </c>
      <c r="B583" s="15">
        <f t="shared" ref="B583:B593" si="132">B582+TIME(0,60,0)</f>
        <v>0.87499999999999967</v>
      </c>
      <c r="C583" s="10" t="s">
        <v>29</v>
      </c>
      <c r="D583" s="62" t="s">
        <v>30</v>
      </c>
      <c r="E583" s="11">
        <v>18</v>
      </c>
      <c r="F583" s="17">
        <f t="shared" si="130"/>
        <v>72</v>
      </c>
      <c r="G583" s="16" t="s">
        <v>20</v>
      </c>
      <c r="H583" s="16" t="s">
        <v>52</v>
      </c>
      <c r="I583" s="16" t="s">
        <v>51</v>
      </c>
      <c r="J583" s="13">
        <v>0.93958333333333333</v>
      </c>
      <c r="K583" s="13">
        <v>0.94444444444444442</v>
      </c>
      <c r="L583" s="71">
        <f t="shared" si="131"/>
        <v>4.8611111111110938E-3</v>
      </c>
      <c r="M583" s="11"/>
      <c r="N583" s="41"/>
    </row>
    <row r="584" spans="1:14" ht="15" customHeight="1">
      <c r="A584" s="58">
        <v>46195</v>
      </c>
      <c r="B584" s="9">
        <f t="shared" si="132"/>
        <v>0.9166666666666663</v>
      </c>
      <c r="C584" s="10" t="s">
        <v>29</v>
      </c>
      <c r="D584" s="62" t="s">
        <v>30</v>
      </c>
      <c r="E584" s="11">
        <v>17</v>
      </c>
      <c r="F584" s="12">
        <f t="shared" si="130"/>
        <v>68</v>
      </c>
      <c r="G584" s="10" t="s">
        <v>18</v>
      </c>
      <c r="H584" s="10" t="s">
        <v>52</v>
      </c>
      <c r="I584" s="10" t="s">
        <v>158</v>
      </c>
      <c r="J584" s="13">
        <v>0.9604166666666667</v>
      </c>
      <c r="K584" s="13">
        <v>0.97569444444444442</v>
      </c>
      <c r="L584" s="70">
        <f t="shared" si="131"/>
        <v>1.5277777777777724E-2</v>
      </c>
      <c r="M584" s="11"/>
      <c r="N584" s="41"/>
    </row>
    <row r="585" spans="1:14" ht="15" customHeight="1">
      <c r="A585" s="59">
        <v>46195</v>
      </c>
      <c r="B585" s="15">
        <f t="shared" si="132"/>
        <v>0.95833333333333293</v>
      </c>
      <c r="C585" s="10" t="s">
        <v>29</v>
      </c>
      <c r="D585" s="62" t="s">
        <v>30</v>
      </c>
      <c r="E585" s="11">
        <v>18</v>
      </c>
      <c r="F585" s="17">
        <f t="shared" si="130"/>
        <v>72</v>
      </c>
      <c r="G585" s="16" t="s">
        <v>20</v>
      </c>
      <c r="H585" s="16" t="s">
        <v>57</v>
      </c>
      <c r="I585" s="16" t="s">
        <v>28</v>
      </c>
      <c r="J585" s="13">
        <v>9.0277777777777776E-2</v>
      </c>
      <c r="K585" s="13">
        <v>0.125</v>
      </c>
      <c r="L585" s="71">
        <f t="shared" si="131"/>
        <v>3.4722222222222224E-2</v>
      </c>
      <c r="M585" s="11" t="s">
        <v>279</v>
      </c>
      <c r="N585" s="41"/>
    </row>
    <row r="586" spans="1:14" ht="15" customHeight="1">
      <c r="A586" s="58">
        <v>46195</v>
      </c>
      <c r="B586" s="9">
        <f t="shared" si="132"/>
        <v>0.99999999999999956</v>
      </c>
      <c r="C586" s="10" t="s">
        <v>29</v>
      </c>
      <c r="D586" s="62" t="s">
        <v>30</v>
      </c>
      <c r="E586" s="11">
        <v>8</v>
      </c>
      <c r="F586" s="12">
        <f t="shared" si="130"/>
        <v>32</v>
      </c>
      <c r="G586" s="10" t="s">
        <v>19</v>
      </c>
      <c r="H586" s="10" t="s">
        <v>52</v>
      </c>
      <c r="I586" s="10" t="s">
        <v>27</v>
      </c>
      <c r="J586" s="13">
        <v>0.24722222222222223</v>
      </c>
      <c r="K586" s="13">
        <v>0.2638888888888889</v>
      </c>
      <c r="L586" s="70">
        <f t="shared" si="131"/>
        <v>1.6666666666666663E-2</v>
      </c>
      <c r="M586" s="11" t="s">
        <v>253</v>
      </c>
      <c r="N586" s="41"/>
    </row>
    <row r="587" spans="1:14" ht="15" customHeight="1">
      <c r="A587" s="59">
        <v>46195</v>
      </c>
      <c r="B587" s="15">
        <f t="shared" si="132"/>
        <v>1.0416666666666663</v>
      </c>
      <c r="C587" s="10" t="s">
        <v>29</v>
      </c>
      <c r="D587" s="62" t="s">
        <v>30</v>
      </c>
      <c r="E587" s="11">
        <v>19</v>
      </c>
      <c r="F587" s="17">
        <f t="shared" si="130"/>
        <v>76</v>
      </c>
      <c r="G587" s="16"/>
      <c r="H587" s="16"/>
      <c r="I587" s="16"/>
      <c r="J587" s="13"/>
      <c r="K587" s="13"/>
      <c r="L587" s="71" t="str">
        <f t="shared" si="131"/>
        <v/>
      </c>
      <c r="M587" s="11"/>
      <c r="N587" s="41"/>
    </row>
    <row r="588" spans="1:14" ht="15" customHeight="1">
      <c r="A588" s="58">
        <v>46195</v>
      </c>
      <c r="B588" s="9">
        <f t="shared" si="132"/>
        <v>1.083333333333333</v>
      </c>
      <c r="C588" s="10" t="s">
        <v>29</v>
      </c>
      <c r="D588" s="62" t="s">
        <v>30</v>
      </c>
      <c r="E588" s="11">
        <v>16</v>
      </c>
      <c r="F588" s="12">
        <f t="shared" si="130"/>
        <v>64</v>
      </c>
      <c r="G588" s="10"/>
      <c r="H588" s="10"/>
      <c r="I588" s="10"/>
      <c r="J588" s="13"/>
      <c r="K588" s="13"/>
      <c r="L588" s="70" t="str">
        <f t="shared" si="131"/>
        <v/>
      </c>
      <c r="M588" s="11"/>
      <c r="N588" s="41"/>
    </row>
    <row r="589" spans="1:14" ht="15" customHeight="1">
      <c r="A589" s="59">
        <v>46195</v>
      </c>
      <c r="B589" s="15">
        <f t="shared" si="132"/>
        <v>1.1249999999999998</v>
      </c>
      <c r="C589" s="10" t="s">
        <v>29</v>
      </c>
      <c r="D589" s="62" t="s">
        <v>30</v>
      </c>
      <c r="E589" s="11">
        <v>0</v>
      </c>
      <c r="F589" s="17">
        <f t="shared" si="130"/>
        <v>0</v>
      </c>
      <c r="G589" s="16"/>
      <c r="H589" s="16"/>
      <c r="I589" s="16"/>
      <c r="J589" s="13"/>
      <c r="K589" s="13"/>
      <c r="L589" s="71" t="str">
        <f t="shared" si="131"/>
        <v/>
      </c>
      <c r="M589" s="11"/>
      <c r="N589" s="41"/>
    </row>
    <row r="590" spans="1:14" ht="15" customHeight="1">
      <c r="A590" s="58">
        <v>46195</v>
      </c>
      <c r="B590" s="9">
        <f t="shared" si="132"/>
        <v>1.1666666666666665</v>
      </c>
      <c r="C590" s="10" t="s">
        <v>29</v>
      </c>
      <c r="D590" s="62" t="s">
        <v>30</v>
      </c>
      <c r="E590" s="11">
        <v>12</v>
      </c>
      <c r="F590" s="12">
        <f t="shared" si="130"/>
        <v>48</v>
      </c>
      <c r="G590" s="10"/>
      <c r="H590" s="10"/>
      <c r="I590" s="10"/>
      <c r="J590" s="13"/>
      <c r="K590" s="13"/>
      <c r="L590" s="70" t="str">
        <f t="shared" si="131"/>
        <v/>
      </c>
      <c r="M590" s="11"/>
      <c r="N590" s="41"/>
    </row>
    <row r="591" spans="1:14" ht="15" customHeight="1">
      <c r="A591" s="59">
        <v>46195</v>
      </c>
      <c r="B591" s="15">
        <f t="shared" si="132"/>
        <v>1.2083333333333333</v>
      </c>
      <c r="C591" s="10" t="s">
        <v>29</v>
      </c>
      <c r="D591" s="62" t="s">
        <v>30</v>
      </c>
      <c r="E591" s="11">
        <v>12</v>
      </c>
      <c r="F591" s="17">
        <f t="shared" si="130"/>
        <v>48</v>
      </c>
      <c r="G591" s="16"/>
      <c r="H591" s="16"/>
      <c r="I591" s="16"/>
      <c r="J591" s="13"/>
      <c r="K591" s="13"/>
      <c r="L591" s="71" t="str">
        <f t="shared" si="131"/>
        <v/>
      </c>
      <c r="M591" s="11"/>
      <c r="N591" s="41"/>
    </row>
    <row r="592" spans="1:14" ht="15" customHeight="1">
      <c r="A592" s="58">
        <v>46195</v>
      </c>
      <c r="B592" s="9">
        <f t="shared" si="132"/>
        <v>1.25</v>
      </c>
      <c r="C592" s="10" t="s">
        <v>29</v>
      </c>
      <c r="D592" s="62" t="s">
        <v>30</v>
      </c>
      <c r="E592" s="11">
        <v>9</v>
      </c>
      <c r="F592" s="12">
        <f t="shared" si="130"/>
        <v>36</v>
      </c>
      <c r="G592" s="10"/>
      <c r="H592" s="10"/>
      <c r="I592" s="10"/>
      <c r="J592" s="13"/>
      <c r="K592" s="13"/>
      <c r="L592" s="70" t="str">
        <f t="shared" si="131"/>
        <v/>
      </c>
      <c r="M592" s="11"/>
      <c r="N592" s="41"/>
    </row>
    <row r="593" spans="1:14" ht="15" customHeight="1">
      <c r="A593" s="59">
        <v>46195</v>
      </c>
      <c r="B593" s="15">
        <f t="shared" si="132"/>
        <v>1.2916666666666667</v>
      </c>
      <c r="C593" s="10" t="s">
        <v>29</v>
      </c>
      <c r="D593" s="62" t="s">
        <v>30</v>
      </c>
      <c r="E593" s="11">
        <v>0</v>
      </c>
      <c r="F593" s="17">
        <f t="shared" si="130"/>
        <v>0</v>
      </c>
      <c r="G593" s="16"/>
      <c r="H593" s="16"/>
      <c r="I593" s="16"/>
      <c r="J593" s="13"/>
      <c r="K593" s="13"/>
      <c r="L593" s="71" t="str">
        <f t="shared" si="131"/>
        <v/>
      </c>
      <c r="M593" s="11"/>
      <c r="N593" s="41"/>
    </row>
    <row r="594" spans="1:14" ht="15.75" customHeight="1">
      <c r="A594" s="105" t="s">
        <v>193</v>
      </c>
      <c r="B594" s="105"/>
      <c r="C594" s="105"/>
      <c r="D594" s="105"/>
      <c r="E594" s="19">
        <f>SUM(E582:E593)</f>
        <v>129</v>
      </c>
      <c r="F594" s="19">
        <f>SUM(F582:F593)</f>
        <v>516</v>
      </c>
      <c r="G594" s="38"/>
      <c r="H594" s="38"/>
      <c r="I594" s="38"/>
      <c r="J594" s="38"/>
      <c r="K594" s="38"/>
      <c r="L594" s="72">
        <f>IFERROR(SUM(L582:L593),"")</f>
        <v>0.11319444444444433</v>
      </c>
      <c r="M594" s="19" t="s">
        <v>192</v>
      </c>
      <c r="N594" s="20">
        <v>800310</v>
      </c>
    </row>
    <row r="595" spans="1:14" ht="18" customHeight="1">
      <c r="A595" s="98" t="s">
        <v>194</v>
      </c>
      <c r="B595" s="98"/>
      <c r="C595" s="98"/>
      <c r="D595" s="98"/>
      <c r="E595" s="22">
        <f>E581+E594</f>
        <v>248</v>
      </c>
      <c r="F595" s="22">
        <f>F581+F594</f>
        <v>992</v>
      </c>
      <c r="G595" s="39"/>
      <c r="H595" s="39"/>
      <c r="I595" s="39"/>
      <c r="J595" s="39"/>
      <c r="K595" s="39"/>
      <c r="L595" s="73">
        <f>IFERROR(L581+L594,"")</f>
        <v>0.37916666666666665</v>
      </c>
      <c r="M595" s="22" t="s">
        <v>195</v>
      </c>
      <c r="N595" s="31">
        <f>IFERROR(N581+N594,"")</f>
        <v>1272530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62" t="s">
        <v>30</v>
      </c>
      <c r="E596" s="11">
        <v>22</v>
      </c>
      <c r="F596" s="12">
        <f t="shared" ref="F596:F607" si="133">IF(E596="","",E596*4)</f>
        <v>88</v>
      </c>
      <c r="G596" s="10" t="s">
        <v>19</v>
      </c>
      <c r="H596" s="10" t="s">
        <v>52</v>
      </c>
      <c r="I596" s="10" t="s">
        <v>27</v>
      </c>
      <c r="J596" s="13">
        <v>0.53333333333333333</v>
      </c>
      <c r="K596" s="13">
        <v>0.55138888888888893</v>
      </c>
      <c r="L596" s="70">
        <f t="shared" ref="L596:L607" si="134">IFERROR(IF(K596="","",IF(K596&gt;=J596,K596-J596,K596+1-J596)),"")</f>
        <v>1.8055555555555602E-2</v>
      </c>
      <c r="M596" s="11"/>
      <c r="N596" s="41"/>
    </row>
    <row r="597" spans="1:14" ht="15" customHeight="1">
      <c r="A597" s="59">
        <v>46196</v>
      </c>
      <c r="B597" s="15">
        <f t="shared" ref="B597:B607" si="135">B596+TIME(0,60,0)</f>
        <v>0.37499999999999967</v>
      </c>
      <c r="C597" s="10" t="s">
        <v>45</v>
      </c>
      <c r="D597" s="62" t="s">
        <v>30</v>
      </c>
      <c r="E597" s="11">
        <v>29</v>
      </c>
      <c r="F597" s="17">
        <f t="shared" si="133"/>
        <v>116</v>
      </c>
      <c r="G597" s="16" t="s">
        <v>20</v>
      </c>
      <c r="H597" s="16" t="s">
        <v>124</v>
      </c>
      <c r="I597" s="16" t="s">
        <v>107</v>
      </c>
      <c r="J597" s="13">
        <v>0.56944444444444442</v>
      </c>
      <c r="K597" s="13">
        <v>0.58402777777777781</v>
      </c>
      <c r="L597" s="71">
        <f t="shared" si="134"/>
        <v>1.4583333333333393E-2</v>
      </c>
      <c r="M597" s="11"/>
      <c r="N597" s="41"/>
    </row>
    <row r="598" spans="1:14" ht="15" customHeight="1">
      <c r="A598" s="58">
        <v>46196</v>
      </c>
      <c r="B598" s="9">
        <f t="shared" si="135"/>
        <v>0.41666666666666635</v>
      </c>
      <c r="C598" s="10" t="s">
        <v>45</v>
      </c>
      <c r="D598" s="62" t="s">
        <v>30</v>
      </c>
      <c r="E598" s="11">
        <v>25</v>
      </c>
      <c r="F598" s="12">
        <f t="shared" si="133"/>
        <v>100</v>
      </c>
      <c r="G598" s="16" t="s">
        <v>20</v>
      </c>
      <c r="H598" s="10" t="s">
        <v>124</v>
      </c>
      <c r="I598" s="10" t="s">
        <v>107</v>
      </c>
      <c r="J598" s="13">
        <v>0.59305555555555556</v>
      </c>
      <c r="K598" s="13">
        <v>0.60277777777777775</v>
      </c>
      <c r="L598" s="70">
        <f t="shared" si="134"/>
        <v>9.7222222222221877E-3</v>
      </c>
      <c r="M598" s="11"/>
      <c r="N598" s="41"/>
    </row>
    <row r="599" spans="1:14" ht="15" customHeight="1">
      <c r="A599" s="59">
        <v>46196</v>
      </c>
      <c r="B599" s="15">
        <f t="shared" si="135"/>
        <v>0.45833333333333304</v>
      </c>
      <c r="C599" s="10" t="s">
        <v>45</v>
      </c>
      <c r="D599" s="62" t="s">
        <v>30</v>
      </c>
      <c r="E599" s="11">
        <v>16</v>
      </c>
      <c r="F599" s="17">
        <f t="shared" si="133"/>
        <v>64</v>
      </c>
      <c r="G599" s="16" t="s">
        <v>20</v>
      </c>
      <c r="H599" s="16" t="s">
        <v>124</v>
      </c>
      <c r="I599" s="16" t="s">
        <v>107</v>
      </c>
      <c r="J599" s="13">
        <v>0.61319444444444449</v>
      </c>
      <c r="K599" s="13">
        <v>0.62152777777777779</v>
      </c>
      <c r="L599" s="71">
        <f t="shared" si="134"/>
        <v>8.3333333333333037E-3</v>
      </c>
      <c r="M599" s="11"/>
      <c r="N599" s="41"/>
    </row>
    <row r="600" spans="1:14" ht="15" customHeight="1">
      <c r="A600" s="58">
        <v>46196</v>
      </c>
      <c r="B600" s="9">
        <f t="shared" si="135"/>
        <v>0.49999999999999972</v>
      </c>
      <c r="C600" s="10" t="s">
        <v>45</v>
      </c>
      <c r="D600" s="62" t="s">
        <v>30</v>
      </c>
      <c r="E600" s="11">
        <v>9</v>
      </c>
      <c r="F600" s="12">
        <f t="shared" si="133"/>
        <v>36</v>
      </c>
      <c r="G600" s="10" t="s">
        <v>20</v>
      </c>
      <c r="H600" s="10" t="s">
        <v>124</v>
      </c>
      <c r="I600" s="10" t="s">
        <v>107</v>
      </c>
      <c r="J600" s="13">
        <v>0.65</v>
      </c>
      <c r="K600" s="13">
        <v>0.67152777777777772</v>
      </c>
      <c r="L600" s="70">
        <f t="shared" si="134"/>
        <v>2.1527777777777701E-2</v>
      </c>
      <c r="M600" s="11" t="s">
        <v>362</v>
      </c>
      <c r="N600" s="41"/>
    </row>
    <row r="601" spans="1:14" ht="15" customHeight="1">
      <c r="A601" s="59">
        <v>46196</v>
      </c>
      <c r="B601" s="15">
        <f t="shared" si="135"/>
        <v>0.54166666666666641</v>
      </c>
      <c r="C601" s="10" t="s">
        <v>45</v>
      </c>
      <c r="D601" s="62" t="s">
        <v>30</v>
      </c>
      <c r="E601" s="11">
        <v>23</v>
      </c>
      <c r="F601" s="17">
        <f t="shared" si="133"/>
        <v>92</v>
      </c>
      <c r="G601" s="16" t="s">
        <v>18</v>
      </c>
      <c r="H601" s="16" t="s">
        <v>57</v>
      </c>
      <c r="I601" s="16" t="s">
        <v>42</v>
      </c>
      <c r="J601" s="13">
        <v>0.68958333333333333</v>
      </c>
      <c r="K601" s="13"/>
      <c r="L601" s="71" t="str">
        <f t="shared" si="134"/>
        <v/>
      </c>
      <c r="M601" s="11"/>
      <c r="N601" s="41"/>
    </row>
    <row r="602" spans="1:14" ht="15" customHeight="1">
      <c r="A602" s="58">
        <v>46196</v>
      </c>
      <c r="B602" s="9">
        <f t="shared" si="135"/>
        <v>0.58333333333333304</v>
      </c>
      <c r="C602" s="10" t="s">
        <v>45</v>
      </c>
      <c r="D602" s="62" t="s">
        <v>30</v>
      </c>
      <c r="E602" s="11">
        <v>9</v>
      </c>
      <c r="F602" s="12">
        <f t="shared" si="133"/>
        <v>36</v>
      </c>
      <c r="G602" s="10"/>
      <c r="H602" s="10"/>
      <c r="I602" s="10"/>
      <c r="J602" s="13"/>
      <c r="K602" s="13"/>
      <c r="L602" s="70" t="str">
        <f t="shared" si="134"/>
        <v/>
      </c>
      <c r="M602" s="11"/>
      <c r="N602" s="41"/>
    </row>
    <row r="603" spans="1:14" ht="15" customHeight="1">
      <c r="A603" s="59">
        <v>46196</v>
      </c>
      <c r="B603" s="15">
        <f t="shared" si="135"/>
        <v>0.62499999999999967</v>
      </c>
      <c r="C603" s="10" t="s">
        <v>45</v>
      </c>
      <c r="D603" s="62" t="s">
        <v>30</v>
      </c>
      <c r="E603" s="11">
        <v>14</v>
      </c>
      <c r="F603" s="17">
        <f t="shared" si="133"/>
        <v>56</v>
      </c>
      <c r="G603" s="16"/>
      <c r="H603" s="16"/>
      <c r="I603" s="16"/>
      <c r="J603" s="13"/>
      <c r="K603" s="13"/>
      <c r="L603" s="71" t="str">
        <f t="shared" si="134"/>
        <v/>
      </c>
      <c r="M603" s="11"/>
      <c r="N603" s="41"/>
    </row>
    <row r="604" spans="1:14" ht="15" customHeight="1">
      <c r="A604" s="58">
        <v>46196</v>
      </c>
      <c r="B604" s="9">
        <f t="shared" si="135"/>
        <v>0.6666666666666663</v>
      </c>
      <c r="C604" s="10" t="s">
        <v>45</v>
      </c>
      <c r="D604" s="62" t="s">
        <v>30</v>
      </c>
      <c r="E604" s="11">
        <v>5</v>
      </c>
      <c r="F604" s="12">
        <f t="shared" si="133"/>
        <v>20</v>
      </c>
      <c r="G604" s="10"/>
      <c r="H604" s="10"/>
      <c r="I604" s="10"/>
      <c r="J604" s="13"/>
      <c r="K604" s="13"/>
      <c r="L604" s="70" t="str">
        <f t="shared" si="134"/>
        <v/>
      </c>
      <c r="M604" s="11"/>
      <c r="N604" s="41"/>
    </row>
    <row r="605" spans="1:14" ht="15" customHeight="1">
      <c r="A605" s="59">
        <v>46196</v>
      </c>
      <c r="B605" s="15">
        <f t="shared" si="135"/>
        <v>0.70833333333333293</v>
      </c>
      <c r="C605" s="10" t="s">
        <v>45</v>
      </c>
      <c r="D605" s="62" t="s">
        <v>30</v>
      </c>
      <c r="E605" s="11">
        <v>0</v>
      </c>
      <c r="F605" s="17">
        <f t="shared" si="133"/>
        <v>0</v>
      </c>
      <c r="G605" s="16"/>
      <c r="H605" s="16"/>
      <c r="I605" s="16"/>
      <c r="J605" s="13"/>
      <c r="K605" s="13"/>
      <c r="L605" s="71" t="str">
        <f t="shared" si="134"/>
        <v/>
      </c>
      <c r="M605" s="11"/>
      <c r="N605" s="41"/>
    </row>
    <row r="606" spans="1:14" ht="15" customHeight="1">
      <c r="A606" s="58">
        <v>46196</v>
      </c>
      <c r="B606" s="9">
        <f t="shared" si="135"/>
        <v>0.74999999999999956</v>
      </c>
      <c r="C606" s="10" t="s">
        <v>45</v>
      </c>
      <c r="D606" s="62" t="s">
        <v>30</v>
      </c>
      <c r="E606" s="11">
        <v>0</v>
      </c>
      <c r="F606" s="12">
        <f t="shared" si="133"/>
        <v>0</v>
      </c>
      <c r="G606" s="10"/>
      <c r="H606" s="10"/>
      <c r="I606" s="10"/>
      <c r="J606" s="13"/>
      <c r="K606" s="13"/>
      <c r="L606" s="70" t="str">
        <f t="shared" si="134"/>
        <v/>
      </c>
      <c r="M606" s="11"/>
      <c r="N606" s="41"/>
    </row>
    <row r="607" spans="1:14" ht="15" customHeight="1">
      <c r="A607" s="59">
        <v>46196</v>
      </c>
      <c r="B607" s="15">
        <f t="shared" si="135"/>
        <v>0.79166666666666619</v>
      </c>
      <c r="C607" s="10" t="s">
        <v>45</v>
      </c>
      <c r="D607" s="62" t="s">
        <v>30</v>
      </c>
      <c r="E607" s="11">
        <v>0</v>
      </c>
      <c r="F607" s="17">
        <f t="shared" si="133"/>
        <v>0</v>
      </c>
      <c r="G607" s="10"/>
      <c r="H607" s="10"/>
      <c r="I607" s="10"/>
      <c r="J607" s="13"/>
      <c r="K607" s="13"/>
      <c r="L607" s="71" t="str">
        <f t="shared" si="134"/>
        <v/>
      </c>
      <c r="M607" s="11"/>
      <c r="N607" s="41"/>
    </row>
    <row r="608" spans="1:14" ht="15.75" customHeight="1">
      <c r="A608" s="105" t="s">
        <v>191</v>
      </c>
      <c r="B608" s="105"/>
      <c r="C608" s="105"/>
      <c r="D608" s="105"/>
      <c r="E608" s="19">
        <f>SUM(E596:E607)</f>
        <v>152</v>
      </c>
      <c r="F608" s="19">
        <f>SUM(F596:F607)</f>
        <v>608</v>
      </c>
      <c r="G608" s="38"/>
      <c r="H608" s="38"/>
      <c r="I608" s="38"/>
      <c r="J608" s="38"/>
      <c r="K608" s="38"/>
      <c r="L608" s="72">
        <f>IFERROR(SUM(L596:L607),"")</f>
        <v>7.2222222222222188E-2</v>
      </c>
      <c r="M608" s="19" t="s">
        <v>192</v>
      </c>
      <c r="N608" s="20">
        <v>600580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63" t="s">
        <v>30</v>
      </c>
      <c r="E609" s="11">
        <v>0</v>
      </c>
      <c r="F609" s="17">
        <f t="shared" ref="F609:F620" si="136">IF(E609="","",E609*4)</f>
        <v>0</v>
      </c>
      <c r="G609" s="16" t="s">
        <v>18</v>
      </c>
      <c r="H609" s="16" t="s">
        <v>57</v>
      </c>
      <c r="I609" s="16" t="s">
        <v>42</v>
      </c>
      <c r="J609" s="13">
        <v>0.79166666666666663</v>
      </c>
      <c r="K609" s="13">
        <v>0.18055555555555555</v>
      </c>
      <c r="L609" s="71">
        <f t="shared" ref="L609:L620" si="137">IFERROR(IF(K609="","",IF(K609&gt;=J609,K609-J609,K609+1-J609)),"")</f>
        <v>0.38888888888888895</v>
      </c>
      <c r="M609" s="11"/>
      <c r="N609" s="41"/>
    </row>
    <row r="610" spans="1:14" ht="15" customHeight="1">
      <c r="A610" s="58">
        <v>46196</v>
      </c>
      <c r="B610" s="9">
        <f t="shared" ref="B610:B620" si="138">B609+TIME(0,60,0)</f>
        <v>0.87499999999999967</v>
      </c>
      <c r="C610" s="16" t="s">
        <v>29</v>
      </c>
      <c r="D610" s="63" t="s">
        <v>30</v>
      </c>
      <c r="E610" s="11">
        <v>0</v>
      </c>
      <c r="F610" s="12">
        <f t="shared" si="136"/>
        <v>0</v>
      </c>
      <c r="G610" s="10" t="s">
        <v>18</v>
      </c>
      <c r="H610" s="10"/>
      <c r="I610" s="10"/>
      <c r="J610" s="13"/>
      <c r="K610" s="13"/>
      <c r="L610" s="70" t="str">
        <f t="shared" si="137"/>
        <v/>
      </c>
      <c r="M610" s="11"/>
      <c r="N610" s="41"/>
    </row>
    <row r="611" spans="1:14" ht="15" customHeight="1">
      <c r="A611" s="59">
        <v>46196</v>
      </c>
      <c r="B611" s="15">
        <f t="shared" si="138"/>
        <v>0.9166666666666663</v>
      </c>
      <c r="C611" s="16" t="s">
        <v>29</v>
      </c>
      <c r="D611" s="63" t="s">
        <v>30</v>
      </c>
      <c r="E611" s="11">
        <v>0</v>
      </c>
      <c r="F611" s="17">
        <f t="shared" si="136"/>
        <v>0</v>
      </c>
      <c r="G611" s="16"/>
      <c r="H611" s="16"/>
      <c r="I611" s="16"/>
      <c r="J611" s="13"/>
      <c r="K611" s="13"/>
      <c r="L611" s="71" t="str">
        <f t="shared" si="137"/>
        <v/>
      </c>
      <c r="M611" s="11"/>
      <c r="N611" s="41"/>
    </row>
    <row r="612" spans="1:14" ht="15" customHeight="1">
      <c r="A612" s="58">
        <v>46196</v>
      </c>
      <c r="B612" s="9">
        <f t="shared" si="138"/>
        <v>0.95833333333333293</v>
      </c>
      <c r="C612" s="16" t="s">
        <v>29</v>
      </c>
      <c r="D612" s="63" t="s">
        <v>30</v>
      </c>
      <c r="E612" s="11">
        <v>0</v>
      </c>
      <c r="F612" s="12">
        <f t="shared" si="136"/>
        <v>0</v>
      </c>
      <c r="G612" s="10"/>
      <c r="H612" s="10"/>
      <c r="I612" s="10"/>
      <c r="J612" s="13"/>
      <c r="K612" s="13"/>
      <c r="L612" s="70" t="str">
        <f t="shared" si="137"/>
        <v/>
      </c>
      <c r="M612" s="11"/>
      <c r="N612" s="41"/>
    </row>
    <row r="613" spans="1:14" ht="15" customHeight="1">
      <c r="A613" s="59">
        <v>46196</v>
      </c>
      <c r="B613" s="15">
        <f t="shared" si="138"/>
        <v>0.99999999999999956</v>
      </c>
      <c r="C613" s="16" t="s">
        <v>29</v>
      </c>
      <c r="D613" s="63" t="s">
        <v>30</v>
      </c>
      <c r="E613" s="11">
        <v>0</v>
      </c>
      <c r="F613" s="17">
        <f t="shared" si="136"/>
        <v>0</v>
      </c>
      <c r="G613" s="16"/>
      <c r="H613" s="16"/>
      <c r="I613" s="16"/>
      <c r="J613" s="13"/>
      <c r="K613" s="13"/>
      <c r="L613" s="71" t="str">
        <f t="shared" si="137"/>
        <v/>
      </c>
      <c r="M613" s="11"/>
      <c r="N613" s="41"/>
    </row>
    <row r="614" spans="1:14" ht="15" customHeight="1">
      <c r="A614" s="58">
        <v>46196</v>
      </c>
      <c r="B614" s="9">
        <f t="shared" si="138"/>
        <v>1.0416666666666663</v>
      </c>
      <c r="C614" s="16" t="s">
        <v>29</v>
      </c>
      <c r="D614" s="63" t="s">
        <v>30</v>
      </c>
      <c r="E614" s="11">
        <v>0</v>
      </c>
      <c r="F614" s="12">
        <f t="shared" si="136"/>
        <v>0</v>
      </c>
      <c r="G614" s="10"/>
      <c r="H614" s="10"/>
      <c r="I614" s="10"/>
      <c r="J614" s="13"/>
      <c r="K614" s="13"/>
      <c r="L614" s="70" t="str">
        <f t="shared" si="137"/>
        <v/>
      </c>
      <c r="M614" s="11"/>
      <c r="N614" s="41"/>
    </row>
    <row r="615" spans="1:14" ht="15" customHeight="1">
      <c r="A615" s="59">
        <v>46196</v>
      </c>
      <c r="B615" s="15">
        <f t="shared" si="138"/>
        <v>1.083333333333333</v>
      </c>
      <c r="C615" s="16" t="s">
        <v>29</v>
      </c>
      <c r="D615" s="63" t="s">
        <v>30</v>
      </c>
      <c r="E615" s="11">
        <v>0</v>
      </c>
      <c r="F615" s="17">
        <v>0</v>
      </c>
      <c r="G615" s="16"/>
      <c r="H615" s="16"/>
      <c r="I615" s="16"/>
      <c r="J615" s="13"/>
      <c r="K615" s="13"/>
      <c r="L615" s="71" t="str">
        <f t="shared" si="137"/>
        <v/>
      </c>
      <c r="M615" s="11"/>
      <c r="N615" s="41"/>
    </row>
    <row r="616" spans="1:14" ht="15" customHeight="1">
      <c r="A616" s="58">
        <v>46196</v>
      </c>
      <c r="B616" s="9">
        <f t="shared" si="138"/>
        <v>1.1249999999999998</v>
      </c>
      <c r="C616" s="16" t="s">
        <v>29</v>
      </c>
      <c r="D616" s="63" t="s">
        <v>30</v>
      </c>
      <c r="E616" s="11">
        <v>8</v>
      </c>
      <c r="F616" s="12">
        <f t="shared" si="136"/>
        <v>32</v>
      </c>
      <c r="G616" s="10"/>
      <c r="H616" s="10"/>
      <c r="I616" s="10"/>
      <c r="J616" s="13"/>
      <c r="K616" s="13"/>
      <c r="L616" s="70" t="str">
        <f t="shared" si="137"/>
        <v/>
      </c>
      <c r="M616" s="11"/>
      <c r="N616" s="41"/>
    </row>
    <row r="617" spans="1:14" ht="15" customHeight="1">
      <c r="A617" s="59">
        <v>46196</v>
      </c>
      <c r="B617" s="15">
        <f t="shared" si="138"/>
        <v>1.1666666666666665</v>
      </c>
      <c r="C617" s="16" t="s">
        <v>29</v>
      </c>
      <c r="D617" s="63" t="s">
        <v>30</v>
      </c>
      <c r="E617" s="11">
        <v>5</v>
      </c>
      <c r="F617" s="17">
        <f t="shared" si="136"/>
        <v>20</v>
      </c>
      <c r="G617" s="16" t="s">
        <v>18</v>
      </c>
      <c r="H617" s="16" t="s">
        <v>52</v>
      </c>
      <c r="I617" s="16" t="s">
        <v>162</v>
      </c>
      <c r="J617" s="13">
        <v>0.18055555555555555</v>
      </c>
      <c r="K617" s="13">
        <v>0.22916666666666666</v>
      </c>
      <c r="L617" s="71">
        <f t="shared" si="137"/>
        <v>4.8611111111111105E-2</v>
      </c>
      <c r="M617" s="11" t="s">
        <v>363</v>
      </c>
      <c r="N617" s="41"/>
    </row>
    <row r="618" spans="1:14" ht="15" customHeight="1">
      <c r="A618" s="58">
        <v>46196</v>
      </c>
      <c r="B618" s="9">
        <f t="shared" si="138"/>
        <v>1.2083333333333333</v>
      </c>
      <c r="C618" s="16" t="s">
        <v>29</v>
      </c>
      <c r="D618" s="63" t="s">
        <v>30</v>
      </c>
      <c r="E618" s="11">
        <v>8</v>
      </c>
      <c r="F618" s="12">
        <f t="shared" si="136"/>
        <v>32</v>
      </c>
      <c r="G618" s="10"/>
      <c r="H618" s="10"/>
      <c r="I618" s="10"/>
      <c r="J618" s="13"/>
      <c r="K618" s="13"/>
      <c r="L618" s="70" t="str">
        <f t="shared" si="137"/>
        <v/>
      </c>
      <c r="M618" s="11"/>
      <c r="N618" s="41"/>
    </row>
    <row r="619" spans="1:14" ht="15" customHeight="1">
      <c r="A619" s="59">
        <v>46196</v>
      </c>
      <c r="B619" s="15">
        <f t="shared" si="138"/>
        <v>1.25</v>
      </c>
      <c r="C619" s="16" t="s">
        <v>29</v>
      </c>
      <c r="D619" s="63" t="s">
        <v>30</v>
      </c>
      <c r="E619" s="11"/>
      <c r="F619" s="17" t="str">
        <f t="shared" si="136"/>
        <v/>
      </c>
      <c r="G619" s="16"/>
      <c r="H619" s="16"/>
      <c r="I619" s="16"/>
      <c r="J619" s="13"/>
      <c r="K619" s="13"/>
      <c r="L619" s="71" t="str">
        <f t="shared" si="137"/>
        <v/>
      </c>
      <c r="M619" s="11"/>
      <c r="N619" s="41"/>
    </row>
    <row r="620" spans="1:14" ht="15" customHeight="1">
      <c r="A620" s="58">
        <v>46196</v>
      </c>
      <c r="B620" s="9">
        <f t="shared" si="138"/>
        <v>1.2916666666666667</v>
      </c>
      <c r="C620" s="16" t="s">
        <v>29</v>
      </c>
      <c r="D620" s="63" t="s">
        <v>30</v>
      </c>
      <c r="E620" s="11"/>
      <c r="F620" s="12" t="str">
        <f t="shared" si="136"/>
        <v/>
      </c>
      <c r="G620" s="10"/>
      <c r="H620" s="10"/>
      <c r="I620" s="10"/>
      <c r="J620" s="13"/>
      <c r="K620" s="13"/>
      <c r="L620" s="70" t="str">
        <f t="shared" si="137"/>
        <v/>
      </c>
      <c r="M620" s="11"/>
      <c r="N620" s="41"/>
    </row>
    <row r="621" spans="1:14" ht="15.75" customHeight="1">
      <c r="A621" s="105" t="s">
        <v>193</v>
      </c>
      <c r="B621" s="105"/>
      <c r="C621" s="105"/>
      <c r="D621" s="105"/>
      <c r="E621" s="19">
        <f>SUM(E609:E620)</f>
        <v>21</v>
      </c>
      <c r="F621" s="19">
        <f>SUM(F609:F620)</f>
        <v>84</v>
      </c>
      <c r="G621" s="38"/>
      <c r="H621" s="38"/>
      <c r="I621" s="38"/>
      <c r="J621" s="38"/>
      <c r="K621" s="38"/>
      <c r="L621" s="72">
        <f>IFERROR(SUM(L609:L620),"")</f>
        <v>0.43750000000000006</v>
      </c>
      <c r="M621" s="19" t="s">
        <v>192</v>
      </c>
      <c r="N621" s="20">
        <v>141320</v>
      </c>
    </row>
    <row r="622" spans="1:14" ht="18" customHeight="1">
      <c r="A622" s="98" t="s">
        <v>194</v>
      </c>
      <c r="B622" s="98"/>
      <c r="C622" s="98"/>
      <c r="D622" s="98"/>
      <c r="E622" s="22">
        <f>E608+E621</f>
        <v>173</v>
      </c>
      <c r="F622" s="22">
        <f>F608+F621</f>
        <v>692</v>
      </c>
      <c r="G622" s="39"/>
      <c r="H622" s="39"/>
      <c r="I622" s="39"/>
      <c r="J622" s="39"/>
      <c r="K622" s="39"/>
      <c r="L622" s="73">
        <f>IFERROR(L608+L621,"")</f>
        <v>0.50972222222222219</v>
      </c>
      <c r="M622" s="22" t="s">
        <v>195</v>
      </c>
      <c r="N622" s="31">
        <f>IFERROR(N608+N621,"")</f>
        <v>741900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63" t="s">
        <v>30</v>
      </c>
      <c r="E623" s="11">
        <v>0</v>
      </c>
      <c r="F623" s="17">
        <f t="shared" ref="F623:F634" si="139">IF(E623="","",E623*4)</f>
        <v>0</v>
      </c>
      <c r="G623" s="16" t="s">
        <v>18</v>
      </c>
      <c r="H623" s="16" t="s">
        <v>57</v>
      </c>
      <c r="I623" s="16" t="s">
        <v>42</v>
      </c>
      <c r="J623" s="13">
        <v>0.29166666666666669</v>
      </c>
      <c r="K623" s="13">
        <v>0.54861111111111116</v>
      </c>
      <c r="L623" s="71">
        <f t="shared" ref="L623:L634" si="140">IFERROR(IF(K623="","",IF(K623&gt;=J623,K623-J623,K623+1-J623)),"")</f>
        <v>0.25694444444444448</v>
      </c>
      <c r="M623" s="11" t="s">
        <v>324</v>
      </c>
      <c r="N623" s="41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63" t="s">
        <v>30</v>
      </c>
      <c r="E624" s="11">
        <v>0</v>
      </c>
      <c r="F624" s="12">
        <f t="shared" si="139"/>
        <v>0</v>
      </c>
      <c r="G624" s="10" t="s">
        <v>19</v>
      </c>
      <c r="H624" s="10" t="s">
        <v>57</v>
      </c>
      <c r="I624" s="10" t="s">
        <v>27</v>
      </c>
      <c r="J624" s="13">
        <v>0.59027777777777779</v>
      </c>
      <c r="K624" s="13">
        <v>0.6020833333333333</v>
      </c>
      <c r="L624" s="70">
        <f t="shared" si="140"/>
        <v>1.1805555555555514E-2</v>
      </c>
      <c r="M624" s="11"/>
      <c r="N624" s="41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63" t="s">
        <v>30</v>
      </c>
      <c r="E625" s="11">
        <v>0</v>
      </c>
      <c r="F625" s="17">
        <f t="shared" si="139"/>
        <v>0</v>
      </c>
      <c r="G625" s="16" t="s">
        <v>20</v>
      </c>
      <c r="H625" s="16" t="s">
        <v>124</v>
      </c>
      <c r="I625" s="16" t="s">
        <v>107</v>
      </c>
      <c r="J625" s="13">
        <v>0.61111111111111116</v>
      </c>
      <c r="K625" s="13">
        <v>0.65277777777777779</v>
      </c>
      <c r="L625" s="71">
        <f t="shared" si="140"/>
        <v>4.166666666666663E-2</v>
      </c>
      <c r="M625" s="11"/>
      <c r="N625" s="41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63" t="s">
        <v>30</v>
      </c>
      <c r="E626" s="11">
        <v>0</v>
      </c>
      <c r="F626" s="12">
        <f t="shared" si="139"/>
        <v>0</v>
      </c>
      <c r="G626" s="10" t="s">
        <v>20</v>
      </c>
      <c r="H626" s="10" t="s">
        <v>124</v>
      </c>
      <c r="I626" s="10" t="s">
        <v>107</v>
      </c>
      <c r="J626" s="13">
        <v>0.70902777777777781</v>
      </c>
      <c r="K626" s="13">
        <v>0.79166666666666663</v>
      </c>
      <c r="L626" s="70">
        <f t="shared" si="140"/>
        <v>8.2638888888888817E-2</v>
      </c>
      <c r="M626" s="11"/>
      <c r="N626" s="41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63" t="s">
        <v>30</v>
      </c>
      <c r="E627" s="11">
        <v>0</v>
      </c>
      <c r="F627" s="17">
        <f t="shared" si="139"/>
        <v>0</v>
      </c>
      <c r="G627" s="16"/>
      <c r="H627" s="16"/>
      <c r="I627" s="16"/>
      <c r="J627" s="13"/>
      <c r="K627" s="13"/>
      <c r="L627" s="71" t="str">
        <f t="shared" si="140"/>
        <v/>
      </c>
      <c r="M627" s="11"/>
      <c r="N627" s="41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63" t="s">
        <v>30</v>
      </c>
      <c r="E628" s="11">
        <v>0</v>
      </c>
      <c r="F628" s="12">
        <f t="shared" si="139"/>
        <v>0</v>
      </c>
      <c r="G628" s="10"/>
      <c r="H628" s="10"/>
      <c r="I628" s="10"/>
      <c r="J628" s="13"/>
      <c r="K628" s="13"/>
      <c r="L628" s="70" t="str">
        <f t="shared" si="140"/>
        <v/>
      </c>
      <c r="M628" s="11"/>
      <c r="N628" s="41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63" t="s">
        <v>30</v>
      </c>
      <c r="E629" s="11">
        <v>7</v>
      </c>
      <c r="F629" s="17">
        <f t="shared" si="139"/>
        <v>28</v>
      </c>
      <c r="G629" s="16"/>
      <c r="H629" s="16"/>
      <c r="I629" s="16"/>
      <c r="J629" s="13"/>
      <c r="K629" s="13"/>
      <c r="L629" s="71" t="str">
        <f t="shared" si="140"/>
        <v/>
      </c>
      <c r="M629" s="11"/>
      <c r="N629" s="41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63" t="s">
        <v>30</v>
      </c>
      <c r="E630" s="11">
        <v>7</v>
      </c>
      <c r="F630" s="12">
        <f t="shared" si="139"/>
        <v>28</v>
      </c>
      <c r="G630" s="10"/>
      <c r="H630" s="10"/>
      <c r="I630" s="10"/>
      <c r="J630" s="13"/>
      <c r="K630" s="13"/>
      <c r="L630" s="70" t="str">
        <f t="shared" si="140"/>
        <v/>
      </c>
      <c r="M630" s="11"/>
      <c r="N630" s="41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63" t="s">
        <v>30</v>
      </c>
      <c r="E631" s="11">
        <v>6</v>
      </c>
      <c r="F631" s="17">
        <f t="shared" si="139"/>
        <v>24</v>
      </c>
      <c r="G631" s="16"/>
      <c r="H631" s="16"/>
      <c r="I631" s="16"/>
      <c r="J631" s="13"/>
      <c r="K631" s="13"/>
      <c r="L631" s="71" t="str">
        <f t="shared" si="140"/>
        <v/>
      </c>
      <c r="M631" s="11"/>
      <c r="N631" s="41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63" t="s">
        <v>30</v>
      </c>
      <c r="E632" s="11">
        <v>9</v>
      </c>
      <c r="F632" s="12">
        <f t="shared" si="139"/>
        <v>36</v>
      </c>
      <c r="G632" s="10"/>
      <c r="H632" s="10"/>
      <c r="I632" s="10"/>
      <c r="J632" s="13"/>
      <c r="K632" s="13"/>
      <c r="L632" s="70" t="str">
        <f t="shared" si="140"/>
        <v/>
      </c>
      <c r="M632" s="11"/>
      <c r="N632" s="41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63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11"/>
      <c r="N633" s="41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63" t="s">
        <v>30</v>
      </c>
      <c r="E634" s="11">
        <v>0</v>
      </c>
      <c r="F634" s="12">
        <f t="shared" si="139"/>
        <v>0</v>
      </c>
      <c r="G634" s="10"/>
      <c r="H634" s="10"/>
      <c r="I634" s="10"/>
      <c r="J634" s="13"/>
      <c r="K634" s="13"/>
      <c r="L634" s="70" t="str">
        <f t="shared" si="140"/>
        <v/>
      </c>
      <c r="M634" s="11"/>
      <c r="N634" s="41"/>
    </row>
    <row r="635" spans="1:14" ht="15.75" customHeight="1">
      <c r="A635" s="105" t="s">
        <v>191</v>
      </c>
      <c r="B635" s="105"/>
      <c r="C635" s="105"/>
      <c r="D635" s="105"/>
      <c r="E635" s="19">
        <f>SUM(E623:E634)</f>
        <v>32</v>
      </c>
      <c r="F635" s="19">
        <f>SUM(F623:F634)</f>
        <v>128</v>
      </c>
      <c r="G635" s="38"/>
      <c r="H635" s="38"/>
      <c r="I635" s="38"/>
      <c r="J635" s="38"/>
      <c r="K635" s="38"/>
      <c r="L635" s="72">
        <f>IFERROR(SUM(L623:L634),"")</f>
        <v>0.39305555555555544</v>
      </c>
      <c r="M635" s="19" t="s">
        <v>192</v>
      </c>
      <c r="N635" s="20">
        <v>159380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62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124</v>
      </c>
      <c r="I636" s="10" t="s">
        <v>107</v>
      </c>
      <c r="J636" s="13">
        <v>0.79166666666666663</v>
      </c>
      <c r="K636" s="13">
        <v>0.89444444444444449</v>
      </c>
      <c r="L636" s="70">
        <f t="shared" ref="L636:L647" si="143">IFERROR(IF(K636="","",IF(K636&gt;=J636,K636-J636,K636+1-J636)),"")</f>
        <v>0.10277777777777786</v>
      </c>
      <c r="M636" s="11" t="s">
        <v>364</v>
      </c>
      <c r="N636" s="41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62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154</v>
      </c>
      <c r="I637" s="16" t="s">
        <v>177</v>
      </c>
      <c r="J637" s="13">
        <v>6.9444444444444441E-3</v>
      </c>
      <c r="K637" s="13">
        <v>6.25E-2</v>
      </c>
      <c r="L637" s="71">
        <f t="shared" si="143"/>
        <v>5.5555555555555552E-2</v>
      </c>
      <c r="M637" s="11" t="s">
        <v>365</v>
      </c>
      <c r="N637" s="41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62" t="s">
        <v>30</v>
      </c>
      <c r="E638" s="11">
        <v>0</v>
      </c>
      <c r="F638" s="12">
        <f t="shared" si="142"/>
        <v>0</v>
      </c>
      <c r="G638" s="10" t="s">
        <v>20</v>
      </c>
      <c r="H638" s="10" t="s">
        <v>154</v>
      </c>
      <c r="I638" s="10" t="s">
        <v>56</v>
      </c>
      <c r="J638" s="13">
        <v>6.25E-2</v>
      </c>
      <c r="K638" s="13">
        <v>0.10416666666666667</v>
      </c>
      <c r="L638" s="70">
        <f t="shared" si="143"/>
        <v>4.1666666666666671E-2</v>
      </c>
      <c r="M638" s="11"/>
      <c r="N638" s="41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62" t="s">
        <v>30</v>
      </c>
      <c r="E639" s="11">
        <v>9</v>
      </c>
      <c r="F639" s="17">
        <f t="shared" si="142"/>
        <v>36</v>
      </c>
      <c r="G639" s="16" t="s">
        <v>20</v>
      </c>
      <c r="H639" s="16" t="s">
        <v>124</v>
      </c>
      <c r="I639" s="16" t="s">
        <v>107</v>
      </c>
      <c r="J639" s="13">
        <v>0.10416666666666667</v>
      </c>
      <c r="K639" s="13">
        <v>0.125</v>
      </c>
      <c r="L639" s="71">
        <f t="shared" si="143"/>
        <v>2.0833333333333329E-2</v>
      </c>
      <c r="M639" s="11"/>
      <c r="N639" s="41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62" t="s">
        <v>30</v>
      </c>
      <c r="E640" s="11">
        <v>16</v>
      </c>
      <c r="F640" s="12">
        <f t="shared" si="142"/>
        <v>64</v>
      </c>
      <c r="G640" s="10" t="s">
        <v>20</v>
      </c>
      <c r="H640" s="10" t="s">
        <v>154</v>
      </c>
      <c r="I640" s="10" t="s">
        <v>44</v>
      </c>
      <c r="J640" s="13">
        <v>0.125</v>
      </c>
      <c r="K640" s="13">
        <v>0.1736111111111111</v>
      </c>
      <c r="L640" s="70">
        <f t="shared" si="143"/>
        <v>4.8611111111111105E-2</v>
      </c>
      <c r="M640" s="11"/>
      <c r="N640" s="41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62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11"/>
      <c r="N641" s="41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62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11"/>
      <c r="N642" s="41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62" t="s">
        <v>30</v>
      </c>
      <c r="E643" s="11">
        <v>0</v>
      </c>
      <c r="F643" s="17">
        <f t="shared" si="142"/>
        <v>0</v>
      </c>
      <c r="G643" s="16"/>
      <c r="H643" s="16"/>
      <c r="I643" s="16"/>
      <c r="J643" s="13"/>
      <c r="K643" s="13"/>
      <c r="L643" s="71" t="str">
        <f t="shared" si="143"/>
        <v/>
      </c>
      <c r="M643" s="11"/>
      <c r="N643" s="41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62" t="s">
        <v>30</v>
      </c>
      <c r="E644" s="11">
        <v>0</v>
      </c>
      <c r="F644" s="12">
        <f t="shared" si="142"/>
        <v>0</v>
      </c>
      <c r="G644" s="10"/>
      <c r="H644" s="10"/>
      <c r="I644" s="10"/>
      <c r="J644" s="13"/>
      <c r="K644" s="13"/>
      <c r="L644" s="70" t="str">
        <f t="shared" si="143"/>
        <v/>
      </c>
      <c r="M644" s="11"/>
      <c r="N644" s="41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62" t="s">
        <v>30</v>
      </c>
      <c r="E645" s="11">
        <v>4</v>
      </c>
      <c r="F645" s="17">
        <f t="shared" si="142"/>
        <v>16</v>
      </c>
      <c r="G645" s="16"/>
      <c r="H645" s="16"/>
      <c r="I645" s="16"/>
      <c r="J645" s="13"/>
      <c r="K645" s="13"/>
      <c r="L645" s="71" t="str">
        <f t="shared" si="143"/>
        <v/>
      </c>
      <c r="M645" s="11"/>
      <c r="N645" s="41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62" t="s">
        <v>30</v>
      </c>
      <c r="E646" s="11">
        <v>15</v>
      </c>
      <c r="F646" s="12">
        <f t="shared" si="142"/>
        <v>60</v>
      </c>
      <c r="G646" s="10"/>
      <c r="H646" s="10"/>
      <c r="I646" s="10"/>
      <c r="J646" s="13"/>
      <c r="K646" s="13"/>
      <c r="L646" s="70" t="str">
        <f t="shared" si="143"/>
        <v/>
      </c>
      <c r="M646" s="11"/>
      <c r="N646" s="41"/>
    </row>
    <row r="647" spans="1:14" ht="15" customHeight="1">
      <c r="A647" s="59">
        <v>46197</v>
      </c>
      <c r="B647" s="15">
        <f t="shared" si="144"/>
        <v>1.2916666666666667</v>
      </c>
      <c r="C647" s="10" t="s">
        <v>29</v>
      </c>
      <c r="D647" s="62" t="s">
        <v>30</v>
      </c>
      <c r="E647" s="11">
        <v>10</v>
      </c>
      <c r="F647" s="17">
        <f t="shared" si="142"/>
        <v>40</v>
      </c>
      <c r="G647" s="16"/>
      <c r="H647" s="16"/>
      <c r="I647" s="16"/>
      <c r="J647" s="13"/>
      <c r="K647" s="13"/>
      <c r="L647" s="71" t="str">
        <f t="shared" si="143"/>
        <v/>
      </c>
      <c r="M647" s="11"/>
      <c r="N647" s="41"/>
    </row>
    <row r="648" spans="1:14" ht="15.75" customHeight="1">
      <c r="A648" s="105" t="s">
        <v>193</v>
      </c>
      <c r="B648" s="105"/>
      <c r="C648" s="105"/>
      <c r="D648" s="105"/>
      <c r="E648" s="19">
        <f>SUM(E636:E647)</f>
        <v>54</v>
      </c>
      <c r="F648" s="19">
        <f>SUM(F636:F647)</f>
        <v>216</v>
      </c>
      <c r="G648" s="38"/>
      <c r="H648" s="38"/>
      <c r="I648" s="38"/>
      <c r="J648" s="38"/>
      <c r="K648" s="38"/>
      <c r="L648" s="72">
        <f>IFERROR(SUM(L636:L647),"")</f>
        <v>0.26944444444444449</v>
      </c>
      <c r="M648" s="19" t="s">
        <v>192</v>
      </c>
      <c r="N648" s="20">
        <f>89640+153770</f>
        <v>243410</v>
      </c>
    </row>
    <row r="649" spans="1:14" ht="18" customHeight="1">
      <c r="A649" s="98" t="s">
        <v>194</v>
      </c>
      <c r="B649" s="98"/>
      <c r="C649" s="98"/>
      <c r="D649" s="98"/>
      <c r="E649" s="22">
        <f>E635+E648</f>
        <v>86</v>
      </c>
      <c r="F649" s="22">
        <f>F635+F648</f>
        <v>344</v>
      </c>
      <c r="G649" s="39"/>
      <c r="H649" s="39"/>
      <c r="I649" s="39"/>
      <c r="J649" s="39"/>
      <c r="K649" s="39"/>
      <c r="L649" s="73">
        <f>IFERROR(L635+L648,"")</f>
        <v>0.66249999999999987</v>
      </c>
      <c r="M649" s="22" t="s">
        <v>195</v>
      </c>
      <c r="N649" s="31">
        <f>IFERROR(N635+N648,"")</f>
        <v>402790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62" t="s">
        <v>30</v>
      </c>
      <c r="E650" s="11">
        <v>0</v>
      </c>
      <c r="F650" s="12">
        <f t="shared" ref="F650:F661" si="145">IF(E650="","",E650*4)</f>
        <v>0</v>
      </c>
      <c r="G650" s="16" t="s">
        <v>19</v>
      </c>
      <c r="H650" s="16" t="s">
        <v>57</v>
      </c>
      <c r="I650" s="16" t="s">
        <v>27</v>
      </c>
      <c r="J650" s="13">
        <v>0.71875</v>
      </c>
      <c r="K650" s="13">
        <v>0.74305555555555558</v>
      </c>
      <c r="L650" s="70">
        <f t="shared" ref="L650:L661" si="146">IFERROR(IF(K650="","",IF(K650&gt;=J650,K650-J650,K650+1-J650)),"")</f>
        <v>2.430555555555558E-2</v>
      </c>
      <c r="M650" s="11"/>
      <c r="N650" s="41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62" t="s">
        <v>30</v>
      </c>
      <c r="E651" s="11">
        <v>4</v>
      </c>
      <c r="F651" s="17">
        <f t="shared" si="145"/>
        <v>16</v>
      </c>
      <c r="G651" s="16" t="s">
        <v>20</v>
      </c>
      <c r="H651" s="16" t="s">
        <v>57</v>
      </c>
      <c r="I651" s="16" t="s">
        <v>28</v>
      </c>
      <c r="J651" s="13">
        <v>0.75277777777777777</v>
      </c>
      <c r="K651" s="13">
        <v>0.79166666666666663</v>
      </c>
      <c r="L651" s="71">
        <f t="shared" si="146"/>
        <v>3.8888888888888862E-2</v>
      </c>
      <c r="M651" s="11"/>
      <c r="N651" s="41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62" t="s">
        <v>30</v>
      </c>
      <c r="E652" s="11">
        <v>5</v>
      </c>
      <c r="F652" s="17">
        <f t="shared" si="145"/>
        <v>20</v>
      </c>
      <c r="G652" s="10"/>
      <c r="H652" s="10"/>
      <c r="I652" s="16"/>
      <c r="J652" s="13"/>
      <c r="K652" s="13"/>
      <c r="L652" s="70" t="str">
        <f t="shared" si="146"/>
        <v/>
      </c>
      <c r="M652" s="11"/>
      <c r="N652" s="41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62" t="s">
        <v>30</v>
      </c>
      <c r="E653" s="11">
        <v>12</v>
      </c>
      <c r="F653" s="17">
        <f t="shared" si="145"/>
        <v>48</v>
      </c>
      <c r="G653" s="16"/>
      <c r="H653" s="16"/>
      <c r="I653" s="16"/>
      <c r="J653" s="13"/>
      <c r="K653" s="13"/>
      <c r="L653" s="71" t="str">
        <f t="shared" si="146"/>
        <v/>
      </c>
      <c r="M653" s="11"/>
      <c r="N653" s="41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62" t="s">
        <v>30</v>
      </c>
      <c r="E654" s="11">
        <v>5</v>
      </c>
      <c r="F654" s="12">
        <f t="shared" si="145"/>
        <v>20</v>
      </c>
      <c r="G654" s="10"/>
      <c r="H654" s="10"/>
      <c r="I654" s="10"/>
      <c r="J654" s="13"/>
      <c r="K654" s="13"/>
      <c r="L654" s="70" t="str">
        <f t="shared" si="146"/>
        <v/>
      </c>
      <c r="M654" s="11"/>
      <c r="N654" s="41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62" t="s">
        <v>30</v>
      </c>
      <c r="E655" s="11">
        <v>6</v>
      </c>
      <c r="F655" s="17">
        <f t="shared" si="145"/>
        <v>24</v>
      </c>
      <c r="G655" s="16"/>
      <c r="H655" s="16"/>
      <c r="I655" s="16"/>
      <c r="J655" s="13"/>
      <c r="K655" s="13"/>
      <c r="L655" s="71" t="str">
        <f t="shared" si="146"/>
        <v/>
      </c>
      <c r="M655" s="11"/>
      <c r="N655" s="41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62" t="s">
        <v>30</v>
      </c>
      <c r="E656" s="11">
        <v>7</v>
      </c>
      <c r="F656" s="12">
        <f t="shared" si="145"/>
        <v>28</v>
      </c>
      <c r="G656" s="10"/>
      <c r="H656" s="10"/>
      <c r="I656" s="10"/>
      <c r="J656" s="13"/>
      <c r="K656" s="13"/>
      <c r="L656" s="70" t="str">
        <f t="shared" si="146"/>
        <v/>
      </c>
      <c r="M656" s="11"/>
      <c r="N656" s="41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62" t="s">
        <v>30</v>
      </c>
      <c r="E657" s="11">
        <v>5</v>
      </c>
      <c r="F657" s="17">
        <f t="shared" si="145"/>
        <v>20</v>
      </c>
      <c r="G657" s="16"/>
      <c r="H657" s="16"/>
      <c r="I657" s="16"/>
      <c r="J657" s="13"/>
      <c r="K657" s="13"/>
      <c r="L657" s="71" t="str">
        <f t="shared" si="146"/>
        <v/>
      </c>
      <c r="M657" s="11"/>
      <c r="N657" s="41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62" t="s">
        <v>30</v>
      </c>
      <c r="E658" s="11">
        <v>5</v>
      </c>
      <c r="F658" s="12">
        <f t="shared" si="145"/>
        <v>20</v>
      </c>
      <c r="G658" s="10"/>
      <c r="H658" s="10"/>
      <c r="I658" s="10"/>
      <c r="J658" s="13"/>
      <c r="K658" s="13"/>
      <c r="L658" s="70" t="str">
        <f t="shared" si="146"/>
        <v/>
      </c>
      <c r="M658" s="11"/>
      <c r="N658" s="41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62" t="s">
        <v>30</v>
      </c>
      <c r="E659" s="11">
        <v>20</v>
      </c>
      <c r="F659" s="17">
        <f t="shared" si="145"/>
        <v>80</v>
      </c>
      <c r="G659" s="16"/>
      <c r="H659" s="16"/>
      <c r="I659" s="16"/>
      <c r="J659" s="13"/>
      <c r="K659" s="13"/>
      <c r="L659" s="71" t="str">
        <f t="shared" si="146"/>
        <v/>
      </c>
      <c r="M659" s="11"/>
      <c r="N659" s="41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62" t="s">
        <v>30</v>
      </c>
      <c r="E660" s="11">
        <v>6</v>
      </c>
      <c r="F660" s="12">
        <f t="shared" si="145"/>
        <v>24</v>
      </c>
      <c r="G660" s="10"/>
      <c r="H660" s="10"/>
      <c r="I660" s="10"/>
      <c r="J660" s="13"/>
      <c r="K660" s="13"/>
      <c r="L660" s="70" t="str">
        <f t="shared" si="146"/>
        <v/>
      </c>
      <c r="M660" s="11"/>
      <c r="N660" s="41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62" t="s">
        <v>30</v>
      </c>
      <c r="E661" s="11">
        <v>3</v>
      </c>
      <c r="F661" s="17">
        <f t="shared" si="145"/>
        <v>12</v>
      </c>
      <c r="G661" s="16"/>
      <c r="H661" s="16"/>
      <c r="I661" s="16"/>
      <c r="J661" s="13"/>
      <c r="K661" s="13"/>
      <c r="L661" s="71" t="str">
        <f t="shared" si="146"/>
        <v/>
      </c>
      <c r="M661" s="11"/>
      <c r="N661" s="41"/>
    </row>
    <row r="662" spans="1:14" ht="15.75" customHeight="1">
      <c r="A662" s="19" t="s">
        <v>191</v>
      </c>
      <c r="B662" s="19"/>
      <c r="C662" s="19"/>
      <c r="D662" s="19"/>
      <c r="E662" s="19">
        <f>SUM(E650:E661)</f>
        <v>78</v>
      </c>
      <c r="F662" s="19">
        <f>SUM(F650:F661)</f>
        <v>312</v>
      </c>
      <c r="G662" s="38"/>
      <c r="H662" s="38"/>
      <c r="I662" s="38"/>
      <c r="J662" s="38"/>
      <c r="K662" s="38"/>
      <c r="L662" s="72">
        <f>IFERROR(SUM(L650:L661),"")</f>
        <v>6.3194444444444442E-2</v>
      </c>
      <c r="M662" s="19" t="s">
        <v>192</v>
      </c>
      <c r="N662" s="20">
        <v>337830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63" t="s">
        <v>22</v>
      </c>
      <c r="E663" s="11">
        <v>0</v>
      </c>
      <c r="F663" s="17">
        <f t="shared" ref="F663:F674" si="148">IF(E663="","",E663*4)</f>
        <v>0</v>
      </c>
      <c r="G663" s="16" t="s">
        <v>20</v>
      </c>
      <c r="H663" s="16" t="s">
        <v>57</v>
      </c>
      <c r="I663" s="16" t="s">
        <v>51</v>
      </c>
      <c r="J663" s="13">
        <v>0.7993055555555556</v>
      </c>
      <c r="K663" s="13">
        <v>0.80138888888888893</v>
      </c>
      <c r="L663" s="71">
        <f t="shared" ref="L663:L674" si="149">IFERROR(IF(K663="","",IF(K663&gt;=J663,K663-J663,K663+1-J663)),"")</f>
        <v>2.0833333333333259E-3</v>
      </c>
      <c r="M663" s="11" t="s">
        <v>366</v>
      </c>
      <c r="N663" s="41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63" t="s">
        <v>22</v>
      </c>
      <c r="E664" s="11">
        <v>9</v>
      </c>
      <c r="F664" s="12">
        <f t="shared" si="148"/>
        <v>36</v>
      </c>
      <c r="G664" s="10" t="s">
        <v>20</v>
      </c>
      <c r="H664" s="10" t="s">
        <v>57</v>
      </c>
      <c r="I664" s="10" t="s">
        <v>51</v>
      </c>
      <c r="J664" s="13">
        <v>0.81458333333333333</v>
      </c>
      <c r="K664" s="13">
        <v>0.82013888888888886</v>
      </c>
      <c r="L664" s="70">
        <f t="shared" si="149"/>
        <v>5.5555555555555358E-3</v>
      </c>
      <c r="M664" s="11"/>
      <c r="N664" s="41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63" t="s">
        <v>22</v>
      </c>
      <c r="E665" s="11">
        <v>0</v>
      </c>
      <c r="F665" s="17">
        <f t="shared" si="148"/>
        <v>0</v>
      </c>
      <c r="G665" s="16" t="s">
        <v>20</v>
      </c>
      <c r="H665" s="16" t="s">
        <v>57</v>
      </c>
      <c r="I665" s="16" t="s">
        <v>51</v>
      </c>
      <c r="J665" s="13">
        <v>0.83333333333333337</v>
      </c>
      <c r="K665" s="13">
        <v>0.84444444444444444</v>
      </c>
      <c r="L665" s="71">
        <f t="shared" si="149"/>
        <v>1.1111111111111072E-2</v>
      </c>
      <c r="M665" s="11"/>
      <c r="N665" s="41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63" t="s">
        <v>22</v>
      </c>
      <c r="E666" s="11">
        <v>0</v>
      </c>
      <c r="F666" s="12">
        <f t="shared" si="148"/>
        <v>0</v>
      </c>
      <c r="G666" s="10" t="s">
        <v>18</v>
      </c>
      <c r="H666" s="10" t="s">
        <v>52</v>
      </c>
      <c r="I666" s="10" t="s">
        <v>42</v>
      </c>
      <c r="J666" s="13">
        <v>0.86736111111111114</v>
      </c>
      <c r="K666" s="13">
        <v>5.4166666666666669E-2</v>
      </c>
      <c r="L666" s="70">
        <f t="shared" si="149"/>
        <v>0.18680555555555556</v>
      </c>
      <c r="M666" s="11"/>
      <c r="N666" s="41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63" t="s">
        <v>22</v>
      </c>
      <c r="E667" s="11">
        <v>0</v>
      </c>
      <c r="F667" s="17">
        <f t="shared" si="148"/>
        <v>0</v>
      </c>
      <c r="G667" s="16" t="s">
        <v>20</v>
      </c>
      <c r="H667" s="16" t="s">
        <v>52</v>
      </c>
      <c r="I667" s="16" t="s">
        <v>51</v>
      </c>
      <c r="J667" s="13">
        <v>0.12638888888888888</v>
      </c>
      <c r="K667" s="13">
        <v>0.1361111111111111</v>
      </c>
      <c r="L667" s="71">
        <f t="shared" si="149"/>
        <v>9.7222222222222154E-3</v>
      </c>
      <c r="M667" s="11"/>
      <c r="N667" s="41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63" t="s">
        <v>22</v>
      </c>
      <c r="E668" s="11">
        <v>0</v>
      </c>
      <c r="F668" s="12">
        <f t="shared" si="148"/>
        <v>0</v>
      </c>
      <c r="G668" s="10" t="s">
        <v>20</v>
      </c>
      <c r="H668" s="10"/>
      <c r="I668" s="10" t="s">
        <v>123</v>
      </c>
      <c r="J668" s="13">
        <v>0.14722222222222223</v>
      </c>
      <c r="K668" s="13">
        <v>0.14930555555555555</v>
      </c>
      <c r="L668" s="70">
        <f t="shared" si="149"/>
        <v>2.0833333333333259E-3</v>
      </c>
      <c r="M668" s="11"/>
      <c r="N668" s="41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63" t="s">
        <v>22</v>
      </c>
      <c r="E669" s="11">
        <v>7</v>
      </c>
      <c r="F669" s="17">
        <f t="shared" si="148"/>
        <v>28</v>
      </c>
      <c r="G669" s="16" t="s">
        <v>20</v>
      </c>
      <c r="H669" s="16" t="s">
        <v>124</v>
      </c>
      <c r="I669" s="16" t="s">
        <v>107</v>
      </c>
      <c r="J669" s="13">
        <v>0.18888888888888888</v>
      </c>
      <c r="K669" s="13">
        <v>0.19166666666666668</v>
      </c>
      <c r="L669" s="71">
        <f t="shared" si="149"/>
        <v>2.7777777777777957E-3</v>
      </c>
      <c r="M669" s="11"/>
      <c r="N669" s="41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63" t="s">
        <v>22</v>
      </c>
      <c r="E670" s="11">
        <v>20</v>
      </c>
      <c r="F670" s="12">
        <f t="shared" si="148"/>
        <v>80</v>
      </c>
      <c r="G670" s="10" t="s">
        <v>20</v>
      </c>
      <c r="H670" s="10" t="s">
        <v>57</v>
      </c>
      <c r="I670" s="10" t="s">
        <v>51</v>
      </c>
      <c r="J670" s="13">
        <v>0.24652777777777779</v>
      </c>
      <c r="K670" s="13">
        <v>0.2590277777777778</v>
      </c>
      <c r="L670" s="70">
        <f t="shared" si="149"/>
        <v>1.2500000000000011E-2</v>
      </c>
      <c r="M670" s="11"/>
      <c r="N670" s="41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63" t="s">
        <v>22</v>
      </c>
      <c r="E671" s="11">
        <v>21</v>
      </c>
      <c r="F671" s="17">
        <f t="shared" si="148"/>
        <v>84</v>
      </c>
      <c r="G671" s="16" t="s">
        <v>19</v>
      </c>
      <c r="H671" s="16" t="s">
        <v>52</v>
      </c>
      <c r="I671" s="16" t="s">
        <v>27</v>
      </c>
      <c r="J671" s="13">
        <v>0.26458333333333334</v>
      </c>
      <c r="K671" s="13">
        <v>0.29166666666666669</v>
      </c>
      <c r="L671" s="71">
        <f t="shared" si="149"/>
        <v>2.7083333333333348E-2</v>
      </c>
      <c r="M671" s="11"/>
      <c r="N671" s="41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63" t="s">
        <v>22</v>
      </c>
      <c r="E672" s="11">
        <v>17</v>
      </c>
      <c r="F672" s="12">
        <f t="shared" si="148"/>
        <v>68</v>
      </c>
      <c r="G672" s="10"/>
      <c r="H672" s="10"/>
      <c r="I672" s="10"/>
      <c r="J672" s="13"/>
      <c r="K672" s="13"/>
      <c r="L672" s="70" t="str">
        <f t="shared" si="149"/>
        <v/>
      </c>
      <c r="M672" s="11"/>
      <c r="N672" s="41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63" t="s">
        <v>22</v>
      </c>
      <c r="E673" s="11">
        <v>6</v>
      </c>
      <c r="F673" s="17">
        <f t="shared" si="148"/>
        <v>24</v>
      </c>
      <c r="G673" s="16"/>
      <c r="H673" s="16"/>
      <c r="I673" s="16"/>
      <c r="J673" s="13"/>
      <c r="K673" s="13"/>
      <c r="L673" s="71" t="str">
        <f t="shared" si="149"/>
        <v/>
      </c>
      <c r="M673" s="11"/>
      <c r="N673" s="41"/>
    </row>
    <row r="674" spans="1:14" ht="15" customHeight="1">
      <c r="A674" s="58">
        <v>46198</v>
      </c>
      <c r="B674" s="9">
        <f t="shared" si="150"/>
        <v>1.2916666666666667</v>
      </c>
      <c r="C674" s="10" t="s">
        <v>29</v>
      </c>
      <c r="D674" s="62" t="s">
        <v>22</v>
      </c>
      <c r="E674" s="11">
        <v>4</v>
      </c>
      <c r="F674" s="12">
        <f t="shared" si="148"/>
        <v>16</v>
      </c>
      <c r="G674" s="10"/>
      <c r="H674" s="10"/>
      <c r="I674" s="10"/>
      <c r="J674" s="13"/>
      <c r="K674" s="13"/>
      <c r="L674" s="70" t="str">
        <f t="shared" si="149"/>
        <v/>
      </c>
      <c r="M674" s="11"/>
      <c r="N674" s="41"/>
    </row>
    <row r="675" spans="1:14" ht="15.75" customHeight="1">
      <c r="A675" s="105" t="s">
        <v>193</v>
      </c>
      <c r="B675" s="105"/>
      <c r="C675" s="105"/>
      <c r="D675" s="105"/>
      <c r="E675" s="19">
        <f>SUM(E663:E674)</f>
        <v>84</v>
      </c>
      <c r="F675" s="19">
        <f>SUM(F663:F674)</f>
        <v>336</v>
      </c>
      <c r="G675" s="38"/>
      <c r="H675" s="38"/>
      <c r="I675" s="38"/>
      <c r="J675" s="38"/>
      <c r="K675" s="38"/>
      <c r="L675" s="72">
        <f>IFERROR(SUM(L663:L674),"")</f>
        <v>0.25972222222222219</v>
      </c>
      <c r="M675" s="19" t="s">
        <v>192</v>
      </c>
      <c r="N675" s="20">
        <v>425320</v>
      </c>
    </row>
    <row r="676" spans="1:14" ht="18" customHeight="1">
      <c r="A676" s="98" t="s">
        <v>194</v>
      </c>
      <c r="B676" s="98"/>
      <c r="C676" s="98"/>
      <c r="D676" s="98"/>
      <c r="E676" s="22">
        <f>E662+E675</f>
        <v>162</v>
      </c>
      <c r="F676" s="22">
        <f>F662+F675</f>
        <v>648</v>
      </c>
      <c r="G676" s="39"/>
      <c r="H676" s="39"/>
      <c r="I676" s="39"/>
      <c r="J676" s="39"/>
      <c r="K676" s="39"/>
      <c r="L676" s="73">
        <f>IFERROR(L662+L675,"")</f>
        <v>0.32291666666666663</v>
      </c>
      <c r="M676" s="22" t="s">
        <v>195</v>
      </c>
      <c r="N676" s="31">
        <f>IFERROR(N662+N675,"")</f>
        <v>763150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63" t="s">
        <v>22</v>
      </c>
      <c r="E677" s="11">
        <v>13</v>
      </c>
      <c r="F677" s="17">
        <f t="shared" ref="F677:F688" si="151">IF(E677="","",E677*4)</f>
        <v>52</v>
      </c>
      <c r="G677" s="16" t="s">
        <v>19</v>
      </c>
      <c r="H677" s="16" t="s">
        <v>154</v>
      </c>
      <c r="I677" s="16" t="s">
        <v>27</v>
      </c>
      <c r="J677" s="13">
        <v>0.55138888888888893</v>
      </c>
      <c r="K677" s="13">
        <v>0.57430555555555551</v>
      </c>
      <c r="L677" s="71">
        <f t="shared" ref="L677:L688" si="152">IFERROR(IF(K677="","",IF(K677&gt;=J677,K677-J677,K677+1-J677)),"")</f>
        <v>2.2916666666666585E-2</v>
      </c>
      <c r="M677" s="11"/>
      <c r="N677" s="41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63" t="s">
        <v>22</v>
      </c>
      <c r="E678" s="11">
        <v>6</v>
      </c>
      <c r="F678" s="12">
        <f t="shared" si="151"/>
        <v>24</v>
      </c>
      <c r="G678" s="10"/>
      <c r="H678" s="10"/>
      <c r="I678" s="10"/>
      <c r="J678" s="13"/>
      <c r="K678" s="13"/>
      <c r="L678" s="70" t="str">
        <f t="shared" si="152"/>
        <v/>
      </c>
      <c r="M678" s="11"/>
      <c r="N678" s="41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63" t="s">
        <v>22</v>
      </c>
      <c r="E679" s="11">
        <v>15</v>
      </c>
      <c r="F679" s="17">
        <f t="shared" si="151"/>
        <v>60</v>
      </c>
      <c r="G679" s="16"/>
      <c r="H679" s="16"/>
      <c r="I679" s="16"/>
      <c r="J679" s="13"/>
      <c r="K679" s="13"/>
      <c r="L679" s="71" t="str">
        <f t="shared" si="152"/>
        <v/>
      </c>
      <c r="M679" s="11"/>
      <c r="N679" s="41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63" t="s">
        <v>22</v>
      </c>
      <c r="E680" s="11">
        <v>7</v>
      </c>
      <c r="F680" s="12">
        <f t="shared" si="151"/>
        <v>28</v>
      </c>
      <c r="G680" s="10"/>
      <c r="H680" s="10"/>
      <c r="I680" s="10"/>
      <c r="J680" s="13"/>
      <c r="K680" s="13"/>
      <c r="L680" s="70" t="str">
        <f t="shared" si="152"/>
        <v/>
      </c>
      <c r="M680" s="11"/>
      <c r="N680" s="41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63" t="s">
        <v>22</v>
      </c>
      <c r="E681" s="11">
        <v>22</v>
      </c>
      <c r="F681" s="17">
        <f t="shared" si="151"/>
        <v>88</v>
      </c>
      <c r="G681" s="16"/>
      <c r="H681" s="16"/>
      <c r="I681" s="16"/>
      <c r="J681" s="13"/>
      <c r="K681" s="13"/>
      <c r="L681" s="71" t="str">
        <f t="shared" si="152"/>
        <v/>
      </c>
      <c r="M681" s="11"/>
      <c r="N681" s="41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63" t="s">
        <v>22</v>
      </c>
      <c r="E682" s="11">
        <v>13</v>
      </c>
      <c r="F682" s="12">
        <f t="shared" si="151"/>
        <v>52</v>
      </c>
      <c r="G682" s="10"/>
      <c r="H682" s="10"/>
      <c r="I682" s="10"/>
      <c r="J682" s="13"/>
      <c r="K682" s="13"/>
      <c r="L682" s="70" t="str">
        <f t="shared" si="152"/>
        <v/>
      </c>
      <c r="M682" s="11"/>
      <c r="N682" s="41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63" t="s">
        <v>22</v>
      </c>
      <c r="E683" s="11">
        <v>11</v>
      </c>
      <c r="F683" s="17">
        <f t="shared" si="151"/>
        <v>44</v>
      </c>
      <c r="G683" s="16"/>
      <c r="H683" s="16"/>
      <c r="I683" s="16"/>
      <c r="J683" s="13"/>
      <c r="K683" s="13"/>
      <c r="L683" s="71" t="str">
        <f t="shared" si="152"/>
        <v/>
      </c>
      <c r="M683" s="11"/>
      <c r="N683" s="41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63" t="s">
        <v>22</v>
      </c>
      <c r="E684" s="11">
        <v>17</v>
      </c>
      <c r="F684" s="12">
        <f t="shared" si="151"/>
        <v>68</v>
      </c>
      <c r="G684" s="10"/>
      <c r="H684" s="10"/>
      <c r="I684" s="10"/>
      <c r="J684" s="13"/>
      <c r="K684" s="13"/>
      <c r="L684" s="70" t="str">
        <f t="shared" si="152"/>
        <v/>
      </c>
      <c r="M684" s="11"/>
      <c r="N684" s="41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63" t="s">
        <v>22</v>
      </c>
      <c r="E685" s="11">
        <v>22</v>
      </c>
      <c r="F685" s="17">
        <f t="shared" si="151"/>
        <v>88</v>
      </c>
      <c r="G685" s="16"/>
      <c r="H685" s="16"/>
      <c r="I685" s="16"/>
      <c r="J685" s="13"/>
      <c r="K685" s="13"/>
      <c r="L685" s="71" t="str">
        <f t="shared" si="152"/>
        <v/>
      </c>
      <c r="M685" s="11"/>
      <c r="N685" s="41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63" t="s">
        <v>22</v>
      </c>
      <c r="E686" s="11">
        <v>5</v>
      </c>
      <c r="F686" s="12">
        <f t="shared" si="151"/>
        <v>20</v>
      </c>
      <c r="G686" s="10"/>
      <c r="H686" s="10"/>
      <c r="I686" s="10"/>
      <c r="J686" s="13"/>
      <c r="K686" s="13"/>
      <c r="L686" s="70" t="str">
        <f t="shared" si="152"/>
        <v/>
      </c>
      <c r="M686" s="11">
        <v>1</v>
      </c>
      <c r="N686" s="41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63" t="s">
        <v>22</v>
      </c>
      <c r="E687" s="11">
        <v>13</v>
      </c>
      <c r="F687" s="17">
        <f t="shared" si="151"/>
        <v>52</v>
      </c>
      <c r="G687" s="16"/>
      <c r="H687" s="16"/>
      <c r="I687" s="16"/>
      <c r="J687" s="13"/>
      <c r="K687" s="13"/>
      <c r="L687" s="71" t="str">
        <f t="shared" si="152"/>
        <v/>
      </c>
      <c r="M687" s="11"/>
      <c r="N687" s="41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63" t="s">
        <v>22</v>
      </c>
      <c r="E688" s="11">
        <v>5</v>
      </c>
      <c r="F688" s="12">
        <f t="shared" si="151"/>
        <v>20</v>
      </c>
      <c r="G688" s="10"/>
      <c r="H688" s="10"/>
      <c r="I688" s="10"/>
      <c r="J688" s="13"/>
      <c r="K688" s="13"/>
      <c r="L688" s="70" t="str">
        <f t="shared" si="152"/>
        <v/>
      </c>
      <c r="M688" s="11"/>
      <c r="N688" s="41"/>
    </row>
    <row r="689" spans="1:14" ht="15.75" customHeight="1">
      <c r="A689" s="105" t="s">
        <v>191</v>
      </c>
      <c r="B689" s="105"/>
      <c r="C689" s="105"/>
      <c r="D689" s="105"/>
      <c r="E689" s="19">
        <f>SUM(E677:E688)</f>
        <v>149</v>
      </c>
      <c r="F689" s="19">
        <f>SUM(F677:F688)</f>
        <v>596</v>
      </c>
      <c r="G689" s="38"/>
      <c r="H689" s="38"/>
      <c r="I689" s="38"/>
      <c r="J689" s="38"/>
      <c r="K689" s="38"/>
      <c r="L689" s="72">
        <f>IFERROR(SUM(L677:L688),"")</f>
        <v>2.2916666666666585E-2</v>
      </c>
      <c r="M689" s="19" t="s">
        <v>192</v>
      </c>
      <c r="N689" s="20">
        <v>801080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62" t="s">
        <v>22</v>
      </c>
      <c r="E690" s="11">
        <v>10</v>
      </c>
      <c r="F690" s="12">
        <f t="shared" ref="F690:F701" si="154">IF(E690="","",E690*4)</f>
        <v>40</v>
      </c>
      <c r="G690" s="10" t="s">
        <v>20</v>
      </c>
      <c r="H690" s="10" t="s">
        <v>52</v>
      </c>
      <c r="I690" s="10" t="s">
        <v>51</v>
      </c>
      <c r="J690" s="13">
        <v>0.79652777777777772</v>
      </c>
      <c r="K690" s="13">
        <v>0.8</v>
      </c>
      <c r="L690" s="70">
        <f t="shared" ref="L690:L701" si="155">IFERROR(IF(K690="","",IF(K690&gt;=J690,K690-J690,K690+1-J690)),"")</f>
        <v>3.4722222222223209E-3</v>
      </c>
      <c r="M690" s="11"/>
      <c r="N690" s="41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62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154</v>
      </c>
      <c r="I691" s="16" t="s">
        <v>27</v>
      </c>
      <c r="J691" s="13">
        <v>0.90763888888888888</v>
      </c>
      <c r="K691" s="13">
        <v>0.97222222222222221</v>
      </c>
      <c r="L691" s="71">
        <f t="shared" si="155"/>
        <v>6.4583333333333326E-2</v>
      </c>
      <c r="M691" s="11" t="s">
        <v>367</v>
      </c>
      <c r="N691" s="41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62" t="s">
        <v>22</v>
      </c>
      <c r="E692" s="11">
        <v>10</v>
      </c>
      <c r="F692" s="12">
        <f t="shared" si="154"/>
        <v>40</v>
      </c>
      <c r="G692" s="10" t="s">
        <v>20</v>
      </c>
      <c r="H692" s="10" t="s">
        <v>52</v>
      </c>
      <c r="I692" s="10" t="s">
        <v>123</v>
      </c>
      <c r="J692" s="13">
        <v>4.583333333333333E-2</v>
      </c>
      <c r="K692" s="13">
        <v>4.9305555555555554E-2</v>
      </c>
      <c r="L692" s="70">
        <f t="shared" si="155"/>
        <v>3.4722222222222238E-3</v>
      </c>
      <c r="M692" s="11"/>
      <c r="N692" s="41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62" t="s">
        <v>22</v>
      </c>
      <c r="E693" s="11">
        <v>0</v>
      </c>
      <c r="F693" s="17">
        <f t="shared" si="154"/>
        <v>0</v>
      </c>
      <c r="G693" s="16" t="s">
        <v>19</v>
      </c>
      <c r="H693" s="16" t="s">
        <v>52</v>
      </c>
      <c r="I693" s="16" t="s">
        <v>98</v>
      </c>
      <c r="J693" s="13">
        <v>6.0416666666666667E-2</v>
      </c>
      <c r="K693" s="13">
        <v>0.12013888888888889</v>
      </c>
      <c r="L693" s="71">
        <f t="shared" si="155"/>
        <v>5.9722222222222225E-2</v>
      </c>
      <c r="M693" s="11" t="s">
        <v>368</v>
      </c>
      <c r="N693" s="41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62" t="s">
        <v>22</v>
      </c>
      <c r="E694" s="11">
        <v>8</v>
      </c>
      <c r="F694" s="12">
        <f t="shared" si="154"/>
        <v>32</v>
      </c>
      <c r="G694" s="10" t="s">
        <v>20</v>
      </c>
      <c r="H694" s="10" t="s">
        <v>52</v>
      </c>
      <c r="I694" s="10" t="s">
        <v>36</v>
      </c>
      <c r="J694" s="13">
        <v>0.15902777777777777</v>
      </c>
      <c r="K694" s="13">
        <v>0.16666666666666666</v>
      </c>
      <c r="L694" s="70">
        <f t="shared" si="155"/>
        <v>7.6388888888888895E-3</v>
      </c>
      <c r="M694" s="11"/>
      <c r="N694" s="41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62" t="s">
        <v>22</v>
      </c>
      <c r="E695" s="11">
        <v>17</v>
      </c>
      <c r="F695" s="17">
        <f t="shared" si="154"/>
        <v>68</v>
      </c>
      <c r="G695" s="16" t="s">
        <v>20</v>
      </c>
      <c r="H695" s="16" t="s">
        <v>57</v>
      </c>
      <c r="I695" s="16" t="s">
        <v>56</v>
      </c>
      <c r="J695" s="13">
        <v>0.26111111111111113</v>
      </c>
      <c r="K695" s="13">
        <v>0.27083333333333331</v>
      </c>
      <c r="L695" s="71">
        <f t="shared" si="155"/>
        <v>9.7222222222221877E-3</v>
      </c>
      <c r="M695" s="11"/>
      <c r="N695" s="41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62" t="s">
        <v>22</v>
      </c>
      <c r="E696" s="11">
        <v>8</v>
      </c>
      <c r="F696" s="12">
        <f t="shared" si="154"/>
        <v>32</v>
      </c>
      <c r="G696" s="10"/>
      <c r="H696" s="10"/>
      <c r="I696" s="10"/>
      <c r="J696" s="13"/>
      <c r="K696" s="13"/>
      <c r="L696" s="70" t="str">
        <f t="shared" si="155"/>
        <v/>
      </c>
      <c r="M696" s="11"/>
      <c r="N696" s="41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62" t="s">
        <v>22</v>
      </c>
      <c r="E697" s="11">
        <v>0</v>
      </c>
      <c r="F697" s="17">
        <f t="shared" si="154"/>
        <v>0</v>
      </c>
      <c r="G697" s="16"/>
      <c r="H697" s="16"/>
      <c r="I697" s="16"/>
      <c r="J697" s="13"/>
      <c r="K697" s="13"/>
      <c r="L697" s="71" t="str">
        <f t="shared" si="155"/>
        <v/>
      </c>
      <c r="M697" s="11"/>
      <c r="N697" s="41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62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11"/>
      <c r="N698" s="41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62" t="s">
        <v>22</v>
      </c>
      <c r="E699" s="11">
        <v>23</v>
      </c>
      <c r="F699" s="17">
        <f t="shared" si="154"/>
        <v>92</v>
      </c>
      <c r="G699" s="16"/>
      <c r="H699" s="16"/>
      <c r="I699" s="16"/>
      <c r="J699" s="13"/>
      <c r="K699" s="13"/>
      <c r="L699" s="71" t="str">
        <f t="shared" si="155"/>
        <v/>
      </c>
      <c r="M699" s="11"/>
      <c r="N699" s="41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62" t="s">
        <v>22</v>
      </c>
      <c r="E700" s="11">
        <v>10</v>
      </c>
      <c r="F700" s="12">
        <f t="shared" si="154"/>
        <v>40</v>
      </c>
      <c r="G700" s="10"/>
      <c r="H700" s="10"/>
      <c r="I700" s="10"/>
      <c r="J700" s="13"/>
      <c r="K700" s="13"/>
      <c r="L700" s="70" t="str">
        <f t="shared" si="155"/>
        <v/>
      </c>
      <c r="M700" s="11"/>
      <c r="N700" s="41"/>
    </row>
    <row r="701" spans="1:14" ht="15" customHeight="1">
      <c r="A701" s="59">
        <v>46199</v>
      </c>
      <c r="B701" s="15">
        <f t="shared" si="156"/>
        <v>1.2916666666666667</v>
      </c>
      <c r="C701" s="10" t="s">
        <v>29</v>
      </c>
      <c r="D701" s="62" t="s">
        <v>22</v>
      </c>
      <c r="E701" s="11">
        <v>6</v>
      </c>
      <c r="F701" s="17">
        <f t="shared" si="154"/>
        <v>24</v>
      </c>
      <c r="G701" s="16"/>
      <c r="H701" s="16"/>
      <c r="I701" s="16"/>
      <c r="J701" s="13"/>
      <c r="K701" s="13"/>
      <c r="L701" s="71" t="str">
        <f t="shared" si="155"/>
        <v/>
      </c>
      <c r="M701" s="11"/>
      <c r="N701" s="41"/>
    </row>
    <row r="702" spans="1:14" ht="15.75" customHeight="1">
      <c r="A702" s="105" t="s">
        <v>193</v>
      </c>
      <c r="B702" s="105"/>
      <c r="C702" s="105"/>
      <c r="D702" s="105"/>
      <c r="E702" s="19">
        <f>SUM(E690:E701)</f>
        <v>112</v>
      </c>
      <c r="F702" s="19">
        <f>SUM(F690:F701)</f>
        <v>448</v>
      </c>
      <c r="G702" s="38"/>
      <c r="H702" s="38"/>
      <c r="I702" s="38"/>
      <c r="J702" s="38"/>
      <c r="K702" s="38"/>
      <c r="L702" s="72">
        <f>IFERROR(SUM(L690:L701),"")</f>
        <v>0.14861111111111117</v>
      </c>
      <c r="M702" s="19" t="s">
        <v>192</v>
      </c>
      <c r="N702" s="20">
        <f>626540+94190</f>
        <v>720730</v>
      </c>
    </row>
    <row r="703" spans="1:14" ht="18" customHeight="1">
      <c r="A703" s="98" t="s">
        <v>194</v>
      </c>
      <c r="B703" s="98"/>
      <c r="C703" s="98"/>
      <c r="D703" s="98"/>
      <c r="E703" s="22">
        <f>E689+E702</f>
        <v>261</v>
      </c>
      <c r="F703" s="22">
        <f>F689+F702</f>
        <v>1044</v>
      </c>
      <c r="G703" s="39"/>
      <c r="H703" s="39"/>
      <c r="I703" s="39"/>
      <c r="J703" s="39"/>
      <c r="K703" s="39"/>
      <c r="L703" s="73">
        <f>IFERROR(L689+L702,"")</f>
        <v>0.17152777777777775</v>
      </c>
      <c r="M703" s="22" t="s">
        <v>195</v>
      </c>
      <c r="N703" s="31">
        <f>IFERROR(N689+N702,"")</f>
        <v>1521810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62" t="s">
        <v>22</v>
      </c>
      <c r="E704" s="11">
        <v>16</v>
      </c>
      <c r="F704" s="12">
        <f t="shared" ref="F704:F715" si="157">IF(E704="","",E704*4)</f>
        <v>64</v>
      </c>
      <c r="G704" s="10" t="s">
        <v>19</v>
      </c>
      <c r="H704" s="10" t="s">
        <v>154</v>
      </c>
      <c r="I704" s="10" t="s">
        <v>27</v>
      </c>
      <c r="J704" s="13">
        <v>0.3888888888888889</v>
      </c>
      <c r="K704" s="13">
        <v>0.40972222222222221</v>
      </c>
      <c r="L704" s="70">
        <f t="shared" ref="L704:L715" si="158">IFERROR(IF(K704="","",IF(K704&gt;=J704,K704-J704,K704+1-J704)),"")</f>
        <v>2.0833333333333315E-2</v>
      </c>
      <c r="M704" s="11" t="s">
        <v>369</v>
      </c>
      <c r="N704" s="41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62" t="s">
        <v>22</v>
      </c>
      <c r="E705" s="11">
        <v>20</v>
      </c>
      <c r="F705" s="17">
        <f t="shared" si="157"/>
        <v>80</v>
      </c>
      <c r="G705" s="16" t="s">
        <v>20</v>
      </c>
      <c r="H705" s="16" t="s">
        <v>133</v>
      </c>
      <c r="I705" s="16" t="s">
        <v>171</v>
      </c>
      <c r="J705" s="13">
        <v>0.50694444444444442</v>
      </c>
      <c r="K705" s="13">
        <v>0.56111111111111112</v>
      </c>
      <c r="L705" s="71">
        <f t="shared" si="158"/>
        <v>5.4166666666666696E-2</v>
      </c>
      <c r="M705" s="11"/>
      <c r="N705" s="41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62" t="s">
        <v>22</v>
      </c>
      <c r="E706" s="11">
        <v>0</v>
      </c>
      <c r="F706" s="12">
        <f t="shared" si="157"/>
        <v>0</v>
      </c>
      <c r="G706" s="10" t="s">
        <v>19</v>
      </c>
      <c r="H706" s="10" t="s">
        <v>57</v>
      </c>
      <c r="I706" s="10" t="s">
        <v>27</v>
      </c>
      <c r="J706" s="13" t="s">
        <v>370</v>
      </c>
      <c r="K706" s="13">
        <v>0.59930555555555554</v>
      </c>
      <c r="L706" s="70" t="str">
        <f t="shared" si="158"/>
        <v/>
      </c>
      <c r="M706" s="11"/>
      <c r="N706" s="41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62" t="s">
        <v>22</v>
      </c>
      <c r="E707" s="11">
        <v>13</v>
      </c>
      <c r="F707" s="17">
        <f t="shared" si="157"/>
        <v>52</v>
      </c>
      <c r="G707" s="16" t="s">
        <v>20</v>
      </c>
      <c r="H707" s="16" t="s">
        <v>57</v>
      </c>
      <c r="I707" s="16" t="s">
        <v>51</v>
      </c>
      <c r="J707" s="13">
        <v>0.67152777777777772</v>
      </c>
      <c r="K707" s="13">
        <v>0.69097222222222221</v>
      </c>
      <c r="L707" s="71">
        <f t="shared" si="158"/>
        <v>1.9444444444444486E-2</v>
      </c>
      <c r="M707" s="11" t="s">
        <v>371</v>
      </c>
      <c r="N707" s="41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62" t="s">
        <v>22</v>
      </c>
      <c r="E708" s="11">
        <v>8</v>
      </c>
      <c r="F708" s="12">
        <f t="shared" si="157"/>
        <v>32</v>
      </c>
      <c r="G708" s="10" t="s">
        <v>20</v>
      </c>
      <c r="H708" s="10" t="s">
        <v>57</v>
      </c>
      <c r="I708" s="10" t="s">
        <v>62</v>
      </c>
      <c r="J708" s="13">
        <v>0.69791666666666663</v>
      </c>
      <c r="K708" s="13">
        <v>0.71527777777777779</v>
      </c>
      <c r="L708" s="70">
        <f t="shared" si="158"/>
        <v>1.736111111111116E-2</v>
      </c>
      <c r="M708" s="11"/>
      <c r="N708" s="41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62" t="s">
        <v>22</v>
      </c>
      <c r="E709" s="11">
        <v>1</v>
      </c>
      <c r="F709" s="17">
        <f t="shared" si="157"/>
        <v>4</v>
      </c>
      <c r="G709" s="16"/>
      <c r="H709" s="16"/>
      <c r="I709" s="16"/>
      <c r="J709" s="13"/>
      <c r="K709" s="13"/>
      <c r="L709" s="71" t="str">
        <f t="shared" si="158"/>
        <v/>
      </c>
      <c r="M709" s="11"/>
      <c r="N709" s="41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62" t="s">
        <v>22</v>
      </c>
      <c r="E710" s="11">
        <v>7</v>
      </c>
      <c r="F710" s="12">
        <f t="shared" si="157"/>
        <v>28</v>
      </c>
      <c r="G710" s="10"/>
      <c r="H710" s="10"/>
      <c r="I710" s="10"/>
      <c r="J710" s="13"/>
      <c r="K710" s="13"/>
      <c r="L710" s="70" t="str">
        <f t="shared" si="158"/>
        <v/>
      </c>
      <c r="M710" s="11"/>
      <c r="N710" s="41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62" t="s">
        <v>22</v>
      </c>
      <c r="E711" s="11">
        <v>20</v>
      </c>
      <c r="F711" s="17">
        <f t="shared" si="157"/>
        <v>80</v>
      </c>
      <c r="G711" s="16"/>
      <c r="H711" s="16"/>
      <c r="I711" s="16"/>
      <c r="J711" s="13"/>
      <c r="K711" s="13"/>
      <c r="L711" s="71" t="str">
        <f t="shared" si="158"/>
        <v/>
      </c>
      <c r="M711" s="11"/>
      <c r="N711" s="41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62" t="s">
        <v>22</v>
      </c>
      <c r="E712" s="11">
        <v>8</v>
      </c>
      <c r="F712" s="12">
        <f t="shared" si="157"/>
        <v>32</v>
      </c>
      <c r="G712" s="10"/>
      <c r="H712" s="10"/>
      <c r="I712" s="10"/>
      <c r="J712" s="13"/>
      <c r="K712" s="13"/>
      <c r="L712" s="70" t="str">
        <f t="shared" si="158"/>
        <v/>
      </c>
      <c r="M712" s="11"/>
      <c r="N712" s="41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62" t="s">
        <v>22</v>
      </c>
      <c r="E713" s="11">
        <v>6</v>
      </c>
      <c r="F713" s="17">
        <f t="shared" si="157"/>
        <v>24</v>
      </c>
      <c r="G713" s="16"/>
      <c r="H713" s="16"/>
      <c r="I713" s="16"/>
      <c r="J713" s="13"/>
      <c r="K713" s="13"/>
      <c r="L713" s="71" t="str">
        <f t="shared" si="158"/>
        <v/>
      </c>
      <c r="M713" s="11"/>
      <c r="N713" s="41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62" t="s">
        <v>22</v>
      </c>
      <c r="E714" s="11">
        <v>10</v>
      </c>
      <c r="F714" s="12">
        <f t="shared" si="157"/>
        <v>40</v>
      </c>
      <c r="G714" s="10"/>
      <c r="H714" s="10"/>
      <c r="I714" s="10"/>
      <c r="J714" s="13"/>
      <c r="K714" s="13"/>
      <c r="L714" s="70" t="str">
        <f t="shared" si="158"/>
        <v/>
      </c>
      <c r="M714" s="11"/>
      <c r="N714" s="41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62" t="s">
        <v>22</v>
      </c>
      <c r="E715" s="11">
        <v>5</v>
      </c>
      <c r="F715" s="17">
        <f t="shared" si="157"/>
        <v>20</v>
      </c>
      <c r="G715" s="16"/>
      <c r="H715" s="16"/>
      <c r="I715" s="16"/>
      <c r="J715" s="13"/>
      <c r="K715" s="13"/>
      <c r="L715" s="71" t="str">
        <f t="shared" si="158"/>
        <v/>
      </c>
      <c r="M715" s="11"/>
      <c r="N715" s="41"/>
    </row>
    <row r="716" spans="1:14" ht="15.75" customHeight="1">
      <c r="A716" s="105" t="s">
        <v>191</v>
      </c>
      <c r="B716" s="105"/>
      <c r="C716" s="105"/>
      <c r="D716" s="105"/>
      <c r="E716" s="19">
        <f>SUM(E704:E715)</f>
        <v>114</v>
      </c>
      <c r="F716" s="19">
        <f>SUM(F704:F715)</f>
        <v>456</v>
      </c>
      <c r="G716" s="38"/>
      <c r="H716" s="38"/>
      <c r="I716" s="38"/>
      <c r="J716" s="38"/>
      <c r="K716" s="38"/>
      <c r="L716" s="72">
        <f>IFERROR(SUM(L704:L715),"")</f>
        <v>0.11180555555555566</v>
      </c>
      <c r="M716" s="19" t="s">
        <v>192</v>
      </c>
      <c r="N716" s="20">
        <v>533420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63" t="s">
        <v>30</v>
      </c>
      <c r="E717" s="11">
        <v>14</v>
      </c>
      <c r="F717" s="17">
        <f t="shared" ref="F717:F728" si="160">IF(E717="","",E717*4)</f>
        <v>56</v>
      </c>
      <c r="G717" s="16" t="s">
        <v>19</v>
      </c>
      <c r="H717" s="16" t="s">
        <v>154</v>
      </c>
      <c r="I717" s="16" t="s">
        <v>27</v>
      </c>
      <c r="J717" s="13">
        <v>1.3888888888888888E-2</v>
      </c>
      <c r="K717" s="13">
        <v>8.5416666666666669E-2</v>
      </c>
      <c r="L717" s="71">
        <f t="shared" ref="L717:L728" si="161">IFERROR(IF(K717="","",IF(K717&gt;=J717,K717-J717,K717+1-J717)),"")</f>
        <v>7.1527777777777773E-2</v>
      </c>
      <c r="M717" s="11" t="s">
        <v>372</v>
      </c>
      <c r="N717" s="41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63" t="s">
        <v>30</v>
      </c>
      <c r="E718" s="11">
        <v>11</v>
      </c>
      <c r="F718" s="12">
        <f t="shared" si="160"/>
        <v>44</v>
      </c>
      <c r="G718" s="10" t="s">
        <v>20</v>
      </c>
      <c r="H718" s="10" t="s">
        <v>57</v>
      </c>
      <c r="I718" s="16"/>
      <c r="J718" s="13">
        <v>0.1423611111111111</v>
      </c>
      <c r="K718" s="13">
        <v>0.14930555555555555</v>
      </c>
      <c r="L718" s="70">
        <f t="shared" si="161"/>
        <v>6.9444444444444475E-3</v>
      </c>
      <c r="M718" s="11" t="s">
        <v>373</v>
      </c>
      <c r="N718" s="41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63" t="s">
        <v>30</v>
      </c>
      <c r="E719" s="11">
        <v>16</v>
      </c>
      <c r="F719" s="17">
        <f t="shared" si="160"/>
        <v>64</v>
      </c>
      <c r="G719" s="16"/>
      <c r="H719" s="16"/>
      <c r="J719" s="13"/>
      <c r="K719" s="13"/>
      <c r="L719" s="71" t="str">
        <f t="shared" si="161"/>
        <v/>
      </c>
      <c r="M719" s="11"/>
      <c r="N719" s="41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63" t="s">
        <v>30</v>
      </c>
      <c r="E720" s="11">
        <v>16</v>
      </c>
      <c r="F720" s="12">
        <f t="shared" si="160"/>
        <v>64</v>
      </c>
      <c r="G720" s="10"/>
      <c r="H720" s="10"/>
      <c r="I720" s="10"/>
      <c r="J720" s="13"/>
      <c r="K720" s="13"/>
      <c r="L720" s="70" t="str">
        <f t="shared" si="161"/>
        <v/>
      </c>
      <c r="M720" s="11"/>
      <c r="N720" s="41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63" t="s">
        <v>30</v>
      </c>
      <c r="E721" s="11">
        <v>20</v>
      </c>
      <c r="F721" s="17">
        <f t="shared" si="160"/>
        <v>80</v>
      </c>
      <c r="G721" s="16"/>
      <c r="H721" s="16"/>
      <c r="I721" s="16"/>
      <c r="J721" s="13"/>
      <c r="K721" s="13"/>
      <c r="L721" s="71" t="str">
        <f t="shared" si="161"/>
        <v/>
      </c>
      <c r="M721" s="11"/>
      <c r="N721" s="41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63" t="s">
        <v>30</v>
      </c>
      <c r="E722" s="11">
        <v>3</v>
      </c>
      <c r="F722" s="12">
        <f t="shared" si="160"/>
        <v>12</v>
      </c>
      <c r="G722" s="10"/>
      <c r="H722" s="10"/>
      <c r="I722" s="10"/>
      <c r="J722" s="13"/>
      <c r="K722" s="13"/>
      <c r="L722" s="70" t="str">
        <f t="shared" si="161"/>
        <v/>
      </c>
      <c r="M722" s="11"/>
      <c r="N722" s="41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63" t="s">
        <v>30</v>
      </c>
      <c r="E723" s="11">
        <v>0</v>
      </c>
      <c r="F723" s="17">
        <f t="shared" si="160"/>
        <v>0</v>
      </c>
      <c r="G723" s="16"/>
      <c r="H723" s="16"/>
      <c r="I723" s="16"/>
      <c r="J723" s="13"/>
      <c r="K723" s="13"/>
      <c r="L723" s="71" t="str">
        <f t="shared" si="161"/>
        <v/>
      </c>
      <c r="M723" s="11"/>
      <c r="N723" s="41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63" t="s">
        <v>30</v>
      </c>
      <c r="E724" s="11">
        <v>18</v>
      </c>
      <c r="F724" s="12">
        <f t="shared" si="160"/>
        <v>72</v>
      </c>
      <c r="G724" s="10"/>
      <c r="H724" s="10"/>
      <c r="I724" s="10"/>
      <c r="J724" s="13"/>
      <c r="K724" s="13"/>
      <c r="L724" s="70" t="str">
        <f t="shared" si="161"/>
        <v/>
      </c>
      <c r="M724" s="11"/>
      <c r="N724" s="41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63" t="s">
        <v>30</v>
      </c>
      <c r="E725" s="11">
        <v>14</v>
      </c>
      <c r="F725" s="17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11"/>
      <c r="N725" s="41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63" t="s">
        <v>30</v>
      </c>
      <c r="E726" s="11">
        <v>14</v>
      </c>
      <c r="F726" s="17">
        <f t="shared" si="160"/>
        <v>56</v>
      </c>
      <c r="G726" s="10"/>
      <c r="H726" s="10"/>
      <c r="I726" s="10"/>
      <c r="J726" s="13"/>
      <c r="K726" s="13"/>
      <c r="L726" s="70" t="str">
        <f t="shared" si="161"/>
        <v/>
      </c>
      <c r="M726" s="11"/>
      <c r="N726" s="41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63" t="s">
        <v>30</v>
      </c>
      <c r="E727" s="11">
        <v>9</v>
      </c>
      <c r="F727" s="17">
        <f t="shared" si="160"/>
        <v>36</v>
      </c>
      <c r="G727" s="16"/>
      <c r="H727" s="16"/>
      <c r="I727" s="16"/>
      <c r="J727" s="13"/>
      <c r="K727" s="13"/>
      <c r="L727" s="71" t="str">
        <f t="shared" si="161"/>
        <v/>
      </c>
      <c r="M727" s="11"/>
      <c r="N727" s="41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63" t="s">
        <v>30</v>
      </c>
      <c r="E728" s="11">
        <v>0</v>
      </c>
      <c r="F728" s="12">
        <f t="shared" si="160"/>
        <v>0</v>
      </c>
      <c r="G728" s="10"/>
      <c r="H728" s="10"/>
      <c r="I728" s="10"/>
      <c r="J728" s="13"/>
      <c r="K728" s="13"/>
      <c r="L728" s="70" t="str">
        <f t="shared" si="161"/>
        <v/>
      </c>
      <c r="M728" s="11"/>
      <c r="N728" s="41"/>
    </row>
    <row r="729" spans="1:14" ht="15.75" customHeight="1">
      <c r="A729" s="105" t="s">
        <v>193</v>
      </c>
      <c r="B729" s="105"/>
      <c r="C729" s="105"/>
      <c r="D729" s="105"/>
      <c r="E729" s="19">
        <f>SUM(E717:E728)</f>
        <v>135</v>
      </c>
      <c r="F729" s="19">
        <f>SUM(F717:F728)</f>
        <v>540</v>
      </c>
      <c r="G729" s="38"/>
      <c r="H729" s="38"/>
      <c r="I729" s="38"/>
      <c r="J729" s="38"/>
      <c r="K729" s="38"/>
      <c r="L729" s="72">
        <f>IFERROR(SUM(L717:L728),"")</f>
        <v>7.8472222222222221E-2</v>
      </c>
      <c r="M729" s="19" t="s">
        <v>192</v>
      </c>
      <c r="N729" s="20">
        <v>874110</v>
      </c>
    </row>
    <row r="730" spans="1:14" ht="18" customHeight="1">
      <c r="A730" s="98" t="s">
        <v>194</v>
      </c>
      <c r="B730" s="98"/>
      <c r="C730" s="98"/>
      <c r="D730" s="98"/>
      <c r="E730" s="22">
        <f>E716+E729</f>
        <v>249</v>
      </c>
      <c r="F730" s="22">
        <f>F716+F729</f>
        <v>996</v>
      </c>
      <c r="G730" s="39"/>
      <c r="H730" s="39"/>
      <c r="I730" s="39"/>
      <c r="J730" s="39"/>
      <c r="K730" s="39"/>
      <c r="L730" s="73">
        <f>IFERROR(L716+L729,"")</f>
        <v>0.19027777777777788</v>
      </c>
      <c r="M730" s="22" t="s">
        <v>195</v>
      </c>
      <c r="N730" s="31">
        <f>IFERROR(N716+N729,"")</f>
        <v>1407530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63" t="s">
        <v>22</v>
      </c>
      <c r="E731" s="11">
        <v>10</v>
      </c>
      <c r="F731" s="17">
        <f t="shared" ref="F731:F742" si="163">IF(E731="","",E731*4)</f>
        <v>40</v>
      </c>
      <c r="G731" s="16" t="s">
        <v>16</v>
      </c>
      <c r="H731" s="16" t="s">
        <v>154</v>
      </c>
      <c r="I731" s="16" t="s">
        <v>32</v>
      </c>
      <c r="J731" s="13">
        <v>0.29166666666666669</v>
      </c>
      <c r="K731" s="13">
        <v>0.33333333333333331</v>
      </c>
      <c r="L731" s="71">
        <f t="shared" ref="L731:L742" si="164">IFERROR(IF(K731="","",IF(K731&gt;=J731,K731-J731,K731+1-J731)),"")</f>
        <v>4.166666666666663E-2</v>
      </c>
      <c r="M731" s="11" t="s">
        <v>374</v>
      </c>
      <c r="N731" s="41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63" t="s">
        <v>22</v>
      </c>
      <c r="E732" s="11">
        <v>12</v>
      </c>
      <c r="F732" s="12">
        <f t="shared" si="163"/>
        <v>48</v>
      </c>
      <c r="G732" s="10" t="s">
        <v>17</v>
      </c>
      <c r="H732" s="10"/>
      <c r="I732" s="10" t="s">
        <v>96</v>
      </c>
      <c r="J732" s="13">
        <v>0.37916666666666665</v>
      </c>
      <c r="K732" s="13">
        <v>0.44166666666666665</v>
      </c>
      <c r="L732" s="70">
        <f t="shared" si="164"/>
        <v>6.25E-2</v>
      </c>
      <c r="M732" s="11" t="s">
        <v>302</v>
      </c>
      <c r="N732" s="41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63" t="s">
        <v>22</v>
      </c>
      <c r="E733" s="11">
        <v>5</v>
      </c>
      <c r="F733" s="17">
        <f t="shared" si="163"/>
        <v>20</v>
      </c>
      <c r="G733" s="16" t="s">
        <v>17</v>
      </c>
      <c r="H733" s="16"/>
      <c r="I733" s="16" t="s">
        <v>59</v>
      </c>
      <c r="J733" s="13">
        <v>0.62638888888888888</v>
      </c>
      <c r="K733" s="13">
        <v>0.64583333333333337</v>
      </c>
      <c r="L733" s="71">
        <f t="shared" si="164"/>
        <v>1.9444444444444486E-2</v>
      </c>
      <c r="M733" s="11" t="s">
        <v>322</v>
      </c>
      <c r="N733" s="41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63" t="s">
        <v>22</v>
      </c>
      <c r="E734" s="11">
        <v>12</v>
      </c>
      <c r="F734" s="12">
        <f t="shared" si="163"/>
        <v>48</v>
      </c>
      <c r="G734" s="10" t="s">
        <v>19</v>
      </c>
      <c r="H734" s="10" t="s">
        <v>52</v>
      </c>
      <c r="I734" s="10" t="s">
        <v>27</v>
      </c>
      <c r="J734" s="13">
        <v>0.69444444444444442</v>
      </c>
      <c r="K734" s="13">
        <v>0.71527777777777779</v>
      </c>
      <c r="L734" s="70">
        <f t="shared" si="164"/>
        <v>2.083333333333337E-2</v>
      </c>
      <c r="M734" s="11"/>
      <c r="N734" s="41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63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11"/>
      <c r="N735" s="41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63" t="s">
        <v>22</v>
      </c>
      <c r="E736" s="11">
        <v>9</v>
      </c>
      <c r="F736" s="12">
        <f t="shared" si="163"/>
        <v>36</v>
      </c>
      <c r="G736" s="10"/>
      <c r="H736" s="10"/>
      <c r="I736" s="10"/>
      <c r="J736" s="13"/>
      <c r="K736" s="13"/>
      <c r="L736" s="70" t="str">
        <f t="shared" si="164"/>
        <v/>
      </c>
      <c r="M736" s="11"/>
      <c r="N736" s="41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63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11"/>
      <c r="N737" s="41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63" t="s">
        <v>30</v>
      </c>
      <c r="E738" s="11">
        <v>13</v>
      </c>
      <c r="F738" s="12">
        <f t="shared" si="163"/>
        <v>52</v>
      </c>
      <c r="G738" s="10"/>
      <c r="H738" s="10"/>
      <c r="I738" s="10"/>
      <c r="J738" s="13"/>
      <c r="K738" s="13"/>
      <c r="L738" s="70" t="str">
        <f t="shared" si="164"/>
        <v/>
      </c>
      <c r="M738" s="11"/>
      <c r="N738" s="41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63" t="s">
        <v>30</v>
      </c>
      <c r="E739" s="11">
        <v>24</v>
      </c>
      <c r="F739" s="17">
        <f t="shared" si="163"/>
        <v>96</v>
      </c>
      <c r="G739" s="16"/>
      <c r="H739" s="16"/>
      <c r="I739" s="16"/>
      <c r="J739" s="13"/>
      <c r="K739" s="13"/>
      <c r="L739" s="71" t="str">
        <f t="shared" si="164"/>
        <v/>
      </c>
      <c r="M739" s="11"/>
      <c r="N739" s="41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63" t="s">
        <v>30</v>
      </c>
      <c r="E740" s="11">
        <v>8</v>
      </c>
      <c r="F740" s="12">
        <f t="shared" si="163"/>
        <v>32</v>
      </c>
      <c r="G740" s="10"/>
      <c r="H740" s="10"/>
      <c r="I740" s="10"/>
      <c r="J740" s="13"/>
      <c r="K740" s="13"/>
      <c r="L740" s="70" t="str">
        <f t="shared" si="164"/>
        <v/>
      </c>
      <c r="M740" s="11"/>
      <c r="N740" s="41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63" t="s">
        <v>30</v>
      </c>
      <c r="E741" s="11">
        <v>16</v>
      </c>
      <c r="F741" s="17">
        <f t="shared" si="163"/>
        <v>64</v>
      </c>
      <c r="G741" s="16"/>
      <c r="H741" s="16"/>
      <c r="I741" s="16"/>
      <c r="J741" s="13"/>
      <c r="K741" s="13"/>
      <c r="L741" s="71" t="str">
        <f t="shared" si="164"/>
        <v/>
      </c>
      <c r="M741" s="11"/>
      <c r="N741" s="41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63" t="s">
        <v>30</v>
      </c>
      <c r="E742" s="11">
        <v>3</v>
      </c>
      <c r="F742" s="12">
        <f t="shared" si="163"/>
        <v>12</v>
      </c>
      <c r="G742" s="10"/>
      <c r="H742" s="10"/>
      <c r="I742" s="10"/>
      <c r="J742" s="13"/>
      <c r="K742" s="13"/>
      <c r="L742" s="70" t="str">
        <f t="shared" si="164"/>
        <v/>
      </c>
      <c r="M742" s="11"/>
      <c r="N742" s="41"/>
    </row>
    <row r="743" spans="1:14" ht="15.75" customHeight="1">
      <c r="A743" s="105" t="s">
        <v>191</v>
      </c>
      <c r="B743" s="105"/>
      <c r="C743" s="105"/>
      <c r="D743" s="105"/>
      <c r="E743" s="19">
        <f>SUM(E731:E742)</f>
        <v>124</v>
      </c>
      <c r="F743" s="19">
        <f>SUM(F731:F742)</f>
        <v>496</v>
      </c>
      <c r="G743" s="38"/>
      <c r="H743" s="38"/>
      <c r="I743" s="38"/>
      <c r="J743" s="38"/>
      <c r="K743" s="38"/>
      <c r="L743" s="72">
        <f>IFERROR(SUM(L731:L742),"")</f>
        <v>0.14444444444444449</v>
      </c>
      <c r="M743" s="19" t="s">
        <v>192</v>
      </c>
      <c r="N743" s="20">
        <v>471600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62" t="s">
        <v>30</v>
      </c>
      <c r="E744" s="11">
        <v>24</v>
      </c>
      <c r="F744" s="12">
        <f t="shared" ref="F744:F755" si="166">IF(E744="","",E744*4)</f>
        <v>96</v>
      </c>
      <c r="G744" s="10" t="s">
        <v>17</v>
      </c>
      <c r="H744" s="10" t="s">
        <v>95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7">IFERROR(IF(K744="","",IF(K744&gt;=J744,K744-J744,K744+1-J744)),"")</f>
        <v>6.944444444444442E-2</v>
      </c>
      <c r="M744" s="11" t="s">
        <v>303</v>
      </c>
      <c r="N744" s="41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0" t="s">
        <v>45</v>
      </c>
      <c r="D745" s="62" t="s">
        <v>30</v>
      </c>
      <c r="E745" s="11">
        <v>0</v>
      </c>
      <c r="F745" s="17">
        <f t="shared" si="166"/>
        <v>0</v>
      </c>
      <c r="G745" s="16" t="s">
        <v>19</v>
      </c>
      <c r="H745" s="16" t="s">
        <v>132</v>
      </c>
      <c r="I745" s="16" t="s">
        <v>110</v>
      </c>
      <c r="J745" s="13">
        <v>0.10416666666666667</v>
      </c>
      <c r="K745" s="13">
        <v>0.15625</v>
      </c>
      <c r="L745" s="71">
        <f t="shared" si="167"/>
        <v>5.2083333333333329E-2</v>
      </c>
      <c r="M745" s="11"/>
      <c r="N745" s="41"/>
    </row>
    <row r="746" spans="1:14" ht="15" customHeight="1">
      <c r="A746" s="58">
        <v>46201</v>
      </c>
      <c r="B746" s="9">
        <f t="shared" si="168"/>
        <v>0.9166666666666663</v>
      </c>
      <c r="C746" s="10" t="s">
        <v>45</v>
      </c>
      <c r="D746" s="62" t="s">
        <v>30</v>
      </c>
      <c r="E746" s="11">
        <v>0</v>
      </c>
      <c r="F746" s="12">
        <f t="shared" si="166"/>
        <v>0</v>
      </c>
      <c r="G746" s="10"/>
      <c r="H746" s="10"/>
      <c r="I746" s="10"/>
      <c r="J746" s="13"/>
      <c r="K746" s="13"/>
      <c r="L746" s="70" t="str">
        <f t="shared" si="167"/>
        <v/>
      </c>
      <c r="M746" s="11"/>
      <c r="N746" s="41"/>
    </row>
    <row r="747" spans="1:14" ht="15" customHeight="1">
      <c r="A747" s="59">
        <v>46201</v>
      </c>
      <c r="B747" s="15">
        <f t="shared" si="168"/>
        <v>0.95833333333333293</v>
      </c>
      <c r="C747" s="10" t="s">
        <v>45</v>
      </c>
      <c r="D747" s="62" t="s">
        <v>30</v>
      </c>
      <c r="E747" s="11">
        <v>9</v>
      </c>
      <c r="F747" s="12">
        <f t="shared" si="166"/>
        <v>36</v>
      </c>
      <c r="G747" s="16"/>
      <c r="H747" s="16"/>
      <c r="I747" s="16"/>
      <c r="J747" s="13"/>
      <c r="K747" s="13"/>
      <c r="L747" s="71" t="str">
        <f t="shared" si="167"/>
        <v/>
      </c>
      <c r="M747" s="11"/>
      <c r="N747" s="41"/>
    </row>
    <row r="748" spans="1:14" ht="15" customHeight="1">
      <c r="A748" s="58">
        <v>46201</v>
      </c>
      <c r="B748" s="9">
        <f t="shared" si="168"/>
        <v>0.99999999999999956</v>
      </c>
      <c r="C748" s="10" t="s">
        <v>45</v>
      </c>
      <c r="D748" s="62" t="s">
        <v>30</v>
      </c>
      <c r="E748" s="11">
        <v>19</v>
      </c>
      <c r="F748" s="12">
        <f t="shared" si="166"/>
        <v>76</v>
      </c>
      <c r="G748" s="10"/>
      <c r="H748" s="10"/>
      <c r="I748" s="10"/>
      <c r="J748" s="13"/>
      <c r="K748" s="13"/>
      <c r="L748" s="70" t="str">
        <f t="shared" si="167"/>
        <v/>
      </c>
      <c r="M748" s="11"/>
      <c r="N748" s="41"/>
    </row>
    <row r="749" spans="1:14" ht="15" customHeight="1">
      <c r="A749" s="59">
        <v>46201</v>
      </c>
      <c r="B749" s="15">
        <f t="shared" si="168"/>
        <v>1.0416666666666663</v>
      </c>
      <c r="C749" s="10" t="s">
        <v>45</v>
      </c>
      <c r="D749" s="62" t="s">
        <v>30</v>
      </c>
      <c r="E749" s="11">
        <v>23</v>
      </c>
      <c r="F749" s="17">
        <f t="shared" si="166"/>
        <v>92</v>
      </c>
      <c r="G749" s="16"/>
      <c r="H749" s="16"/>
      <c r="I749" s="16"/>
      <c r="J749" s="13"/>
      <c r="K749" s="13"/>
      <c r="L749" s="71" t="str">
        <f t="shared" si="167"/>
        <v/>
      </c>
      <c r="M749" s="11"/>
      <c r="N749" s="41"/>
    </row>
    <row r="750" spans="1:14" ht="15" customHeight="1">
      <c r="A750" s="58">
        <v>46201</v>
      </c>
      <c r="B750" s="9">
        <f t="shared" si="168"/>
        <v>1.083333333333333</v>
      </c>
      <c r="C750" s="10" t="s">
        <v>45</v>
      </c>
      <c r="D750" s="62" t="s">
        <v>30</v>
      </c>
      <c r="E750" s="11">
        <v>20</v>
      </c>
      <c r="F750" s="12">
        <f t="shared" si="166"/>
        <v>80</v>
      </c>
      <c r="G750" s="10"/>
      <c r="H750" s="10"/>
      <c r="I750" s="10"/>
      <c r="J750" s="13"/>
      <c r="K750" s="13"/>
      <c r="L750" s="70" t="str">
        <f t="shared" si="167"/>
        <v/>
      </c>
      <c r="M750" s="11"/>
      <c r="N750" s="41"/>
    </row>
    <row r="751" spans="1:14" ht="15" customHeight="1">
      <c r="A751" s="59">
        <v>46201</v>
      </c>
      <c r="B751" s="15">
        <f t="shared" si="168"/>
        <v>1.1249999999999998</v>
      </c>
      <c r="C751" s="10" t="s">
        <v>45</v>
      </c>
      <c r="D751" s="62" t="s">
        <v>30</v>
      </c>
      <c r="E751" s="11">
        <v>12</v>
      </c>
      <c r="F751" s="17">
        <f t="shared" si="166"/>
        <v>48</v>
      </c>
      <c r="G751" s="16"/>
      <c r="H751" s="16"/>
      <c r="I751" s="16"/>
      <c r="J751" s="13"/>
      <c r="K751" s="13"/>
      <c r="L751" s="71" t="str">
        <f t="shared" si="167"/>
        <v/>
      </c>
      <c r="M751" s="11"/>
      <c r="N751" s="41"/>
    </row>
    <row r="752" spans="1:14" ht="15" customHeight="1">
      <c r="A752" s="58">
        <v>46201</v>
      </c>
      <c r="B752" s="9">
        <f t="shared" si="168"/>
        <v>1.1666666666666665</v>
      </c>
      <c r="C752" s="10" t="s">
        <v>45</v>
      </c>
      <c r="D752" s="62" t="s">
        <v>30</v>
      </c>
      <c r="E752" s="11">
        <v>9</v>
      </c>
      <c r="F752" s="12">
        <f t="shared" si="166"/>
        <v>36</v>
      </c>
      <c r="G752" s="10"/>
      <c r="H752" s="10"/>
      <c r="I752" s="10"/>
      <c r="J752" s="13"/>
      <c r="K752" s="13"/>
      <c r="L752" s="70" t="str">
        <f t="shared" si="167"/>
        <v/>
      </c>
      <c r="M752" s="11"/>
      <c r="N752" s="41"/>
    </row>
    <row r="753" spans="1:14" ht="15" customHeight="1">
      <c r="A753" s="59">
        <v>46201</v>
      </c>
      <c r="B753" s="15">
        <f t="shared" si="168"/>
        <v>1.2083333333333333</v>
      </c>
      <c r="C753" s="10" t="s">
        <v>45</v>
      </c>
      <c r="D753" s="62" t="s">
        <v>30</v>
      </c>
      <c r="E753" s="11">
        <v>19</v>
      </c>
      <c r="F753" s="17">
        <f t="shared" si="166"/>
        <v>76</v>
      </c>
      <c r="G753" s="16"/>
      <c r="H753" s="16"/>
      <c r="I753" s="16"/>
      <c r="J753" s="13"/>
      <c r="K753" s="13"/>
      <c r="L753" s="71" t="str">
        <f t="shared" si="167"/>
        <v/>
      </c>
      <c r="M753" s="11"/>
      <c r="N753" s="41"/>
    </row>
    <row r="754" spans="1:14" ht="15" customHeight="1">
      <c r="A754" s="58">
        <v>46201</v>
      </c>
      <c r="B754" s="9">
        <f t="shared" si="168"/>
        <v>1.25</v>
      </c>
      <c r="C754" s="10" t="s">
        <v>45</v>
      </c>
      <c r="D754" s="62" t="s">
        <v>30</v>
      </c>
      <c r="E754" s="11">
        <v>18</v>
      </c>
      <c r="F754" s="12">
        <f t="shared" si="166"/>
        <v>72</v>
      </c>
      <c r="G754" s="10"/>
      <c r="H754" s="10"/>
      <c r="I754" s="10"/>
      <c r="J754" s="13"/>
      <c r="K754" s="13"/>
      <c r="L754" s="70" t="str">
        <f t="shared" si="167"/>
        <v/>
      </c>
      <c r="M754" s="11"/>
      <c r="N754" s="41"/>
    </row>
    <row r="755" spans="1:14" ht="15" customHeight="1">
      <c r="A755" s="59">
        <v>46201</v>
      </c>
      <c r="B755" s="15">
        <f t="shared" si="168"/>
        <v>1.2916666666666667</v>
      </c>
      <c r="C755" s="10" t="s">
        <v>45</v>
      </c>
      <c r="D755" s="62" t="s">
        <v>30</v>
      </c>
      <c r="E755" s="11">
        <v>14</v>
      </c>
      <c r="F755" s="17">
        <f t="shared" si="166"/>
        <v>56</v>
      </c>
      <c r="G755" s="16"/>
      <c r="H755" s="16"/>
      <c r="I755" s="16"/>
      <c r="J755" s="13"/>
      <c r="K755" s="13"/>
      <c r="L755" s="71" t="str">
        <f t="shared" si="167"/>
        <v/>
      </c>
      <c r="M755" s="11"/>
      <c r="N755" s="41"/>
    </row>
    <row r="756" spans="1:14" ht="15.75" customHeight="1">
      <c r="A756" s="105" t="s">
        <v>193</v>
      </c>
      <c r="B756" s="105"/>
      <c r="C756" s="105"/>
      <c r="D756" s="105"/>
      <c r="E756" s="19">
        <f>SUM(E744:E755)</f>
        <v>167</v>
      </c>
      <c r="F756" s="19">
        <f>SUM(F744:F755)</f>
        <v>668</v>
      </c>
      <c r="G756" s="38"/>
      <c r="H756" s="38"/>
      <c r="I756" s="38"/>
      <c r="J756" s="38"/>
      <c r="K756" s="38"/>
      <c r="L756" s="72">
        <f>IFERROR(SUM(L744:L755),"")</f>
        <v>0.12152777777777775</v>
      </c>
      <c r="M756" s="19" t="s">
        <v>192</v>
      </c>
      <c r="N756" s="20">
        <v>1001690</v>
      </c>
    </row>
    <row r="757" spans="1:14" ht="18" customHeight="1">
      <c r="A757" s="98" t="s">
        <v>194</v>
      </c>
      <c r="B757" s="98"/>
      <c r="C757" s="98"/>
      <c r="D757" s="98"/>
      <c r="E757" s="22">
        <f>E743+E756</f>
        <v>291</v>
      </c>
      <c r="F757" s="22">
        <f>F743+F756</f>
        <v>1164</v>
      </c>
      <c r="G757" s="39"/>
      <c r="H757" s="39"/>
      <c r="I757" s="39"/>
      <c r="J757" s="39"/>
      <c r="K757" s="39"/>
      <c r="L757" s="73">
        <f>IFERROR(L743+L756,"")</f>
        <v>0.26597222222222222</v>
      </c>
      <c r="M757" s="22" t="s">
        <v>195</v>
      </c>
      <c r="N757" s="31">
        <f>IFERROR(N743+N756,"")</f>
        <v>1473290</v>
      </c>
    </row>
    <row r="758" spans="1:14" ht="15" customHeight="1">
      <c r="A758" s="58">
        <v>46202</v>
      </c>
      <c r="B758" s="9">
        <v>0.33333333333333298</v>
      </c>
      <c r="C758" s="10" t="s">
        <v>21</v>
      </c>
      <c r="D758" s="62" t="s">
        <v>30</v>
      </c>
      <c r="E758" s="11">
        <v>5</v>
      </c>
      <c r="F758" s="12">
        <f t="shared" ref="F758:F769" si="169">IF(E758="","",E758*4)</f>
        <v>20</v>
      </c>
      <c r="G758" s="10" t="s">
        <v>19</v>
      </c>
      <c r="H758" s="10" t="s">
        <v>52</v>
      </c>
      <c r="I758" s="10" t="s">
        <v>27</v>
      </c>
      <c r="J758" s="13">
        <v>0.2986111111111111</v>
      </c>
      <c r="K758" s="13">
        <v>0.3125</v>
      </c>
      <c r="L758" s="70">
        <f t="shared" ref="L758:L769" si="170">IFERROR(IF(K758="","",IF(K758&gt;=J758,K758-J758,K758+1-J758)),"")</f>
        <v>1.3888888888888895E-2</v>
      </c>
      <c r="M758" s="11"/>
      <c r="N758" s="41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0" t="s">
        <v>21</v>
      </c>
      <c r="D759" s="62" t="s">
        <v>30</v>
      </c>
      <c r="E759" s="11">
        <v>11</v>
      </c>
      <c r="F759" s="17">
        <f t="shared" si="169"/>
        <v>44</v>
      </c>
      <c r="G759" s="16" t="s">
        <v>19</v>
      </c>
      <c r="H759" s="16" t="s">
        <v>57</v>
      </c>
      <c r="I759" s="16" t="s">
        <v>27</v>
      </c>
      <c r="J759" s="13">
        <v>0.2986111111111111</v>
      </c>
      <c r="K759" s="13">
        <v>0.31874999999999998</v>
      </c>
      <c r="L759" s="71">
        <f t="shared" si="170"/>
        <v>2.0138888888888873E-2</v>
      </c>
      <c r="M759" s="11" t="s">
        <v>375</v>
      </c>
      <c r="N759" s="41"/>
    </row>
    <row r="760" spans="1:14" ht="15" customHeight="1">
      <c r="A760" s="58">
        <v>46202</v>
      </c>
      <c r="B760" s="9">
        <f t="shared" si="171"/>
        <v>0.41666666666666635</v>
      </c>
      <c r="C760" s="10" t="s">
        <v>21</v>
      </c>
      <c r="D760" s="62" t="s">
        <v>30</v>
      </c>
      <c r="E760" s="11">
        <v>24</v>
      </c>
      <c r="F760" s="12">
        <f t="shared" si="169"/>
        <v>96</v>
      </c>
      <c r="G760" s="10" t="s">
        <v>17</v>
      </c>
      <c r="H760" s="10" t="s">
        <v>57</v>
      </c>
      <c r="I760" s="10" t="s">
        <v>49</v>
      </c>
      <c r="J760" s="13">
        <v>0.46388888888888891</v>
      </c>
      <c r="K760" s="13">
        <v>0.48958333333333331</v>
      </c>
      <c r="L760" s="70">
        <f t="shared" si="170"/>
        <v>2.5694444444444409E-2</v>
      </c>
      <c r="M760" s="11" t="s">
        <v>323</v>
      </c>
      <c r="N760" s="41"/>
    </row>
    <row r="761" spans="1:14" ht="15" customHeight="1">
      <c r="A761" s="59">
        <v>46202</v>
      </c>
      <c r="B761" s="15">
        <f t="shared" si="171"/>
        <v>0.45833333333333304</v>
      </c>
      <c r="C761" s="10" t="s">
        <v>21</v>
      </c>
      <c r="D761" s="62" t="s">
        <v>30</v>
      </c>
      <c r="E761" s="11">
        <v>6</v>
      </c>
      <c r="F761" s="17">
        <f t="shared" si="169"/>
        <v>24</v>
      </c>
      <c r="G761" s="16" t="s">
        <v>19</v>
      </c>
      <c r="H761" s="16" t="s">
        <v>52</v>
      </c>
      <c r="I761" s="16" t="s">
        <v>27</v>
      </c>
      <c r="J761" s="13">
        <v>0.72222222222222221</v>
      </c>
      <c r="K761" s="13">
        <v>0.73611111111111116</v>
      </c>
      <c r="L761" s="71">
        <f t="shared" si="170"/>
        <v>1.3888888888888951E-2</v>
      </c>
      <c r="M761" s="11"/>
      <c r="N761" s="41"/>
    </row>
    <row r="762" spans="1:14" ht="15" customHeight="1">
      <c r="A762" s="58">
        <v>46202</v>
      </c>
      <c r="B762" s="9">
        <f t="shared" si="171"/>
        <v>0.49999999999999972</v>
      </c>
      <c r="C762" s="10" t="s">
        <v>21</v>
      </c>
      <c r="D762" s="62" t="s">
        <v>30</v>
      </c>
      <c r="E762" s="11">
        <v>7</v>
      </c>
      <c r="F762" s="12">
        <f t="shared" si="169"/>
        <v>28</v>
      </c>
      <c r="G762" s="10"/>
      <c r="H762" s="10"/>
      <c r="I762" s="10"/>
      <c r="J762" s="13"/>
      <c r="K762" s="13"/>
      <c r="L762" s="70" t="str">
        <f t="shared" si="170"/>
        <v/>
      </c>
      <c r="M762" s="11"/>
      <c r="N762" s="41"/>
    </row>
    <row r="763" spans="1:14" ht="15" customHeight="1">
      <c r="A763" s="59">
        <v>46202</v>
      </c>
      <c r="B763" s="15">
        <f t="shared" si="171"/>
        <v>0.54166666666666641</v>
      </c>
      <c r="C763" s="10" t="s">
        <v>21</v>
      </c>
      <c r="D763" s="62" t="s">
        <v>30</v>
      </c>
      <c r="E763" s="11">
        <v>15</v>
      </c>
      <c r="F763" s="17">
        <f t="shared" si="169"/>
        <v>60</v>
      </c>
      <c r="G763" s="16"/>
      <c r="H763" s="16"/>
      <c r="I763" s="16"/>
      <c r="J763" s="13"/>
      <c r="K763" s="13"/>
      <c r="L763" s="71" t="str">
        <f t="shared" si="170"/>
        <v/>
      </c>
      <c r="M763" s="11"/>
      <c r="N763" s="41"/>
    </row>
    <row r="764" spans="1:14" ht="15" customHeight="1">
      <c r="A764" s="58">
        <v>46202</v>
      </c>
      <c r="B764" s="9">
        <f t="shared" si="171"/>
        <v>0.58333333333333304</v>
      </c>
      <c r="C764" s="10" t="s">
        <v>21</v>
      </c>
      <c r="D764" s="62" t="s">
        <v>30</v>
      </c>
      <c r="E764" s="11">
        <v>20</v>
      </c>
      <c r="F764" s="12">
        <f t="shared" si="169"/>
        <v>80</v>
      </c>
      <c r="G764" s="10"/>
      <c r="H764" s="10"/>
      <c r="I764" s="10"/>
      <c r="J764" s="13"/>
      <c r="K764" s="13"/>
      <c r="L764" s="70" t="str">
        <f t="shared" si="170"/>
        <v/>
      </c>
      <c r="M764" s="11"/>
      <c r="N764" s="41"/>
    </row>
    <row r="765" spans="1:14" ht="15" customHeight="1">
      <c r="A765" s="59">
        <v>46202</v>
      </c>
      <c r="B765" s="15">
        <f t="shared" si="171"/>
        <v>0.62499999999999967</v>
      </c>
      <c r="C765" s="10" t="s">
        <v>21</v>
      </c>
      <c r="D765" s="62" t="s">
        <v>30</v>
      </c>
      <c r="E765" s="11">
        <v>26</v>
      </c>
      <c r="F765" s="17">
        <f t="shared" si="169"/>
        <v>104</v>
      </c>
      <c r="G765" s="16"/>
      <c r="H765" s="16"/>
      <c r="I765" s="16"/>
      <c r="J765" s="13"/>
      <c r="K765" s="13"/>
      <c r="L765" s="71" t="str">
        <f t="shared" si="170"/>
        <v/>
      </c>
      <c r="M765" s="11"/>
      <c r="N765" s="41"/>
    </row>
    <row r="766" spans="1:14" ht="15" customHeight="1">
      <c r="A766" s="58">
        <v>46202</v>
      </c>
      <c r="B766" s="9">
        <f t="shared" si="171"/>
        <v>0.6666666666666663</v>
      </c>
      <c r="C766" s="10" t="s">
        <v>21</v>
      </c>
      <c r="D766" s="62" t="s">
        <v>30</v>
      </c>
      <c r="E766" s="11">
        <v>19</v>
      </c>
      <c r="F766" s="12">
        <f t="shared" si="169"/>
        <v>76</v>
      </c>
      <c r="G766" s="10"/>
      <c r="H766" s="10"/>
      <c r="I766" s="10"/>
      <c r="J766" s="13"/>
      <c r="K766" s="13"/>
      <c r="L766" s="70" t="str">
        <f t="shared" si="170"/>
        <v/>
      </c>
      <c r="M766" s="11"/>
      <c r="N766" s="41"/>
    </row>
    <row r="767" spans="1:14" ht="15" customHeight="1">
      <c r="A767" s="59">
        <v>46202</v>
      </c>
      <c r="B767" s="15">
        <f t="shared" si="171"/>
        <v>0.70833333333333293</v>
      </c>
      <c r="C767" s="10" t="s">
        <v>21</v>
      </c>
      <c r="D767" s="62" t="s">
        <v>30</v>
      </c>
      <c r="E767" s="11">
        <v>26</v>
      </c>
      <c r="F767" s="17">
        <f t="shared" si="169"/>
        <v>104</v>
      </c>
      <c r="G767" s="16"/>
      <c r="H767" s="16"/>
      <c r="I767" s="16"/>
      <c r="J767" s="13"/>
      <c r="K767" s="13"/>
      <c r="L767" s="71" t="str">
        <f t="shared" si="170"/>
        <v/>
      </c>
      <c r="M767" s="11"/>
      <c r="N767" s="41"/>
    </row>
    <row r="768" spans="1:14" ht="15" customHeight="1">
      <c r="A768" s="58">
        <v>46202</v>
      </c>
      <c r="B768" s="9">
        <f t="shared" si="171"/>
        <v>0.74999999999999956</v>
      </c>
      <c r="C768" s="10" t="s">
        <v>21</v>
      </c>
      <c r="D768" s="62" t="s">
        <v>30</v>
      </c>
      <c r="E768" s="11">
        <v>8</v>
      </c>
      <c r="F768" s="12">
        <f t="shared" si="169"/>
        <v>32</v>
      </c>
      <c r="G768" s="10"/>
      <c r="H768" s="10"/>
      <c r="I768" s="10"/>
      <c r="J768" s="13"/>
      <c r="K768" s="13"/>
      <c r="L768" s="70" t="str">
        <f t="shared" si="170"/>
        <v/>
      </c>
      <c r="M768" s="11"/>
      <c r="N768" s="41"/>
    </row>
    <row r="769" spans="1:14" ht="15" customHeight="1">
      <c r="A769" s="59">
        <v>46202</v>
      </c>
      <c r="B769" s="15">
        <f t="shared" si="171"/>
        <v>0.79166666666666619</v>
      </c>
      <c r="C769" s="10" t="s">
        <v>21</v>
      </c>
      <c r="D769" s="62" t="s">
        <v>30</v>
      </c>
      <c r="E769" s="11">
        <v>8</v>
      </c>
      <c r="F769" s="17">
        <f t="shared" si="169"/>
        <v>32</v>
      </c>
      <c r="G769" s="16"/>
      <c r="H769" s="16"/>
      <c r="I769" s="16"/>
      <c r="J769" s="13"/>
      <c r="K769" s="13"/>
      <c r="L769" s="71" t="str">
        <f t="shared" si="170"/>
        <v/>
      </c>
      <c r="M769" s="11"/>
      <c r="N769" s="41"/>
    </row>
    <row r="770" spans="1:14" ht="15.75" customHeight="1">
      <c r="A770" s="106" t="s">
        <v>191</v>
      </c>
      <c r="B770" s="107"/>
      <c r="C770" s="107"/>
      <c r="D770" s="108"/>
      <c r="E770" s="19">
        <f>SUM(E758:E769)</f>
        <v>175</v>
      </c>
      <c r="F770" s="19">
        <f>SUM(F758:F769)</f>
        <v>700</v>
      </c>
      <c r="G770" s="38"/>
      <c r="H770" s="38"/>
      <c r="I770" s="38"/>
      <c r="J770" s="38"/>
      <c r="K770" s="38"/>
      <c r="L770" s="72">
        <f>IFERROR(SUM(L758:L769),"")</f>
        <v>7.3611111111111127E-2</v>
      </c>
      <c r="M770" s="19" t="s">
        <v>192</v>
      </c>
      <c r="N770" s="20">
        <v>769540</v>
      </c>
    </row>
    <row r="771" spans="1:14" ht="15" customHeight="1">
      <c r="A771" s="59">
        <v>46202</v>
      </c>
      <c r="B771" s="15">
        <v>0.83333333333333304</v>
      </c>
      <c r="C771" s="16" t="s">
        <v>45</v>
      </c>
      <c r="D771" s="63" t="s">
        <v>30</v>
      </c>
      <c r="E771" s="11">
        <v>25</v>
      </c>
      <c r="F771" s="17">
        <f t="shared" ref="F771:F782" si="172">IF(E771="","",E771*4)</f>
        <v>100</v>
      </c>
      <c r="G771" s="16" t="s">
        <v>19</v>
      </c>
      <c r="H771" s="16" t="s">
        <v>154</v>
      </c>
      <c r="I771" s="16" t="s">
        <v>27</v>
      </c>
      <c r="J771" s="13">
        <v>0.14583333333333334</v>
      </c>
      <c r="K771" s="13">
        <v>0.16666666666666666</v>
      </c>
      <c r="L771" s="71">
        <f t="shared" ref="L771:L782" si="173">IFERROR(IF(K771="","",IF(K771&gt;=J771,K771-J771,K771+1-J771)),"")</f>
        <v>2.0833333333333315E-2</v>
      </c>
      <c r="M771" s="11"/>
      <c r="N771" s="41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6" t="s">
        <v>45</v>
      </c>
      <c r="D772" s="63" t="s">
        <v>30</v>
      </c>
      <c r="E772" s="11">
        <v>19</v>
      </c>
      <c r="F772" s="12">
        <f t="shared" si="172"/>
        <v>76</v>
      </c>
      <c r="G772" s="10"/>
      <c r="H772" s="10"/>
      <c r="I772" s="10"/>
      <c r="J772" s="13"/>
      <c r="K772" s="13"/>
      <c r="L772" s="70" t="str">
        <f t="shared" si="173"/>
        <v/>
      </c>
      <c r="M772" s="11"/>
      <c r="N772" s="41"/>
    </row>
    <row r="773" spans="1:14" ht="15" customHeight="1">
      <c r="A773" s="59">
        <v>46202</v>
      </c>
      <c r="B773" s="15">
        <f t="shared" si="174"/>
        <v>0.9166666666666663</v>
      </c>
      <c r="C773" s="16" t="s">
        <v>45</v>
      </c>
      <c r="D773" s="63" t="s">
        <v>30</v>
      </c>
      <c r="E773" s="11">
        <v>22</v>
      </c>
      <c r="F773" s="17">
        <f t="shared" si="172"/>
        <v>88</v>
      </c>
      <c r="G773" s="16"/>
      <c r="H773" s="16"/>
      <c r="I773" s="16"/>
      <c r="J773" s="13"/>
      <c r="K773" s="13"/>
      <c r="L773" s="71" t="str">
        <f t="shared" si="173"/>
        <v/>
      </c>
      <c r="M773" s="11"/>
      <c r="N773" s="41"/>
    </row>
    <row r="774" spans="1:14" ht="15" customHeight="1">
      <c r="A774" s="58">
        <v>46202</v>
      </c>
      <c r="B774" s="9">
        <f t="shared" si="174"/>
        <v>0.95833333333333293</v>
      </c>
      <c r="C774" s="16" t="s">
        <v>45</v>
      </c>
      <c r="D774" s="63" t="s">
        <v>30</v>
      </c>
      <c r="E774" s="11">
        <v>23</v>
      </c>
      <c r="F774" s="12">
        <f t="shared" si="172"/>
        <v>92</v>
      </c>
      <c r="G774" s="10"/>
      <c r="H774" s="10"/>
      <c r="I774" s="10"/>
      <c r="J774" s="13"/>
      <c r="K774" s="13"/>
      <c r="L774" s="70" t="str">
        <f t="shared" si="173"/>
        <v/>
      </c>
      <c r="M774" s="11"/>
      <c r="N774" s="41"/>
    </row>
    <row r="775" spans="1:14" ht="15" customHeight="1">
      <c r="A775" s="59">
        <v>46202</v>
      </c>
      <c r="B775" s="15">
        <f t="shared" si="174"/>
        <v>0.99999999999999956</v>
      </c>
      <c r="C775" s="16" t="s">
        <v>45</v>
      </c>
      <c r="D775" s="63" t="s">
        <v>30</v>
      </c>
      <c r="E775" s="11">
        <v>16</v>
      </c>
      <c r="F775" s="17">
        <f t="shared" si="172"/>
        <v>64</v>
      </c>
      <c r="G775" s="16"/>
      <c r="H775" s="16"/>
      <c r="I775" s="16"/>
      <c r="J775" s="13"/>
      <c r="K775" s="13"/>
      <c r="L775" s="71" t="str">
        <f t="shared" si="173"/>
        <v/>
      </c>
      <c r="M775" s="11"/>
      <c r="N775" s="41"/>
    </row>
    <row r="776" spans="1:14" ht="15" customHeight="1">
      <c r="A776" s="58">
        <v>46202</v>
      </c>
      <c r="B776" s="9">
        <f t="shared" si="174"/>
        <v>1.0416666666666663</v>
      </c>
      <c r="C776" s="16" t="s">
        <v>45</v>
      </c>
      <c r="D776" s="63" t="s">
        <v>30</v>
      </c>
      <c r="E776" s="11">
        <v>12</v>
      </c>
      <c r="F776" s="12">
        <f t="shared" si="172"/>
        <v>48</v>
      </c>
      <c r="G776" s="10"/>
      <c r="H776" s="10"/>
      <c r="I776" s="10"/>
      <c r="J776" s="13"/>
      <c r="K776" s="13"/>
      <c r="L776" s="70" t="str">
        <f t="shared" si="173"/>
        <v/>
      </c>
      <c r="M776" s="11"/>
      <c r="N776" s="41"/>
    </row>
    <row r="777" spans="1:14" ht="15" customHeight="1">
      <c r="A777" s="59">
        <v>46202</v>
      </c>
      <c r="B777" s="15">
        <f t="shared" si="174"/>
        <v>1.083333333333333</v>
      </c>
      <c r="C777" s="16" t="s">
        <v>45</v>
      </c>
      <c r="D777" s="63" t="s">
        <v>30</v>
      </c>
      <c r="E777" s="11">
        <v>33</v>
      </c>
      <c r="F777" s="17">
        <f t="shared" si="172"/>
        <v>132</v>
      </c>
      <c r="G777" s="16"/>
      <c r="H777" s="16"/>
      <c r="I777" s="16"/>
      <c r="J777" s="13"/>
      <c r="K777" s="13"/>
      <c r="L777" s="71" t="str">
        <f t="shared" si="173"/>
        <v/>
      </c>
      <c r="M777" s="11"/>
      <c r="N777" s="41"/>
    </row>
    <row r="778" spans="1:14" ht="15" customHeight="1">
      <c r="A778" s="58">
        <v>46202</v>
      </c>
      <c r="B778" s="9">
        <f t="shared" si="174"/>
        <v>1.1249999999999998</v>
      </c>
      <c r="C778" s="16" t="s">
        <v>45</v>
      </c>
      <c r="D778" s="63" t="s">
        <v>30</v>
      </c>
      <c r="E778" s="11">
        <v>22</v>
      </c>
      <c r="F778" s="12">
        <f t="shared" si="172"/>
        <v>88</v>
      </c>
      <c r="G778" s="10"/>
      <c r="H778" s="10"/>
      <c r="I778" s="10"/>
      <c r="J778" s="13"/>
      <c r="K778" s="13"/>
      <c r="L778" s="70" t="str">
        <f t="shared" si="173"/>
        <v/>
      </c>
      <c r="M778" s="11"/>
      <c r="N778" s="41"/>
    </row>
    <row r="779" spans="1:14" ht="15" customHeight="1">
      <c r="A779" s="59">
        <v>46202</v>
      </c>
      <c r="B779" s="15">
        <f t="shared" si="174"/>
        <v>1.1666666666666665</v>
      </c>
      <c r="C779" s="16" t="s">
        <v>45</v>
      </c>
      <c r="D779" s="63" t="s">
        <v>30</v>
      </c>
      <c r="E779" s="11">
        <v>9</v>
      </c>
      <c r="F779" s="17">
        <f t="shared" si="172"/>
        <v>36</v>
      </c>
      <c r="G779" s="16"/>
      <c r="H779" s="16"/>
      <c r="I779" s="16"/>
      <c r="J779" s="13"/>
      <c r="K779" s="13"/>
      <c r="L779" s="71" t="str">
        <f t="shared" si="173"/>
        <v/>
      </c>
      <c r="M779" s="11"/>
      <c r="N779" s="41"/>
    </row>
    <row r="780" spans="1:14" ht="15" customHeight="1">
      <c r="A780" s="58">
        <v>46202</v>
      </c>
      <c r="B780" s="9">
        <f t="shared" si="174"/>
        <v>1.2083333333333333</v>
      </c>
      <c r="C780" s="16" t="s">
        <v>45</v>
      </c>
      <c r="D780" s="63" t="s">
        <v>30</v>
      </c>
      <c r="E780" s="11">
        <v>18</v>
      </c>
      <c r="F780" s="12">
        <f t="shared" si="172"/>
        <v>72</v>
      </c>
      <c r="G780" s="10"/>
      <c r="H780" s="10"/>
      <c r="I780" s="10"/>
      <c r="J780" s="13"/>
      <c r="K780" s="13"/>
      <c r="L780" s="70" t="str">
        <f t="shared" si="173"/>
        <v/>
      </c>
      <c r="M780" s="11"/>
      <c r="N780" s="41"/>
    </row>
    <row r="781" spans="1:14" ht="15" customHeight="1">
      <c r="A781" s="59">
        <v>46202</v>
      </c>
      <c r="B781" s="15">
        <f t="shared" si="174"/>
        <v>1.25</v>
      </c>
      <c r="C781" s="16" t="s">
        <v>45</v>
      </c>
      <c r="D781" s="63" t="s">
        <v>30</v>
      </c>
      <c r="E781" s="11">
        <v>15</v>
      </c>
      <c r="F781" s="17">
        <f t="shared" si="172"/>
        <v>60</v>
      </c>
      <c r="G781" s="16"/>
      <c r="H781" s="16"/>
      <c r="I781" s="16"/>
      <c r="J781" s="13"/>
      <c r="K781" s="13"/>
      <c r="L781" s="71" t="str">
        <f t="shared" si="173"/>
        <v/>
      </c>
      <c r="M781" s="11"/>
      <c r="N781" s="41"/>
    </row>
    <row r="782" spans="1:14" ht="15" customHeight="1">
      <c r="A782" s="58">
        <v>46202</v>
      </c>
      <c r="B782" s="9">
        <f t="shared" si="174"/>
        <v>1.2916666666666667</v>
      </c>
      <c r="C782" s="16" t="s">
        <v>45</v>
      </c>
      <c r="D782" s="63" t="s">
        <v>30</v>
      </c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11"/>
      <c r="N782" s="41"/>
    </row>
    <row r="783" spans="1:14" ht="15.75" customHeight="1">
      <c r="A783" s="105" t="s">
        <v>193</v>
      </c>
      <c r="B783" s="105"/>
      <c r="C783" s="105"/>
      <c r="D783" s="105"/>
      <c r="E783" s="19">
        <f>SUM(E771:E782)</f>
        <v>214</v>
      </c>
      <c r="F783" s="19">
        <f>SUM(F771:F782)</f>
        <v>856</v>
      </c>
      <c r="G783" s="38"/>
      <c r="H783" s="38"/>
      <c r="I783" s="38"/>
      <c r="J783" s="38"/>
      <c r="K783" s="38"/>
      <c r="L783" s="72">
        <f>IFERROR(SUM(L771:L782),"")</f>
        <v>2.0833333333333315E-2</v>
      </c>
      <c r="M783" s="19" t="s">
        <v>192</v>
      </c>
      <c r="N783" s="20"/>
    </row>
    <row r="784" spans="1:14" ht="18" customHeight="1">
      <c r="A784" s="98" t="s">
        <v>194</v>
      </c>
      <c r="B784" s="98"/>
      <c r="C784" s="98"/>
      <c r="D784" s="98"/>
      <c r="E784" s="22">
        <f>E770+E783</f>
        <v>389</v>
      </c>
      <c r="F784" s="22">
        <f>F770+F783</f>
        <v>1556</v>
      </c>
      <c r="G784" s="39"/>
      <c r="H784" s="39"/>
      <c r="I784" s="39"/>
      <c r="J784" s="39"/>
      <c r="K784" s="39"/>
      <c r="L784" s="73">
        <f>IFERROR(L770+L783,"")</f>
        <v>9.4444444444444442E-2</v>
      </c>
      <c r="M784" s="22" t="s">
        <v>195</v>
      </c>
      <c r="N784" s="31">
        <f>IFERROR(N770+N783,"")</f>
        <v>769540</v>
      </c>
    </row>
    <row r="785" spans="1:14" ht="15" customHeight="1">
      <c r="A785" s="90">
        <v>46203</v>
      </c>
      <c r="B785" s="91">
        <v>0.33333333333333298</v>
      </c>
      <c r="C785" s="67"/>
      <c r="D785" s="92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11"/>
      <c r="N785" s="41"/>
    </row>
    <row r="786" spans="1:14" ht="15" customHeight="1">
      <c r="A786" s="94">
        <v>46203</v>
      </c>
      <c r="B786" s="95">
        <f t="shared" ref="B786:B796" si="176">B785+TIME(0,60,0)</f>
        <v>0.37499999999999967</v>
      </c>
      <c r="C786" s="76"/>
      <c r="D786" s="87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11"/>
      <c r="N786" s="41"/>
    </row>
    <row r="787" spans="1:14" ht="15" customHeight="1">
      <c r="A787" s="90">
        <v>46203</v>
      </c>
      <c r="B787" s="91">
        <f t="shared" si="176"/>
        <v>0.41666666666666635</v>
      </c>
      <c r="C787" s="67"/>
      <c r="D787" s="92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11"/>
      <c r="N787" s="41"/>
    </row>
    <row r="788" spans="1:14" ht="15" customHeight="1">
      <c r="A788" s="94">
        <v>46203</v>
      </c>
      <c r="B788" s="95">
        <f t="shared" si="176"/>
        <v>0.45833333333333304</v>
      </c>
      <c r="C788" s="76"/>
      <c r="D788" s="87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11"/>
      <c r="N788" s="41"/>
    </row>
    <row r="789" spans="1:14" ht="15" customHeight="1">
      <c r="A789" s="90">
        <v>46203</v>
      </c>
      <c r="B789" s="91">
        <f t="shared" si="176"/>
        <v>0.49999999999999972</v>
      </c>
      <c r="C789" s="67"/>
      <c r="D789" s="92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11"/>
      <c r="N789" s="41"/>
    </row>
    <row r="790" spans="1:14" ht="15" customHeight="1">
      <c r="A790" s="94">
        <v>46203</v>
      </c>
      <c r="B790" s="95">
        <f t="shared" si="176"/>
        <v>0.54166666666666641</v>
      </c>
      <c r="C790" s="76"/>
      <c r="D790" s="87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11"/>
      <c r="N790" s="41"/>
    </row>
    <row r="791" spans="1:14" ht="15" customHeight="1">
      <c r="A791" s="90">
        <v>46203</v>
      </c>
      <c r="B791" s="91">
        <f t="shared" si="176"/>
        <v>0.58333333333333304</v>
      </c>
      <c r="C791" s="67"/>
      <c r="D791" s="92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11"/>
      <c r="N791" s="41"/>
    </row>
    <row r="792" spans="1:14" ht="15" customHeight="1">
      <c r="A792" s="94">
        <v>46203</v>
      </c>
      <c r="B792" s="95">
        <f t="shared" si="176"/>
        <v>0.62499999999999967</v>
      </c>
      <c r="C792" s="76"/>
      <c r="D792" s="87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11"/>
      <c r="N792" s="41"/>
    </row>
    <row r="793" spans="1:14" ht="15" customHeight="1">
      <c r="A793" s="90">
        <v>46203</v>
      </c>
      <c r="B793" s="91">
        <f t="shared" si="176"/>
        <v>0.6666666666666663</v>
      </c>
      <c r="C793" s="67"/>
      <c r="D793" s="92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11"/>
      <c r="N793" s="41"/>
    </row>
    <row r="794" spans="1:14" ht="15" customHeight="1">
      <c r="A794" s="94">
        <v>46203</v>
      </c>
      <c r="B794" s="95">
        <f t="shared" si="176"/>
        <v>0.70833333333333293</v>
      </c>
      <c r="C794" s="76"/>
      <c r="D794" s="87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11"/>
      <c r="N794" s="41"/>
    </row>
    <row r="795" spans="1:14" ht="15" customHeight="1">
      <c r="A795" s="90">
        <v>46203</v>
      </c>
      <c r="B795" s="91">
        <f t="shared" si="176"/>
        <v>0.74999999999999956</v>
      </c>
      <c r="C795" s="67"/>
      <c r="D795" s="92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11"/>
      <c r="N795" s="41"/>
    </row>
    <row r="796" spans="1:14" ht="15" customHeight="1">
      <c r="A796" s="94">
        <v>46203</v>
      </c>
      <c r="B796" s="95">
        <f t="shared" si="176"/>
        <v>0.79166666666666619</v>
      </c>
      <c r="C796" s="76"/>
      <c r="D796" s="87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11"/>
      <c r="N796" s="41"/>
    </row>
    <row r="797" spans="1:14" ht="15.75" customHeight="1">
      <c r="A797" s="109" t="s">
        <v>191</v>
      </c>
      <c r="B797" s="109"/>
      <c r="C797" s="109"/>
      <c r="D797" s="109"/>
      <c r="E797" s="19">
        <f>SUM(E785:E796)</f>
        <v>0</v>
      </c>
      <c r="F797" s="19">
        <f>SUM(F785:F796)</f>
        <v>0</v>
      </c>
      <c r="G797" s="38"/>
      <c r="H797" s="38"/>
      <c r="I797" s="38"/>
      <c r="J797" s="38"/>
      <c r="K797" s="38"/>
      <c r="L797" s="72">
        <f>IFERROR(SUM(L785:L796),"")</f>
        <v>0</v>
      </c>
      <c r="M797" s="19" t="s">
        <v>192</v>
      </c>
      <c r="N797" s="20"/>
    </row>
    <row r="798" spans="1:14" ht="15" customHeight="1">
      <c r="A798" s="94">
        <v>46203</v>
      </c>
      <c r="B798" s="95">
        <v>0.83333333333333304</v>
      </c>
      <c r="C798" s="76"/>
      <c r="D798" s="87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11"/>
      <c r="N798" s="41"/>
    </row>
    <row r="799" spans="1:14" ht="15" customHeight="1">
      <c r="A799" s="90">
        <v>46203</v>
      </c>
      <c r="B799" s="91">
        <f t="shared" ref="B799:B809" si="178">B798+TIME(0,60,0)</f>
        <v>0.87499999999999967</v>
      </c>
      <c r="C799" s="67"/>
      <c r="D799" s="92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11"/>
      <c r="N799" s="41"/>
    </row>
    <row r="800" spans="1:14" ht="15" customHeight="1">
      <c r="A800" s="94">
        <v>46203</v>
      </c>
      <c r="B800" s="95">
        <f t="shared" si="178"/>
        <v>0.9166666666666663</v>
      </c>
      <c r="C800" s="76"/>
      <c r="D800" s="87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11"/>
      <c r="N800" s="41"/>
    </row>
    <row r="801" spans="1:14" ht="15" customHeight="1">
      <c r="A801" s="90">
        <v>46203</v>
      </c>
      <c r="B801" s="91">
        <f t="shared" si="178"/>
        <v>0.95833333333333293</v>
      </c>
      <c r="C801" s="67"/>
      <c r="D801" s="92"/>
      <c r="E801" s="11"/>
      <c r="F801" s="93" t="str">
        <f t="shared" ref="F798:F809" si="179"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11"/>
      <c r="N801" s="41"/>
    </row>
    <row r="802" spans="1:14" ht="15" customHeight="1">
      <c r="A802" s="94">
        <v>46203</v>
      </c>
      <c r="B802" s="95">
        <f t="shared" si="178"/>
        <v>0.99999999999999956</v>
      </c>
      <c r="C802" s="76"/>
      <c r="D802" s="87"/>
      <c r="E802" s="11"/>
      <c r="F802" s="80" t="str">
        <f t="shared" si="179"/>
        <v/>
      </c>
      <c r="G802" s="76"/>
      <c r="H802" s="76"/>
      <c r="I802" s="76"/>
      <c r="J802" s="13"/>
      <c r="K802" s="13"/>
      <c r="L802" s="77" t="str">
        <f t="shared" si="177"/>
        <v/>
      </c>
      <c r="M802" s="11"/>
      <c r="N802" s="41"/>
    </row>
    <row r="803" spans="1:14" ht="15" customHeight="1">
      <c r="A803" s="90">
        <v>46203</v>
      </c>
      <c r="B803" s="91">
        <f t="shared" si="178"/>
        <v>1.0416666666666663</v>
      </c>
      <c r="C803" s="67"/>
      <c r="D803" s="92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11"/>
      <c r="N803" s="41"/>
    </row>
    <row r="804" spans="1:14" ht="15" customHeight="1">
      <c r="A804" s="94">
        <v>46203</v>
      </c>
      <c r="B804" s="95">
        <f t="shared" si="178"/>
        <v>1.083333333333333</v>
      </c>
      <c r="C804" s="76"/>
      <c r="D804" s="87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11"/>
      <c r="N804" s="41"/>
    </row>
    <row r="805" spans="1:14" ht="15" customHeight="1">
      <c r="A805" s="90">
        <v>46203</v>
      </c>
      <c r="B805" s="91">
        <f t="shared" si="178"/>
        <v>1.1249999999999998</v>
      </c>
      <c r="C805" s="67"/>
      <c r="D805" s="92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11"/>
      <c r="N805" s="41"/>
    </row>
    <row r="806" spans="1:14" ht="15" customHeight="1">
      <c r="A806" s="94">
        <v>46203</v>
      </c>
      <c r="B806" s="95">
        <f t="shared" si="178"/>
        <v>1.1666666666666665</v>
      </c>
      <c r="C806" s="76"/>
      <c r="D806" s="87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11"/>
      <c r="N806" s="41"/>
    </row>
    <row r="807" spans="1:14" ht="15" customHeight="1">
      <c r="A807" s="90">
        <v>46203</v>
      </c>
      <c r="B807" s="91">
        <f t="shared" si="178"/>
        <v>1.2083333333333333</v>
      </c>
      <c r="C807" s="67"/>
      <c r="D807" s="92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11"/>
      <c r="N807" s="41"/>
    </row>
    <row r="808" spans="1:14" ht="15" customHeight="1">
      <c r="A808" s="94">
        <v>46203</v>
      </c>
      <c r="B808" s="95">
        <f t="shared" si="178"/>
        <v>1.25</v>
      </c>
      <c r="C808" s="76"/>
      <c r="D808" s="87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11"/>
      <c r="N808" s="41"/>
    </row>
    <row r="809" spans="1:14" ht="15" customHeight="1">
      <c r="A809" s="90">
        <v>46203</v>
      </c>
      <c r="B809" s="91">
        <f t="shared" si="178"/>
        <v>1.2916666666666667</v>
      </c>
      <c r="C809" s="67"/>
      <c r="D809" s="92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11"/>
      <c r="N809" s="41"/>
    </row>
    <row r="810" spans="1:14" ht="15.75" customHeight="1">
      <c r="A810" s="109" t="s">
        <v>193</v>
      </c>
      <c r="B810" s="109"/>
      <c r="C810" s="109"/>
      <c r="D810" s="109"/>
      <c r="E810" s="19">
        <f>SUM(E798:E809)</f>
        <v>0</v>
      </c>
      <c r="F810" s="19">
        <f>SUM(F798:F809)</f>
        <v>0</v>
      </c>
      <c r="G810" s="38"/>
      <c r="H810" s="38"/>
      <c r="I810" s="38"/>
      <c r="J810" s="38"/>
      <c r="K810" s="38"/>
      <c r="L810" s="72">
        <f>IFERROR(SUM(L798:L809),"")</f>
        <v>0</v>
      </c>
      <c r="M810" s="19" t="s">
        <v>192</v>
      </c>
      <c r="N810" s="20"/>
    </row>
    <row r="811" spans="1:14" ht="18" customHeight="1">
      <c r="A811" s="110" t="s">
        <v>194</v>
      </c>
      <c r="B811" s="110"/>
      <c r="C811" s="110"/>
      <c r="D811" s="110"/>
      <c r="E811" s="22">
        <f>E797+E810</f>
        <v>0</v>
      </c>
      <c r="F811" s="22">
        <f>F797+F810</f>
        <v>0</v>
      </c>
      <c r="G811" s="39"/>
      <c r="H811" s="39"/>
      <c r="I811" s="39"/>
      <c r="J811" s="39"/>
      <c r="K811" s="39"/>
      <c r="L811" s="73">
        <f>IFERROR(L797+L810,"")</f>
        <v>0</v>
      </c>
      <c r="M811" s="22" t="s">
        <v>195</v>
      </c>
      <c r="N811" s="96">
        <f>IFERROR(N797+N810,"")</f>
        <v>0</v>
      </c>
    </row>
  </sheetData>
  <sheetProtection formatCells="0" formatColumns="0" formatRows="0" insertColumns="0" insertRows="0" deleteColumns="0" deleteRows="0" sort="0" autoFilter="0"/>
  <mergeCells count="88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54:D554"/>
    <mergeCell ref="A567:D567"/>
    <mergeCell ref="A568:D568"/>
    <mergeCell ref="A594:D594"/>
    <mergeCell ref="A595:D595"/>
    <mergeCell ref="A513:D513"/>
    <mergeCell ref="A514:D514"/>
    <mergeCell ref="A527:D527"/>
    <mergeCell ref="A540:D540"/>
    <mergeCell ref="A541:D541"/>
    <mergeCell ref="A460:D460"/>
    <mergeCell ref="A473:D473"/>
    <mergeCell ref="A486:D486"/>
    <mergeCell ref="A487:D487"/>
    <mergeCell ref="A500:D500"/>
    <mergeCell ref="A419:D419"/>
    <mergeCell ref="A432:D432"/>
    <mergeCell ref="A433:D433"/>
    <mergeCell ref="A446:D446"/>
    <mergeCell ref="A459:D459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3">
    <dataValidation type="list" showErrorMessage="1" errorTitle="Atenção" error="Selecione primeiro o Tipo de Parada (col G) e depois escolha a Descrição da lista." sqref="I2:I491 I493:I495 I498:I717 I720:I900" xr:uid="{052AC650-9189-453F-A1A9-5041577B27EE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496:I497" xr:uid="{A659B21E-E361-4E12-96D5-AE44EBE06C8A}">
      <formula1>INDIRECT("Desc_"&amp;SUBSTITUTE(SUBSTITUTE(SUBSTITUTE(SUBSTITUTE(SUBSTITUTE(SUBSTITUTE(SUBSTITUTE(SUBSTITUTE(SUBSTITUTE(SUBSTITUTE(G495,"é","e"),"ê","e"),"ã","a"),"ç","c"),"â","a"),"í","i"),"á","a"),"ó","o"),"ú","u"),"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718" xr:uid="{D2067F65-5895-44F0-9AA0-B32C48A974A2}">
      <formula1>INDIRECT("Desc_"&amp;SUBSTITUTE(SUBSTITUTE(SUBSTITUTE(SUBSTITUTE(SUBSTITUTE(SUBSTITUTE(SUBSTITUTE(SUBSTITUTE(SUBSTITUTE(SUBSTITUTE(G719,"é","e"),"ê","e"),"ã","a"),"ç","c"),"â","a"),"í","i"),"á","a"),"ó","o"),"ú","u"),"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C25130AF-D6BC-4874-B372-48314C27963D}">
          <x14:formula1>
            <xm:f>Cadastro!$A$4:$A$50</xm:f>
          </x14:formula1>
          <x14:formula2>
            <xm:f>0</xm:f>
          </x14:formula2>
          <xm:sqref>D662 C2:C900</xm:sqref>
        </x14:dataValidation>
        <x14:dataValidation type="list" allowBlank="1" showErrorMessage="1" errorTitle="Valor inválido" error="Selecione da lista." xr:uid="{723C082F-8387-487C-B4BC-ACC872A94F89}">
          <x14:formula1>
            <xm:f>Cadastro!$C$4:$C$10</xm:f>
          </x14:formula1>
          <x14:formula2>
            <xm:f>0</xm:f>
          </x14:formula2>
          <xm:sqref>D2:D661 D663:D900</xm:sqref>
        </x14:dataValidation>
        <x14:dataValidation type="list" allowBlank="1" showErrorMessage="1" errorTitle="Valor inválido" error="Selecione da lista." xr:uid="{2B2D3E72-44FA-43AD-BEE9-4D96DD50A5AC}">
          <x14:formula1>
            <xm:f>Cadastro!$E$4:$E$10</xm:f>
          </x14:formula1>
          <x14:formula2>
            <xm:f>0</xm:f>
          </x14:formula2>
          <xm:sqref>G2:G274 H491:H492 G276:G491 I492 G493:G900</xm:sqref>
        </x14:dataValidation>
        <x14:dataValidation type="list" allowBlank="1" showErrorMessage="1" errorTitle="Valor inválido" error="Selecione da lista." xr:uid="{8AA7AEE8-4A38-422F-9DB8-437BEBDC268A}">
          <x14:formula1>
            <xm:f>Cadastro!$G$4:$G$40</xm:f>
          </x14:formula1>
          <x14:formula2>
            <xm:f>0</xm:f>
          </x14:formula2>
          <xm:sqref>H2:H274 G275 H286 H276:H284 H288:H490 I492 H492:H900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36ED51-ED3C-4223-AE1E-9EE55C9C6767}">
  <dimension ref="A1"/>
  <sheetViews>
    <sheetView workbookViewId="0"/>
  </sheetViews>
  <sheetFormatPr defaultRowHeight="15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F91E8D77-88C5-466C-9E71-B0518BBFB650}"/>
</file>

<file path=customXml/itemProps2.xml><?xml version="1.0" encoding="utf-8"?>
<ds:datastoreItem xmlns:ds="http://schemas.openxmlformats.org/officeDocument/2006/customXml" ds:itemID="{0CAD78A7-70F4-47FD-AA51-B85539CA8030}"/>
</file>

<file path=customXml/itemProps3.xml><?xml version="1.0" encoding="utf-8"?>
<ds:datastoreItem xmlns:ds="http://schemas.openxmlformats.org/officeDocument/2006/customXml" ds:itemID="{914D07B3-4831-4991-A053-ED05E81548EC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2026-06-30T10:27:47Z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