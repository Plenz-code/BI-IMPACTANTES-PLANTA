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698" documentId="8_{C51EB6CB-002B-4D6B-B68F-DDEBDB4460C0}" xr6:coauthVersionLast="47" xr6:coauthVersionMax="47" xr10:uidLastSave="{0C5239B5-9094-4203-AC4E-E662A87CF52B}"/>
  <bookViews>
    <workbookView xWindow="-108" yWindow="-108" windowWidth="23256" windowHeight="12456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F41" i="5"/>
  <c r="F55" i="5" s="1"/>
  <c r="E41" i="5"/>
  <c r="E55" i="5" s="1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G41" i="5" s="1"/>
  <c r="G55" i="5" s="1"/>
  <c r="O28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E55" i="3" s="1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E55" i="6" l="1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<sst xmlns="http://schemas.openxmlformats.org/spreadsheetml/2006/main" count="1612" uniqueCount="253">
  <si>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</si>
  <si>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</si>
  <si>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</si>
  <si>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</si>
  <si>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</si>
  <si>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</si>
  <si>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</si>
  <si>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</si>
  <si>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</si>
  <si>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</si>
  <si>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</si>
  <si>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</si>
  <si>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</si>
  <si>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</si>
  <si>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</si>
  <si>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</si>
  <si>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</si>
  <si>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</si>
  <si>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</si>
  <si>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</si>
  <si>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</si>
  <si>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</si>
  <si>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</si>
  <si>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</si>
  <si>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</si>
  <si>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</si>
  <si>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</si>
  <si>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</si>
  <si>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</si>
  <si>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</si>
  <si>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</si>
  <si>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</si>
  <si>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</si>
  <si>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</si>
  <si>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</si>
  <si>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</si>
  <si>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</si>
  <si>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</si>
  <si>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</si>
  <si>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</si>
  <si>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</si>
  <si>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</si>
  <si>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</si>
  <si>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</si>
  <si>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</si>
  <si>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</si>
  <si>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</si>
  <si>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</si>
  <si>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</si>
  <si>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</si>
  <si>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</si>
  <si>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</si>
  <si>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</si>
  <si>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</si>
  <si>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</si>
  <si>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</si>
  <si>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</si>
  <si>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</si>
  <si>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</si>
  <si>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</si>
  <si>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</si>
  <si>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</si>
  <si>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</si>
  <si>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</si>
  <si>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</si>
  <si>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</si>
  <si>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</si>
  <si>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</si>
  <si>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</si>
  <si>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</si>
  <si>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</si>
  <si>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</si>
  <si>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</si>
  <si>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</si>
  <si>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</si>
  <si>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</si>
  <si>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</si>
  <si>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</si>
  <si>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</si>
  <si>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</si>
  <si>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</si>
  <si>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</si>
  <si>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</si>
  <si>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</si>
  <si>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</si>
  <si>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</si>
  <si>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</si>
  <si>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</si>
  <si>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</si>
  <si>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</si>
  <si>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</si>
  <si>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</si>
  <si>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</si>
  <si>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</si>
  <si>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</si>
  <si>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</si>
  <si>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</si>
  <si>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</si>
  <si>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</si>
  <si>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</si>
  <si>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</si>
  <si>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</si>
  <si>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</si>
  <si>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</si>
  <si>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</si>
  <si>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</si>
  <si>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</si>
  <si>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</si>
  <si>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</si>
  <si>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</si>
  <si>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</si>
  <si>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</si>
  <si>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</si>
  <si>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</si>
  <si>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</si>
  <si>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</si>
  <si>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</si>
  <si>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</si>
  <si>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</si>
  <si>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</si>
  <si>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</si>
  <si>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</si>
  <si>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</si>
  <si>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</si>
  <si>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</si>
  <si>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</si>
  <si>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</si>
  <si>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</si>
  <si>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</si>
  <si>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</si>
  <si>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</si>
  <si>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</si>
  <si>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</si>
  <si>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</si>
  <si>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</si>
  <si>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</si>
  <si>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</si>
  <si>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</si>
  <si>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</si>
  <si>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</si>
  <si>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</si>
  <si>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</si>
  <si>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</si>
  <si>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</si>
  <si>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</si>
  <si>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</si>
  <si>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</si>
  <si>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</si>
  <si>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</si>
  <si>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</si>
  <si>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</si>
  <si>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</si>
  <si>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</si>
  <si>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</si>
  <si>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</si>
  <si>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</si>
  <si>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</si>
  <si>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</si>
  <si>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</si>
  <si>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</si>
  <si>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</si>
  <si>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</si>
  <si>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</si>
  <si>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</si>
  <si>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</si>
  <si>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</si>
  <si>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</si>
  <si>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</si>
  <si>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</si>
  <si>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</si>
  <si>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</si>
  <si>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</si>
  <si>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</si>
  <si>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</si>
  <si>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</si>
  <si>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</si>
  <si>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</si>
  <si>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</si>
  <si>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</si>
  <si>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</si>
  <si>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</si>
  <si>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</si>
  <si>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</si>
  <si>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</si>
  <si>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</si>
  <si>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</si>
  <si>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</si>
  <si>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</si>
  <si>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</si>
  <si>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</si>
  <si>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</si>
  <si>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</si>
  <si>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</si>
  <si>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</si>
  <si>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</si>
  <si>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</si>
  <si>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</si>
  <si>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</si>
  <si>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</si>
  <si>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</si>
  <si>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</si>
  <si>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</si>
  <si>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</si>
  <si>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</si>
  <si>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</si>
  <si>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</si>
  <si>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</si>
  <si>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</si>
  <si>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</si>
  <si>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</si>
  <si>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</si>
  <si>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</si>
  <si>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</si>
  <si>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</si>
  <si>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</si>
  <si>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</si>
  <si>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</si>
  <si>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</si>
  <si>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</si>
  <si>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</si>
  <si>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</si>
  <si>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</si>
  <si>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</si>
  <si>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</si>
  <si>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</si>
  <si>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</si>
  <si>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</si>
  <si>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</si>
  <si>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</si>
  <si>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</si>
  <si>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</si>
  <si>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</si>
  <si>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</si>
  <si>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</si>
  <si>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</si>
  <si>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</si>
  <si>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</si>
  <si>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</si>
  <si>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</si>
  <si>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</si>
  <si>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</si>
  <si>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</si>
  <si>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</si>
  <si>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</si>
  <si>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</si>
  <si>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</si>
  <si>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</si>
  <si>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solda no queixo</t>
  </si>
  <si>
    <t>sem material no estoque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</si>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</sst>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1795675</v>
      </c>
      <c r="D35" s="13">
        <f>IFERROR(SUM(D4:D34),"")</f>
        <v>1031140</v>
      </c>
      <c r="E35" s="13">
        <f>IFERROR(SUM(E4:E34),"")</f>
        <v>684520</v>
      </c>
      <c r="F35" s="13">
        <f>IFERROR(SUM(F4:F34),"")</f>
        <v>1052940</v>
      </c>
      <c r="G35" s="13">
        <f>IFERROR(SUM(G4:G34),"")</f>
        <v>2768600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 t="s">
        <v>216</v>
      </c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8" activePane="bottomLeft" state="frozen"/>
      <selection pane="bottomLeft" activeCell="F37" sqref="F3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 t="shared" si="6"/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232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232</v>
      </c>
      <c r="G55" s="40">
        <f>G41+G54</f>
        <v>695</v>
      </c>
      <c r="H55" s="41"/>
      <c r="I55" s="41"/>
      <c r="J55" s="41"/>
      <c r="K55" s="41"/>
      <c r="L55" s="41"/>
      <c r="M55" s="42">
        <f ca="1">IFERROR(M41+M54,"")</f>
        <v>5.9722222222222177E-2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1" t="s">
        <v>232</v>
      </c>
      <c r="B811" s="112"/>
      <c r="C811" s="112"/>
      <c r="D811" s="112"/>
      <c r="E811" s="113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" activePane="bottomLeft" state="frozen"/>
      <selection pane="bottomLeft" activeCell="L31" sqref="L3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241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241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241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241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241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241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241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241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241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241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241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3</v>
      </c>
      <c r="G30" s="34"/>
      <c r="H30" s="26" t="s">
        <v>19</v>
      </c>
      <c r="I30" s="26" t="s">
        <v>39</v>
      </c>
      <c r="J30" s="26" t="s">
        <v>35</v>
      </c>
      <c r="K30" s="29">
        <v>0.42986111111111114</v>
      </c>
      <c r="L30" s="29">
        <v>0.43611111111111112</v>
      </c>
      <c r="M30" s="30">
        <f t="shared" ca="1" si="7"/>
        <v>6.2499999999999778E-3</v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5</v>
      </c>
      <c r="G33" s="28">
        <f t="shared" si="6"/>
        <v>21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40</v>
      </c>
      <c r="G41" s="36">
        <f>SUM(G29:G40)</f>
        <v>155.39999999999998</v>
      </c>
      <c r="H41" s="37"/>
      <c r="I41" s="37"/>
      <c r="J41" s="37"/>
      <c r="K41" s="37"/>
      <c r="L41" s="37"/>
      <c r="M41" s="38">
        <f ca="1">IFERROR(SUM(M29:M40),"")</f>
        <v>2.0138888888888873E-2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40</v>
      </c>
      <c r="G55" s="40">
        <f>G41+G54</f>
        <v>155.39999999999998</v>
      </c>
      <c r="H55" s="41"/>
      <c r="I55" s="41"/>
      <c r="J55" s="41"/>
      <c r="K55" s="41"/>
      <c r="L55" s="41"/>
      <c r="M55" s="42">
        <f ca="1">IFERROR(M41+M54,"")</f>
        <v>2.0138888888888873E-2</v>
      </c>
      <c r="N55" s="40" t="s">
        <v>233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" zoomScale="50" zoomScaleNormal="50" workbookViewId="0">
      <selection activeCell="L30" sqref="L3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241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247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241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241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241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248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241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241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241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241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241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241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241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241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241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241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241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241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38</v>
      </c>
      <c r="G41" s="36">
        <f>SUM(G29:G40)</f>
        <v>159.6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38</v>
      </c>
      <c r="G55" s="40">
        <f>G41+G54</f>
        <v>159.6</v>
      </c>
      <c r="H55" s="41"/>
      <c r="I55" s="41"/>
      <c r="J55" s="41"/>
      <c r="K55" s="41"/>
      <c r="L55" s="41"/>
      <c r="M55" s="42">
        <f ca="1">IFERROR(M41+M54,"")</f>
        <v>2.083333333333337E-2</v>
      </c>
      <c r="N55" s="40" t="s">
        <v>233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" activePane="bottomLeft" state="frozen"/>
      <selection pane="bottomLeft" activeCell="H29" sqref="H2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241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241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241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241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241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241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241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241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241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241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241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241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241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241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249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241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241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247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241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251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241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241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241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252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241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241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241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241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241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241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241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241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241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241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241</v>
      </c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241</v>
      </c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241</v>
      </c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241</v>
      </c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241</v>
      </c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/>
      <c r="F41" s="36">
        <f>SUM(F29:F40)</f>
        <v>74</v>
      </c>
      <c r="G41" s="36">
        <f>SUM(G29:G40)</f>
        <v>310.8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74</v>
      </c>
      <c r="G55" s="40">
        <f>G41+G54</f>
        <v>310.8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233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9" t="s">
        <v>228</v>
      </c>
      <c r="B824" s="100"/>
      <c r="C824" s="100"/>
      <c r="D824" s="100"/>
      <c r="E824" s="101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9" t="s">
        <v>231</v>
      </c>
      <c r="B837" s="100"/>
      <c r="C837" s="100"/>
      <c r="D837" s="100"/>
      <c r="E837" s="101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2" t="s">
        <v>232</v>
      </c>
      <c r="B838" s="103"/>
      <c r="C838" s="103"/>
      <c r="D838" s="103"/>
      <c r="E838" s="104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2026-08-02T18:58:37Z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