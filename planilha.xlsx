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81" documentId="8_{C51EB6CB-002B-4D6B-B68F-DDEBDB4460C0}" xr6:coauthVersionLast="47" xr6:coauthVersionMax="47" xr10:uidLastSave="{C4105729-CE13-4D79-AE8A-36418DBAA0FE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<sst xmlns="http://schemas.openxmlformats.org/spreadsheetml/2006/main" count="5094" uniqueCount="326">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</sst>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6" sqref="F26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120</v>
      </c>
      <c r="G270" s="36">
        <f>SUM(G258:G269)</f>
        <v>600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404</v>
      </c>
      <c r="G271" s="40">
        <f>G257+G270</f>
        <v>2020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35" activePane="bottomLeft" state="frozen"/>
      <selection pane="bottomLeft" activeCell="H260" sqref="H2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2.7351157405064441E-2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0.16624004629395334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0.25096226851617565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107</v>
      </c>
      <c r="G270" s="36">
        <f>SUM(G258:G269)</f>
        <v>449.4</v>
      </c>
      <c r="H270" s="37"/>
      <c r="I270" s="37"/>
      <c r="J270" s="37"/>
      <c r="K270" s="37"/>
      <c r="L270" s="37"/>
      <c r="M270" s="38">
        <f ca="1">IFERROR(SUM(M258:M269),"")</f>
        <v>5.8333333333333334E-2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290</v>
      </c>
      <c r="G271" s="40">
        <f>G257+G270</f>
        <v>1274.8</v>
      </c>
      <c r="H271" s="41"/>
      <c r="I271" s="41"/>
      <c r="J271" s="41"/>
      <c r="K271" s="41"/>
      <c r="L271" s="41"/>
      <c r="M271" s="42">
        <f ca="1">IFERROR(M257+M270,"")</f>
        <v>8.5416666666666738E-2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66" sqref="F2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/>
      <c r="M258" s="30">
        <f t="shared" ref="M258:M269" ca="1" si="58">IFERROR(IF(K258="","",IF(L258="",MOD(NOW()-K258,1),IF(L258&gt;=K258,L258-K258,L258+1-K258))),"")</f>
        <v>5.1656712967087515E-2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5.1656712967087515E-2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0.11276782407819869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6" sqref="F26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116</v>
      </c>
      <c r="G270" s="36">
        <f>SUM(G258:G269)</f>
        <v>487.2</v>
      </c>
      <c r="H270" s="37"/>
      <c r="I270" s="37"/>
      <c r="J270" s="37"/>
      <c r="K270" s="61"/>
      <c r="L270" s="61"/>
      <c r="M270" s="38">
        <f ca="1">IFERROR(SUM(M258:M269),"")</f>
        <v>0.10208333333333328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298</v>
      </c>
      <c r="G271" s="40">
        <f>G257+G270</f>
        <v>1310</v>
      </c>
      <c r="H271" s="41"/>
      <c r="I271" s="41"/>
      <c r="J271" s="41"/>
      <c r="K271" s="63"/>
      <c r="L271" s="63"/>
      <c r="M271" s="42">
        <f ca="1">IFERROR(M257+M270,"")</f>
        <v>0.19375000000000001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2026-08-11T07:34:35Z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