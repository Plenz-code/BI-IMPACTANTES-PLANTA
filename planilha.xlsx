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321" documentId="8_{AF585B22-221D-4780-BB9C-493D365A6A02}" xr6:coauthVersionLast="47" xr6:coauthVersionMax="47" xr10:uidLastSave="{036B9EF3-67E4-4431-BC67-4AA77D6EBD42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86" i="6" l="1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96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<sst xmlns="http://schemas.openxmlformats.org/spreadsheetml/2006/main" count="11994" uniqueCount="436">
  <si>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</si>
  <si>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</si>
  <si>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</si>
  <si>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</si>
  <si>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</si>
  <si>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</si>
  <si>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</si>
  <si>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</si>
  <si>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</si>
  <si>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</si>
  <si>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</si>
  <si>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</si>
  <si>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</si>
  <si>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</si>
  <si>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</si>
  <si>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</si>
  <si>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</si>
  <si>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</si>
  <si>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</si>
  <si>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</si>
  <si>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</si>
  <si>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</si>
  <si>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</si>
  <si>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</si>
  <si>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</si>
  <si>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</si>
  <si>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</si>
  <si>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</si>
  <si>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</si>
  <si>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</si>
  <si>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</si>
  <si>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</si>
  <si>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</si>
  <si>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</si>
  <si>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</si>
  <si>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</si>
  <si>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</si>
  <si>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</si>
  <si>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</si>
  <si>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</si>
  <si>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</si>
  <si>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</si>
  <si>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</si>
  <si>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</si>
  <si>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</si>
  <si>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</si>
  <si>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</si>
  <si>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</si>
  <si>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</si>
  <si>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</si>
  <si>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</si>
  <si>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</si>
  <si>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</si>
  <si>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</si>
  <si>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</si>
  <si>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</si>
  <si>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</si>
  <si>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</si>
  <si>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</si>
  <si>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</si>
  <si>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</si>
  <si>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</si>
  <si>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</si>
  <si>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</si>
  <si>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</si>
  <si>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</si>
  <si>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</si>
  <si>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</si>
  <si>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</si>
  <si>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</si>
  <si>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</si>
  <si>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</si>
  <si>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</si>
  <si>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</si>
  <si>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</si>
  <si>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</si>
  <si>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</si>
  <si>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</si>
  <si>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</si>
  <si>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</si>
  <si>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</si>
  <si>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</si>
  <si>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</si>
  <si>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</si>
  <si>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</si>
  <si>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</si>
  <si>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</si>
  <si>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</si>
  <si>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</si>
  <si>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</si>
  <si>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</si>
  <si>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</si>
  <si>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</si>
  <si>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</si>
  <si>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</si>
  <si>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</si>
  <si>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</si>
  <si>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</si>
  <si>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</si>
  <si>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</si>
  <si>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</si>
  <si>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</si>
  <si>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</si>
  <si>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</si>
  <si>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</si>
  <si>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</si>
  <si>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</si>
  <si>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</si>
  <si>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</si>
  <si>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</si>
  <si>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</si>
  <si>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</si>
  <si>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</si>
  <si>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</si>
  <si>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</si>
  <si>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</si>
  <si>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</si>
  <si>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</si>
  <si>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</si>
  <si>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</si>
  <si>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</si>
  <si>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</si>
  <si>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</si>
  <si>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</si>
  <si>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</si>
  <si>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</si>
  <si>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</si>
  <si>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</si>
  <si>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</si>
  <si>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</si>
  <si>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</si>
  <si>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</si>
  <si>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</si>
  <si>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</si>
  <si>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</si>
  <si>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</si>
  <si>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</si>
  <si>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</si>
  <si>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</si>
  <si>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</si>
  <si>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</si>
  <si>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</si>
  <si>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</si>
  <si>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</si>
  <si>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</si>
  <si>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</si>
  <si>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</si>
  <si>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</si>
  <si>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</si>
  <si>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</si>
  <si>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</si>
  <si>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</si>
  <si>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</si>
  <si>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</si>
  <si>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</si>
  <si>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</si>
  <si>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</si>
  <si>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</si>
  <si>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</si>
  <si>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</si>
  <si>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</si>
  <si>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</si>
  <si>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</si>
  <si>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</si>
  <si>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</si>
  <si>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</si>
  <si>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</si>
  <si>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</si>
  <si>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</si>
  <si>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</si>
  <si>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</si>
  <si>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</si>
  <si>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</si>
  <si>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</si>
  <si>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</si>
  <si>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</si>
  <si>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</si>
  <si>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</si>
  <si>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</si>
  <si>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</si>
  <si>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</si>
  <si>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</si>
  <si>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</si>
  <si>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</si>
  <si>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</si>
  <si>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</si>
  <si>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</si>
  <si>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</si>
  <si>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</si>
  <si>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</si>
  <si>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</si>
  <si>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</si>
  <si>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</si>
  <si>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</si>
  <si>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</si>
  <si>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</si>
  <si>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</si>
  <si>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</si>
  <si>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</si>
  <si>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</si>
  <si>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</si>
  <si>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</si>
  <si>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</si>
  <si>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</si>
  <si>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</si>
  <si>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</si>
  <si>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</si>
  <si>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</si>
  <si>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</si>
  <si>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</si>
  <si>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</si>
  <si>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</si>
  <si>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</si>
  <si>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</si>
  <si>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</si>
  <si>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</si>
  <si>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</si>
  <si>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</si>
  <si>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</si>
  <si>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</si>
  <si>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</si>
  <si>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</si>
  <si>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</si>
  <si>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</si>
  <si>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</si>
  <si>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</si>
  <si>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</si>
  <si>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</si>
  <si>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</si>
  <si>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</si>
  <si>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</si>
  <si>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</si>
  <si>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</si>
  <si>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</si>
  <si>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</si>
  <si>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</si>
  <si>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</si>
  <si>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</si>
  <si>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</si>
  <si>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</si>
  <si>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</si>
  <si>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</si>
  <si>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</si>
  <si>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</si>
  <si>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</si>
  <si>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</si>
  <si>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</si>
  <si>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</si>
  <si>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</si>
  <si>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</si>
  <si>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</si>
  <si>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</si>
  <si>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</si>
  <si>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</si>
  <si>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</si>
  <si>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</si>
  <si>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</si>
  <si>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</si>
  <si>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</si>
  <si>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</si>
  <si>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</si>
  <si>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</si>
  <si>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</si>
  <si>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</si>
  <si>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</si>
  <si>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</si>
  <si>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</si>
  <si>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</si>
  <si>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</si>
  <si>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</si>
  <si>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</si>
  <si>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</si>
  <si>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</si>
  <si>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</si>
  <si>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</si>
  <si>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</si>
  <si>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</si>
  <si>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</si>
  <si>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</si>
  <si>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</si>
  <si>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</si>
  <si>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</si>
  <si>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</si>
  <si>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</si>
  <si>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</si>
  <si>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</si>
  <si>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</si>
  <si>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</si>
  <si>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</si>
  <si>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</si>
  <si>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</si>
  <si>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</si>
  <si>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</si>
  <si>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</si>
  <si>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</si>
  <si>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</si>
  <si>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</si>
  <si>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</si>
  <si>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</si>
  <si>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</si>
  <si>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</si>
  <si>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</si>
  <si>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</si>
  <si>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</si>
  <si>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</si>
  <si>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</si>
  <si>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</si>
  <si>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</si>
  <si>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</si>
  <si>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</si>
  <si>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</si>
  <si>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</si>
  <si>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</si>
  <si>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</si>
  <si>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</si>
  <si>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</si>
  <si>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</si>
  <si>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</si>
  <si>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</si>
  <si>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</si>
  <si>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</si>
  <si>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</si>
  <si>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</si>
  <si>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</si>
  <si>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</si>
  <si>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</si>
  <si>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</si>
  <si>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</si>
  <si>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</si>
  <si>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</si>
  <si>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</si>
  <si>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</si>
  <si>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</si>
  <si>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</si>
  <si>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</si>
  <si>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</si>
  <si>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</si>
  <si>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</si>
  <si>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</si>
  <si>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</si>
  <si>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</si>
  <si>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</si>
  <si>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</si>
  <si>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</si>
  <si>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</si>
  <si>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</si>
  <si>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</si>
  <si>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</si>
  <si>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</si>
  <si>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</si>
  <si>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</si>
  <si>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</si>
  <si>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</si>
  <si>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</si>
  <si>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</si>
  <si>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</si>
  <si>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</si>
  <si>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</si>
  <si>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</si>
  <si>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</si>
  <si>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</si>
  <si>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</si>
  <si>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</si>
  <si>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</si>
  <si>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</si>
  <si>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</si>
  <si>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</si>
  <si>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</si>
  <si>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</si>
  <si>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</si>
  <si>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</si>
  <si>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</si>
  <si>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</si>
  <si>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</si>
  <si>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</si>
  <si>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</si>
  <si>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</si>
  <si>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</si>
  <si>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</si>
  <si>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</si>
  <si>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</si>
  <si>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</si>
  <si>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</si>
  <si>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</si>
  <si>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</si>
  <si>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</si>
  <si>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</si>
  <si>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</si>
  <si>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</si>
  <si>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</si>
  <si>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</si>
  <si>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</si>
  <si>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</si>
  <si>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</si>
  <si>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</si>
  <si>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</si>
  <si>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</si>
  <si>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</si>
  <si>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</si>
  <si>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</si>
  <si>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</si>
  <si>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</si>
  <si>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</si>
  <si>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</si>
  <si>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</si>
  <si>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</si>
  <si>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</si>
  <si>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</si>
  <si>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</si>
  <si>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</si>
  <si>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</si>
  <si>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</si>
  <si>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</si>
  <si>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</si>
  <si>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</si>
  <si>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</si>
  <si>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</si>
  <si>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</si>
  <si>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</si>
  <si>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</si>
  <si>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</si>
  <si>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</si>
  <si>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</si>
  <si>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</si>
  <si>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</si>
  <si>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</si>
  <si>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</si>
  <si>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</si>
  <si>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</si>
  <si>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</si>
  <si>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</si>
  <si>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</si>
  <si>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</si>
  <si>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</si>
  <si>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</si>
  <si>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trasnportadora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</si>
</sst>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J786" sqref="J78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3"/>
      <c r="I59" s="17"/>
      <c r="J59" s="17"/>
      <c r="K59" s="17" t="s">
        <v>208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209</v>
      </c>
      <c r="L61" s="17"/>
      <c r="M61" s="17"/>
    </row>
    <row r="62" spans="1:13" ht="15" customHeight="1">
      <c r="H62" s="113"/>
      <c r="I62" s="16"/>
      <c r="J62" s="16"/>
      <c r="K62" s="16" t="s">
        <v>210</v>
      </c>
      <c r="L62" s="16"/>
      <c r="M62" s="16"/>
    </row>
    <row r="63" spans="1:13" ht="15" customHeight="1">
      <c r="H63" s="113"/>
      <c r="I63" s="17"/>
      <c r="J63" s="17"/>
      <c r="K63" s="17" t="s">
        <v>211</v>
      </c>
      <c r="L63" s="17"/>
      <c r="M63" s="17"/>
    </row>
    <row r="64" spans="1:13" ht="15" customHeight="1">
      <c r="H64" s="113"/>
      <c r="I64" s="16"/>
      <c r="J64" s="16"/>
      <c r="K64" s="16" t="s">
        <v>212</v>
      </c>
      <c r="L64" s="16"/>
      <c r="M64" s="16"/>
    </row>
    <row r="65" spans="8:13" ht="15" customHeight="1">
      <c r="H65" s="113"/>
      <c r="I65" s="17"/>
      <c r="J65" s="17"/>
      <c r="K65" s="17" t="s">
        <v>213</v>
      </c>
      <c r="L65" s="17"/>
      <c r="M65" s="17"/>
    </row>
    <row r="66" spans="8:13" ht="15" customHeight="1">
      <c r="H66" s="113"/>
      <c r="I66" s="16"/>
      <c r="J66" s="16"/>
      <c r="K66" s="16" t="s">
        <v>214</v>
      </c>
      <c r="L66" s="16"/>
      <c r="M66" s="16"/>
    </row>
    <row r="67" spans="8:13" ht="15" customHeight="1">
      <c r="H67" s="113"/>
      <c r="I67" s="17"/>
      <c r="J67" s="17"/>
      <c r="K67" s="17" t="s">
        <v>215</v>
      </c>
      <c r="L67" s="17"/>
      <c r="M67" s="17"/>
    </row>
    <row r="68" spans="8:13" ht="15" customHeight="1">
      <c r="H68" s="113"/>
      <c r="I68" s="16"/>
      <c r="J68" s="16"/>
      <c r="K68" s="16" t="s">
        <v>216</v>
      </c>
      <c r="L68" s="16"/>
      <c r="M68" s="16"/>
    </row>
    <row r="69" spans="8:13" ht="15" customHeight="1">
      <c r="H69" s="113"/>
      <c r="I69" s="17"/>
      <c r="J69" s="17"/>
      <c r="K69" s="17" t="s">
        <v>217</v>
      </c>
      <c r="L69" s="17"/>
      <c r="M69" s="17"/>
    </row>
    <row r="70" spans="8:13" ht="15" customHeight="1">
      <c r="H70" s="113"/>
      <c r="I70" s="16"/>
      <c r="J70" s="16"/>
      <c r="K70" s="16" t="s">
        <v>218</v>
      </c>
      <c r="L70" s="16"/>
      <c r="M70" s="16"/>
    </row>
    <row r="71" spans="8:13" ht="15" customHeight="1">
      <c r="H71" s="113"/>
      <c r="I71" s="17"/>
      <c r="J71" s="17"/>
      <c r="K71" s="17" t="s">
        <v>219</v>
      </c>
      <c r="L71" s="17"/>
      <c r="M71" s="17"/>
    </row>
    <row r="72" spans="8:13" ht="15" customHeight="1">
      <c r="H72" s="113"/>
      <c r="I72" s="16"/>
      <c r="J72" s="16"/>
      <c r="K72" s="16" t="s">
        <v>220</v>
      </c>
      <c r="L72" s="16"/>
      <c r="M72" s="16"/>
    </row>
    <row r="73" spans="8:13" ht="15" customHeight="1">
      <c r="H73" s="113"/>
      <c r="I73" s="17"/>
      <c r="J73" s="17"/>
      <c r="K73" s="17" t="s">
        <v>221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O798" sqref="O79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/>
      <c r="M787" s="35">
        <f t="shared" ca="1" si="174"/>
        <v>2.6987152778019663E-2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291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7.0042708333575177E-2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59" t="s">
        <v>233</v>
      </c>
      <c r="B811" s="91"/>
      <c r="C811" s="91"/>
      <c r="D811" s="91"/>
      <c r="E811" s="92">
        <f>E797+E810</f>
        <v>0</v>
      </c>
      <c r="F811" s="40">
        <f>F797+F810</f>
        <v>291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7.0042708333575177E-2</v>
      </c>
      <c r="N811" s="40" t="s">
        <v>239</v>
      </c>
      <c r="O811" s="43">
        <f>IFERROR(O797+O810,"")</f>
        <v>2191180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4" activePane="bottomLeft" state="frozen"/>
      <selection pane="bottomLeft"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0.54087604166124947</v>
      </c>
      <c r="N377" s="46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0.69851493055013836</v>
      </c>
      <c r="N378" s="36" t="s">
        <v>236</v>
      </c>
      <c r="O378" s="77">
        <v>511980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0.80823715277236052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0.5193482638860587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0.6901815972193921</v>
      </c>
      <c r="N432" s="36" t="s">
        <v>236</v>
      </c>
      <c r="O432" s="77">
        <v>484540</v>
      </c>
    </row>
    <row r="433" spans="1:15" ht="18" customHeight="1">
      <c r="A433" s="93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0.83532048610828102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3" t="s">
        <v>238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260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235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796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154</v>
      </c>
      <c r="G811" s="40">
        <f>G797+G810</f>
        <v>652.4</v>
      </c>
      <c r="H811" s="41"/>
      <c r="I811" s="41"/>
      <c r="J811" s="41"/>
      <c r="K811" s="41"/>
      <c r="L811" s="41"/>
      <c r="M811" s="42">
        <f ca="1">IFERROR(M797+M810,"")</f>
        <v>0.12083333333333324</v>
      </c>
      <c r="N811" s="40" t="s">
        <v>239</v>
      </c>
      <c r="O811" s="82">
        <f>IFERROR(O797+O810,"")</f>
        <v>648030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4" zoomScale="50" zoomScaleNormal="50" workbookViewId="0">
      <selection activeCell="O798" sqref="O7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353</v>
      </c>
      <c r="N166" s="27" t="s">
        <v>354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374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375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376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377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378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796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379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94</v>
      </c>
      <c r="G811" s="40">
        <f>G797+G810</f>
        <v>400.4</v>
      </c>
      <c r="H811" s="41"/>
      <c r="I811" s="41"/>
      <c r="J811" s="41"/>
      <c r="K811" s="41"/>
      <c r="L811" s="41"/>
      <c r="M811" s="42">
        <f ca="1">IFERROR(M797+M810,"")</f>
        <v>0.10277777777777769</v>
      </c>
      <c r="N811" s="40" t="s">
        <v>239</v>
      </c>
      <c r="O811" s="43">
        <f>IFERROR(O797+O810,"")</f>
        <v>419450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7" activePane="bottomLeft" state="frozen"/>
      <selection pane="bottomLeft" activeCell="O798" sqref="O79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237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6" t="s">
        <v>238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237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6" t="s">
        <v>238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384</v>
      </c>
      <c r="L58" s="29">
        <v>0.54097222222222219</v>
      </c>
      <c r="M58" s="30" t="str">
        <f t="shared" ca="1" si="13"/>
        <v/>
      </c>
      <c r="N58" s="27" t="s">
        <v>385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237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6" t="s">
        <v>238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237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6" t="s">
        <v>238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0.5311538194437162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237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0.73045937499927183</v>
      </c>
      <c r="N135" s="36" t="s">
        <v>236</v>
      </c>
      <c r="O135" s="39">
        <v>729290</v>
      </c>
    </row>
    <row r="136" spans="1:18" ht="18" customHeight="1">
      <c r="A136" s="106" t="s">
        <v>238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1.0978204861103829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237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6" t="s">
        <v>238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237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6" t="s">
        <v>238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237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6" t="s">
        <v>238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237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6" t="s">
        <v>238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237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6" t="s">
        <v>238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237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6" t="s">
        <v>238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237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6" t="s">
        <v>238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237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6" t="s">
        <v>238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237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6" t="s">
        <v>238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237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6" t="s">
        <v>238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237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6" t="s">
        <v>238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237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6" t="s">
        <v>238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237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6" t="s">
        <v>238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237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6" t="s">
        <v>238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237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6" t="s">
        <v>238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237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6" t="s">
        <v>238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237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6" t="s">
        <v>238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237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6" t="s">
        <v>238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237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6" t="s">
        <v>238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237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6" t="s">
        <v>238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237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6" t="s">
        <v>238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237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6" t="s">
        <v>238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237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6" t="s">
        <v>238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429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433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237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6" t="s">
        <v>238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796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434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435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7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33"/>
      <c r="D801" s="62"/>
      <c r="E801" s="62"/>
      <c r="F801" s="27"/>
      <c r="G801" s="34" t="str">
        <f t="shared" ref="G801:G809" si="179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/>
      <c r="D802" s="59"/>
      <c r="E802" s="59"/>
      <c r="F802" s="27"/>
      <c r="G802" s="28" t="str">
        <f t="shared" si="179"/>
        <v/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33"/>
      <c r="D803" s="62"/>
      <c r="E803" s="62"/>
      <c r="F803" s="27"/>
      <c r="G803" s="34" t="str">
        <f t="shared" si="179"/>
        <v/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/>
      <c r="D804" s="59"/>
      <c r="E804" s="59"/>
      <c r="F804" s="27"/>
      <c r="G804" s="28" t="str">
        <f t="shared" si="179"/>
        <v/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33"/>
      <c r="D805" s="62"/>
      <c r="E805" s="62"/>
      <c r="F805" s="27"/>
      <c r="G805" s="34" t="str">
        <f t="shared" si="179"/>
        <v/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/>
      <c r="D806" s="59"/>
      <c r="E806" s="59"/>
      <c r="F806" s="27"/>
      <c r="G806" s="28" t="str">
        <f t="shared" si="179"/>
        <v/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33"/>
      <c r="D807" s="62"/>
      <c r="E807" s="62"/>
      <c r="F807" s="27"/>
      <c r="G807" s="34" t="str">
        <f t="shared" si="179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/>
      <c r="D808" s="59"/>
      <c r="E808" s="59"/>
      <c r="F808" s="27"/>
      <c r="G808" s="28" t="str">
        <f t="shared" si="179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33"/>
      <c r="D809" s="62"/>
      <c r="E809" s="62"/>
      <c r="F809" s="27"/>
      <c r="G809" s="34" t="str">
        <f t="shared" si="179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3" t="s">
        <v>237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238</v>
      </c>
      <c r="B811" s="107"/>
      <c r="C811" s="107"/>
      <c r="D811" s="107"/>
      <c r="E811" s="108">
        <f>E797+E810</f>
        <v>0</v>
      </c>
      <c r="F811" s="40">
        <f>F797+F810</f>
        <v>22</v>
      </c>
      <c r="G811" s="40">
        <f>G797+G810</f>
        <v>92.4</v>
      </c>
      <c r="H811" s="41"/>
      <c r="I811" s="41"/>
      <c r="J811" s="41"/>
      <c r="K811" s="63"/>
      <c r="L811" s="63"/>
      <c r="M811" s="42">
        <f ca="1">IFERROR(M797+M810,"")</f>
        <v>0.44930555555555546</v>
      </c>
      <c r="N811" s="40" t="s">
        <v>239</v>
      </c>
      <c r="O811" s="43">
        <f>IFERROR(O797+O810,"")</f>
        <v>99040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2026-07-30T22:44:26Z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