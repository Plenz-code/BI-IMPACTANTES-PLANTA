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170" documentId="13_ncr:1_{0A10D8D4-8450-4366-8075-B53B08E6B7EA}" xr6:coauthVersionLast="47" xr6:coauthVersionMax="47" xr10:uidLastSave="{660791D2-6769-4098-9A23-4F1E1CE985D5}"/>
  <bookViews>
    <workbookView xWindow="-120" yWindow="-120" windowWidth="29040" windowHeight="1572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51" i="3" l="1"/>
  <c r="G453" i="3"/>
  <c r="G454" i="3"/>
  <c r="K445" i="4"/>
  <c r="K451" i="6"/>
  <c r="K452" i="6"/>
  <c r="K453" i="6"/>
  <c r="K454" i="6"/>
  <c r="K455" i="6"/>
  <c r="K456" i="6"/>
  <c r="K457" i="6"/>
  <c r="K458" i="6"/>
  <c r="K406" i="5"/>
  <c r="K406" i="6"/>
  <c r="G406" i="6"/>
  <c r="G406" i="5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51" i="6"/>
  <c r="J451" i="6" s="1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J457" i="6" s="1"/>
  <c r="H458" i="6"/>
  <c r="J458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51" i="5"/>
  <c r="J451" i="5" s="1"/>
  <c r="H452" i="5"/>
  <c r="J452" i="5" s="1"/>
  <c r="H453" i="5"/>
  <c r="J453" i="5" s="1"/>
  <c r="H454" i="5"/>
  <c r="J454" i="5" s="1"/>
  <c r="H455" i="5"/>
  <c r="J455" i="5" s="1"/>
  <c r="H456" i="5"/>
  <c r="J456" i="5" s="1"/>
  <c r="H457" i="5"/>
  <c r="J457" i="5" s="1"/>
  <c r="H458" i="5"/>
  <c r="J458" i="5" s="1"/>
  <c r="H825" i="4"/>
  <c r="J825" i="4" s="1"/>
  <c r="H826" i="4"/>
  <c r="J826" i="4" s="1"/>
  <c r="H827" i="4"/>
  <c r="J827" i="4" s="1"/>
  <c r="H828" i="4"/>
  <c r="J828" i="4" s="1"/>
  <c r="H829" i="4"/>
  <c r="J829" i="4" s="1"/>
  <c r="H830" i="4"/>
  <c r="J830" i="4" s="1"/>
  <c r="H831" i="4"/>
  <c r="J831" i="4" s="1"/>
  <c r="H832" i="4"/>
  <c r="J832" i="4" s="1"/>
  <c r="H833" i="4"/>
  <c r="J833" i="4" s="1"/>
  <c r="H834" i="4"/>
  <c r="J834" i="4" s="1"/>
  <c r="H835" i="4"/>
  <c r="J835" i="4" s="1"/>
  <c r="H836" i="4"/>
  <c r="J836" i="4" s="1"/>
  <c r="H812" i="4"/>
  <c r="J812" i="4" s="1"/>
  <c r="H813" i="4"/>
  <c r="J813" i="4" s="1"/>
  <c r="H814" i="4"/>
  <c r="J814" i="4" s="1"/>
  <c r="H815" i="4"/>
  <c r="J815" i="4" s="1"/>
  <c r="H816" i="4"/>
  <c r="J816" i="4" s="1"/>
  <c r="H817" i="4"/>
  <c r="J817" i="4" s="1"/>
  <c r="H818" i="4"/>
  <c r="J818" i="4" s="1"/>
  <c r="H819" i="4"/>
  <c r="J819" i="4" s="1"/>
  <c r="H820" i="4"/>
  <c r="J820" i="4" s="1"/>
  <c r="H821" i="4"/>
  <c r="J821" i="4" s="1"/>
  <c r="H822" i="4"/>
  <c r="J822" i="4" s="1"/>
  <c r="H823" i="4"/>
  <c r="J823" i="4" s="1"/>
  <c r="H798" i="4"/>
  <c r="J798" i="4" s="1"/>
  <c r="H799" i="4"/>
  <c r="J799" i="4" s="1"/>
  <c r="H800" i="4"/>
  <c r="J800" i="4" s="1"/>
  <c r="H801" i="4"/>
  <c r="J801" i="4" s="1"/>
  <c r="H802" i="4"/>
  <c r="J802" i="4" s="1"/>
  <c r="H803" i="4"/>
  <c r="J803" i="4" s="1"/>
  <c r="H804" i="4"/>
  <c r="J804" i="4" s="1"/>
  <c r="H805" i="4"/>
  <c r="J805" i="4" s="1"/>
  <c r="H806" i="4"/>
  <c r="J806" i="4" s="1"/>
  <c r="H807" i="4"/>
  <c r="J807" i="4" s="1"/>
  <c r="H808" i="4"/>
  <c r="J808" i="4" s="1"/>
  <c r="H809" i="4"/>
  <c r="J809" i="4" s="1"/>
  <c r="H785" i="4"/>
  <c r="J785" i="4" s="1"/>
  <c r="H786" i="4"/>
  <c r="J786" i="4" s="1"/>
  <c r="H787" i="4"/>
  <c r="J787" i="4" s="1"/>
  <c r="H788" i="4"/>
  <c r="J788" i="4" s="1"/>
  <c r="H789" i="4"/>
  <c r="J789" i="4" s="1"/>
  <c r="H790" i="4"/>
  <c r="J790" i="4" s="1"/>
  <c r="H791" i="4"/>
  <c r="J791" i="4" s="1"/>
  <c r="H792" i="4"/>
  <c r="J792" i="4" s="1"/>
  <c r="H793" i="4"/>
  <c r="J793" i="4" s="1"/>
  <c r="H794" i="4"/>
  <c r="J794" i="4" s="1"/>
  <c r="H795" i="4"/>
  <c r="J795" i="4" s="1"/>
  <c r="H796" i="4"/>
  <c r="J796" i="4" s="1"/>
  <c r="H771" i="4"/>
  <c r="J771" i="4" s="1"/>
  <c r="H772" i="4"/>
  <c r="J772" i="4" s="1"/>
  <c r="H773" i="4"/>
  <c r="J773" i="4" s="1"/>
  <c r="H774" i="4"/>
  <c r="J774" i="4" s="1"/>
  <c r="H775" i="4"/>
  <c r="J775" i="4" s="1"/>
  <c r="H776" i="4"/>
  <c r="J776" i="4" s="1"/>
  <c r="H777" i="4"/>
  <c r="J777" i="4" s="1"/>
  <c r="H778" i="4"/>
  <c r="J778" i="4" s="1"/>
  <c r="H779" i="4"/>
  <c r="J779" i="4" s="1"/>
  <c r="H780" i="4"/>
  <c r="J780" i="4" s="1"/>
  <c r="H781" i="4"/>
  <c r="J781" i="4" s="1"/>
  <c r="H782" i="4"/>
  <c r="J782" i="4" s="1"/>
  <c r="H758" i="4"/>
  <c r="J758" i="4" s="1"/>
  <c r="H759" i="4"/>
  <c r="J759" i="4" s="1"/>
  <c r="H760" i="4"/>
  <c r="J760" i="4" s="1"/>
  <c r="H761" i="4"/>
  <c r="J761" i="4" s="1"/>
  <c r="H762" i="4"/>
  <c r="J762" i="4" s="1"/>
  <c r="H763" i="4"/>
  <c r="J763" i="4" s="1"/>
  <c r="H764" i="4"/>
  <c r="J764" i="4" s="1"/>
  <c r="H765" i="4"/>
  <c r="J765" i="4" s="1"/>
  <c r="H766" i="4"/>
  <c r="J766" i="4" s="1"/>
  <c r="H767" i="4"/>
  <c r="J767" i="4" s="1"/>
  <c r="H768" i="4"/>
  <c r="J768" i="4" s="1"/>
  <c r="H769" i="4"/>
  <c r="J769" i="4" s="1"/>
  <c r="H744" i="4"/>
  <c r="J744" i="4" s="1"/>
  <c r="H745" i="4"/>
  <c r="J745" i="4" s="1"/>
  <c r="H746" i="4"/>
  <c r="J746" i="4" s="1"/>
  <c r="H747" i="4"/>
  <c r="J747" i="4" s="1"/>
  <c r="H748" i="4"/>
  <c r="J748" i="4" s="1"/>
  <c r="H749" i="4"/>
  <c r="J749" i="4" s="1"/>
  <c r="H750" i="4"/>
  <c r="J750" i="4" s="1"/>
  <c r="H751" i="4"/>
  <c r="J751" i="4" s="1"/>
  <c r="H752" i="4"/>
  <c r="J752" i="4" s="1"/>
  <c r="H753" i="4"/>
  <c r="J753" i="4" s="1"/>
  <c r="H754" i="4"/>
  <c r="J754" i="4" s="1"/>
  <c r="H755" i="4"/>
  <c r="J755" i="4" s="1"/>
  <c r="H731" i="4"/>
  <c r="J731" i="4" s="1"/>
  <c r="H732" i="4"/>
  <c r="J732" i="4" s="1"/>
  <c r="H733" i="4"/>
  <c r="J733" i="4" s="1"/>
  <c r="H734" i="4"/>
  <c r="J734" i="4" s="1"/>
  <c r="H735" i="4"/>
  <c r="J735" i="4" s="1"/>
  <c r="H736" i="4"/>
  <c r="J736" i="4" s="1"/>
  <c r="H737" i="4"/>
  <c r="J737" i="4" s="1"/>
  <c r="H738" i="4"/>
  <c r="J738" i="4" s="1"/>
  <c r="H739" i="4"/>
  <c r="J739" i="4" s="1"/>
  <c r="H740" i="4"/>
  <c r="J740" i="4" s="1"/>
  <c r="H741" i="4"/>
  <c r="J741" i="4" s="1"/>
  <c r="H742" i="4"/>
  <c r="J742" i="4" s="1"/>
  <c r="H717" i="4"/>
  <c r="J717" i="4" s="1"/>
  <c r="H718" i="4"/>
  <c r="J718" i="4" s="1"/>
  <c r="H719" i="4"/>
  <c r="J719" i="4" s="1"/>
  <c r="H720" i="4"/>
  <c r="J720" i="4" s="1"/>
  <c r="H721" i="4"/>
  <c r="J721" i="4" s="1"/>
  <c r="H722" i="4"/>
  <c r="J722" i="4" s="1"/>
  <c r="H723" i="4"/>
  <c r="J723" i="4" s="1"/>
  <c r="H724" i="4"/>
  <c r="J724" i="4" s="1"/>
  <c r="H725" i="4"/>
  <c r="J725" i="4" s="1"/>
  <c r="H726" i="4"/>
  <c r="J726" i="4" s="1"/>
  <c r="H727" i="4"/>
  <c r="J727" i="4" s="1"/>
  <c r="H728" i="4"/>
  <c r="J728" i="4" s="1"/>
  <c r="H704" i="4"/>
  <c r="J704" i="4" s="1"/>
  <c r="H705" i="4"/>
  <c r="J705" i="4" s="1"/>
  <c r="H706" i="4"/>
  <c r="J706" i="4" s="1"/>
  <c r="H707" i="4"/>
  <c r="J707" i="4" s="1"/>
  <c r="H708" i="4"/>
  <c r="J708" i="4" s="1"/>
  <c r="H709" i="4"/>
  <c r="J709" i="4" s="1"/>
  <c r="H710" i="4"/>
  <c r="J710" i="4" s="1"/>
  <c r="H711" i="4"/>
  <c r="J711" i="4" s="1"/>
  <c r="H712" i="4"/>
  <c r="J712" i="4" s="1"/>
  <c r="H713" i="4"/>
  <c r="J713" i="4" s="1"/>
  <c r="H714" i="4"/>
  <c r="J714" i="4" s="1"/>
  <c r="H715" i="4"/>
  <c r="J715" i="4" s="1"/>
  <c r="H690" i="4"/>
  <c r="J690" i="4" s="1"/>
  <c r="H691" i="4"/>
  <c r="J691" i="4" s="1"/>
  <c r="H692" i="4"/>
  <c r="J692" i="4" s="1"/>
  <c r="H693" i="4"/>
  <c r="J693" i="4" s="1"/>
  <c r="H694" i="4"/>
  <c r="J694" i="4" s="1"/>
  <c r="H695" i="4"/>
  <c r="J695" i="4" s="1"/>
  <c r="H696" i="4"/>
  <c r="J696" i="4" s="1"/>
  <c r="H697" i="4"/>
  <c r="J697" i="4" s="1"/>
  <c r="H698" i="4"/>
  <c r="J698" i="4" s="1"/>
  <c r="H699" i="4"/>
  <c r="J699" i="4" s="1"/>
  <c r="H700" i="4"/>
  <c r="J700" i="4" s="1"/>
  <c r="H701" i="4"/>
  <c r="J701" i="4" s="1"/>
  <c r="H677" i="4"/>
  <c r="J677" i="4" s="1"/>
  <c r="H678" i="4"/>
  <c r="J678" i="4" s="1"/>
  <c r="H679" i="4"/>
  <c r="J679" i="4" s="1"/>
  <c r="H680" i="4"/>
  <c r="J680" i="4" s="1"/>
  <c r="H681" i="4"/>
  <c r="J681" i="4" s="1"/>
  <c r="H682" i="4"/>
  <c r="J682" i="4" s="1"/>
  <c r="H683" i="4"/>
  <c r="J683" i="4" s="1"/>
  <c r="H684" i="4"/>
  <c r="J684" i="4" s="1"/>
  <c r="H685" i="4"/>
  <c r="J685" i="4" s="1"/>
  <c r="H686" i="4"/>
  <c r="J686" i="4" s="1"/>
  <c r="H687" i="4"/>
  <c r="J687" i="4" s="1"/>
  <c r="H688" i="4"/>
  <c r="J688" i="4" s="1"/>
  <c r="H663" i="4"/>
  <c r="J663" i="4" s="1"/>
  <c r="H664" i="4"/>
  <c r="J664" i="4" s="1"/>
  <c r="H665" i="4"/>
  <c r="J665" i="4" s="1"/>
  <c r="H666" i="4"/>
  <c r="J666" i="4" s="1"/>
  <c r="H667" i="4"/>
  <c r="J667" i="4" s="1"/>
  <c r="H668" i="4"/>
  <c r="J668" i="4" s="1"/>
  <c r="H669" i="4"/>
  <c r="J669" i="4" s="1"/>
  <c r="H670" i="4"/>
  <c r="J670" i="4" s="1"/>
  <c r="H671" i="4"/>
  <c r="J671" i="4" s="1"/>
  <c r="H672" i="4"/>
  <c r="J672" i="4" s="1"/>
  <c r="H673" i="4"/>
  <c r="J673" i="4" s="1"/>
  <c r="H674" i="4"/>
  <c r="J674" i="4" s="1"/>
  <c r="H650" i="4"/>
  <c r="J650" i="4" s="1"/>
  <c r="H651" i="4"/>
  <c r="J651" i="4" s="1"/>
  <c r="H652" i="4"/>
  <c r="J652" i="4" s="1"/>
  <c r="H653" i="4"/>
  <c r="J653" i="4" s="1"/>
  <c r="H654" i="4"/>
  <c r="J654" i="4" s="1"/>
  <c r="H655" i="4"/>
  <c r="J655" i="4" s="1"/>
  <c r="H656" i="4"/>
  <c r="J656" i="4" s="1"/>
  <c r="H657" i="4"/>
  <c r="J657" i="4" s="1"/>
  <c r="H658" i="4"/>
  <c r="J658" i="4" s="1"/>
  <c r="H659" i="4"/>
  <c r="J659" i="4" s="1"/>
  <c r="H660" i="4"/>
  <c r="J660" i="4" s="1"/>
  <c r="H661" i="4"/>
  <c r="J661" i="4" s="1"/>
  <c r="H636" i="4"/>
  <c r="J636" i="4" s="1"/>
  <c r="H637" i="4"/>
  <c r="J637" i="4" s="1"/>
  <c r="H638" i="4"/>
  <c r="J638" i="4" s="1"/>
  <c r="H639" i="4"/>
  <c r="J639" i="4" s="1"/>
  <c r="H640" i="4"/>
  <c r="J640" i="4" s="1"/>
  <c r="H641" i="4"/>
  <c r="J641" i="4" s="1"/>
  <c r="H642" i="4"/>
  <c r="J642" i="4" s="1"/>
  <c r="H643" i="4"/>
  <c r="J643" i="4" s="1"/>
  <c r="H644" i="4"/>
  <c r="J644" i="4" s="1"/>
  <c r="H645" i="4"/>
  <c r="J645" i="4" s="1"/>
  <c r="H646" i="4"/>
  <c r="J646" i="4" s="1"/>
  <c r="H647" i="4"/>
  <c r="J647" i="4" s="1"/>
  <c r="H623" i="4"/>
  <c r="J623" i="4" s="1"/>
  <c r="H624" i="4"/>
  <c r="J624" i="4" s="1"/>
  <c r="H625" i="4"/>
  <c r="J625" i="4" s="1"/>
  <c r="H626" i="4"/>
  <c r="J626" i="4" s="1"/>
  <c r="H627" i="4"/>
  <c r="J627" i="4" s="1"/>
  <c r="H628" i="4"/>
  <c r="J628" i="4" s="1"/>
  <c r="H629" i="4"/>
  <c r="J629" i="4" s="1"/>
  <c r="H630" i="4"/>
  <c r="J630" i="4" s="1"/>
  <c r="H631" i="4"/>
  <c r="J631" i="4" s="1"/>
  <c r="H632" i="4"/>
  <c r="J632" i="4" s="1"/>
  <c r="H633" i="4"/>
  <c r="J633" i="4" s="1"/>
  <c r="H634" i="4"/>
  <c r="J634" i="4" s="1"/>
  <c r="H609" i="4"/>
  <c r="J609" i="4" s="1"/>
  <c r="H610" i="4"/>
  <c r="J610" i="4" s="1"/>
  <c r="H611" i="4"/>
  <c r="J611" i="4" s="1"/>
  <c r="H612" i="4"/>
  <c r="J612" i="4" s="1"/>
  <c r="H613" i="4"/>
  <c r="J613" i="4" s="1"/>
  <c r="H614" i="4"/>
  <c r="J614" i="4" s="1"/>
  <c r="H615" i="4"/>
  <c r="J615" i="4" s="1"/>
  <c r="H616" i="4"/>
  <c r="J616" i="4" s="1"/>
  <c r="H617" i="4"/>
  <c r="J617" i="4" s="1"/>
  <c r="H618" i="4"/>
  <c r="J618" i="4" s="1"/>
  <c r="H619" i="4"/>
  <c r="J619" i="4" s="1"/>
  <c r="H620" i="4"/>
  <c r="J620" i="4" s="1"/>
  <c r="H596" i="4"/>
  <c r="J596" i="4" s="1"/>
  <c r="H597" i="4"/>
  <c r="J597" i="4" s="1"/>
  <c r="H598" i="4"/>
  <c r="J598" i="4" s="1"/>
  <c r="H599" i="4"/>
  <c r="J599" i="4" s="1"/>
  <c r="H600" i="4"/>
  <c r="J600" i="4" s="1"/>
  <c r="H601" i="4"/>
  <c r="J601" i="4" s="1"/>
  <c r="H602" i="4"/>
  <c r="J602" i="4" s="1"/>
  <c r="H603" i="4"/>
  <c r="J603" i="4" s="1"/>
  <c r="H604" i="4"/>
  <c r="J604" i="4" s="1"/>
  <c r="H605" i="4"/>
  <c r="J605" i="4" s="1"/>
  <c r="H606" i="4"/>
  <c r="J606" i="4" s="1"/>
  <c r="H607" i="4"/>
  <c r="J607" i="4" s="1"/>
  <c r="H582" i="4"/>
  <c r="J582" i="4" s="1"/>
  <c r="H583" i="4"/>
  <c r="J583" i="4" s="1"/>
  <c r="H584" i="4"/>
  <c r="J584" i="4" s="1"/>
  <c r="H585" i="4"/>
  <c r="J585" i="4" s="1"/>
  <c r="H586" i="4"/>
  <c r="J586" i="4" s="1"/>
  <c r="H587" i="4"/>
  <c r="J587" i="4" s="1"/>
  <c r="H588" i="4"/>
  <c r="J588" i="4" s="1"/>
  <c r="H589" i="4"/>
  <c r="J589" i="4" s="1"/>
  <c r="H590" i="4"/>
  <c r="J590" i="4" s="1"/>
  <c r="H591" i="4"/>
  <c r="J591" i="4" s="1"/>
  <c r="H592" i="4"/>
  <c r="J592" i="4" s="1"/>
  <c r="H593" i="4"/>
  <c r="J593" i="4" s="1"/>
  <c r="H569" i="4"/>
  <c r="J569" i="4" s="1"/>
  <c r="H570" i="4"/>
  <c r="J570" i="4" s="1"/>
  <c r="H571" i="4"/>
  <c r="J571" i="4" s="1"/>
  <c r="H572" i="4"/>
  <c r="J572" i="4" s="1"/>
  <c r="H573" i="4"/>
  <c r="J573" i="4" s="1"/>
  <c r="H574" i="4"/>
  <c r="J574" i="4" s="1"/>
  <c r="H575" i="4"/>
  <c r="J575" i="4" s="1"/>
  <c r="H576" i="4"/>
  <c r="J576" i="4" s="1"/>
  <c r="H577" i="4"/>
  <c r="J577" i="4" s="1"/>
  <c r="H578" i="4"/>
  <c r="J578" i="4" s="1"/>
  <c r="H579" i="4"/>
  <c r="J579" i="4" s="1"/>
  <c r="H580" i="4"/>
  <c r="J580" i="4" s="1"/>
  <c r="H555" i="4"/>
  <c r="J555" i="4" s="1"/>
  <c r="H556" i="4"/>
  <c r="J556" i="4" s="1"/>
  <c r="H557" i="4"/>
  <c r="J557" i="4" s="1"/>
  <c r="H558" i="4"/>
  <c r="J558" i="4" s="1"/>
  <c r="H559" i="4"/>
  <c r="J559" i="4" s="1"/>
  <c r="H560" i="4"/>
  <c r="J560" i="4" s="1"/>
  <c r="H561" i="4"/>
  <c r="J561" i="4" s="1"/>
  <c r="H562" i="4"/>
  <c r="J562" i="4" s="1"/>
  <c r="H563" i="4"/>
  <c r="J563" i="4" s="1"/>
  <c r="H564" i="4"/>
  <c r="J564" i="4" s="1"/>
  <c r="H565" i="4"/>
  <c r="J565" i="4" s="1"/>
  <c r="H566" i="4"/>
  <c r="J566" i="4" s="1"/>
  <c r="H542" i="4"/>
  <c r="J542" i="4" s="1"/>
  <c r="H543" i="4"/>
  <c r="J543" i="4" s="1"/>
  <c r="H544" i="4"/>
  <c r="J544" i="4" s="1"/>
  <c r="H545" i="4"/>
  <c r="J545" i="4" s="1"/>
  <c r="H546" i="4"/>
  <c r="J546" i="4" s="1"/>
  <c r="H547" i="4"/>
  <c r="J547" i="4" s="1"/>
  <c r="H548" i="4"/>
  <c r="J548" i="4" s="1"/>
  <c r="H549" i="4"/>
  <c r="J549" i="4" s="1"/>
  <c r="H550" i="4"/>
  <c r="J550" i="4" s="1"/>
  <c r="H551" i="4"/>
  <c r="J551" i="4" s="1"/>
  <c r="H552" i="4"/>
  <c r="J552" i="4" s="1"/>
  <c r="H553" i="4"/>
  <c r="J553" i="4" s="1"/>
  <c r="H528" i="4"/>
  <c r="J528" i="4" s="1"/>
  <c r="H529" i="4"/>
  <c r="J529" i="4" s="1"/>
  <c r="H530" i="4"/>
  <c r="J530" i="4" s="1"/>
  <c r="H531" i="4"/>
  <c r="J531" i="4" s="1"/>
  <c r="H532" i="4"/>
  <c r="J532" i="4" s="1"/>
  <c r="H533" i="4"/>
  <c r="J533" i="4" s="1"/>
  <c r="H534" i="4"/>
  <c r="J534" i="4" s="1"/>
  <c r="H535" i="4"/>
  <c r="J535" i="4" s="1"/>
  <c r="H536" i="4"/>
  <c r="J536" i="4" s="1"/>
  <c r="H537" i="4"/>
  <c r="J537" i="4" s="1"/>
  <c r="H538" i="4"/>
  <c r="J538" i="4" s="1"/>
  <c r="H539" i="4"/>
  <c r="J539" i="4" s="1"/>
  <c r="H515" i="4"/>
  <c r="J515" i="4" s="1"/>
  <c r="H516" i="4"/>
  <c r="J516" i="4" s="1"/>
  <c r="H517" i="4"/>
  <c r="J517" i="4" s="1"/>
  <c r="H518" i="4"/>
  <c r="J518" i="4" s="1"/>
  <c r="H519" i="4"/>
  <c r="J519" i="4" s="1"/>
  <c r="H520" i="4"/>
  <c r="J520" i="4" s="1"/>
  <c r="H521" i="4"/>
  <c r="J521" i="4" s="1"/>
  <c r="H522" i="4"/>
  <c r="J522" i="4" s="1"/>
  <c r="H523" i="4"/>
  <c r="J523" i="4" s="1"/>
  <c r="H524" i="4"/>
  <c r="J524" i="4" s="1"/>
  <c r="H525" i="4"/>
  <c r="J525" i="4" s="1"/>
  <c r="H526" i="4"/>
  <c r="J526" i="4" s="1"/>
  <c r="H501" i="4"/>
  <c r="J501" i="4" s="1"/>
  <c r="H502" i="4"/>
  <c r="J502" i="4" s="1"/>
  <c r="H503" i="4"/>
  <c r="J503" i="4" s="1"/>
  <c r="H504" i="4"/>
  <c r="J504" i="4" s="1"/>
  <c r="H505" i="4"/>
  <c r="J505" i="4" s="1"/>
  <c r="H506" i="4"/>
  <c r="J506" i="4" s="1"/>
  <c r="H507" i="4"/>
  <c r="J507" i="4" s="1"/>
  <c r="H508" i="4"/>
  <c r="J508" i="4" s="1"/>
  <c r="H509" i="4"/>
  <c r="J509" i="4" s="1"/>
  <c r="H510" i="4"/>
  <c r="J510" i="4" s="1"/>
  <c r="H511" i="4"/>
  <c r="J511" i="4" s="1"/>
  <c r="H512" i="4"/>
  <c r="J512" i="4" s="1"/>
  <c r="H488" i="4"/>
  <c r="J488" i="4" s="1"/>
  <c r="H489" i="4"/>
  <c r="J489" i="4" s="1"/>
  <c r="H490" i="4"/>
  <c r="J490" i="4" s="1"/>
  <c r="H491" i="4"/>
  <c r="J491" i="4" s="1"/>
  <c r="H492" i="4"/>
  <c r="J492" i="4" s="1"/>
  <c r="H493" i="4"/>
  <c r="J493" i="4" s="1"/>
  <c r="H494" i="4"/>
  <c r="J494" i="4" s="1"/>
  <c r="H495" i="4"/>
  <c r="J495" i="4" s="1"/>
  <c r="H496" i="4"/>
  <c r="J496" i="4" s="1"/>
  <c r="H497" i="4"/>
  <c r="J497" i="4" s="1"/>
  <c r="H498" i="4"/>
  <c r="J498" i="4" s="1"/>
  <c r="H499" i="4"/>
  <c r="J499" i="4" s="1"/>
  <c r="H474" i="4"/>
  <c r="J474" i="4" s="1"/>
  <c r="H475" i="4"/>
  <c r="J475" i="4" s="1"/>
  <c r="H476" i="4"/>
  <c r="J476" i="4" s="1"/>
  <c r="H477" i="4"/>
  <c r="J477" i="4" s="1"/>
  <c r="H478" i="4"/>
  <c r="J478" i="4" s="1"/>
  <c r="H479" i="4"/>
  <c r="J479" i="4" s="1"/>
  <c r="H480" i="4"/>
  <c r="J480" i="4" s="1"/>
  <c r="H481" i="4"/>
  <c r="J481" i="4" s="1"/>
  <c r="H482" i="4"/>
  <c r="J482" i="4" s="1"/>
  <c r="H483" i="4"/>
  <c r="J483" i="4" s="1"/>
  <c r="H484" i="4"/>
  <c r="J484" i="4" s="1"/>
  <c r="H485" i="4"/>
  <c r="J485" i="4" s="1"/>
  <c r="H461" i="4"/>
  <c r="J461" i="4" s="1"/>
  <c r="H462" i="4"/>
  <c r="J462" i="4" s="1"/>
  <c r="H463" i="4"/>
  <c r="J463" i="4" s="1"/>
  <c r="H464" i="4"/>
  <c r="J464" i="4" s="1"/>
  <c r="H465" i="4"/>
  <c r="J465" i="4" s="1"/>
  <c r="H466" i="4"/>
  <c r="J466" i="4" s="1"/>
  <c r="H467" i="4"/>
  <c r="J467" i="4" s="1"/>
  <c r="H468" i="4"/>
  <c r="J468" i="4" s="1"/>
  <c r="H469" i="4"/>
  <c r="J469" i="4" s="1"/>
  <c r="H470" i="4"/>
  <c r="J470" i="4" s="1"/>
  <c r="H471" i="4"/>
  <c r="J471" i="4" s="1"/>
  <c r="H472" i="4"/>
  <c r="J472" i="4" s="1"/>
  <c r="H451" i="4"/>
  <c r="J451" i="4" s="1"/>
  <c r="H452" i="4"/>
  <c r="J452" i="4" s="1"/>
  <c r="H453" i="4"/>
  <c r="J453" i="4" s="1"/>
  <c r="H454" i="4"/>
  <c r="J454" i="4" s="1"/>
  <c r="H455" i="4"/>
  <c r="J455" i="4" s="1"/>
  <c r="H456" i="4"/>
  <c r="J456" i="4" s="1"/>
  <c r="H457" i="4"/>
  <c r="J457" i="4" s="1"/>
  <c r="H458" i="4"/>
  <c r="J458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716" i="5"/>
  <c r="T716" i="5" s="1"/>
  <c r="J824" i="4"/>
  <c r="T824" i="4" s="1"/>
  <c r="J810" i="5"/>
  <c r="T810" i="5" s="1"/>
  <c r="J473" i="4"/>
  <c r="T473" i="4" s="1"/>
  <c r="J540" i="6"/>
  <c r="T540" i="6" s="1"/>
  <c r="J716" i="4"/>
  <c r="T716" i="4" s="1"/>
  <c r="J324" i="5"/>
  <c r="T324" i="5" s="1"/>
  <c r="J810" i="4"/>
  <c r="T810" i="4" s="1"/>
  <c r="J783" i="6"/>
  <c r="T783" i="6" s="1"/>
  <c r="J810" i="6"/>
  <c r="T810" i="6" s="1"/>
  <c r="J729" i="5"/>
  <c r="T729" i="5" s="1"/>
  <c r="J716" i="6"/>
  <c r="T716" i="6" s="1"/>
  <c r="J837" i="4"/>
  <c r="T837" i="4" s="1"/>
  <c r="J824" i="5"/>
  <c r="T824" i="5" s="1"/>
  <c r="J486" i="4"/>
  <c r="T486" i="4" s="1"/>
  <c r="J473" i="5"/>
  <c r="T473" i="5" s="1"/>
  <c r="J567" i="5"/>
  <c r="T567" i="5" s="1"/>
  <c r="J837" i="6"/>
  <c r="T837" i="6" s="1"/>
  <c r="H837" i="5"/>
  <c r="H527" i="5"/>
  <c r="H513" i="5"/>
  <c r="H527" i="4"/>
  <c r="H621" i="4"/>
  <c r="H567" i="6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73" i="5"/>
  <c r="H581" i="5"/>
  <c r="H621" i="5"/>
  <c r="H648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716" i="4"/>
  <c r="H608" i="4"/>
  <c r="H622" i="4" s="1"/>
  <c r="H702" i="4"/>
  <c r="H837" i="4"/>
  <c r="H756" i="4"/>
  <c r="H743" i="4"/>
  <c r="H757" i="4" s="1"/>
  <c r="H486" i="4"/>
  <c r="H581" i="4"/>
  <c r="H770" i="4"/>
  <c r="H635" i="4"/>
  <c r="H648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675" i="4"/>
  <c r="H797" i="5"/>
  <c r="H324" i="5"/>
  <c r="H797" i="4"/>
  <c r="H783" i="6"/>
  <c r="H675" i="6"/>
  <c r="H662" i="4"/>
  <c r="H783" i="5"/>
  <c r="H554" i="5"/>
  <c r="H540" i="6"/>
  <c r="H810" i="4"/>
  <c r="H689" i="4"/>
  <c r="H810" i="5"/>
  <c r="H595" i="4" l="1"/>
  <c r="H838" i="4"/>
  <c r="T270" i="5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811" i="6"/>
  <c r="T811" i="6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514" i="6"/>
  <c r="H676" i="6"/>
  <c r="H487" i="5"/>
  <c r="H676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Q457" i="6"/>
  <c r="Q456" i="6"/>
  <c r="Q455" i="6"/>
  <c r="Q454" i="6"/>
  <c r="Q453" i="6"/>
  <c r="Q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M454" i="3"/>
  <c r="M453" i="3"/>
  <c r="M452" i="3"/>
  <c r="G452" i="3"/>
  <c r="M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G446" i="3" s="1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F406" i="3" s="1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G406" i="4" s="1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49" i="4" l="1"/>
  <c r="J449" i="4" s="1"/>
  <c r="H450" i="4"/>
  <c r="J450" i="4" s="1"/>
  <c r="H449" i="5"/>
  <c r="J449" i="5" s="1"/>
  <c r="H450" i="5"/>
  <c r="J450" i="5" s="1"/>
  <c r="H449" i="6"/>
  <c r="J449" i="6" s="1"/>
  <c r="H450" i="6"/>
  <c r="J450" i="6" s="1"/>
  <c r="H447" i="6"/>
  <c r="H448" i="6"/>
  <c r="J448" i="6" s="1"/>
  <c r="H447" i="5"/>
  <c r="H448" i="5"/>
  <c r="J448" i="5" s="1"/>
  <c r="H447" i="4"/>
  <c r="H448" i="4"/>
  <c r="J448" i="4" s="1"/>
  <c r="J447" i="6"/>
  <c r="J459" i="6" s="1"/>
  <c r="T459" i="6" s="1"/>
  <c r="H459" i="6"/>
  <c r="J447" i="5"/>
  <c r="J459" i="5" s="1"/>
  <c r="T459" i="5" s="1"/>
  <c r="H459" i="5"/>
  <c r="J447" i="4"/>
  <c r="J459" i="4" s="1"/>
  <c r="T459" i="4" s="1"/>
  <c r="H459" i="4"/>
  <c r="H444" i="6"/>
  <c r="J444" i="6" s="1"/>
  <c r="H445" i="6"/>
  <c r="J445" i="6" s="1"/>
  <c r="H444" i="5"/>
  <c r="J444" i="5" s="1"/>
  <c r="H445" i="5"/>
  <c r="J445" i="5" s="1"/>
  <c r="H444" i="4"/>
  <c r="J444" i="4" s="1"/>
  <c r="H445" i="4"/>
  <c r="J445" i="4" s="1"/>
  <c r="H442" i="6"/>
  <c r="J442" i="6" s="1"/>
  <c r="H443" i="6"/>
  <c r="J443" i="6" s="1"/>
  <c r="H442" i="5"/>
  <c r="J442" i="5" s="1"/>
  <c r="H443" i="5"/>
  <c r="J443" i="5" s="1"/>
  <c r="H442" i="4"/>
  <c r="J442" i="4" s="1"/>
  <c r="H443" i="4"/>
  <c r="J443" i="4" s="1"/>
  <c r="H440" i="6"/>
  <c r="J440" i="6" s="1"/>
  <c r="H441" i="6"/>
  <c r="J441" i="6" s="1"/>
  <c r="H440" i="5"/>
  <c r="J440" i="5" s="1"/>
  <c r="H441" i="5"/>
  <c r="J441" i="5" s="1"/>
  <c r="H440" i="4"/>
  <c r="J440" i="4" s="1"/>
  <c r="H441" i="4"/>
  <c r="J441" i="4" s="1"/>
  <c r="H438" i="6"/>
  <c r="J438" i="6" s="1"/>
  <c r="H439" i="6"/>
  <c r="J439" i="6" s="1"/>
  <c r="H438" i="5"/>
  <c r="J438" i="5" s="1"/>
  <c r="H439" i="5"/>
  <c r="J439" i="5" s="1"/>
  <c r="H438" i="4"/>
  <c r="J438" i="4" s="1"/>
  <c r="H439" i="4"/>
  <c r="J439" i="4" s="1"/>
  <c r="H436" i="6"/>
  <c r="J436" i="6" s="1"/>
  <c r="H437" i="6"/>
  <c r="J437" i="6" s="1"/>
  <c r="H436" i="5"/>
  <c r="J436" i="5" s="1"/>
  <c r="H437" i="5"/>
  <c r="J437" i="5" s="1"/>
  <c r="H436" i="4"/>
  <c r="J436" i="4" s="1"/>
  <c r="H437" i="4"/>
  <c r="J437" i="4" s="1"/>
  <c r="H434" i="6"/>
  <c r="H435" i="6"/>
  <c r="J435" i="6" s="1"/>
  <c r="H434" i="5"/>
  <c r="H435" i="5"/>
  <c r="J435" i="5" s="1"/>
  <c r="H434" i="4"/>
  <c r="H435" i="4"/>
  <c r="J435" i="4" s="1"/>
  <c r="J434" i="6"/>
  <c r="J446" i="6" s="1"/>
  <c r="H446" i="6"/>
  <c r="H460" i="6" s="1"/>
  <c r="J434" i="5"/>
  <c r="J446" i="5" s="1"/>
  <c r="H446" i="5"/>
  <c r="H460" i="5" s="1"/>
  <c r="J434" i="4"/>
  <c r="J446" i="4" s="1"/>
  <c r="H446" i="4"/>
  <c r="H460" i="4" s="1"/>
  <c r="H310" i="4"/>
  <c r="J310" i="4" s="1"/>
  <c r="H300" i="4"/>
  <c r="H301" i="4"/>
  <c r="H302" i="4"/>
  <c r="H303" i="4"/>
  <c r="H304" i="4"/>
  <c r="H305" i="4"/>
  <c r="H306" i="4"/>
  <c r="J306" i="4" s="1"/>
  <c r="H307" i="4"/>
  <c r="J307" i="4" s="1"/>
  <c r="H308" i="4"/>
  <c r="J308" i="4" s="1"/>
  <c r="H309" i="4"/>
  <c r="J309" i="4" s="1"/>
  <c r="H299" i="4"/>
  <c r="H312" i="4"/>
  <c r="J312" i="4" s="1"/>
  <c r="H313" i="4"/>
  <c r="H314" i="4"/>
  <c r="H315" i="4"/>
  <c r="H316" i="4"/>
  <c r="H317" i="4"/>
  <c r="H318" i="4"/>
  <c r="H319" i="4"/>
  <c r="H320" i="4"/>
  <c r="H321" i="4"/>
  <c r="H322" i="4"/>
  <c r="H323" i="4"/>
  <c r="H430" i="5"/>
  <c r="J430" i="5" s="1"/>
  <c r="H431" i="5"/>
  <c r="J431" i="5" s="1"/>
  <c r="H430" i="6"/>
  <c r="J430" i="6" s="1"/>
  <c r="H431" i="6"/>
  <c r="J431" i="6" s="1"/>
  <c r="H430" i="4"/>
  <c r="J430" i="4" s="1"/>
  <c r="H431" i="4"/>
  <c r="J431" i="4" s="1"/>
  <c r="H428" i="6"/>
  <c r="J428" i="6" s="1"/>
  <c r="H429" i="6"/>
  <c r="J429" i="6" s="1"/>
  <c r="H428" i="5"/>
  <c r="J428" i="5" s="1"/>
  <c r="H429" i="5"/>
  <c r="J429" i="5" s="1"/>
  <c r="H428" i="4"/>
  <c r="J428" i="4" s="1"/>
  <c r="H429" i="4"/>
  <c r="J429" i="4" s="1"/>
  <c r="H426" i="6"/>
  <c r="J426" i="6" s="1"/>
  <c r="H427" i="6"/>
  <c r="J427" i="6" s="1"/>
  <c r="H426" i="5"/>
  <c r="J426" i="5" s="1"/>
  <c r="H427" i="5"/>
  <c r="J427" i="5" s="1"/>
  <c r="H426" i="4"/>
  <c r="J426" i="4" s="1"/>
  <c r="H427" i="4"/>
  <c r="J427" i="4" s="1"/>
  <c r="H424" i="6"/>
  <c r="J424" i="6" s="1"/>
  <c r="H425" i="6"/>
  <c r="J425" i="6" s="1"/>
  <c r="H424" i="5"/>
  <c r="J424" i="5" s="1"/>
  <c r="H425" i="5"/>
  <c r="J425" i="5" s="1"/>
  <c r="H424" i="4"/>
  <c r="J424" i="4" s="1"/>
  <c r="H425" i="4"/>
  <c r="J425" i="4" s="1"/>
  <c r="H422" i="6"/>
  <c r="J422" i="6" s="1"/>
  <c r="H423" i="6"/>
  <c r="J423" i="6" s="1"/>
  <c r="H422" i="5"/>
  <c r="J422" i="5" s="1"/>
  <c r="H423" i="5"/>
  <c r="J423" i="5" s="1"/>
  <c r="H422" i="4"/>
  <c r="J422" i="4" s="1"/>
  <c r="H423" i="4"/>
  <c r="J423" i="4" s="1"/>
  <c r="H420" i="6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T446" i="6" l="1"/>
  <c r="J460" i="6"/>
  <c r="T460" i="6" s="1"/>
  <c r="T446" i="5"/>
  <c r="J460" i="5"/>
  <c r="T460" i="5" s="1"/>
  <c r="T446" i="4"/>
  <c r="J460" i="4"/>
  <c r="T460" i="4" s="1"/>
  <c r="H20" i="1" s="1"/>
  <c r="J20" i="1" s="1"/>
  <c r="K406" i="4"/>
  <c r="H419" i="4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33" i="4" l="1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<sst xmlns="http://schemas.openxmlformats.org/spreadsheetml/2006/main" count="7708" uniqueCount="368">
  <si>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</si>
  <si>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</si>
  <si>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</si>
  <si>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</si>
  <si>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</si>
  <si>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</si>
  <si>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</si>
  <si>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</si>
  <si>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</si>
  <si>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</si>
  <si>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</si>
  <si>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</si>
  <si>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</si>
  <si>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</si>
  <si>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</si>
  <si>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</si>
  <si>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</si>
  <si>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</si>
  <si>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</si>
  <si>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</si>
  <si>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</si>
  <si>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</si>
  <si>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</si>
  <si>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</si>
  <si>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</si>
  <si>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</si>
  <si>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</si>
  <si>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</si>
  <si>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</si>
  <si>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</si>
  <si>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</si>
  <si>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</si>
  <si>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</si>
  <si>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</si>
  <si>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</si>
  <si>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</si>
  <si>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</si>
  <si>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</si>
  <si>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</si>
  <si>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</si>
  <si>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</si>
  <si>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</si>
  <si>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</si>
  <si>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</si>
  <si>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</si>
  <si>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</si>
  <si>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</si>
  <si>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</si>
  <si>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</si>
  <si>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</si>
  <si>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</si>
  <si>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</si>
  <si>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</si>
  <si>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</si>
  <si>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</si>
  <si>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</si>
  <si>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</si>
  <si>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</si>
  <si>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</si>
  <si>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</si>
  <si>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</si>
  <si>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</si>
  <si>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</si>
  <si>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</si>
  <si>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</si>
  <si>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</si>
  <si>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</si>
  <si>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</si>
  <si>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</si>
  <si>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</si>
  <si>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</si>
  <si>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</si>
  <si>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</si>
  <si>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</si>
  <si>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</si>
  <si>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</si>
  <si>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</si>
  <si>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</si>
  <si>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</si>
  <si>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</si>
  <si>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</si>
  <si>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</si>
  <si>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</si>
  <si>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</si>
  <si>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</si>
  <si>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</si>
  <si>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</si>
  <si>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</si>
  <si>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</si>
  <si>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</si>
  <si>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</si>
  <si>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</si>
  <si>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</si>
  <si>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</si>
  <si>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</si>
  <si>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</si>
  <si>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</si>
  <si>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</si>
  <si>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</si>
  <si>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</si>
  <si>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</si>
  <si>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</si>
  <si>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</si>
  <si>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</si>
  <si>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</si>
  <si>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</si>
  <si>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</si>
  <si>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</si>
  <si>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</si>
  <si>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</si>
  <si>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</si>
  <si>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</si>
  <si>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</si>
  <si>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</si>
  <si>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</si>
  <si>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</si>
  <si>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</si>
  <si>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</si>
  <si>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</si>
  <si>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</si>
  <si>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</si>
  <si>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</si>
  <si>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</si>
  <si>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</si>
  <si>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</si>
  <si>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</si>
  <si>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</si>
  <si>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</si>
  <si>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</si>
  <si>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</si>
  <si>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</si>
  <si>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</si>
  <si>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</si>
  <si>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</si>
  <si>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</si>
  <si>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</si>
  <si>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</si>
  <si>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</si>
  <si>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</si>
  <si>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</si>
  <si>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</si>
  <si>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</si>
  <si>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</si>
  <si>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</si>
  <si>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</si>
  <si>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</si>
  <si>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</si>
  <si>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</si>
  <si>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</si>
  <si>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</si>
  <si>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</si>
  <si>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</si>
  <si>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</si>
  <si>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</si>
  <si>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</si>
  <si>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</si>
  <si>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</si>
  <si>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</si>
  <si>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</si>
  <si>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</si>
  <si>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</si>
  <si>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</si>
  <si>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</si>
  <si>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</si>
  <si>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</si>
  <si>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</si>
  <si>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</si>
  <si>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</si>
  <si>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</si>
  <si>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</si>
  <si>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</si>
  <si>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</si>
  <si>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</si>
  <si>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</si>
  <si>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</si>
  <si>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</si>
  <si>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</si>
  <si>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</si>
  <si>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</si>
  <si>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</si>
  <si>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</si>
  <si>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</si>
  <si>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</si>
  <si>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</si>
  <si>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</si>
  <si>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</si>
  <si>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</si>
  <si>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</si>
  <si>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</si>
  <si>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</si>
  <si>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</si>
  <si>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</si>
  <si>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</si>
  <si>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</si>
  <si>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</si>
  <si>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</si>
  <si>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</si>
  <si>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</si>
  <si>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</si>
  <si>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</si>
  <si>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</si>
  <si>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</si>
  <si>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</si>
  <si>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</si>
  <si>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</si>
  <si>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</si>
  <si>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</si>
  <si>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</si>
  <si>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</si>
  <si>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</si>
  <si>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</si>
  <si>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</si>
  <si>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</si>
  <si>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</si>
  <si>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</si>
  <si>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</si>
  <si>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</si>
  <si>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</si>
  <si>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</si>
  <si>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</si>
  <si>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</si>
  <si>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</si>
  <si>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</si>
  <si>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</si>
  <si>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</si>
  <si>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</si>
  <si>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</si>
  <si>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</si>
  <si>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</si>
  <si>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</si>
  <si>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</si>
  <si>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</si>
  <si>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</si>
  <si>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</si>
  <si>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</si>
  <si>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</si>
  <si>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</si>
  <si>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</si>
  <si>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</si>
  <si>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</si>
  <si>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</si>
  <si>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</si>
  <si>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</si>
  <si>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</si>
  <si>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</si>
  <si>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</si>
  <si>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</si>
  <si>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</si>
  <si>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</si>
  <si>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</si>
  <si>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</si>
  <si>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</si>
  <si>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</si>
  <si>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</si>
  <si>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</si>
  <si>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</si>
  <si>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</si>
  <si>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</si>
  <si>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</si>
  <si>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</si>
  <si>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</si>
  <si>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</si>
  <si>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</si>
  <si>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</si>
  <si>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</si>
  <si>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</si>
  <si>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</si>
  <si>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</si>
  <si>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</si>
  <si>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</si>
  <si>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</si>
  <si>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</si>
  <si>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</si>
  <si>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PLANILHA CONSERTADA ! 19:44 CCO</t>
  </si>
  <si>
    <t>POR FAVOR! NÂO APAGAR AS FORMULAS!</t>
  </si>
  <si>
    <t>CASO APAGUE APERTE CTRL + Z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</si>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</sst>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9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9" fillId="3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164" fontId="28" fillId="8" borderId="1" xfId="0" applyNumberFormat="1" applyFont="1" applyFill="1" applyBorder="1" applyAlignment="1" applyProtection="1">
      <alignment horizontal="center" vertical="center"/>
      <protection locked="0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F28" sqref="F28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1" ht="31.5" customHeight="1">
      <c r="A1" s="167" t="s">
        <v>0</v>
      </c>
      <c r="B1" s="168"/>
      <c r="C1" s="168"/>
      <c r="D1" s="168"/>
      <c r="E1" s="168"/>
      <c r="F1" s="168"/>
      <c r="G1" s="168"/>
      <c r="H1" s="168"/>
      <c r="I1" s="168"/>
      <c r="J1" s="168"/>
      <c r="K1" s="168"/>
    </row>
    <row r="2" spans="1:11" ht="30" customHeight="1">
      <c r="A2" s="165"/>
      <c r="B2" s="165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>
        <v>1008.89</v>
      </c>
      <c r="J18" s="129">
        <f t="shared" si="1"/>
        <v>0.82232197134469875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3462210</v>
      </c>
      <c r="D19" s="11">
        <f>IFERROR('Linha 1'!S433,"")</f>
        <v>1289250</v>
      </c>
      <c r="E19" s="11">
        <f>IFERROR('Linha 2'!S433,"")</f>
        <v>627770</v>
      </c>
      <c r="F19" s="11">
        <f>IFERROR('Linha 3'!S433,"")</f>
        <v>1393440</v>
      </c>
      <c r="G19" s="12">
        <f t="shared" si="0"/>
        <v>3310460</v>
      </c>
      <c r="H19" s="96">
        <f>IFERROR('Linha 1'!T433+'Linha 2'!T433+'Linha 3'!T433,0)</f>
        <v>476.70623999999998</v>
      </c>
      <c r="I19" s="96">
        <v>483.33</v>
      </c>
      <c r="J19" s="129">
        <f t="shared" si="1"/>
        <v>0.9861051535637545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1619380</v>
      </c>
      <c r="D20" s="8">
        <f>IFERROR('Linha 1'!S460,"")</f>
        <v>449020</v>
      </c>
      <c r="E20" s="8">
        <f>IFERROR('Linha 2'!S460,"")</f>
        <v>389280</v>
      </c>
      <c r="F20" s="8">
        <f>IFERROR('Linha 3'!S460,"")</f>
        <v>833920</v>
      </c>
      <c r="G20" s="9">
        <f t="shared" si="0"/>
        <v>1672220</v>
      </c>
      <c r="H20" s="96">
        <f>IFERROR('Linha 1'!T460+'Linha 2'!T460+'Linha 3'!T460,0)</f>
        <v>345.75255540983602</v>
      </c>
      <c r="I20" s="96"/>
      <c r="J20" s="129">
        <f t="shared" si="1"/>
        <v>0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6" t="s">
        <v>14</v>
      </c>
      <c r="B35" s="166"/>
      <c r="C35" s="13">
        <f t="shared" ref="C35:H35" si="2">IFERROR(SUM(C4:C34),"")</f>
        <v>61474110</v>
      </c>
      <c r="D35" s="13">
        <f t="shared" si="2"/>
        <v>19986290</v>
      </c>
      <c r="E35" s="13">
        <f t="shared" si="2"/>
        <v>10451720</v>
      </c>
      <c r="F35" s="13">
        <f t="shared" si="2"/>
        <v>25736290</v>
      </c>
      <c r="G35" s="13">
        <f t="shared" si="2"/>
        <v>56174300</v>
      </c>
      <c r="H35" s="97">
        <f t="shared" si="2"/>
        <v>4032.7540882005683</v>
      </c>
      <c r="I35" s="97">
        <f>IFERROR(SUM(I4:I34),"")</f>
        <v>3895.4599999999996</v>
      </c>
      <c r="J35" s="130">
        <f>IFERROR(AVERAGE(J4:J34),"-")</f>
        <v>0.78052303539371637</v>
      </c>
      <c r="K35" s="157">
        <f>SUM(K4:K34)</f>
        <v>450.78</v>
      </c>
    </row>
  </sheetData>
  <sheetProtection algorithmName="SHA-512" hashValue="gqTLzSuAHGYI8uOhqvLYOaoQbrZvCsSzD0aJE6/A0ufYguG/Kt8CCpL7wveFByPuEM7kH25C930tYTtMRaRnJQ==" saltValue="dcFiUfDE4dvgBpW29BEIkg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32" zoomScale="85" zoomScaleNormal="85" workbookViewId="0">
      <selection activeCell="R59" sqref="R59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9" t="s">
        <v>15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  <c r="M1" s="170"/>
      <c r="N1" s="171" t="s">
        <v>16</v>
      </c>
      <c r="O1" s="171"/>
      <c r="P1" s="171"/>
      <c r="Q1" s="171"/>
      <c r="R1" s="171"/>
    </row>
    <row r="2" spans="1:18" ht="4.5" customHeight="1">
      <c r="M2" s="170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70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70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70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70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70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70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70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70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70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70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70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70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70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70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70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70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70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70"/>
      <c r="N20" s="16"/>
      <c r="O20" s="16"/>
      <c r="P20" s="16" t="s">
        <v>128</v>
      </c>
      <c r="Q20" s="16"/>
      <c r="R20" s="16" t="s">
        <v>129</v>
      </c>
    </row>
    <row r="21" spans="1:18" ht="15.75" customHeight="1">
      <c r="A21" s="17"/>
      <c r="C21" s="17"/>
      <c r="J21" s="17"/>
      <c r="L21" s="17" t="s">
        <v>130</v>
      </c>
      <c r="M21" s="170"/>
      <c r="N21" s="17"/>
      <c r="O21" s="17"/>
      <c r="P21" s="17" t="s">
        <v>131</v>
      </c>
      <c r="Q21" s="17"/>
      <c r="R21" s="17" t="s">
        <v>132</v>
      </c>
    </row>
    <row r="22" spans="1:18" ht="15.75" customHeight="1">
      <c r="A22" s="16"/>
      <c r="C22" s="16"/>
      <c r="J22" s="16"/>
      <c r="L22" s="16" t="s">
        <v>133</v>
      </c>
      <c r="M22" s="170"/>
      <c r="N22" s="16"/>
      <c r="O22" s="16"/>
      <c r="P22" s="16" t="s">
        <v>134</v>
      </c>
      <c r="Q22" s="16"/>
      <c r="R22" s="16" t="s">
        <v>135</v>
      </c>
    </row>
    <row r="23" spans="1:18" ht="15.75" customHeight="1">
      <c r="A23" s="17"/>
      <c r="C23" s="17"/>
      <c r="J23" s="17"/>
      <c r="L23" s="17" t="s">
        <v>136</v>
      </c>
      <c r="M23" s="170"/>
      <c r="N23" s="17"/>
      <c r="O23" s="17"/>
      <c r="P23" s="17" t="s">
        <v>137</v>
      </c>
      <c r="Q23" s="17"/>
      <c r="R23" s="17" t="s">
        <v>138</v>
      </c>
    </row>
    <row r="24" spans="1:18" ht="15.75" customHeight="1">
      <c r="A24" s="16"/>
      <c r="C24" s="16"/>
      <c r="J24" s="16"/>
      <c r="L24" s="16" t="s">
        <v>139</v>
      </c>
      <c r="M24" s="170"/>
      <c r="N24" s="16"/>
      <c r="O24" s="16"/>
      <c r="P24" s="16" t="s">
        <v>140</v>
      </c>
      <c r="Q24" s="16"/>
      <c r="R24" s="16" t="s">
        <v>141</v>
      </c>
    </row>
    <row r="25" spans="1:18" ht="15.75" customHeight="1">
      <c r="A25" s="17"/>
      <c r="C25" s="17"/>
      <c r="J25" s="17"/>
      <c r="L25" s="17" t="s">
        <v>142</v>
      </c>
      <c r="M25" s="170"/>
      <c r="N25" s="17"/>
      <c r="O25" s="17"/>
      <c r="P25" s="17" t="s">
        <v>143</v>
      </c>
      <c r="Q25" s="17"/>
      <c r="R25" s="17" t="s">
        <v>144</v>
      </c>
    </row>
    <row r="26" spans="1:18" ht="15.75" customHeight="1">
      <c r="A26" s="16"/>
      <c r="C26" s="16"/>
      <c r="J26" s="16"/>
      <c r="L26" s="16" t="s">
        <v>145</v>
      </c>
      <c r="M26" s="170"/>
      <c r="N26" s="16"/>
      <c r="O26" s="16"/>
      <c r="P26" s="16" t="s">
        <v>146</v>
      </c>
      <c r="Q26" s="16"/>
      <c r="R26" s="16"/>
    </row>
    <row r="27" spans="1:18" ht="15.75" customHeight="1">
      <c r="A27" s="17"/>
      <c r="C27" s="17"/>
      <c r="J27" s="17"/>
      <c r="L27" s="17" t="s">
        <v>147</v>
      </c>
      <c r="M27" s="170"/>
      <c r="N27" s="17"/>
      <c r="O27" s="17"/>
      <c r="P27" s="17" t="s">
        <v>138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148</v>
      </c>
      <c r="M28" s="170"/>
      <c r="N28" s="16"/>
      <c r="O28" s="16"/>
      <c r="P28" s="16" t="s">
        <v>141</v>
      </c>
      <c r="Q28" s="16"/>
      <c r="R28" s="16" t="s">
        <v>149</v>
      </c>
    </row>
    <row r="29" spans="1:18" ht="15.75" customHeight="1">
      <c r="A29" s="17"/>
      <c r="C29" s="17"/>
      <c r="J29" s="17"/>
      <c r="L29" s="17" t="s">
        <v>150</v>
      </c>
      <c r="M29" s="170"/>
      <c r="N29" s="17"/>
      <c r="O29" s="17"/>
      <c r="P29" s="17" t="s">
        <v>151</v>
      </c>
      <c r="Q29" s="17"/>
      <c r="R29" s="17" t="s">
        <v>152</v>
      </c>
    </row>
    <row r="30" spans="1:18" ht="15.75" customHeight="1">
      <c r="A30" s="16"/>
      <c r="C30" s="16"/>
      <c r="J30" s="16"/>
      <c r="L30" s="16" t="s">
        <v>153</v>
      </c>
      <c r="M30" s="170"/>
      <c r="N30" s="16"/>
      <c r="O30" s="16"/>
      <c r="P30" s="16" t="s">
        <v>154</v>
      </c>
      <c r="Q30" s="16"/>
      <c r="R30" s="16" t="s">
        <v>155</v>
      </c>
    </row>
    <row r="31" spans="1:18" ht="15.75" customHeight="1">
      <c r="A31" s="17"/>
      <c r="C31" s="17"/>
      <c r="J31" s="17"/>
      <c r="L31" s="17" t="s">
        <v>156</v>
      </c>
      <c r="M31" s="170"/>
      <c r="N31" s="17"/>
      <c r="O31" s="17"/>
      <c r="P31" s="18" t="s">
        <v>157</v>
      </c>
      <c r="Q31" s="17"/>
      <c r="R31" s="17" t="s">
        <v>158</v>
      </c>
    </row>
    <row r="32" spans="1:18" ht="15.75" customHeight="1">
      <c r="A32" s="16"/>
      <c r="C32" s="16"/>
      <c r="J32" s="16"/>
      <c r="L32" s="16" t="s">
        <v>159</v>
      </c>
      <c r="M32" s="170"/>
      <c r="N32" s="16"/>
      <c r="O32" s="16"/>
      <c r="P32" s="16" t="s">
        <v>160</v>
      </c>
      <c r="Q32" s="16"/>
      <c r="R32" t="s">
        <v>161</v>
      </c>
    </row>
    <row r="33" spans="1:18" ht="15.75" customHeight="1">
      <c r="A33" s="17"/>
      <c r="C33" s="131" t="s">
        <v>162</v>
      </c>
      <c r="E33" s="113">
        <v>1000</v>
      </c>
      <c r="J33" s="17"/>
      <c r="L33" s="17" t="s">
        <v>163</v>
      </c>
      <c r="M33" s="170"/>
      <c r="N33" s="17"/>
      <c r="O33" s="17"/>
      <c r="P33" s="18" t="s">
        <v>164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165</v>
      </c>
      <c r="M34" s="170"/>
      <c r="N34" s="16"/>
      <c r="O34" s="16"/>
      <c r="P34" s="16" t="s">
        <v>86</v>
      </c>
      <c r="Q34" s="16"/>
      <c r="R34" s="16" t="s">
        <v>166</v>
      </c>
    </row>
    <row r="35" spans="1:18" ht="15.75" customHeight="1">
      <c r="A35" s="17"/>
      <c r="C35" s="17"/>
      <c r="J35" s="17"/>
      <c r="L35" s="17" t="s">
        <v>167</v>
      </c>
      <c r="M35" s="170"/>
      <c r="N35" s="17"/>
      <c r="O35" s="17"/>
      <c r="P35" s="17" t="s">
        <v>168</v>
      </c>
      <c r="Q35" s="17"/>
      <c r="R35" s="17" t="s">
        <v>169</v>
      </c>
    </row>
    <row r="36" spans="1:18" ht="15.75" customHeight="1">
      <c r="A36" s="16"/>
      <c r="C36" s="16"/>
      <c r="J36" s="16"/>
      <c r="L36" s="16" t="s">
        <v>170</v>
      </c>
      <c r="M36" s="170"/>
      <c r="N36" s="16"/>
      <c r="O36" s="16"/>
      <c r="P36" s="16" t="s">
        <v>171</v>
      </c>
      <c r="Q36" s="16"/>
      <c r="R36" s="16" t="s">
        <v>172</v>
      </c>
    </row>
    <row r="37" spans="1:18" ht="15.75" customHeight="1">
      <c r="A37" s="17"/>
      <c r="C37" s="17"/>
      <c r="J37" s="17"/>
      <c r="L37" s="17" t="s">
        <v>173</v>
      </c>
      <c r="M37" s="170"/>
      <c r="N37" s="17"/>
      <c r="O37" s="17"/>
      <c r="P37" s="17" t="s">
        <v>174</v>
      </c>
      <c r="Q37" s="17"/>
      <c r="R37" s="17" t="s">
        <v>175</v>
      </c>
    </row>
    <row r="38" spans="1:18" ht="15.75" customHeight="1">
      <c r="A38" s="16"/>
      <c r="C38" s="16"/>
      <c r="J38" s="16"/>
      <c r="L38" s="16" t="s">
        <v>176</v>
      </c>
      <c r="M38" s="170"/>
      <c r="N38" s="16"/>
      <c r="O38" s="16"/>
      <c r="P38" s="16" t="s">
        <v>177</v>
      </c>
      <c r="Q38" s="16"/>
      <c r="R38" s="16" t="s">
        <v>178</v>
      </c>
    </row>
    <row r="39" spans="1:18" ht="15.75" customHeight="1">
      <c r="A39" s="17"/>
      <c r="C39" s="17"/>
      <c r="J39" s="17"/>
      <c r="L39" s="17"/>
      <c r="M39" s="170"/>
      <c r="N39" s="17"/>
      <c r="O39" s="17"/>
      <c r="P39" s="17" t="s">
        <v>179</v>
      </c>
      <c r="Q39" s="17"/>
      <c r="R39" s="17" t="s">
        <v>180</v>
      </c>
    </row>
    <row r="40" spans="1:18" ht="15.75" customHeight="1">
      <c r="A40" s="16"/>
      <c r="C40" s="16"/>
      <c r="J40" s="16"/>
      <c r="L40" s="16"/>
      <c r="M40" s="170"/>
      <c r="N40" s="16"/>
      <c r="O40" s="16"/>
      <c r="P40" s="16" t="s">
        <v>181</v>
      </c>
      <c r="Q40" s="16"/>
      <c r="R40" s="16" t="s">
        <v>182</v>
      </c>
    </row>
    <row r="41" spans="1:18" ht="15.75" customHeight="1">
      <c r="A41" s="17"/>
      <c r="C41" s="17"/>
      <c r="J41" s="17"/>
      <c r="L41" s="17"/>
      <c r="M41" s="170"/>
      <c r="N41" s="17"/>
      <c r="O41" s="17"/>
      <c r="P41" s="17" t="s">
        <v>183</v>
      </c>
      <c r="Q41" s="17"/>
      <c r="R41" s="17" t="s">
        <v>184</v>
      </c>
    </row>
    <row r="42" spans="1:18" ht="15.75" customHeight="1">
      <c r="A42" s="16"/>
      <c r="C42" s="16"/>
      <c r="J42" s="16"/>
      <c r="L42" s="16"/>
      <c r="M42" s="170"/>
      <c r="N42" s="16"/>
      <c r="O42" s="16"/>
      <c r="P42" s="16" t="s">
        <v>185</v>
      </c>
      <c r="Q42" s="16"/>
      <c r="R42" s="16" t="s">
        <v>186</v>
      </c>
    </row>
    <row r="43" spans="1:18" ht="15.75" customHeight="1">
      <c r="A43" s="17"/>
      <c r="C43" s="17"/>
      <c r="J43" s="17"/>
      <c r="L43" s="17"/>
      <c r="M43" s="170"/>
      <c r="N43" s="17"/>
      <c r="O43" s="17"/>
      <c r="P43" s="17" t="s">
        <v>187</v>
      </c>
      <c r="Q43" s="17"/>
      <c r="R43" s="17" t="s">
        <v>188</v>
      </c>
    </row>
    <row r="44" spans="1:18" ht="15.75" customHeight="1">
      <c r="A44" s="16"/>
      <c r="C44" s="16"/>
      <c r="J44" s="16"/>
      <c r="L44" s="16"/>
      <c r="M44" s="170"/>
      <c r="N44" s="16"/>
      <c r="O44" s="16"/>
      <c r="P44" s="16" t="s">
        <v>189</v>
      </c>
      <c r="Q44" s="16"/>
      <c r="R44" s="16" t="s">
        <v>190</v>
      </c>
    </row>
    <row r="45" spans="1:18" ht="15.75" customHeight="1">
      <c r="A45" s="17"/>
      <c r="C45" s="17"/>
      <c r="J45" s="17"/>
      <c r="L45" s="17"/>
      <c r="M45" s="170"/>
      <c r="N45" s="17"/>
      <c r="O45" s="17"/>
      <c r="P45" s="17"/>
      <c r="Q45" s="17"/>
      <c r="R45" s="17" t="s">
        <v>191</v>
      </c>
    </row>
    <row r="46" spans="1:18" ht="15.75" customHeight="1">
      <c r="A46" s="16"/>
      <c r="C46" s="16"/>
      <c r="J46" s="16"/>
      <c r="L46" s="16"/>
      <c r="M46" s="170"/>
      <c r="N46" s="16"/>
      <c r="O46" s="16"/>
      <c r="P46" s="16" t="s">
        <v>192</v>
      </c>
      <c r="Q46" s="16"/>
      <c r="R46" s="16" t="s">
        <v>193</v>
      </c>
    </row>
    <row r="47" spans="1:18" ht="15.75" customHeight="1">
      <c r="A47" s="17"/>
      <c r="C47" s="17"/>
      <c r="J47" s="17"/>
      <c r="L47" s="17"/>
      <c r="M47" s="170"/>
      <c r="N47" s="17"/>
      <c r="O47" s="17"/>
      <c r="P47" s="17" t="s">
        <v>194</v>
      </c>
      <c r="Q47" s="17"/>
      <c r="R47" s="17" t="s">
        <v>195</v>
      </c>
    </row>
    <row r="48" spans="1:18" ht="15.75" customHeight="1">
      <c r="A48" s="16"/>
      <c r="C48" s="16"/>
      <c r="J48" s="16"/>
      <c r="L48" s="16"/>
      <c r="M48" s="170"/>
      <c r="N48" s="16"/>
      <c r="O48" s="16"/>
      <c r="P48" s="16" t="s">
        <v>196</v>
      </c>
      <c r="Q48" s="16"/>
      <c r="R48" s="16" t="s">
        <v>197</v>
      </c>
    </row>
    <row r="49" spans="1:18" ht="18" customHeight="1">
      <c r="M49" s="170"/>
      <c r="N49" s="17"/>
      <c r="O49" s="17"/>
      <c r="P49" s="17" t="s">
        <v>198</v>
      </c>
      <c r="Q49" s="17"/>
      <c r="R49" s="17" t="s">
        <v>199</v>
      </c>
    </row>
    <row r="50" spans="1:18" ht="21" customHeight="1">
      <c r="A50" s="19" t="s">
        <v>200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70"/>
      <c r="N50" s="16"/>
      <c r="O50" s="16"/>
      <c r="P50" s="16" t="s">
        <v>201</v>
      </c>
      <c r="Q50" s="16"/>
      <c r="R50" s="16" t="s">
        <v>202</v>
      </c>
    </row>
    <row r="51" spans="1:18" ht="24" customHeight="1">
      <c r="M51" s="170"/>
      <c r="N51" s="17"/>
      <c r="O51" s="17"/>
      <c r="P51" s="17" t="s">
        <v>203</v>
      </c>
      <c r="Q51" s="17"/>
      <c r="R51" s="17" t="s">
        <v>204</v>
      </c>
    </row>
    <row r="52" spans="1:18" ht="24" customHeight="1">
      <c r="M52" s="170"/>
      <c r="N52" s="16"/>
      <c r="O52" s="16"/>
      <c r="P52" s="16" t="s">
        <v>205</v>
      </c>
      <c r="Q52" s="16"/>
      <c r="R52" s="16" t="s">
        <v>206</v>
      </c>
    </row>
    <row r="53" spans="1:18" ht="36" customHeight="1">
      <c r="M53" s="170"/>
      <c r="N53" s="17"/>
      <c r="O53" s="17"/>
      <c r="P53" s="17" t="s">
        <v>207</v>
      </c>
      <c r="Q53" s="17"/>
      <c r="R53" s="17" t="s">
        <v>208</v>
      </c>
    </row>
    <row r="54" spans="1:18" ht="15" customHeight="1">
      <c r="M54" s="170"/>
      <c r="N54" s="16"/>
      <c r="O54" s="16"/>
      <c r="P54" s="16" t="s">
        <v>209</v>
      </c>
      <c r="Q54" s="16"/>
      <c r="R54" s="16" t="s">
        <v>210</v>
      </c>
    </row>
    <row r="55" spans="1:18" ht="15" customHeight="1">
      <c r="M55" s="170"/>
      <c r="N55" s="17"/>
      <c r="O55" s="17"/>
      <c r="P55" s="17" t="s">
        <v>211</v>
      </c>
      <c r="Q55" s="17"/>
      <c r="R55" s="17" t="s">
        <v>212</v>
      </c>
    </row>
    <row r="56" spans="1:18" ht="15" customHeight="1">
      <c r="M56" s="170"/>
      <c r="N56" s="16"/>
      <c r="O56" s="16"/>
      <c r="P56" s="16" t="s">
        <v>213</v>
      </c>
      <c r="Q56" s="16"/>
      <c r="R56" s="16" t="s">
        <v>214</v>
      </c>
    </row>
    <row r="57" spans="1:18" ht="15" customHeight="1">
      <c r="M57" s="170"/>
      <c r="N57" s="17"/>
      <c r="O57" s="17"/>
      <c r="P57" s="17" t="s">
        <v>57</v>
      </c>
      <c r="Q57" s="17"/>
      <c r="R57" s="17" t="s">
        <v>215</v>
      </c>
    </row>
    <row r="58" spans="1:18" ht="15" customHeight="1">
      <c r="M58" s="170"/>
      <c r="N58" s="16"/>
      <c r="O58" s="16"/>
      <c r="P58" s="16" t="s">
        <v>216</v>
      </c>
      <c r="Q58" s="16"/>
      <c r="R58" s="16" t="s">
        <v>217</v>
      </c>
    </row>
    <row r="59" spans="1:18" ht="15" customHeight="1">
      <c r="M59" s="170"/>
      <c r="N59" s="17"/>
      <c r="O59" s="17"/>
      <c r="P59" s="17" t="s">
        <v>218</v>
      </c>
      <c r="Q59" s="17"/>
      <c r="R59" s="17"/>
    </row>
    <row r="60" spans="1:18" ht="15" customHeight="1">
      <c r="M60" s="170"/>
      <c r="N60" s="16"/>
      <c r="O60" s="16"/>
      <c r="P60" s="77" t="s">
        <v>112</v>
      </c>
      <c r="Q60" s="16"/>
      <c r="R60" s="16"/>
    </row>
    <row r="61" spans="1:18" ht="15" customHeight="1">
      <c r="M61" s="170"/>
      <c r="N61" s="17"/>
      <c r="O61" s="17"/>
      <c r="P61" s="17" t="s">
        <v>219</v>
      </c>
      <c r="Q61" s="17"/>
      <c r="R61" s="17"/>
    </row>
    <row r="62" spans="1:18" ht="15" customHeight="1">
      <c r="M62" s="170"/>
      <c r="N62" s="16"/>
      <c r="O62" s="16"/>
      <c r="P62" s="16" t="s">
        <v>220</v>
      </c>
      <c r="Q62" s="16"/>
      <c r="R62" s="16"/>
    </row>
    <row r="63" spans="1:18" ht="15" customHeight="1">
      <c r="M63" s="170"/>
      <c r="N63" s="17"/>
      <c r="O63" s="17"/>
      <c r="P63" s="17" t="s">
        <v>221</v>
      </c>
      <c r="Q63" s="17"/>
      <c r="R63" s="17"/>
    </row>
    <row r="64" spans="1:18" ht="15" customHeight="1">
      <c r="M64" s="170"/>
      <c r="N64" s="16"/>
      <c r="O64" s="16"/>
      <c r="P64" s="16" t="s">
        <v>222</v>
      </c>
      <c r="Q64" s="16"/>
      <c r="R64" s="16"/>
    </row>
    <row r="65" spans="13:18" ht="15" customHeight="1">
      <c r="M65" s="170"/>
      <c r="N65" s="17"/>
      <c r="O65" s="17"/>
      <c r="P65" s="17" t="s">
        <v>223</v>
      </c>
      <c r="Q65" s="17"/>
      <c r="R65" s="17"/>
    </row>
    <row r="66" spans="13:18" ht="15" customHeight="1">
      <c r="M66" s="170"/>
      <c r="N66" s="16"/>
      <c r="O66" s="16"/>
      <c r="P66" s="16" t="s">
        <v>224</v>
      </c>
      <c r="Q66" s="16"/>
      <c r="R66" s="16"/>
    </row>
    <row r="67" spans="13:18" ht="15" customHeight="1">
      <c r="M67" s="170"/>
      <c r="N67" s="17"/>
      <c r="O67" s="17"/>
      <c r="P67" s="17" t="s">
        <v>225</v>
      </c>
      <c r="Q67" s="17"/>
      <c r="R67" s="17"/>
    </row>
    <row r="68" spans="13:18" ht="15" customHeight="1">
      <c r="M68" s="170"/>
      <c r="N68" s="16"/>
      <c r="O68" s="16"/>
      <c r="P68" s="16" t="s">
        <v>226</v>
      </c>
      <c r="Q68" s="16"/>
      <c r="R68" s="16"/>
    </row>
    <row r="69" spans="13:18" ht="15" customHeight="1">
      <c r="M69" s="170"/>
      <c r="N69" s="17"/>
      <c r="O69" s="17"/>
      <c r="P69" s="17" t="s">
        <v>227</v>
      </c>
      <c r="Q69" s="17"/>
      <c r="R69" s="17"/>
    </row>
    <row r="70" spans="13:18" ht="15" customHeight="1">
      <c r="M70" s="170"/>
      <c r="N70" s="16"/>
      <c r="O70" s="16"/>
      <c r="P70" s="16" t="s">
        <v>228</v>
      </c>
      <c r="Q70" s="16"/>
      <c r="R70" s="16"/>
    </row>
    <row r="71" spans="13:18" ht="15" customHeight="1">
      <c r="M71" s="170"/>
      <c r="N71" s="17"/>
      <c r="O71" s="17"/>
      <c r="P71" s="17" t="s">
        <v>229</v>
      </c>
      <c r="Q71" s="17"/>
      <c r="R71" s="17"/>
    </row>
    <row r="72" spans="13:18" ht="15" customHeight="1">
      <c r="M72" s="170"/>
      <c r="N72" s="16"/>
      <c r="O72" s="16"/>
      <c r="P72" s="16" t="s">
        <v>230</v>
      </c>
      <c r="Q72" s="16"/>
      <c r="R72" s="16"/>
    </row>
    <row r="73" spans="13:18" ht="15" customHeight="1">
      <c r="M73" s="170"/>
      <c r="N73" s="17"/>
      <c r="O73" s="17"/>
      <c r="P73" s="17" t="s">
        <v>231</v>
      </c>
      <c r="Q73" s="17"/>
      <c r="R73" s="17"/>
    </row>
    <row r="74" spans="13:18" ht="15" customHeight="1">
      <c r="M74" s="170"/>
      <c r="N74" s="16"/>
      <c r="O74" s="16"/>
      <c r="P74" s="16" t="s">
        <v>232</v>
      </c>
      <c r="Q74" s="16"/>
      <c r="R74" s="16"/>
    </row>
    <row r="75" spans="13:18" ht="15" customHeight="1">
      <c r="M75" s="170"/>
      <c r="N75" s="17"/>
      <c r="O75" s="17"/>
      <c r="P75" s="17" t="s">
        <v>233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26" activePane="bottomLeft" state="frozen"/>
      <selection pane="bottomLeft" activeCell="L453" sqref="L453"/>
      <selection sqref="A1:G409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234</v>
      </c>
      <c r="C1" s="23" t="s">
        <v>17</v>
      </c>
      <c r="D1" s="22" t="s">
        <v>18</v>
      </c>
      <c r="E1" s="22" t="s">
        <v>235</v>
      </c>
      <c r="F1" s="23" t="s">
        <v>236</v>
      </c>
      <c r="G1" s="23" t="s">
        <v>237</v>
      </c>
      <c r="H1" s="23" t="s">
        <v>21</v>
      </c>
      <c r="I1" s="23" t="s">
        <v>22</v>
      </c>
      <c r="J1" s="23" t="s">
        <v>238</v>
      </c>
      <c r="K1" s="23" t="s">
        <v>239</v>
      </c>
      <c r="L1" s="23" t="s">
        <v>240</v>
      </c>
      <c r="M1" s="24" t="s">
        <v>241</v>
      </c>
      <c r="N1" s="23" t="s">
        <v>242</v>
      </c>
      <c r="O1" s="23" t="s">
        <v>243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9" t="s">
        <v>245</v>
      </c>
      <c r="B14" s="160"/>
      <c r="C14" s="160"/>
      <c r="D14" s="160"/>
      <c r="E14" s="17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246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244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244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247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9" t="s">
        <v>248</v>
      </c>
      <c r="B27" s="160"/>
      <c r="C27" s="160"/>
      <c r="D27" s="160"/>
      <c r="E27" s="17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246</v>
      </c>
      <c r="O27" s="39">
        <v>997910</v>
      </c>
    </row>
    <row r="28" spans="1:15" ht="18" customHeight="1">
      <c r="A28" s="161" t="s">
        <v>249</v>
      </c>
      <c r="B28" s="162"/>
      <c r="C28" s="162"/>
      <c r="D28" s="162"/>
      <c r="E28" s="173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250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164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244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251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244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247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9" t="s">
        <v>245</v>
      </c>
      <c r="B41" s="160"/>
      <c r="C41" s="160"/>
      <c r="D41" s="160"/>
      <c r="E41" s="172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246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252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244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244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244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244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244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9" t="s">
        <v>248</v>
      </c>
      <c r="B54" s="160"/>
      <c r="C54" s="160"/>
      <c r="D54" s="160"/>
      <c r="E54" s="17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246</v>
      </c>
      <c r="O54" s="39">
        <v>981310</v>
      </c>
    </row>
    <row r="55" spans="1:15" ht="18" customHeight="1">
      <c r="A55" s="161" t="s">
        <v>249</v>
      </c>
      <c r="B55" s="162"/>
      <c r="C55" s="162"/>
      <c r="D55" s="162"/>
      <c r="E55" s="173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250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164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244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9" t="s">
        <v>245</v>
      </c>
      <c r="B68" s="160"/>
      <c r="C68" s="160"/>
      <c r="D68" s="160"/>
      <c r="E68" s="17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246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244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253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9" t="s">
        <v>248</v>
      </c>
      <c r="B81" s="160"/>
      <c r="C81" s="160"/>
      <c r="D81" s="160"/>
      <c r="E81" s="17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246</v>
      </c>
      <c r="O81" s="39">
        <v>1547910</v>
      </c>
    </row>
    <row r="82" spans="1:15" ht="18" customHeight="1">
      <c r="A82" s="161" t="s">
        <v>249</v>
      </c>
      <c r="B82" s="162"/>
      <c r="C82" s="162"/>
      <c r="D82" s="162"/>
      <c r="E82" s="173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250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244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244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254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9" t="s">
        <v>245</v>
      </c>
      <c r="B95" s="160"/>
      <c r="C95" s="160"/>
      <c r="D95" s="160"/>
      <c r="E95" s="172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246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255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9" t="s">
        <v>248</v>
      </c>
      <c r="B108" s="160"/>
      <c r="C108" s="160"/>
      <c r="D108" s="160"/>
      <c r="E108" s="172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246</v>
      </c>
      <c r="O108" s="39">
        <v>3156240</v>
      </c>
    </row>
    <row r="109" spans="1:15" ht="18" customHeight="1">
      <c r="A109" s="161" t="s">
        <v>249</v>
      </c>
      <c r="B109" s="162"/>
      <c r="C109" s="162"/>
      <c r="D109" s="162"/>
      <c r="E109" s="173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250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9" t="s">
        <v>245</v>
      </c>
      <c r="B122" s="160"/>
      <c r="C122" s="160"/>
      <c r="D122" s="160"/>
      <c r="E122" s="172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246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9" t="s">
        <v>248</v>
      </c>
      <c r="B135" s="160"/>
      <c r="C135" s="160"/>
      <c r="D135" s="160"/>
      <c r="E135" s="172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246</v>
      </c>
      <c r="O135" s="39">
        <v>2875180</v>
      </c>
    </row>
    <row r="136" spans="1:15" ht="18" customHeight="1">
      <c r="A136" s="161" t="s">
        <v>249</v>
      </c>
      <c r="B136" s="162"/>
      <c r="C136" s="162"/>
      <c r="D136" s="162"/>
      <c r="E136" s="173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250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256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244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244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244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9" t="s">
        <v>245</v>
      </c>
      <c r="B149" s="160"/>
      <c r="C149" s="160"/>
      <c r="D149" s="160"/>
      <c r="E149" s="172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246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141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244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257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244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141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244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244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152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9" t="s">
        <v>248</v>
      </c>
      <c r="B162" s="160"/>
      <c r="C162" s="160"/>
      <c r="D162" s="160"/>
      <c r="E162" s="172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246</v>
      </c>
      <c r="O162" s="44">
        <v>842000</v>
      </c>
    </row>
    <row r="163" spans="1:15" ht="18" customHeight="1">
      <c r="A163" s="161" t="s">
        <v>249</v>
      </c>
      <c r="B163" s="162"/>
      <c r="C163" s="162"/>
      <c r="D163" s="162"/>
      <c r="E163" s="173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250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258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244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9" t="s">
        <v>245</v>
      </c>
      <c r="B176" s="160"/>
      <c r="C176" s="160"/>
      <c r="D176" s="160"/>
      <c r="E176" s="172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246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259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260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9" t="s">
        <v>248</v>
      </c>
      <c r="B189" s="160"/>
      <c r="C189" s="160"/>
      <c r="D189" s="160"/>
      <c r="E189" s="172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246</v>
      </c>
      <c r="O189" s="39">
        <v>1901630</v>
      </c>
    </row>
    <row r="190" spans="1:15" ht="18" customHeight="1">
      <c r="A190" s="161" t="s">
        <v>249</v>
      </c>
      <c r="B190" s="162"/>
      <c r="C190" s="162"/>
      <c r="D190" s="162"/>
      <c r="E190" s="173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250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244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244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261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9" t="s">
        <v>245</v>
      </c>
      <c r="B203" s="160"/>
      <c r="C203" s="160"/>
      <c r="D203" s="160"/>
      <c r="E203" s="172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246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9" t="s">
        <v>248</v>
      </c>
      <c r="B216" s="160"/>
      <c r="C216" s="160"/>
      <c r="D216" s="160"/>
      <c r="E216" s="172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246</v>
      </c>
      <c r="O216" s="45">
        <v>1852295</v>
      </c>
    </row>
    <row r="217" spans="1:15" ht="18" customHeight="1">
      <c r="A217" s="161" t="s">
        <v>249</v>
      </c>
      <c r="B217" s="162"/>
      <c r="C217" s="162"/>
      <c r="D217" s="162"/>
      <c r="E217" s="173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250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174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244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244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210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262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3" t="s">
        <v>245</v>
      </c>
      <c r="B230" s="164"/>
      <c r="C230" s="164"/>
      <c r="D230" s="164"/>
      <c r="E230" s="174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246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210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244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152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244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152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9" t="s">
        <v>248</v>
      </c>
      <c r="B243" s="160"/>
      <c r="C243" s="160"/>
      <c r="D243" s="160"/>
      <c r="E243" s="172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246</v>
      </c>
      <c r="O243" s="39">
        <v>991010</v>
      </c>
    </row>
    <row r="244" spans="1:15" ht="18" customHeight="1">
      <c r="A244" s="161" t="s">
        <v>249</v>
      </c>
      <c r="B244" s="162"/>
      <c r="C244" s="162"/>
      <c r="D244" s="162"/>
      <c r="E244" s="173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250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244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215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244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244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264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244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244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244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244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244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9" t="s">
        <v>245</v>
      </c>
      <c r="B257" s="160"/>
      <c r="C257" s="160"/>
      <c r="D257" s="160"/>
      <c r="E257" s="172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246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265</v>
      </c>
      <c r="E258" s="62" t="s">
        <v>244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265</v>
      </c>
      <c r="E259" s="62" t="s">
        <v>244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141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265</v>
      </c>
      <c r="E260" s="62" t="s">
        <v>244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265</v>
      </c>
      <c r="E261" s="62" t="s">
        <v>244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265</v>
      </c>
      <c r="E262" s="62" t="s">
        <v>244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265</v>
      </c>
      <c r="E263" s="62" t="s">
        <v>244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265</v>
      </c>
      <c r="E264" s="62" t="s">
        <v>244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265</v>
      </c>
      <c r="E265" s="62" t="s">
        <v>244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265</v>
      </c>
      <c r="E266" s="62" t="s">
        <v>244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265</v>
      </c>
      <c r="E267" s="62" t="s">
        <v>244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265</v>
      </c>
      <c r="E268" s="62" t="s">
        <v>244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265</v>
      </c>
      <c r="E269" s="62" t="s">
        <v>244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9" t="s">
        <v>248</v>
      </c>
      <c r="B270" s="160"/>
      <c r="C270" s="160"/>
      <c r="D270" s="160"/>
      <c r="E270" s="172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246</v>
      </c>
      <c r="O270" s="39">
        <v>1544700</v>
      </c>
    </row>
    <row r="271" spans="1:15" ht="18" customHeight="1">
      <c r="A271" s="161" t="s">
        <v>249</v>
      </c>
      <c r="B271" s="162"/>
      <c r="C271" s="162"/>
      <c r="D271" s="162"/>
      <c r="E271" s="173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250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265</v>
      </c>
      <c r="E272" s="59" t="s">
        <v>244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174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265</v>
      </c>
      <c r="E273" s="59" t="s">
        <v>244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141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265</v>
      </c>
      <c r="E274" s="59" t="s">
        <v>244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265</v>
      </c>
      <c r="E275" s="59" t="s">
        <v>244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215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265</v>
      </c>
      <c r="E276" s="59" t="s">
        <v>244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265</v>
      </c>
      <c r="E277" s="59" t="s">
        <v>244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266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265</v>
      </c>
      <c r="E278" s="59" t="s">
        <v>244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265</v>
      </c>
      <c r="E279" s="59" t="s">
        <v>244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265</v>
      </c>
      <c r="E280" s="59" t="s">
        <v>244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265</v>
      </c>
      <c r="E281" s="59" t="s">
        <v>244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265</v>
      </c>
      <c r="E282" s="59" t="s">
        <v>244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265</v>
      </c>
      <c r="E283" s="59" t="s">
        <v>244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9" t="s">
        <v>245</v>
      </c>
      <c r="B284" s="160"/>
      <c r="C284" s="160"/>
      <c r="D284" s="160"/>
      <c r="E284" s="172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246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265</v>
      </c>
      <c r="E285" s="62" t="s">
        <v>260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265</v>
      </c>
      <c r="E286" s="62" t="s">
        <v>260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265</v>
      </c>
      <c r="E287" s="62" t="s">
        <v>260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265</v>
      </c>
      <c r="E288" s="62" t="s">
        <v>260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265</v>
      </c>
      <c r="E289" s="62" t="s">
        <v>260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265</v>
      </c>
      <c r="E290" s="62" t="s">
        <v>260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265</v>
      </c>
      <c r="E291" s="62" t="s">
        <v>260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265</v>
      </c>
      <c r="E292" s="62" t="s">
        <v>260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265</v>
      </c>
      <c r="E293" s="62" t="s">
        <v>260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265</v>
      </c>
      <c r="E294" s="62" t="s">
        <v>260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265</v>
      </c>
      <c r="E295" s="62" t="s">
        <v>260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265</v>
      </c>
      <c r="E296" s="62" t="s">
        <v>260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9" t="s">
        <v>248</v>
      </c>
      <c r="B297" s="160"/>
      <c r="C297" s="160"/>
      <c r="D297" s="160"/>
      <c r="E297" s="172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246</v>
      </c>
      <c r="O297" s="39">
        <v>1715230</v>
      </c>
    </row>
    <row r="298" spans="1:15" ht="18" customHeight="1">
      <c r="A298" s="161" t="s">
        <v>249</v>
      </c>
      <c r="B298" s="162"/>
      <c r="C298" s="162"/>
      <c r="D298" s="162"/>
      <c r="E298" s="173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250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244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232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244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141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244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244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267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244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244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244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244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244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244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244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244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9" t="s">
        <v>245</v>
      </c>
      <c r="B311" s="160"/>
      <c r="C311" s="160"/>
      <c r="D311" s="160"/>
      <c r="E311" s="172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246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244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244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244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244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244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244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244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244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244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244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244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244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9" t="s">
        <v>248</v>
      </c>
      <c r="B324" s="160"/>
      <c r="C324" s="160"/>
      <c r="D324" s="160"/>
      <c r="E324" s="172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246</v>
      </c>
      <c r="O324" s="39">
        <v>2216340</v>
      </c>
    </row>
    <row r="325" spans="1:15" ht="18" customHeight="1">
      <c r="A325" s="161" t="s">
        <v>249</v>
      </c>
      <c r="B325" s="162"/>
      <c r="C325" s="162"/>
      <c r="D325" s="162"/>
      <c r="E325" s="173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250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141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210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268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244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244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244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269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244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244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244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244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9" t="s">
        <v>245</v>
      </c>
      <c r="B338" s="160"/>
      <c r="C338" s="160"/>
      <c r="D338" s="160"/>
      <c r="E338" s="172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246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244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244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244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244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244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244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244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244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244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244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244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244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9" t="s">
        <v>248</v>
      </c>
      <c r="B351" s="160"/>
      <c r="C351" s="160"/>
      <c r="D351" s="160"/>
      <c r="E351" s="172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246</v>
      </c>
      <c r="O351" s="39">
        <v>2154990</v>
      </c>
    </row>
    <row r="352" spans="1:15" ht="18" customHeight="1">
      <c r="A352" s="161" t="s">
        <v>249</v>
      </c>
      <c r="B352" s="162"/>
      <c r="C352" s="162"/>
      <c r="D352" s="162"/>
      <c r="E352" s="173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250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244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244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141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244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244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244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244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260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244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244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244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244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244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9" t="s">
        <v>245</v>
      </c>
      <c r="B365" s="160"/>
      <c r="C365" s="160"/>
      <c r="D365" s="160"/>
      <c r="E365" s="172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246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244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244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244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244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244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244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244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244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244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244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244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244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9" t="s">
        <v>248</v>
      </c>
      <c r="B378" s="160"/>
      <c r="C378" s="160"/>
      <c r="D378" s="160"/>
      <c r="E378" s="172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246</v>
      </c>
      <c r="O378" s="39">
        <v>2614830</v>
      </c>
    </row>
    <row r="379" spans="1:15" ht="18" customHeight="1">
      <c r="A379" s="161" t="s">
        <v>249</v>
      </c>
      <c r="B379" s="162"/>
      <c r="C379" s="162"/>
      <c r="D379" s="162"/>
      <c r="E379" s="173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250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244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244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244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244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244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244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244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244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244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244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244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244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9" t="s">
        <v>245</v>
      </c>
      <c r="B392" s="160"/>
      <c r="C392" s="160"/>
      <c r="D392" s="160"/>
      <c r="E392" s="172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246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244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164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270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244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244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244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244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244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244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244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244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244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244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244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9" t="s">
        <v>248</v>
      </c>
      <c r="B405" s="160"/>
      <c r="C405" s="160"/>
      <c r="D405" s="160"/>
      <c r="E405" s="172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246</v>
      </c>
      <c r="O405" s="39">
        <v>2612000</v>
      </c>
    </row>
    <row r="406" spans="1:15" ht="18" customHeight="1">
      <c r="A406" s="161" t="s">
        <v>249</v>
      </c>
      <c r="B406" s="162"/>
      <c r="C406" s="162"/>
      <c r="D406" s="162"/>
      <c r="E406" s="173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250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244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244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244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244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244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244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244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244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244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244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244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244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9" t="s">
        <v>245</v>
      </c>
      <c r="B419" s="160"/>
      <c r="C419" s="160"/>
      <c r="D419" s="160"/>
      <c r="E419" s="172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246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244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226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244</v>
      </c>
      <c r="F421" s="27">
        <v>40</v>
      </c>
      <c r="G421" s="34">
        <f t="shared" si="88"/>
        <v>200</v>
      </c>
      <c r="H421" s="33" t="s">
        <v>27</v>
      </c>
      <c r="I421" s="33" t="s">
        <v>30</v>
      </c>
      <c r="J421" s="33" t="s">
        <v>141</v>
      </c>
      <c r="K421" s="29">
        <v>8.819444444444445E-2</v>
      </c>
      <c r="L421" s="29">
        <v>9.4444444444444442E-2</v>
      </c>
      <c r="M421" s="35">
        <f t="shared" ca="1" si="89"/>
        <v>6.2499999999999917E-3</v>
      </c>
      <c r="N421" s="46" t="s">
        <v>271</v>
      </c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244</v>
      </c>
      <c r="F422" s="27">
        <v>20</v>
      </c>
      <c r="G422" s="28">
        <f t="shared" si="88"/>
        <v>100</v>
      </c>
      <c r="H422" s="33" t="s">
        <v>27</v>
      </c>
      <c r="I422" s="33" t="s">
        <v>30</v>
      </c>
      <c r="J422" s="33" t="s">
        <v>141</v>
      </c>
      <c r="K422" s="29">
        <v>0.10972222222222222</v>
      </c>
      <c r="L422" s="29">
        <v>0.12152777777777778</v>
      </c>
      <c r="M422" s="30">
        <f t="shared" ca="1" si="89"/>
        <v>1.1805555555555555E-2</v>
      </c>
      <c r="N422" s="46" t="s">
        <v>271</v>
      </c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244</v>
      </c>
      <c r="F423" s="27">
        <v>20</v>
      </c>
      <c r="G423" s="34">
        <f t="shared" si="88"/>
        <v>100</v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244</v>
      </c>
      <c r="F424" s="27">
        <v>30</v>
      </c>
      <c r="G424" s="28">
        <f t="shared" si="88"/>
        <v>150</v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244</v>
      </c>
      <c r="F425" s="27">
        <v>20</v>
      </c>
      <c r="G425" s="34">
        <f t="shared" si="88"/>
        <v>100</v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244</v>
      </c>
      <c r="F426" s="27">
        <v>40</v>
      </c>
      <c r="G426" s="28">
        <f t="shared" si="88"/>
        <v>200</v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244</v>
      </c>
      <c r="F427" s="27">
        <v>20</v>
      </c>
      <c r="G427" s="34">
        <f t="shared" si="88"/>
        <v>100</v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244</v>
      </c>
      <c r="F428" s="27">
        <v>30</v>
      </c>
      <c r="G428" s="28">
        <f t="shared" si="88"/>
        <v>150</v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244</v>
      </c>
      <c r="F429" s="27">
        <v>25</v>
      </c>
      <c r="G429" s="34">
        <f t="shared" si="88"/>
        <v>125</v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244</v>
      </c>
      <c r="F430" s="27">
        <v>40</v>
      </c>
      <c r="G430" s="28">
        <f t="shared" si="88"/>
        <v>200</v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244</v>
      </c>
      <c r="F431" s="27">
        <v>35</v>
      </c>
      <c r="G431" s="34">
        <f t="shared" si="88"/>
        <v>175</v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9" t="s">
        <v>248</v>
      </c>
      <c r="B432" s="160"/>
      <c r="C432" s="160"/>
      <c r="D432" s="160"/>
      <c r="E432" s="172">
        <f>SUM(E420:E431)</f>
        <v>0</v>
      </c>
      <c r="F432" s="36">
        <f>SUM(F420:F431)</f>
        <v>335</v>
      </c>
      <c r="G432" s="36">
        <f>SUM(G420:G431)</f>
        <v>1675</v>
      </c>
      <c r="H432" s="37"/>
      <c r="I432" s="37"/>
      <c r="J432" s="37"/>
      <c r="K432" s="37"/>
      <c r="L432" s="37"/>
      <c r="M432" s="38">
        <f ca="1">IFERROR(SUM(M420:M431),"")</f>
        <v>4.5833333333333337E-2</v>
      </c>
      <c r="N432" s="36" t="s">
        <v>246</v>
      </c>
      <c r="O432" s="39">
        <v>2266710</v>
      </c>
    </row>
    <row r="433" spans="1:15" ht="18" customHeight="1">
      <c r="A433" s="161" t="s">
        <v>249</v>
      </c>
      <c r="B433" s="162"/>
      <c r="C433" s="162"/>
      <c r="D433" s="162"/>
      <c r="E433" s="173">
        <f>E419+E432</f>
        <v>0</v>
      </c>
      <c r="F433" s="40">
        <f>F419+F432</f>
        <v>545</v>
      </c>
      <c r="G433" s="40">
        <f>G419+G432</f>
        <v>2725</v>
      </c>
      <c r="H433" s="41"/>
      <c r="I433" s="41"/>
      <c r="J433" s="41"/>
      <c r="K433" s="41"/>
      <c r="L433" s="41"/>
      <c r="M433" s="42">
        <f ca="1">IFERROR(M419+M432,"")</f>
        <v>0.27847222222222223</v>
      </c>
      <c r="N433" s="40" t="s">
        <v>250</v>
      </c>
      <c r="O433" s="48">
        <f>IFERROR(O419+O432,"")</f>
        <v>3462210</v>
      </c>
    </row>
    <row r="434" spans="1:15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59" t="s">
        <v>244</v>
      </c>
      <c r="F434" s="27">
        <v>11</v>
      </c>
      <c r="G434" s="28">
        <f t="shared" ref="G434:G445" si="91">IF(F434="","",IF(E434="PC 17",F434*4.2,IF(E434="PC 19",F434*5,IF(E434="CB",F434*35,""))))</f>
        <v>55</v>
      </c>
      <c r="H434" s="26" t="s">
        <v>25</v>
      </c>
      <c r="I434" s="26" t="s">
        <v>30</v>
      </c>
      <c r="J434" s="26" t="s">
        <v>164</v>
      </c>
      <c r="K434" s="29">
        <v>0.52638888888888891</v>
      </c>
      <c r="L434" s="29">
        <v>0.54791666666666672</v>
      </c>
      <c r="M434" s="30">
        <f t="shared" ref="M434:M445" ca="1" si="92">IFERROR(IF(K434="","",IF(L434="",MOD(NOW()-K434,1),IF(L434&gt;=K434,L434-K434,L434+1-K434))),"")</f>
        <v>2.1527777777777812E-2</v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 t="s">
        <v>52</v>
      </c>
      <c r="D435" s="59" t="s">
        <v>29</v>
      </c>
      <c r="E435" s="59" t="s">
        <v>244</v>
      </c>
      <c r="F435" s="27">
        <v>8</v>
      </c>
      <c r="G435" s="28">
        <f t="shared" si="91"/>
        <v>40</v>
      </c>
      <c r="H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 t="s">
        <v>52</v>
      </c>
      <c r="D436" s="59" t="s">
        <v>29</v>
      </c>
      <c r="E436" s="59" t="s">
        <v>244</v>
      </c>
      <c r="F436" s="27">
        <v>21</v>
      </c>
      <c r="G436" s="28">
        <f t="shared" si="91"/>
        <v>105</v>
      </c>
      <c r="H436" s="26" t="s">
        <v>26</v>
      </c>
      <c r="I436" s="33" t="s">
        <v>30</v>
      </c>
      <c r="J436" s="26" t="s">
        <v>74</v>
      </c>
      <c r="K436" s="29">
        <v>0.60972222222222228</v>
      </c>
      <c r="L436" s="29">
        <v>0.6791666666666667</v>
      </c>
      <c r="M436" s="30">
        <f t="shared" ca="1" si="92"/>
        <v>6.944444444444442E-2</v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 t="s">
        <v>52</v>
      </c>
      <c r="D437" s="59" t="s">
        <v>29</v>
      </c>
      <c r="E437" s="59" t="s">
        <v>244</v>
      </c>
      <c r="F437" s="27">
        <v>15</v>
      </c>
      <c r="G437" s="34">
        <f t="shared" si="91"/>
        <v>75</v>
      </c>
      <c r="H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 t="s">
        <v>52</v>
      </c>
      <c r="D438" s="59" t="s">
        <v>29</v>
      </c>
      <c r="E438" s="59" t="s">
        <v>244</v>
      </c>
      <c r="F438" s="27">
        <v>15</v>
      </c>
      <c r="G438" s="28">
        <f t="shared" si="91"/>
        <v>75</v>
      </c>
      <c r="H438" s="26" t="s">
        <v>26</v>
      </c>
      <c r="I438" s="26" t="s">
        <v>30</v>
      </c>
      <c r="J438" s="26" t="s">
        <v>120</v>
      </c>
      <c r="K438" s="29">
        <v>0.69861111111111107</v>
      </c>
      <c r="L438" s="29">
        <v>0.73611111111111116</v>
      </c>
      <c r="M438" s="30">
        <f t="shared" ca="1" si="92"/>
        <v>3.7500000000000089E-2</v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 t="s">
        <v>52</v>
      </c>
      <c r="D439" s="59" t="s">
        <v>29</v>
      </c>
      <c r="E439" s="59" t="s">
        <v>244</v>
      </c>
      <c r="F439" s="27">
        <v>32</v>
      </c>
      <c r="G439" s="34">
        <f t="shared" si="91"/>
        <v>160</v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 t="s">
        <v>52</v>
      </c>
      <c r="D440" s="59" t="s">
        <v>29</v>
      </c>
      <c r="E440" s="59" t="s">
        <v>244</v>
      </c>
      <c r="F440" s="27">
        <v>5</v>
      </c>
      <c r="G440" s="28">
        <f t="shared" si="91"/>
        <v>25</v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 t="s">
        <v>52</v>
      </c>
      <c r="D441" s="59" t="s">
        <v>29</v>
      </c>
      <c r="E441" s="59" t="s">
        <v>244</v>
      </c>
      <c r="F441" s="27">
        <v>13</v>
      </c>
      <c r="G441" s="34">
        <f t="shared" si="91"/>
        <v>65</v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 t="s">
        <v>52</v>
      </c>
      <c r="D442" s="59" t="s">
        <v>29</v>
      </c>
      <c r="E442" s="59" t="s">
        <v>244</v>
      </c>
      <c r="F442" s="27">
        <v>0</v>
      </c>
      <c r="G442" s="28">
        <f t="shared" si="91"/>
        <v>0</v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 t="s">
        <v>52</v>
      </c>
      <c r="D443" s="59" t="s">
        <v>29</v>
      </c>
      <c r="E443" s="59" t="s">
        <v>244</v>
      </c>
      <c r="F443" s="27">
        <v>8</v>
      </c>
      <c r="G443" s="34">
        <f t="shared" si="91"/>
        <v>40</v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 t="s">
        <v>52</v>
      </c>
      <c r="D444" s="59" t="s">
        <v>29</v>
      </c>
      <c r="E444" s="59" t="s">
        <v>244</v>
      </c>
      <c r="F444" s="27">
        <v>13</v>
      </c>
      <c r="G444" s="28">
        <f t="shared" si="91"/>
        <v>65</v>
      </c>
      <c r="H444" s="26"/>
      <c r="I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 t="s">
        <v>52</v>
      </c>
      <c r="D445" s="59" t="s">
        <v>29</v>
      </c>
      <c r="E445" s="59" t="s">
        <v>244</v>
      </c>
      <c r="F445" s="27">
        <v>27</v>
      </c>
      <c r="G445" s="34">
        <f t="shared" si="91"/>
        <v>135</v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9" t="s">
        <v>245</v>
      </c>
      <c r="B446" s="160"/>
      <c r="C446" s="160"/>
      <c r="D446" s="160"/>
      <c r="E446" s="172">
        <f>SUM(E434:E445)</f>
        <v>0</v>
      </c>
      <c r="F446" s="36">
        <f>SUM(F434:F445)</f>
        <v>168</v>
      </c>
      <c r="G446" s="81">
        <f>SUM(G434:G445)</f>
        <v>840</v>
      </c>
      <c r="H446" s="37"/>
      <c r="I446" s="37"/>
      <c r="J446" s="37"/>
      <c r="K446" s="37"/>
      <c r="L446" s="37"/>
      <c r="M446" s="38">
        <f ca="1">IFERROR(SUM(M434:M445),"")</f>
        <v>0.12847222222222232</v>
      </c>
      <c r="N446" s="36" t="s">
        <v>246</v>
      </c>
      <c r="O446" s="39">
        <v>1619380</v>
      </c>
    </row>
    <row r="447" spans="1:15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62" t="s">
        <v>244</v>
      </c>
      <c r="F447" s="27">
        <v>50</v>
      </c>
      <c r="G447" s="34">
        <f t="shared" ref="G447:G458" si="94">IF(F447="","",IF(E447="PC 17",F447*4.2,IF(E447="PC 19",F447*5,IF(E447="CB",F447*35,""))))</f>
        <v>250</v>
      </c>
      <c r="H447" s="33" t="s">
        <v>27</v>
      </c>
      <c r="I447" s="33" t="s">
        <v>30</v>
      </c>
      <c r="J447" s="33" t="s">
        <v>141</v>
      </c>
      <c r="K447" s="29">
        <v>0.92013888888888884</v>
      </c>
      <c r="L447" s="29">
        <v>0.95833333333333337</v>
      </c>
      <c r="M447" s="35">
        <f t="shared" ref="M447:M458" ca="1" si="95">IFERROR(IF(K447="","",IF(L447="",MOD(NOW()-K447,1),IF(L447&gt;=K447,L447-K447,L447+1-K447))),"")</f>
        <v>3.8194444444444531E-2</v>
      </c>
      <c r="N447" s="46" t="s">
        <v>272</v>
      </c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 t="s">
        <v>28</v>
      </c>
      <c r="D448" s="62" t="s">
        <v>29</v>
      </c>
      <c r="E448" s="62" t="s">
        <v>244</v>
      </c>
      <c r="F448" s="27">
        <v>60</v>
      </c>
      <c r="G448" s="28">
        <f t="shared" si="94"/>
        <v>300</v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 t="s">
        <v>28</v>
      </c>
      <c r="D449" s="62" t="s">
        <v>29</v>
      </c>
      <c r="E449" s="62" t="s">
        <v>244</v>
      </c>
      <c r="F449" s="27">
        <v>25</v>
      </c>
      <c r="G449" s="34">
        <f t="shared" si="94"/>
        <v>125</v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 t="s">
        <v>28</v>
      </c>
      <c r="D450" s="62" t="s">
        <v>29</v>
      </c>
      <c r="E450" s="62" t="s">
        <v>244</v>
      </c>
      <c r="F450" s="27">
        <v>7</v>
      </c>
      <c r="G450" s="28">
        <f t="shared" si="94"/>
        <v>35</v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 t="s">
        <v>28</v>
      </c>
      <c r="D451" s="62" t="s">
        <v>29</v>
      </c>
      <c r="E451" s="62" t="s">
        <v>244</v>
      </c>
      <c r="F451" s="27"/>
      <c r="G451" s="34" t="str">
        <f>IF(F451="","",IF(E451="PC 17",F451*4.2,IF(E451="PC 19",F451*5,IF(E451="CB",F451*35,""))))</f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 t="s">
        <v>28</v>
      </c>
      <c r="D452" s="62" t="s">
        <v>29</v>
      </c>
      <c r="E452" s="62" t="s">
        <v>244</v>
      </c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 t="s">
        <v>273</v>
      </c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 t="s">
        <v>28</v>
      </c>
      <c r="D453" s="62" t="s">
        <v>29</v>
      </c>
      <c r="E453" s="62" t="s">
        <v>244</v>
      </c>
      <c r="F453" s="27"/>
      <c r="G453" s="151" t="str">
        <f>IF(F453="","",IF(E453="PC 17",F453*4.2,IF(E453="PC 19",F453*5,IF(E453="CB",F453*35,""))))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 t="s">
        <v>274</v>
      </c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 t="s">
        <v>28</v>
      </c>
      <c r="D454" s="62" t="s">
        <v>29</v>
      </c>
      <c r="E454" s="62" t="s">
        <v>244</v>
      </c>
      <c r="F454" s="27"/>
      <c r="G454" s="28" t="str">
        <f>IF(F454="","",IF(E454="PC 17",F454*4.2,IF(E454="PC 19",F454*5,IF(E454="CB",F454*35,""))))</f>
        <v/>
      </c>
      <c r="H454" s="26"/>
      <c r="I454" s="26"/>
      <c r="J454" s="26"/>
      <c r="K454" s="29"/>
      <c r="L454" s="29"/>
      <c r="M454" s="30" t="str">
        <f t="shared" ca="1" si="95"/>
        <v/>
      </c>
      <c r="N454" s="46" t="s">
        <v>275</v>
      </c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 t="s">
        <v>28</v>
      </c>
      <c r="D455" s="62" t="s">
        <v>29</v>
      </c>
      <c r="E455" s="62" t="s">
        <v>244</v>
      </c>
      <c r="F455" s="27"/>
      <c r="G455" s="151" t="s">
        <v>270</v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 t="s">
        <v>28</v>
      </c>
      <c r="D456" s="62" t="s">
        <v>29</v>
      </c>
      <c r="E456" s="62" t="s">
        <v>244</v>
      </c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 t="s">
        <v>28</v>
      </c>
      <c r="D457" s="62" t="s">
        <v>29</v>
      </c>
      <c r="E457" s="62" t="s">
        <v>244</v>
      </c>
      <c r="F457" s="27"/>
      <c r="G457" s="151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 t="s">
        <v>28</v>
      </c>
      <c r="D458" s="62" t="s">
        <v>29</v>
      </c>
      <c r="E458" s="62" t="s">
        <v>244</v>
      </c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9" t="s">
        <v>248</v>
      </c>
      <c r="B459" s="160"/>
      <c r="C459" s="160"/>
      <c r="D459" s="160"/>
      <c r="E459" s="172">
        <f>SUM(E447:E458)</f>
        <v>0</v>
      </c>
      <c r="F459" s="36">
        <f>SUM(F447:F458)</f>
        <v>142</v>
      </c>
      <c r="G459" s="36">
        <f>SUM(G447:G458)</f>
        <v>710</v>
      </c>
      <c r="H459" s="37"/>
      <c r="I459" s="37"/>
      <c r="J459" s="37"/>
      <c r="K459" s="37"/>
      <c r="L459" s="37"/>
      <c r="M459" s="38">
        <f ca="1">IFERROR(SUM(M447:M458),"")</f>
        <v>3.8194444444444531E-2</v>
      </c>
      <c r="N459" s="36" t="s">
        <v>246</v>
      </c>
      <c r="O459" s="39"/>
    </row>
    <row r="460" spans="1:15" ht="18" customHeight="1">
      <c r="A460" s="161" t="s">
        <v>249</v>
      </c>
      <c r="B460" s="162"/>
      <c r="C460" s="162"/>
      <c r="D460" s="162"/>
      <c r="E460" s="173">
        <f>E446+E459</f>
        <v>0</v>
      </c>
      <c r="F460" s="40">
        <f>F446+F459</f>
        <v>310</v>
      </c>
      <c r="G460" s="40">
        <f>G446+G459</f>
        <v>1550</v>
      </c>
      <c r="H460" s="41"/>
      <c r="I460" s="41"/>
      <c r="J460" s="41"/>
      <c r="K460" s="41"/>
      <c r="L460" s="41"/>
      <c r="M460" s="42">
        <f ca="1">IFERROR(M446+M459,"")</f>
        <v>0.16666666666666685</v>
      </c>
      <c r="N460" s="40" t="s">
        <v>250</v>
      </c>
      <c r="O460" s="48">
        <f>IFERROR(O446+O459,"")</f>
        <v>1619380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9" t="s">
        <v>245</v>
      </c>
      <c r="B473" s="160"/>
      <c r="C473" s="160"/>
      <c r="D473" s="160"/>
      <c r="E473" s="17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246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9" t="s">
        <v>248</v>
      </c>
      <c r="B486" s="160"/>
      <c r="C486" s="160"/>
      <c r="D486" s="160"/>
      <c r="E486" s="17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246</v>
      </c>
      <c r="O486" s="39"/>
    </row>
    <row r="487" spans="1:15" ht="18" customHeight="1">
      <c r="A487" s="161" t="s">
        <v>249</v>
      </c>
      <c r="B487" s="162"/>
      <c r="C487" s="162"/>
      <c r="D487" s="162"/>
      <c r="E487" s="17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250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9" t="s">
        <v>245</v>
      </c>
      <c r="B500" s="160"/>
      <c r="C500" s="160"/>
      <c r="D500" s="160"/>
      <c r="E500" s="17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246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9" t="s">
        <v>248</v>
      </c>
      <c r="B513" s="160"/>
      <c r="C513" s="160"/>
      <c r="D513" s="160"/>
      <c r="E513" s="17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246</v>
      </c>
      <c r="O513" s="39"/>
    </row>
    <row r="514" spans="1:15" ht="18" customHeight="1">
      <c r="A514" s="161" t="s">
        <v>249</v>
      </c>
      <c r="B514" s="162"/>
      <c r="C514" s="162"/>
      <c r="D514" s="162"/>
      <c r="E514" s="17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250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9" t="s">
        <v>245</v>
      </c>
      <c r="B527" s="160"/>
      <c r="C527" s="160"/>
      <c r="D527" s="160"/>
      <c r="E527" s="17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246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9" t="s">
        <v>248</v>
      </c>
      <c r="B540" s="160"/>
      <c r="C540" s="160"/>
      <c r="D540" s="160"/>
      <c r="E540" s="17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246</v>
      </c>
      <c r="O540" s="39"/>
    </row>
    <row r="541" spans="1:15" ht="18" customHeight="1">
      <c r="A541" s="161" t="s">
        <v>249</v>
      </c>
      <c r="B541" s="162"/>
      <c r="C541" s="162"/>
      <c r="D541" s="162"/>
      <c r="E541" s="17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250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9" t="s">
        <v>245</v>
      </c>
      <c r="B554" s="160"/>
      <c r="C554" s="160"/>
      <c r="D554" s="160"/>
      <c r="E554" s="17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246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9" t="s">
        <v>248</v>
      </c>
      <c r="B567" s="160"/>
      <c r="C567" s="160"/>
      <c r="D567" s="160"/>
      <c r="E567" s="17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246</v>
      </c>
      <c r="O567" s="39"/>
    </row>
    <row r="568" spans="1:15" ht="18" customHeight="1">
      <c r="A568" s="161" t="s">
        <v>249</v>
      </c>
      <c r="B568" s="162"/>
      <c r="C568" s="162"/>
      <c r="D568" s="162"/>
      <c r="E568" s="17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250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9" t="s">
        <v>245</v>
      </c>
      <c r="B581" s="160"/>
      <c r="C581" s="160"/>
      <c r="D581" s="160"/>
      <c r="E581" s="17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246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9" t="s">
        <v>248</v>
      </c>
      <c r="B594" s="160"/>
      <c r="C594" s="160"/>
      <c r="D594" s="160"/>
      <c r="E594" s="17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246</v>
      </c>
      <c r="O594" s="39"/>
    </row>
    <row r="595" spans="1:15" ht="18" customHeight="1">
      <c r="A595" s="161" t="s">
        <v>249</v>
      </c>
      <c r="B595" s="162"/>
      <c r="C595" s="162"/>
      <c r="D595" s="162"/>
      <c r="E595" s="17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250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9" t="s">
        <v>245</v>
      </c>
      <c r="B608" s="160"/>
      <c r="C608" s="160"/>
      <c r="D608" s="160"/>
      <c r="E608" s="17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246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9" t="s">
        <v>248</v>
      </c>
      <c r="B621" s="160"/>
      <c r="C621" s="160"/>
      <c r="D621" s="160"/>
      <c r="E621" s="17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246</v>
      </c>
      <c r="O621" s="39"/>
    </row>
    <row r="622" spans="1:15" ht="18" customHeight="1">
      <c r="A622" s="161" t="s">
        <v>249</v>
      </c>
      <c r="B622" s="162"/>
      <c r="C622" s="162"/>
      <c r="D622" s="162"/>
      <c r="E622" s="17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250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9" t="s">
        <v>245</v>
      </c>
      <c r="B635" s="160"/>
      <c r="C635" s="160"/>
      <c r="D635" s="160"/>
      <c r="E635" s="17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246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9" t="s">
        <v>248</v>
      </c>
      <c r="B648" s="160"/>
      <c r="C648" s="160"/>
      <c r="D648" s="160"/>
      <c r="E648" s="17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246</v>
      </c>
      <c r="O648" s="39"/>
    </row>
    <row r="649" spans="1:15" ht="18" customHeight="1">
      <c r="A649" s="161" t="s">
        <v>249</v>
      </c>
      <c r="B649" s="162"/>
      <c r="C649" s="162"/>
      <c r="D649" s="162"/>
      <c r="E649" s="17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250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9" t="s">
        <v>245</v>
      </c>
      <c r="B662" s="160"/>
      <c r="C662" s="160"/>
      <c r="D662" s="160"/>
      <c r="E662" s="17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246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9" t="s">
        <v>248</v>
      </c>
      <c r="B675" s="160"/>
      <c r="C675" s="160"/>
      <c r="D675" s="160"/>
      <c r="E675" s="17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246</v>
      </c>
      <c r="O675" s="39"/>
    </row>
    <row r="676" spans="1:15" ht="18" customHeight="1">
      <c r="A676" s="161" t="s">
        <v>249</v>
      </c>
      <c r="B676" s="162"/>
      <c r="C676" s="162"/>
      <c r="D676" s="162"/>
      <c r="E676" s="17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250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9" t="s">
        <v>245</v>
      </c>
      <c r="B689" s="160"/>
      <c r="C689" s="160"/>
      <c r="D689" s="160"/>
      <c r="E689" s="17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246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9" t="s">
        <v>248</v>
      </c>
      <c r="B702" s="160"/>
      <c r="C702" s="160"/>
      <c r="D702" s="160"/>
      <c r="E702" s="17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246</v>
      </c>
      <c r="O702" s="39"/>
    </row>
    <row r="703" spans="1:15" ht="18" customHeight="1">
      <c r="A703" s="161" t="s">
        <v>249</v>
      </c>
      <c r="B703" s="162"/>
      <c r="C703" s="162"/>
      <c r="D703" s="162"/>
      <c r="E703" s="17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250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9" t="s">
        <v>245</v>
      </c>
      <c r="B716" s="160"/>
      <c r="C716" s="160"/>
      <c r="D716" s="160"/>
      <c r="E716" s="17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246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9" t="s">
        <v>248</v>
      </c>
      <c r="B729" s="160"/>
      <c r="C729" s="160"/>
      <c r="D729" s="160"/>
      <c r="E729" s="17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246</v>
      </c>
      <c r="O729" s="39"/>
    </row>
    <row r="730" spans="1:15" ht="18" customHeight="1">
      <c r="A730" s="161" t="s">
        <v>249</v>
      </c>
      <c r="B730" s="162"/>
      <c r="C730" s="162"/>
      <c r="D730" s="162"/>
      <c r="E730" s="17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250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9" t="s">
        <v>245</v>
      </c>
      <c r="B743" s="160"/>
      <c r="C743" s="160"/>
      <c r="D743" s="160"/>
      <c r="E743" s="17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246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9" t="s">
        <v>248</v>
      </c>
      <c r="B756" s="160"/>
      <c r="C756" s="160"/>
      <c r="D756" s="160"/>
      <c r="E756" s="17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246</v>
      </c>
      <c r="O756" s="39"/>
    </row>
    <row r="757" spans="1:15" ht="18" customHeight="1">
      <c r="A757" s="161" t="s">
        <v>249</v>
      </c>
      <c r="B757" s="162"/>
      <c r="C757" s="162"/>
      <c r="D757" s="162"/>
      <c r="E757" s="17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250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9" t="s">
        <v>245</v>
      </c>
      <c r="B770" s="160"/>
      <c r="C770" s="160"/>
      <c r="D770" s="160"/>
      <c r="E770" s="17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246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9" t="s">
        <v>248</v>
      </c>
      <c r="B783" s="160"/>
      <c r="C783" s="160"/>
      <c r="D783" s="160"/>
      <c r="E783" s="17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246</v>
      </c>
      <c r="O783" s="39"/>
    </row>
    <row r="784" spans="1:15" ht="18" customHeight="1">
      <c r="A784" s="161" t="s">
        <v>249</v>
      </c>
      <c r="B784" s="162"/>
      <c r="C784" s="162"/>
      <c r="D784" s="162"/>
      <c r="E784" s="17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250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9" t="s">
        <v>245</v>
      </c>
      <c r="B797" s="160"/>
      <c r="C797" s="160"/>
      <c r="D797" s="160"/>
      <c r="E797" s="17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246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9" t="s">
        <v>248</v>
      </c>
      <c r="B810" s="160"/>
      <c r="C810" s="160"/>
      <c r="D810" s="160"/>
      <c r="E810" s="17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246</v>
      </c>
      <c r="O810" s="39"/>
    </row>
    <row r="811" spans="1:15" ht="18" customHeight="1">
      <c r="A811" s="175" t="s">
        <v>249</v>
      </c>
      <c r="B811" s="176"/>
      <c r="C811" s="176"/>
      <c r="D811" s="176"/>
      <c r="E811" s="177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250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9" t="s">
        <v>245</v>
      </c>
      <c r="B824" s="160"/>
      <c r="C824" s="160"/>
      <c r="D824" s="160"/>
      <c r="E824" s="17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246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9" t="s">
        <v>248</v>
      </c>
      <c r="B837" s="160"/>
      <c r="C837" s="160"/>
      <c r="D837" s="160"/>
      <c r="E837" s="17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246</v>
      </c>
      <c r="O837" s="39"/>
    </row>
    <row r="838" spans="1:15" ht="18" customHeight="1">
      <c r="A838" s="161" t="s">
        <v>249</v>
      </c>
      <c r="B838" s="162"/>
      <c r="C838" s="162"/>
      <c r="D838" s="162"/>
      <c r="E838" s="17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250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7" type="noConversion"/>
  <dataValidations count="3">
    <dataValidation type="list" allowBlank="1" showErrorMessage="1" errorTitle="Valor inválido" error="Selecione PC 17 ou PC 19 da lista." sqref="E15:E26 E2:E13 E29:E229 E231:E310 E312:E381 E383:E838" xr:uid="{235B1AAE-AFA6-43B8-A61B-0FFDC4F16070}">
      <formula1>"PC 17,PC 19,CB"</formula1>
      <formula2>0</formula2>
    </dataValidation>
    <dataValidation type="list" showErrorMessage="1" errorTitle="Atenção" error="Selecione primeiro o Tipo de Parada (col G) e depois escolha a Descrição da lista." sqref="J436:J443 J445:J900 J2:J434" xr:uid="{0933D0F3-29B6-4FE1-A318-97144B32ADD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58A706B0-2D50-4319-828D-077A513225DF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tabSelected="1" zoomScale="80" zoomScaleNormal="80" zoomScaleSheetLayoutView="70" workbookViewId="0">
      <pane ySplit="1" topLeftCell="A427" activePane="bottomLeft" state="frozen"/>
      <selection pane="bottomLeft" activeCell="E450" sqref="E450"/>
      <selection sqref="A1:G40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234</v>
      </c>
      <c r="C1" s="23" t="s">
        <v>17</v>
      </c>
      <c r="D1" s="22" t="s">
        <v>18</v>
      </c>
      <c r="E1" s="22" t="s">
        <v>235</v>
      </c>
      <c r="F1" s="133" t="s">
        <v>19</v>
      </c>
      <c r="G1" s="23" t="s">
        <v>236</v>
      </c>
      <c r="H1" s="133" t="s">
        <v>276</v>
      </c>
      <c r="I1" s="133" t="s">
        <v>20</v>
      </c>
      <c r="J1" s="133" t="s">
        <v>277</v>
      </c>
      <c r="K1" s="23" t="s">
        <v>237</v>
      </c>
      <c r="L1" s="23" t="s">
        <v>21</v>
      </c>
      <c r="M1" s="23" t="s">
        <v>22</v>
      </c>
      <c r="N1" s="23" t="s">
        <v>238</v>
      </c>
      <c r="O1" s="23" t="s">
        <v>239</v>
      </c>
      <c r="P1" s="23" t="s">
        <v>240</v>
      </c>
      <c r="Q1" s="24" t="s">
        <v>241</v>
      </c>
      <c r="R1" s="23" t="s">
        <v>242</v>
      </c>
      <c r="S1" s="23" t="s">
        <v>243</v>
      </c>
      <c r="T1" s="23" t="s">
        <v>277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260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167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278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260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260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260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137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279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260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280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260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138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260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138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260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260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260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260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260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9" t="s">
        <v>245</v>
      </c>
      <c r="B14" s="160"/>
      <c r="C14" s="160"/>
      <c r="D14" s="160"/>
      <c r="E14" s="160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246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260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260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260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142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260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165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260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142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281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260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282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260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260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260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260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260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260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9" t="s">
        <v>248</v>
      </c>
      <c r="B27" s="160"/>
      <c r="C27" s="160"/>
      <c r="D27" s="160"/>
      <c r="E27" s="160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246</v>
      </c>
      <c r="S27" s="45">
        <v>549860</v>
      </c>
      <c r="T27" s="122"/>
    </row>
    <row r="28" spans="1:20" ht="18" customHeight="1">
      <c r="A28" s="161" t="s">
        <v>249</v>
      </c>
      <c r="B28" s="162"/>
      <c r="C28" s="162"/>
      <c r="D28" s="162"/>
      <c r="E28" s="162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250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260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165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260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260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260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260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260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260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260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260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260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260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260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9" t="s">
        <v>245</v>
      </c>
      <c r="B41" s="160"/>
      <c r="C41" s="160"/>
      <c r="D41" s="160"/>
      <c r="E41" s="160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246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260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260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260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260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167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260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260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167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260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283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260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284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260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260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260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137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285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260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137</v>
      </c>
      <c r="O53" s="29">
        <v>0.12152777777777778</v>
      </c>
      <c r="P53" s="29"/>
      <c r="Q53" s="30">
        <f t="shared" ca="1" si="11"/>
        <v>0.83746585647895699</v>
      </c>
      <c r="R53" s="46" t="s">
        <v>286</v>
      </c>
      <c r="S53" s="31"/>
    </row>
    <row r="54" spans="1:20" ht="15.75" customHeight="1" thickBot="1">
      <c r="A54" s="159" t="s">
        <v>248</v>
      </c>
      <c r="B54" s="160"/>
      <c r="C54" s="160"/>
      <c r="D54" s="160"/>
      <c r="E54" s="160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0.97635474536784583</v>
      </c>
      <c r="R54" s="36" t="s">
        <v>246</v>
      </c>
      <c r="S54" s="75">
        <v>352430</v>
      </c>
      <c r="T54" s="117"/>
    </row>
    <row r="55" spans="1:20" ht="18" customHeight="1">
      <c r="A55" s="161" t="s">
        <v>249</v>
      </c>
      <c r="B55" s="162"/>
      <c r="C55" s="162"/>
      <c r="D55" s="162"/>
      <c r="E55" s="162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1.0610769675900682</v>
      </c>
      <c r="R55" s="40" t="s">
        <v>250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260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260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130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260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130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260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130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260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130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260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130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260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130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260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278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260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260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260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260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9" t="s">
        <v>245</v>
      </c>
      <c r="B68" s="160"/>
      <c r="C68" s="160"/>
      <c r="D68" s="160"/>
      <c r="E68" s="160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246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260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156</v>
      </c>
      <c r="N69" s="26" t="s">
        <v>193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260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142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260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165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260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260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260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165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260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260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208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287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260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260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260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260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9" t="s">
        <v>248</v>
      </c>
      <c r="B81" s="160"/>
      <c r="C81" s="160"/>
      <c r="D81" s="160"/>
      <c r="E81" s="160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246</v>
      </c>
      <c r="S81" s="54">
        <v>634210</v>
      </c>
      <c r="T81" s="118"/>
    </row>
    <row r="82" spans="1:20" ht="18" customHeight="1">
      <c r="A82" s="161" t="s">
        <v>249</v>
      </c>
      <c r="B82" s="162"/>
      <c r="C82" s="162"/>
      <c r="D82" s="162"/>
      <c r="E82" s="162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250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260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145</v>
      </c>
      <c r="N83" s="33" t="s">
        <v>219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260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260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260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260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145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260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260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260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260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260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260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260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9" t="s">
        <v>245</v>
      </c>
      <c r="B95" s="160"/>
      <c r="C95" s="160"/>
      <c r="D95" s="160"/>
      <c r="E95" s="160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246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260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148</v>
      </c>
      <c r="N96" s="26" t="s">
        <v>125</v>
      </c>
      <c r="O96" s="29">
        <v>0.79166666666666663</v>
      </c>
      <c r="P96" s="29" t="s">
        <v>288</v>
      </c>
      <c r="Q96" s="30" t="str">
        <f t="shared" ref="Q96:Q107" ca="1" si="22">IFERROR(IF(O96="","",IF(P96="",MOD(NOW()-O96,1),IF(P96&gt;=O96,P96-O96,P96+1-O96))),"")</f>
        <v/>
      </c>
      <c r="R96" s="46" t="s">
        <v>289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260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247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260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290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260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191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291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260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247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260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260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260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260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260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260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260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9" t="s">
        <v>248</v>
      </c>
      <c r="B108" s="160"/>
      <c r="C108" s="160"/>
      <c r="D108" s="160"/>
      <c r="E108" s="160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246</v>
      </c>
      <c r="S108" s="54">
        <v>456830</v>
      </c>
      <c r="T108" s="118"/>
    </row>
    <row r="109" spans="1:20" ht="18" customHeight="1">
      <c r="A109" s="161" t="s">
        <v>249</v>
      </c>
      <c r="B109" s="162"/>
      <c r="C109" s="162"/>
      <c r="D109" s="162"/>
      <c r="E109" s="162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250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260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164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260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292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260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164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260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260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260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260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260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260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260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260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260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9" t="s">
        <v>245</v>
      </c>
      <c r="B122" s="160"/>
      <c r="C122" s="160"/>
      <c r="D122" s="160"/>
      <c r="E122" s="160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246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260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167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260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164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260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142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260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142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260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130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260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260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260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260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260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260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260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9" t="s">
        <v>248</v>
      </c>
      <c r="B135" s="160"/>
      <c r="C135" s="160"/>
      <c r="D135" s="160"/>
      <c r="E135" s="160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246</v>
      </c>
      <c r="S135" s="54">
        <v>756720</v>
      </c>
      <c r="T135" s="118"/>
    </row>
    <row r="136" spans="1:20" ht="18" customHeight="1">
      <c r="A136" s="161" t="s">
        <v>249</v>
      </c>
      <c r="B136" s="162"/>
      <c r="C136" s="162"/>
      <c r="D136" s="162"/>
      <c r="E136" s="162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250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260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260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260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293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260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260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294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260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260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260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167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260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295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260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260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260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9" t="s">
        <v>245</v>
      </c>
      <c r="B149" s="160"/>
      <c r="C149" s="160"/>
      <c r="D149" s="160"/>
      <c r="E149" s="160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246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260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260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296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260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260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260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260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260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260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260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260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260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260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9" t="s">
        <v>248</v>
      </c>
      <c r="B162" s="160"/>
      <c r="C162" s="160"/>
      <c r="D162" s="160"/>
      <c r="E162" s="160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246</v>
      </c>
      <c r="S162" s="54">
        <v>501750</v>
      </c>
      <c r="T162" s="118"/>
    </row>
    <row r="163" spans="1:20" ht="18" customHeight="1">
      <c r="A163" s="161" t="s">
        <v>249</v>
      </c>
      <c r="B163" s="162"/>
      <c r="C163" s="162"/>
      <c r="D163" s="162"/>
      <c r="E163" s="162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250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260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260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260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260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165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260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165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260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260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260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260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260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260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260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9" t="s">
        <v>245</v>
      </c>
      <c r="B176" s="160"/>
      <c r="C176" s="160"/>
      <c r="D176" s="160"/>
      <c r="E176" s="160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246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260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260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260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130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260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156</v>
      </c>
      <c r="N180" s="26" t="s">
        <v>141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260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297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260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294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260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298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260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260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260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260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260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9" t="s">
        <v>248</v>
      </c>
      <c r="B189" s="160"/>
      <c r="C189" s="160"/>
      <c r="D189" s="160"/>
      <c r="E189" s="160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246</v>
      </c>
      <c r="S189" s="45">
        <v>362530</v>
      </c>
      <c r="T189" s="122"/>
    </row>
    <row r="190" spans="1:20" ht="18" customHeight="1">
      <c r="A190" s="161" t="s">
        <v>249</v>
      </c>
      <c r="B190" s="162"/>
      <c r="C190" s="162"/>
      <c r="D190" s="162"/>
      <c r="E190" s="162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250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260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299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260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156</v>
      </c>
      <c r="N192" s="26" t="s">
        <v>190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260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156</v>
      </c>
      <c r="N193" s="26" t="s">
        <v>190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260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260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292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260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174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260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130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260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130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260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260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260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260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9" t="s">
        <v>245</v>
      </c>
      <c r="B203" s="160"/>
      <c r="C203" s="160"/>
      <c r="D203" s="160"/>
      <c r="E203" s="160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246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260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260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167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260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167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260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260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260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260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260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260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260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260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260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9" t="s">
        <v>248</v>
      </c>
      <c r="B216" s="160"/>
      <c r="C216" s="160"/>
      <c r="D216" s="160"/>
      <c r="E216" s="160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246</v>
      </c>
      <c r="S216" s="45">
        <v>609740</v>
      </c>
      <c r="T216" s="122"/>
    </row>
    <row r="217" spans="1:20" ht="18" customHeight="1">
      <c r="A217" s="161" t="s">
        <v>249</v>
      </c>
      <c r="B217" s="162"/>
      <c r="C217" s="162"/>
      <c r="D217" s="162"/>
      <c r="E217" s="162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250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260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179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287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260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260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247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260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300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244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260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142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301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260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142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302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260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260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260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260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260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3" t="s">
        <v>245</v>
      </c>
      <c r="B230" s="164"/>
      <c r="C230" s="164"/>
      <c r="D230" s="164"/>
      <c r="E230" s="164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246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260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247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244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167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260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244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167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244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244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244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244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244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244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244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244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9" t="s">
        <v>248</v>
      </c>
      <c r="B243" s="160"/>
      <c r="C243" s="160"/>
      <c r="D243" s="160"/>
      <c r="E243" s="160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246</v>
      </c>
      <c r="S243" s="45">
        <v>825930</v>
      </c>
      <c r="T243" s="122"/>
    </row>
    <row r="244" spans="1:20" ht="18" customHeight="1">
      <c r="A244" s="161" t="s">
        <v>249</v>
      </c>
      <c r="B244" s="162"/>
      <c r="C244" s="162"/>
      <c r="D244" s="162"/>
      <c r="E244" s="162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250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244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174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244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244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244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260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260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260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260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260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260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260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260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9" t="s">
        <v>245</v>
      </c>
      <c r="B257" s="160"/>
      <c r="C257" s="160"/>
      <c r="D257" s="160"/>
      <c r="E257" s="160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246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260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260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260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260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260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260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260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260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260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260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260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260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9" t="s">
        <v>248</v>
      </c>
      <c r="B270" s="160"/>
      <c r="C270" s="160"/>
      <c r="D270" s="160"/>
      <c r="E270" s="160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246</v>
      </c>
      <c r="S270" s="45">
        <v>732130</v>
      </c>
      <c r="T270" s="122"/>
    </row>
    <row r="271" spans="1:20" ht="18" customHeight="1">
      <c r="A271" s="161" t="s">
        <v>249</v>
      </c>
      <c r="B271" s="162"/>
      <c r="C271" s="162"/>
      <c r="D271" s="162"/>
      <c r="E271" s="162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250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260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260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260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260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260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260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260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260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260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260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244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260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9" t="s">
        <v>245</v>
      </c>
      <c r="B284" s="160"/>
      <c r="C284" s="160"/>
      <c r="D284" s="160"/>
      <c r="E284" s="160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246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244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244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260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260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244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244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244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244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244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244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244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244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9" t="s">
        <v>248</v>
      </c>
      <c r="B297" s="160"/>
      <c r="C297" s="160"/>
      <c r="D297" s="160"/>
      <c r="E297" s="160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246</v>
      </c>
      <c r="S297" s="45">
        <v>990260</v>
      </c>
      <c r="T297" s="122"/>
    </row>
    <row r="298" spans="1:20" ht="18" customHeight="1">
      <c r="A298" s="161" t="s">
        <v>249</v>
      </c>
      <c r="B298" s="162"/>
      <c r="C298" s="162"/>
      <c r="D298" s="162"/>
      <c r="E298" s="162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250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260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142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260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260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260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260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260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260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260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260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260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260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260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9" t="s">
        <v>245</v>
      </c>
      <c r="B311" s="160"/>
      <c r="C311" s="160"/>
      <c r="D311" s="160"/>
      <c r="E311" s="160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246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260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167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260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260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164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260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260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167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260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145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260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260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260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142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260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260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260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9" t="s">
        <v>248</v>
      </c>
      <c r="B324" s="160"/>
      <c r="C324" s="160"/>
      <c r="D324" s="160"/>
      <c r="E324" s="160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246</v>
      </c>
      <c r="S324" s="149">
        <v>725030</v>
      </c>
      <c r="T324" s="122">
        <f>IFERROR(J324,"")</f>
        <v>104.40432</v>
      </c>
    </row>
    <row r="325" spans="1:20" ht="18" customHeight="1">
      <c r="A325" s="161" t="s">
        <v>249</v>
      </c>
      <c r="B325" s="162"/>
      <c r="C325" s="162"/>
      <c r="D325" s="162"/>
      <c r="E325" s="162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250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244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137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303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244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244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145</v>
      </c>
      <c r="N328" s="26" t="s">
        <v>137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304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244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145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305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244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133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244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145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306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260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179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307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260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260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260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260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260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9" t="s">
        <v>245</v>
      </c>
      <c r="B338" s="160"/>
      <c r="C338" s="160"/>
      <c r="D338" s="160"/>
      <c r="E338" s="160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246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260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260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260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299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260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174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260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204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294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260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164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260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164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260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142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260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142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260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260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260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9" t="s">
        <v>248</v>
      </c>
      <c r="B351" s="160"/>
      <c r="C351" s="160"/>
      <c r="D351" s="160"/>
      <c r="E351" s="160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246</v>
      </c>
      <c r="S351" s="45">
        <v>712170</v>
      </c>
      <c r="T351" s="122">
        <f>IFERROR(J351,"")</f>
        <v>149.5557</v>
      </c>
    </row>
    <row r="352" spans="1:20" ht="18" customHeight="1">
      <c r="A352" s="161" t="s">
        <v>249</v>
      </c>
      <c r="B352" s="162"/>
      <c r="C352" s="162"/>
      <c r="D352" s="162"/>
      <c r="E352" s="162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250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260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287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260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260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260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260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167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260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260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260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260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260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260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260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9" t="s">
        <v>245</v>
      </c>
      <c r="B365" s="160"/>
      <c r="C365" s="160"/>
      <c r="D365" s="160"/>
      <c r="E365" s="160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246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260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260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145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308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260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167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260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260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167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260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260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260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260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260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260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260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9" t="s">
        <v>248</v>
      </c>
      <c r="B378" s="160"/>
      <c r="C378" s="160"/>
      <c r="D378" s="160"/>
      <c r="E378" s="160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246</v>
      </c>
      <c r="S378" s="45">
        <v>806300</v>
      </c>
      <c r="T378" s="122">
        <f>IFERROR(J378,"")</f>
        <v>169.32299999999998</v>
      </c>
    </row>
    <row r="379" spans="1:20" ht="18" customHeight="1">
      <c r="A379" s="161" t="s">
        <v>249</v>
      </c>
      <c r="B379" s="162"/>
      <c r="C379" s="162"/>
      <c r="D379" s="162"/>
      <c r="E379" s="162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250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260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260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260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260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167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260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260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150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309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260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260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260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260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260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260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9" t="s">
        <v>245</v>
      </c>
      <c r="B392" s="160"/>
      <c r="C392" s="160"/>
      <c r="D392" s="160"/>
      <c r="E392" s="160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246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260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164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260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167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260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260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167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310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260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260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165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260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175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260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165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260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260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260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260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9" t="s">
        <v>248</v>
      </c>
      <c r="B405" s="160"/>
      <c r="C405" s="160"/>
      <c r="D405" s="160"/>
      <c r="E405" s="160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246</v>
      </c>
      <c r="S405" s="45">
        <v>774540</v>
      </c>
      <c r="T405" s="122">
        <f>IFERROR(J405,"")</f>
        <v>156.22852721311477</v>
      </c>
    </row>
    <row r="406" spans="1:20" ht="18" customHeight="1">
      <c r="A406" s="161" t="s">
        <v>249</v>
      </c>
      <c r="B406" s="162"/>
      <c r="C406" s="162"/>
      <c r="D406" s="162"/>
      <c r="E406" s="162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250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260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260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260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260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260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260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260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260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260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260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260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260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9" t="s">
        <v>245</v>
      </c>
      <c r="B419" s="160"/>
      <c r="C419" s="160"/>
      <c r="D419" s="160"/>
      <c r="E419" s="160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246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260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98.023859649122812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14.115435789473684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>
        <v>0.89722222222222225</v>
      </c>
      <c r="Q420" s="30">
        <f t="shared" ref="Q420:Q431" ca="1" si="104">IFERROR(IF(O420="","",IF(P420="",MOD(NOW()-O420,1),IF(P420&gt;=O420,P420-O420,P420+1-O420))),"")</f>
        <v>2.430555555555558E-2</v>
      </c>
      <c r="R420" s="46" t="s">
        <v>311</v>
      </c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260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53.096257309941521</v>
      </c>
      <c r="I421" s="135">
        <f>IFERROR(IF($D421="","",VLOOKUP($D421,Cadastro!$C$4:$G$7,5,FALSE)),"")</f>
        <v>0.6</v>
      </c>
      <c r="J421" s="136">
        <f t="shared" si="102"/>
        <v>7.6458610526315782</v>
      </c>
      <c r="K421" s="34">
        <f t="shared" si="103"/>
        <v>54.6</v>
      </c>
      <c r="L421" s="33" t="s">
        <v>25</v>
      </c>
      <c r="M421" s="33" t="s">
        <v>46</v>
      </c>
      <c r="N421" s="33" t="s">
        <v>164</v>
      </c>
      <c r="O421" s="29">
        <v>0.91666666666666663</v>
      </c>
      <c r="P421" s="29">
        <v>0.93402777777777779</v>
      </c>
      <c r="Q421" s="35">
        <f t="shared" ca="1" si="104"/>
        <v>1.736111111111116E-2</v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260</v>
      </c>
      <c r="F422" s="134">
        <f>IFERROR(IF($D422="","",VLOOKUP($D422,Cadastro!$C$4:$E$7,3,FALSE)),"")</f>
        <v>0.24</v>
      </c>
      <c r="G422" s="105">
        <v>11</v>
      </c>
      <c r="H422" s="134">
        <f>IFERROR(IF($G422="","",$G422*$S$432/$G$432/Cadastro!$E$33),"")</f>
        <v>44.927602339181284</v>
      </c>
      <c r="I422" s="135">
        <f>IFERROR(IF($D422="","",VLOOKUP($D422,Cadastro!$C$4:$G$7,5,FALSE)),"")</f>
        <v>0.6</v>
      </c>
      <c r="J422" s="136">
        <f t="shared" si="102"/>
        <v>6.4695747368421044</v>
      </c>
      <c r="K422" s="28">
        <f t="shared" si="103"/>
        <v>46.2</v>
      </c>
      <c r="L422" s="26" t="s">
        <v>27</v>
      </c>
      <c r="M422" s="26" t="s">
        <v>165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4"/>
        <v>1.0416666666666741E-2</v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260</v>
      </c>
      <c r="F423" s="134">
        <f>IFERROR(IF($D423="","",VLOOKUP($D423,Cadastro!$C$4:$E$7,3,FALSE)),"")</f>
        <v>0.24</v>
      </c>
      <c r="G423" s="105">
        <v>12</v>
      </c>
      <c r="H423" s="134">
        <f>IFERROR(IF($G423="","",$G423*$S$432/$G$432/Cadastro!$E$33),"")</f>
        <v>49.011929824561406</v>
      </c>
      <c r="I423" s="135">
        <f>IFERROR(IF($D423="","",VLOOKUP($D423,Cadastro!$C$4:$G$7,5,FALSE)),"")</f>
        <v>0.6</v>
      </c>
      <c r="J423" s="136">
        <f t="shared" si="102"/>
        <v>7.0577178947368422</v>
      </c>
      <c r="K423" s="34">
        <f t="shared" si="103"/>
        <v>50.400000000000006</v>
      </c>
      <c r="L423" s="33" t="s">
        <v>27</v>
      </c>
      <c r="M423" s="33" t="s">
        <v>46</v>
      </c>
      <c r="N423" s="33" t="s">
        <v>43</v>
      </c>
      <c r="O423" s="29">
        <v>2.9166666666666667E-2</v>
      </c>
      <c r="P423" s="29">
        <v>3.2638888888888891E-2</v>
      </c>
      <c r="Q423" s="35">
        <f t="shared" ca="1" si="104"/>
        <v>3.4722222222222238E-3</v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260</v>
      </c>
      <c r="F424" s="134">
        <f>IFERROR(IF($D424="","",VLOOKUP($D424,Cadastro!$C$4:$E$7,3,FALSE)),"")</f>
        <v>0.24</v>
      </c>
      <c r="G424" s="105">
        <v>21</v>
      </c>
      <c r="H424" s="134">
        <f>IFERROR(IF($G424="","",$G424*$S$432/$G$432/Cadastro!$E$33),"")</f>
        <v>85.770877192982454</v>
      </c>
      <c r="I424" s="135">
        <f>IFERROR(IF($D424="","",VLOOKUP($D424,Cadastro!$C$4:$G$7,5,FALSE)),"")</f>
        <v>0.6</v>
      </c>
      <c r="J424" s="136">
        <f t="shared" si="102"/>
        <v>12.351006315789473</v>
      </c>
      <c r="K424" s="28">
        <f t="shared" si="103"/>
        <v>88.2</v>
      </c>
      <c r="L424" s="26" t="s">
        <v>27</v>
      </c>
      <c r="M424" s="26" t="s">
        <v>46</v>
      </c>
      <c r="N424" s="26" t="s">
        <v>43</v>
      </c>
      <c r="O424" s="29">
        <v>6.0416666666666667E-2</v>
      </c>
      <c r="P424" s="29">
        <v>6.3194444444444442E-2</v>
      </c>
      <c r="Q424" s="30">
        <f t="shared" ca="1" si="104"/>
        <v>2.7777777777777748E-3</v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260</v>
      </c>
      <c r="F425" s="134">
        <f>IFERROR(IF($D425="","",VLOOKUP($D425,Cadastro!$C$4:$E$7,3,FALSE)),"")</f>
        <v>0.24</v>
      </c>
      <c r="G425" s="105">
        <v>12</v>
      </c>
      <c r="H425" s="134">
        <f>IFERROR(IF($G425="","",$G425*$S$432/$G$432/Cadastro!$E$33),"")</f>
        <v>49.011929824561406</v>
      </c>
      <c r="I425" s="135">
        <f>IFERROR(IF($D425="","",VLOOKUP($D425,Cadastro!$C$4:$G$7,5,FALSE)),"")</f>
        <v>0.6</v>
      </c>
      <c r="J425" s="136">
        <f t="shared" si="102"/>
        <v>7.0577178947368422</v>
      </c>
      <c r="K425" s="34">
        <f t="shared" si="103"/>
        <v>50.400000000000006</v>
      </c>
      <c r="L425" s="33" t="s">
        <v>27</v>
      </c>
      <c r="M425" s="33" t="s">
        <v>46</v>
      </c>
      <c r="N425" s="33" t="s">
        <v>43</v>
      </c>
      <c r="O425" s="29">
        <v>7.3611111111111113E-2</v>
      </c>
      <c r="P425" s="29">
        <v>7.5694444444444439E-2</v>
      </c>
      <c r="Q425" s="35">
        <f t="shared" ca="1" si="104"/>
        <v>2.0833333333333259E-3</v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260</v>
      </c>
      <c r="F426" s="134">
        <f>IFERROR(IF($D426="","",VLOOKUP($D426,Cadastro!$C$4:$E$7,3,FALSE)),"")</f>
        <v>0.24</v>
      </c>
      <c r="G426" s="105">
        <v>17</v>
      </c>
      <c r="H426" s="134">
        <f>IFERROR(IF($G426="","",$G426*$S$432/$G$432/Cadastro!$E$33),"")</f>
        <v>69.433567251461994</v>
      </c>
      <c r="I426" s="135">
        <f>IFERROR(IF($D426="","",VLOOKUP($D426,Cadastro!$C$4:$G$7,5,FALSE)),"")</f>
        <v>0.6</v>
      </c>
      <c r="J426" s="136">
        <f t="shared" si="102"/>
        <v>9.9984336842105268</v>
      </c>
      <c r="K426" s="28">
        <f t="shared" si="103"/>
        <v>71.400000000000006</v>
      </c>
      <c r="L426" s="26" t="s">
        <v>26</v>
      </c>
      <c r="M426" s="26" t="s">
        <v>167</v>
      </c>
      <c r="N426" s="26" t="s">
        <v>34</v>
      </c>
      <c r="O426" s="29">
        <v>0.16180555555555556</v>
      </c>
      <c r="P426" s="29">
        <v>0.18055555555555555</v>
      </c>
      <c r="Q426" s="30">
        <f t="shared" ca="1" si="104"/>
        <v>1.8749999999999989E-2</v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260</v>
      </c>
      <c r="F427" s="134">
        <f>IFERROR(IF($D427="","",VLOOKUP($D427,Cadastro!$C$4:$E$7,3,FALSE)),"")</f>
        <v>0.24</v>
      </c>
      <c r="G427" s="105">
        <v>16</v>
      </c>
      <c r="H427" s="134">
        <f>IFERROR(IF($G427="","",$G427*$S$432/$G$432/Cadastro!$E$33),"")</f>
        <v>65.349239766081865</v>
      </c>
      <c r="I427" s="135">
        <f>IFERROR(IF($D427="","",VLOOKUP($D427,Cadastro!$C$4:$G$7,5,FALSE)),"")</f>
        <v>0.6</v>
      </c>
      <c r="J427" s="136">
        <f t="shared" si="102"/>
        <v>9.4102905263157872</v>
      </c>
      <c r="K427" s="34">
        <f t="shared" si="103"/>
        <v>67.2</v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260</v>
      </c>
      <c r="F428" s="134">
        <f>IFERROR(IF($D428="","",VLOOKUP($D428,Cadastro!$C$4:$E$7,3,FALSE)),"")</f>
        <v>0.24</v>
      </c>
      <c r="G428" s="105">
        <v>4</v>
      </c>
      <c r="H428" s="134">
        <f>IFERROR(IF($G428="","",$G428*$S$432/$G$432/Cadastro!$E$33),"")</f>
        <v>16.337309941520466</v>
      </c>
      <c r="I428" s="135">
        <f>IFERROR(IF($D428="","",VLOOKUP($D428,Cadastro!$C$4:$G$7,5,FALSE)),"")</f>
        <v>0.6</v>
      </c>
      <c r="J428" s="136">
        <f t="shared" si="102"/>
        <v>2.3525726315789468</v>
      </c>
      <c r="K428" s="28">
        <f t="shared" si="103"/>
        <v>16.8</v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260</v>
      </c>
      <c r="F429" s="134">
        <f>IFERROR(IF($D429="","",VLOOKUP($D429,Cadastro!$C$4:$E$7,3,FALSE)),"")</f>
        <v>0.24</v>
      </c>
      <c r="G429" s="105">
        <v>13</v>
      </c>
      <c r="H429" s="134">
        <f>IFERROR(IF($G429="","",$G429*$S$432/$G$432/Cadastro!$E$33),"")</f>
        <v>53.096257309941521</v>
      </c>
      <c r="I429" s="135">
        <f>IFERROR(IF($D429="","",VLOOKUP($D429,Cadastro!$C$4:$G$7,5,FALSE)),"")</f>
        <v>0.6</v>
      </c>
      <c r="J429" s="136">
        <f t="shared" si="102"/>
        <v>7.6458610526315782</v>
      </c>
      <c r="K429" s="34">
        <f t="shared" si="103"/>
        <v>54.6</v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260</v>
      </c>
      <c r="F430" s="134">
        <f>IFERROR(IF($D430="","",VLOOKUP($D430,Cadastro!$C$4:$E$7,3,FALSE)),"")</f>
        <v>0.24</v>
      </c>
      <c r="G430" s="105">
        <v>20</v>
      </c>
      <c r="H430" s="134">
        <f>IFERROR(IF($G430="","",$G430*$S$432/$G$432/Cadastro!$E$33),"")</f>
        <v>81.686549707602339</v>
      </c>
      <c r="I430" s="135">
        <f>IFERROR(IF($D430="","",VLOOKUP($D430,Cadastro!$C$4:$G$7,5,FALSE)),"")</f>
        <v>0.6</v>
      </c>
      <c r="J430" s="136">
        <f t="shared" si="102"/>
        <v>11.762863157894737</v>
      </c>
      <c r="K430" s="28">
        <f t="shared" si="103"/>
        <v>84</v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260</v>
      </c>
      <c r="F431" s="137">
        <f>IFERROR(IF($D431="","",VLOOKUP($D431,Cadastro!$C$4:$E$7,3,FALSE)),"")</f>
        <v>0.24</v>
      </c>
      <c r="G431" s="105">
        <v>8</v>
      </c>
      <c r="H431" s="137">
        <f>IFERROR(IF($G431="","",$G431*$S$432/$G$432/Cadastro!$E$33),"")</f>
        <v>32.674619883040933</v>
      </c>
      <c r="I431" s="138">
        <f>IFERROR(IF($D431="","",VLOOKUP($D431,Cadastro!$C$4:$G$7,5,FALSE)),"")</f>
        <v>0.6</v>
      </c>
      <c r="J431" s="139">
        <f t="shared" si="102"/>
        <v>4.7051452631578936</v>
      </c>
      <c r="K431" s="34">
        <f t="shared" si="103"/>
        <v>33.6</v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248</v>
      </c>
      <c r="B432" s="79"/>
      <c r="C432" s="79"/>
      <c r="D432" s="79"/>
      <c r="E432" s="79"/>
      <c r="F432" s="111"/>
      <c r="G432" s="80">
        <f>SUM(G420:G431)</f>
        <v>171</v>
      </c>
      <c r="H432" s="111">
        <f>IFERROR(SUM(H420:H431),"")</f>
        <v>698.42000000000007</v>
      </c>
      <c r="I432" s="115"/>
      <c r="J432" s="124">
        <f>IFERROR(SUM(J420:J431),"")</f>
        <v>100.57248</v>
      </c>
      <c r="K432" s="36">
        <f>SUM(K420:K431)</f>
        <v>718.2</v>
      </c>
      <c r="L432" s="37"/>
      <c r="M432" s="37"/>
      <c r="N432" s="37"/>
      <c r="O432" s="37"/>
      <c r="P432" s="37"/>
      <c r="Q432" s="38">
        <f ca="1">IFERROR(SUM(Q420:Q431),"")</f>
        <v>7.9166666666666802E-2</v>
      </c>
      <c r="R432" s="36" t="s">
        <v>246</v>
      </c>
      <c r="S432" s="45">
        <v>698420</v>
      </c>
      <c r="T432" s="122">
        <f>IFERROR(J432,"")</f>
        <v>100.57248</v>
      </c>
    </row>
    <row r="433" spans="1:20" ht="18" customHeight="1">
      <c r="A433" s="83" t="s">
        <v>249</v>
      </c>
      <c r="B433" s="82"/>
      <c r="C433" s="82"/>
      <c r="D433" s="82"/>
      <c r="E433" s="82"/>
      <c r="F433" s="112"/>
      <c r="G433" s="91">
        <f>G419+G432</f>
        <v>318</v>
      </c>
      <c r="H433" s="112">
        <f>IFERROR(H419+H432,"")</f>
        <v>1289.25</v>
      </c>
      <c r="I433" s="116"/>
      <c r="J433" s="125">
        <f>IFERROR(J419+J432,"")</f>
        <v>185.65199999999999</v>
      </c>
      <c r="K433" s="40">
        <f>K419+K432</f>
        <v>1335.6000000000001</v>
      </c>
      <c r="L433" s="41"/>
      <c r="M433" s="41"/>
      <c r="N433" s="41"/>
      <c r="O433" s="41"/>
      <c r="P433" s="41"/>
      <c r="Q433" s="42">
        <f ca="1">IFERROR(Q419+Q432,"")</f>
        <v>0.17013888888888903</v>
      </c>
      <c r="R433" s="40" t="s">
        <v>250</v>
      </c>
      <c r="S433" s="143">
        <f>IFERROR(S419+S432,"")</f>
        <v>1289250</v>
      </c>
      <c r="T433" s="144">
        <f>IFERROR(J433,"")</f>
        <v>185.65199999999999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260</v>
      </c>
      <c r="F434" s="140">
        <f>IFERROR(IF($D434="","",VLOOKUP($D434,Cadastro!$C$4:$E$7,3,FALSE)),"")</f>
        <v>0.35</v>
      </c>
      <c r="G434" s="105">
        <v>9</v>
      </c>
      <c r="H434" s="140">
        <f>IFERROR(IF($G434="","",$G434*$S$446/$G$446/Cadastro!$E$33),"")</f>
        <v>36.081964285714285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7.5772124999999999</v>
      </c>
      <c r="K434" s="28">
        <f t="shared" ref="K434:K444" si="107">IF(G434="","",IF(E434="PC 17",G434*4.2,IF(E434="PC 19",G434*5,IF(E434="CB",G434*24,""))))</f>
        <v>37.800000000000004</v>
      </c>
      <c r="L434" s="26" t="s">
        <v>27</v>
      </c>
      <c r="M434" s="26" t="s">
        <v>46</v>
      </c>
      <c r="N434" s="26" t="s">
        <v>43</v>
      </c>
      <c r="O434" s="29">
        <v>0.32291666666666669</v>
      </c>
      <c r="P434" s="29">
        <v>0.34305555555555556</v>
      </c>
      <c r="Q434" s="30">
        <f t="shared" ref="Q434:Q445" ca="1" si="108">IFERROR(IF(O434="","",IF(P434="",MOD(NOW()-O434,1),IF(P434&gt;=O434,P434-O434,P434+1-O434))),"")</f>
        <v>2.0138888888888873E-2</v>
      </c>
      <c r="R434" s="46" t="s">
        <v>312</v>
      </c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260</v>
      </c>
      <c r="F435" s="134">
        <f>IFERROR(IF($D435="","",VLOOKUP($D435,Cadastro!$C$4:$E$7,3,FALSE)),"")</f>
        <v>0.35</v>
      </c>
      <c r="G435" s="105">
        <v>2</v>
      </c>
      <c r="H435" s="134">
        <f>IFERROR(IF($G435="","",$G435*$S$446/$G$446/Cadastro!$E$33),"")</f>
        <v>8.0182142857142846</v>
      </c>
      <c r="I435" s="135">
        <f>IFERROR(IF($D435="","",VLOOKUP($D435,Cadastro!$C$4:$G$7,5,FALSE)),"")</f>
        <v>0.6</v>
      </c>
      <c r="J435" s="136">
        <f t="shared" si="106"/>
        <v>1.6838249999999997</v>
      </c>
      <c r="K435" s="28">
        <f t="shared" si="107"/>
        <v>8.4</v>
      </c>
      <c r="L435" s="33" t="s">
        <v>27</v>
      </c>
      <c r="M435" s="33" t="s">
        <v>145</v>
      </c>
      <c r="N435" s="33" t="s">
        <v>81</v>
      </c>
      <c r="O435" s="29">
        <v>0.36527777777777776</v>
      </c>
      <c r="P435" s="29">
        <v>0.38194444444444442</v>
      </c>
      <c r="Q435" s="35">
        <f t="shared" ca="1" si="108"/>
        <v>1.6666666666666663E-2</v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260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44.100178571428572</v>
      </c>
      <c r="I436" s="135">
        <f>IFERROR(IF($D436="","",VLOOKUP($D436,Cadastro!$C$4:$G$7,5,FALSE)),"")</f>
        <v>0.6</v>
      </c>
      <c r="J436" s="136">
        <f t="shared" si="106"/>
        <v>9.2610374999999987</v>
      </c>
      <c r="K436" s="28">
        <f t="shared" si="107"/>
        <v>46.2</v>
      </c>
      <c r="L436" s="26" t="s">
        <v>26</v>
      </c>
      <c r="M436" s="26" t="s">
        <v>46</v>
      </c>
      <c r="N436" s="26" t="s">
        <v>34</v>
      </c>
      <c r="O436" s="29">
        <v>0.60138888888888886</v>
      </c>
      <c r="P436" s="29">
        <v>0.61388888888888893</v>
      </c>
      <c r="Q436" s="30">
        <f t="shared" ca="1" si="108"/>
        <v>1.2500000000000067E-2</v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260</v>
      </c>
      <c r="F437" s="134">
        <f>IFERROR(IF($D437="","",VLOOKUP($D437,Cadastro!$C$4:$E$7,3,FALSE)),"")</f>
        <v>0.35</v>
      </c>
      <c r="G437" s="105">
        <v>14</v>
      </c>
      <c r="H437" s="134">
        <f>IFERROR(IF($G437="","",$G437*$S$446/$G$446/Cadastro!$E$33),"")</f>
        <v>56.127499999999998</v>
      </c>
      <c r="I437" s="135">
        <f>IFERROR(IF($D437="","",VLOOKUP($D437,Cadastro!$C$4:$G$7,5,FALSE)),"")</f>
        <v>0.6</v>
      </c>
      <c r="J437" s="136">
        <f t="shared" si="106"/>
        <v>11.786774999999999</v>
      </c>
      <c r="K437" s="34">
        <f t="shared" si="107"/>
        <v>58.800000000000004</v>
      </c>
      <c r="L437" s="33" t="s">
        <v>26</v>
      </c>
      <c r="M437" s="33" t="s">
        <v>38</v>
      </c>
      <c r="N437" s="33" t="s">
        <v>34</v>
      </c>
      <c r="O437" s="29">
        <v>0.72638888888888886</v>
      </c>
      <c r="P437" s="29">
        <v>0.74444444444444446</v>
      </c>
      <c r="Q437" s="35">
        <f t="shared" ca="1" si="108"/>
        <v>1.8055555555555602E-2</v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260</v>
      </c>
      <c r="F438" s="134">
        <f>IFERROR(IF($D438="","",VLOOKUP($D438,Cadastro!$C$4:$E$7,3,FALSE)),"")</f>
        <v>0.35</v>
      </c>
      <c r="G438" s="105">
        <v>13</v>
      </c>
      <c r="H438" s="134">
        <f>IFERROR(IF($G438="","",$G438*$S$446/$G$446/Cadastro!$E$33),"")</f>
        <v>52.118392857142858</v>
      </c>
      <c r="I438" s="135">
        <f>IFERROR(IF($D438="","",VLOOKUP($D438,Cadastro!$C$4:$G$7,5,FALSE)),"")</f>
        <v>0.6</v>
      </c>
      <c r="J438" s="136">
        <f t="shared" si="106"/>
        <v>10.944862499999999</v>
      </c>
      <c r="K438" s="28">
        <f t="shared" si="107"/>
        <v>54.6</v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260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40.091071428571425</v>
      </c>
      <c r="I439" s="135">
        <f>IFERROR(IF($D439="","",VLOOKUP($D439,Cadastro!$C$4:$G$7,5,FALSE)),"")</f>
        <v>0.6</v>
      </c>
      <c r="J439" s="136">
        <f t="shared" si="106"/>
        <v>8.4191249999999975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58" t="s">
        <v>313</v>
      </c>
      <c r="F440" s="134">
        <f>IFERROR(IF($D440="","",VLOOKUP($D440,Cadastro!$C$4:$E$7,3,FALSE)),"")</f>
        <v>0.35</v>
      </c>
      <c r="G440" s="105">
        <v>9</v>
      </c>
      <c r="H440" s="134">
        <f>IFERROR(IF($G440="","",$G440*$S$446/$G$446/Cadastro!$E$33),"")</f>
        <v>36.081964285714285</v>
      </c>
      <c r="I440" s="135">
        <f>IFERROR(IF($D440="","",VLOOKUP($D440,Cadastro!$C$4:$G$7,5,FALSE)),"")</f>
        <v>0.6</v>
      </c>
      <c r="J440" s="136">
        <f t="shared" si="106"/>
        <v>7.5772124999999999</v>
      </c>
      <c r="K440" s="28">
        <f>IF(G440="","",IF(E445="PC 17",G440*4.2,IF(E445="PC 19",G440*5,IF(E445="CB",G440*24,""))))</f>
        <v>37.800000000000004</v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29</v>
      </c>
      <c r="E441" s="108" t="s">
        <v>260</v>
      </c>
      <c r="F441" s="134">
        <f>IFERROR(IF($D441="","",VLOOKUP($D441,Cadastro!$C$4:$E$7,3,FALSE)),"")</f>
        <v>0.35</v>
      </c>
      <c r="G441" s="105">
        <v>3</v>
      </c>
      <c r="H441" s="134">
        <f>IFERROR(IF($G441="","",$G441*$S$446/$G$446/Cadastro!$E$33),"")</f>
        <v>12.02732142857143</v>
      </c>
      <c r="I441" s="135">
        <f>IFERROR(IF($D441="","",VLOOKUP($D441,Cadastro!$C$4:$G$7,5,FALSE)),"")</f>
        <v>0.6</v>
      </c>
      <c r="J441" s="136">
        <f t="shared" si="106"/>
        <v>2.5257374999999995</v>
      </c>
      <c r="K441" s="34">
        <f t="shared" si="107"/>
        <v>12.600000000000001</v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29</v>
      </c>
      <c r="E442" s="108" t="s">
        <v>260</v>
      </c>
      <c r="F442" s="134">
        <f>IFERROR(IF($D442="","",VLOOKUP($D442,Cadastro!$C$4:$E$7,3,FALSE)),"")</f>
        <v>0.35</v>
      </c>
      <c r="G442" s="105">
        <v>9</v>
      </c>
      <c r="H442" s="134">
        <f>IFERROR(IF($G442="","",$G442*$S$446/$G$446/Cadastro!$E$33),"")</f>
        <v>36.081964285714285</v>
      </c>
      <c r="I442" s="135">
        <f>IFERROR(IF($D442="","",VLOOKUP($D442,Cadastro!$C$4:$G$7,5,FALSE)),"")</f>
        <v>0.6</v>
      </c>
      <c r="J442" s="136">
        <f t="shared" si="106"/>
        <v>7.5772124999999999</v>
      </c>
      <c r="K442" s="28">
        <f t="shared" si="107"/>
        <v>37.800000000000004</v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260</v>
      </c>
      <c r="F443" s="134">
        <f>IFERROR(IF($D443="","",VLOOKUP($D443,Cadastro!$C$4:$E$7,3,FALSE)),"")</f>
        <v>0.35</v>
      </c>
      <c r="G443" s="105">
        <v>15</v>
      </c>
      <c r="H443" s="134">
        <f>IFERROR(IF($G443="","",$G443*$S$446/$G$446/Cadastro!$E$33),"")</f>
        <v>60.136607142857144</v>
      </c>
      <c r="I443" s="135">
        <f>IFERROR(IF($D443="","",VLOOKUP($D443,Cadastro!$C$4:$G$7,5,FALSE)),"")</f>
        <v>0.6</v>
      </c>
      <c r="J443" s="136">
        <f t="shared" si="106"/>
        <v>12.6286875</v>
      </c>
      <c r="K443" s="34">
        <f t="shared" si="107"/>
        <v>63</v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260</v>
      </c>
      <c r="F444" s="134">
        <f>IFERROR(IF($D444="","",VLOOKUP($D444,Cadastro!$C$4:$E$7,3,FALSE)),"")</f>
        <v>0.35</v>
      </c>
      <c r="G444" s="105">
        <v>6</v>
      </c>
      <c r="H444" s="134">
        <f>IFERROR(IF($G444="","",$G444*$S$446/$G$446/Cadastro!$E$33),"")</f>
        <v>24.054642857142859</v>
      </c>
      <c r="I444" s="135">
        <f>IFERROR(IF($D444="","",VLOOKUP($D444,Cadastro!$C$4:$G$7,5,FALSE)),"")</f>
        <v>0.6</v>
      </c>
      <c r="J444" s="136">
        <f t="shared" si="106"/>
        <v>5.051474999999999</v>
      </c>
      <c r="K444" s="28">
        <f t="shared" si="107"/>
        <v>25.200000000000003</v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260</v>
      </c>
      <c r="F445" s="137">
        <f>IFERROR(IF($D445="","",VLOOKUP($D445,Cadastro!$C$4:$E$7,3,FALSE)),"")</f>
        <v>0.35</v>
      </c>
      <c r="G445" s="105">
        <v>11</v>
      </c>
      <c r="H445" s="137">
        <f>IFERROR(IF($G445="","",$G445*$S$446/$G$446/Cadastro!$E$33),"")</f>
        <v>44.100178571428572</v>
      </c>
      <c r="I445" s="138">
        <f>IFERROR(IF($D445="","",VLOOKUP($D445,Cadastro!$C$4:$G$7,5,FALSE)),"")</f>
        <v>0.6</v>
      </c>
      <c r="J445" s="139">
        <f t="shared" si="106"/>
        <v>9.2610374999999987</v>
      </c>
      <c r="K445" s="151">
        <f>IF(G445="","",IF(E445="PC 17",G445*4.2,IF(E445="PC 19",G445*5,IF(E445="CB",G445*24,""))))</f>
        <v>46.2</v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9" t="s">
        <v>245</v>
      </c>
      <c r="B446" s="160"/>
      <c r="C446" s="160"/>
      <c r="D446" s="160"/>
      <c r="E446" s="160">
        <f>SUM(E434:E445)</f>
        <v>0</v>
      </c>
      <c r="F446" s="110"/>
      <c r="G446" s="80">
        <f>SUM(G434:G445)</f>
        <v>112</v>
      </c>
      <c r="H446" s="110">
        <f>IFERROR(SUM(H434:H445),"")</f>
        <v>449.02</v>
      </c>
      <c r="I446" s="114"/>
      <c r="J446" s="123">
        <f>IFERROR(SUM(J434:J445),"")</f>
        <v>94.294199999999989</v>
      </c>
      <c r="K446" s="36">
        <f>SUM(K434:K445)</f>
        <v>470.40000000000003</v>
      </c>
      <c r="L446" s="37"/>
      <c r="M446" s="37"/>
      <c r="N446" s="37"/>
      <c r="O446" s="37"/>
      <c r="P446" s="37"/>
      <c r="Q446" s="38">
        <f ca="1">IFERROR(SUM(Q434:Q445),"")</f>
        <v>6.7361111111111205E-2</v>
      </c>
      <c r="R446" s="36" t="s">
        <v>246</v>
      </c>
      <c r="S446" s="45">
        <v>449020</v>
      </c>
      <c r="T446" s="122">
        <f>IFERROR(J446,"")</f>
        <v>94.294199999999989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260</v>
      </c>
      <c r="F447" s="140">
        <f>IFERROR(IF($D447="","",VLOOKUP($D447,Cadastro!$C$4:$E$7,3,FALSE)),"")</f>
        <v>0.35</v>
      </c>
      <c r="G447" s="105">
        <v>8</v>
      </c>
      <c r="H447" s="140">
        <f>IFERROR(IF($G447="","",$G447*$S$459/$G$459/Cadastro!$E$33),"")</f>
        <v>0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0</v>
      </c>
      <c r="K447" s="34">
        <f t="shared" ref="K447:K458" si="111">IF(G447="","",IF(E447="PC 17",G447*4.2,IF(E447="PC 19",G447*5,IF(E447="CB",G447*24,""))))</f>
        <v>33.6</v>
      </c>
      <c r="L447" s="33" t="s">
        <v>27</v>
      </c>
      <c r="M447" s="33" t="s">
        <v>38</v>
      </c>
      <c r="N447" s="33" t="s">
        <v>63</v>
      </c>
      <c r="O447" s="29">
        <v>0.81944444444444442</v>
      </c>
      <c r="P447" s="29">
        <v>0.81944444444444442</v>
      </c>
      <c r="Q447" s="35">
        <f t="shared" ref="Q447:Q458" ca="1" si="112">IFERROR(IF(O447="","",IF(P447="",MOD(NOW()-O447,1),IF(P447&gt;=O447,P447-O447,P447+1-O447))),"")</f>
        <v>0</v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260</v>
      </c>
      <c r="F448" s="134">
        <f>IFERROR(IF($D448="","",VLOOKUP($D448,Cadastro!$C$4:$E$7,3,FALSE)),"")</f>
        <v>0.35</v>
      </c>
      <c r="G448" s="105">
        <v>22</v>
      </c>
      <c r="H448" s="134">
        <f>IFERROR(IF($G448="","",$G448*$S$459/$G$459/Cadastro!$E$33),"")</f>
        <v>0</v>
      </c>
      <c r="I448" s="135">
        <f>IFERROR(IF($D448="","",VLOOKUP($D448,Cadastro!$C$4:$G$7,5,FALSE)),"")</f>
        <v>0.6</v>
      </c>
      <c r="J448" s="136">
        <f t="shared" si="110"/>
        <v>0</v>
      </c>
      <c r="K448" s="28">
        <f t="shared" si="111"/>
        <v>92.4</v>
      </c>
      <c r="L448" s="26" t="s">
        <v>27</v>
      </c>
      <c r="M448" s="26" t="s">
        <v>130</v>
      </c>
      <c r="N448" s="26" t="s">
        <v>217</v>
      </c>
      <c r="O448" s="29">
        <v>0.83333333333333337</v>
      </c>
      <c r="P448" s="29">
        <v>0.84027777777777779</v>
      </c>
      <c r="Q448" s="30">
        <f t="shared" ca="1" si="112"/>
        <v>6.9444444444444198E-3</v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260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0</v>
      </c>
      <c r="I449" s="135">
        <f>IFERROR(IF($D449="","",VLOOKUP($D449,Cadastro!$C$4:$G$7,5,FALSE)),"")</f>
        <v>0.6</v>
      </c>
      <c r="J449" s="136">
        <f t="shared" si="110"/>
        <v>0</v>
      </c>
      <c r="K449" s="34">
        <f t="shared" si="111"/>
        <v>46.2</v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29</v>
      </c>
      <c r="E450" s="109" t="s">
        <v>244</v>
      </c>
      <c r="F450" s="134">
        <f>IFERROR(IF($D450="","",VLOOKUP($D450,Cadastro!$C$4:$E$7,3,FALSE)),"")</f>
        <v>0.35</v>
      </c>
      <c r="G450" s="105">
        <v>13</v>
      </c>
      <c r="H450" s="134">
        <f>IFERROR(IF($G450="","",$G450*$S$459/$G$459/Cadastro!$E$33),"")</f>
        <v>0</v>
      </c>
      <c r="I450" s="135">
        <f>IFERROR(IF($D450="","",VLOOKUP($D450,Cadastro!$C$4:$G$7,5,FALSE)),"")</f>
        <v>0.6</v>
      </c>
      <c r="J450" s="136">
        <f t="shared" si="110"/>
        <v>0</v>
      </c>
      <c r="K450" s="28">
        <f t="shared" si="111"/>
        <v>65</v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29</v>
      </c>
      <c r="E451" s="109" t="s">
        <v>260</v>
      </c>
      <c r="F451" s="134">
        <f>IFERROR(IF($D451="","",VLOOKUP($D451,Cadastro!$C$4:$E$7,3,FALSE)),"")</f>
        <v>0.35</v>
      </c>
      <c r="G451" s="105"/>
      <c r="H451" s="134" t="str">
        <f>IFERROR(IF($G451="","",$G451*$S$459/$G$459/Cadastro!$E$33),"")</f>
        <v/>
      </c>
      <c r="I451" s="135">
        <f>IFERROR(IF($D451="","",VLOOKUP($D451,Cadastro!$C$4:$G$7,5,FALSE)),"")</f>
        <v>0.6</v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29</v>
      </c>
      <c r="E452" s="109" t="s">
        <v>260</v>
      </c>
      <c r="F452" s="134">
        <f>IFERROR(IF($D452="","",VLOOKUP($D452,Cadastro!$C$4:$E$7,3,FALSE)),"")</f>
        <v>0.35</v>
      </c>
      <c r="G452" s="105"/>
      <c r="H452" s="134" t="str">
        <f>IFERROR(IF($G452="","",$G452*$S$459/$G$459/Cadastro!$E$33),"")</f>
        <v/>
      </c>
      <c r="I452" s="135">
        <f>IFERROR(IF($D452="","",VLOOKUP($D452,Cadastro!$C$4:$G$7,5,FALSE)),"")</f>
        <v>0.6</v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260</v>
      </c>
      <c r="F453" s="134">
        <f>IFERROR(IF($D453="","",VLOOKUP($D453,Cadastro!$C$4:$E$7,3,FALSE)),"")</f>
        <v>0.35</v>
      </c>
      <c r="G453" s="105"/>
      <c r="H453" s="134" t="str">
        <f>IFERROR(IF($G453="","",$G453*$S$459/$G$459/Cadastro!$E$33),"")</f>
        <v/>
      </c>
      <c r="I453" s="135">
        <f>IFERROR(IF($D453="","",VLOOKUP($D453,Cadastro!$C$4:$G$7,5,FALSE)),"")</f>
        <v>0.6</v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260</v>
      </c>
      <c r="F454" s="134">
        <f>IFERROR(IF($D454="","",VLOOKUP($D454,Cadastro!$C$4:$E$7,3,FALSE)),"")</f>
        <v>0.35</v>
      </c>
      <c r="G454" s="105"/>
      <c r="H454" s="134" t="str">
        <f>IFERROR(IF($G454="","",$G454*$S$459/$G$459/Cadastro!$E$33),"")</f>
        <v/>
      </c>
      <c r="I454" s="135">
        <f>IFERROR(IF($D454="","",VLOOKUP($D454,Cadastro!$C$4:$G$7,5,FALSE)),"")</f>
        <v>0.6</v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260</v>
      </c>
      <c r="F455" s="134">
        <f>IFERROR(IF($D455="","",VLOOKUP($D455,Cadastro!$C$4:$E$7,3,FALSE)),"")</f>
        <v>0.35</v>
      </c>
      <c r="G455" s="105"/>
      <c r="H455" s="134" t="str">
        <f>IFERROR(IF($G455="","",$G455*$S$459/$G$459/Cadastro!$E$33),"")</f>
        <v/>
      </c>
      <c r="I455" s="135">
        <f>IFERROR(IF($D455="","",VLOOKUP($D455,Cadastro!$C$4:$G$7,5,FALSE)),"")</f>
        <v>0.6</v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260</v>
      </c>
      <c r="F456" s="134">
        <f>IFERROR(IF($D456="","",VLOOKUP($D456,Cadastro!$C$4:$E$7,3,FALSE)),"")</f>
        <v>0.35</v>
      </c>
      <c r="G456" s="105"/>
      <c r="H456" s="134" t="str">
        <f>IFERROR(IF($G456="","",$G456*$S$459/$G$459/Cadastro!$E$33),"")</f>
        <v/>
      </c>
      <c r="I456" s="135">
        <f>IFERROR(IF($D456="","",VLOOKUP($D456,Cadastro!$C$4:$G$7,5,FALSE)),"")</f>
        <v>0.6</v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260</v>
      </c>
      <c r="F457" s="134">
        <f>IFERROR(IF($D457="","",VLOOKUP($D457,Cadastro!$C$4:$E$7,3,FALSE)),"")</f>
        <v>0.35</v>
      </c>
      <c r="G457" s="105"/>
      <c r="H457" s="134" t="str">
        <f>IFERROR(IF($G457="","",$G457*$S$459/$G$459/Cadastro!$E$33),"")</f>
        <v/>
      </c>
      <c r="I457" s="135">
        <f>IFERROR(IF($D457="","",VLOOKUP($D457,Cadastro!$C$4:$G$7,5,FALSE)),"")</f>
        <v>0.6</v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260</v>
      </c>
      <c r="F458" s="137">
        <f>IFERROR(IF($D458="","",VLOOKUP($D458,Cadastro!$C$4:$E$7,3,FALSE)),"")</f>
        <v>0.35</v>
      </c>
      <c r="G458" s="105"/>
      <c r="H458" s="137" t="str">
        <f>IFERROR(IF($G458="","",$G458*$S$459/$G$459/Cadastro!$E$33),"")</f>
        <v/>
      </c>
      <c r="I458" s="138">
        <f>IFERROR(IF($D458="","",VLOOKUP($D458,Cadastro!$C$4:$G$7,5,FALSE)),"")</f>
        <v>0.6</v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9" t="s">
        <v>248</v>
      </c>
      <c r="B459" s="160"/>
      <c r="C459" s="160"/>
      <c r="D459" s="160"/>
      <c r="E459" s="160">
        <f>SUM(E447:E458)</f>
        <v>0</v>
      </c>
      <c r="F459" s="111"/>
      <c r="G459" s="80">
        <f>SUM(G447:G458)</f>
        <v>54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237.2</v>
      </c>
      <c r="L459" s="37"/>
      <c r="M459" s="37"/>
      <c r="N459" s="37"/>
      <c r="O459" s="37"/>
      <c r="P459" s="37"/>
      <c r="Q459" s="38">
        <f ca="1">IFERROR(SUM(Q447:Q458),"")</f>
        <v>6.9444444444444198E-3</v>
      </c>
      <c r="R459" s="36" t="s">
        <v>246</v>
      </c>
      <c r="S459" s="45"/>
      <c r="T459" s="122">
        <f>IFERROR(J459,"")</f>
        <v>0</v>
      </c>
    </row>
    <row r="460" spans="1:20" ht="18" customHeight="1">
      <c r="A460" s="161" t="s">
        <v>249</v>
      </c>
      <c r="B460" s="162"/>
      <c r="C460" s="162"/>
      <c r="D460" s="162"/>
      <c r="E460" s="162">
        <f>E446+E459</f>
        <v>0</v>
      </c>
      <c r="F460" s="112"/>
      <c r="G460" s="91">
        <f>G446+G459</f>
        <v>166</v>
      </c>
      <c r="H460" s="112">
        <f>IFERROR(H446+H459,"")</f>
        <v>449.02</v>
      </c>
      <c r="I460" s="116"/>
      <c r="J460" s="125">
        <f>IFERROR(J446+J459,"")</f>
        <v>94.294199999999989</v>
      </c>
      <c r="K460" s="40">
        <f>K446+K459</f>
        <v>707.6</v>
      </c>
      <c r="L460" s="41"/>
      <c r="M460" s="41"/>
      <c r="N460" s="41"/>
      <c r="O460" s="41"/>
      <c r="P460" s="41"/>
      <c r="Q460" s="42">
        <f ca="1">IFERROR(Q446+Q459,"")</f>
        <v>7.4305555555555625E-2</v>
      </c>
      <c r="R460" s="40" t="s">
        <v>250</v>
      </c>
      <c r="S460" s="143">
        <f>IFERROR(S446+S459,"")</f>
        <v>449020</v>
      </c>
      <c r="T460" s="144">
        <f>IFERROR(J460,"")</f>
        <v>94.294199999999989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9" t="s">
        <v>245</v>
      </c>
      <c r="B473" s="160"/>
      <c r="C473" s="160"/>
      <c r="D473" s="160"/>
      <c r="E473" s="160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246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9" t="s">
        <v>248</v>
      </c>
      <c r="B486" s="160"/>
      <c r="C486" s="160"/>
      <c r="D486" s="160"/>
      <c r="E486" s="160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246</v>
      </c>
      <c r="S486" s="45"/>
      <c r="T486" s="122">
        <f>IFERROR(J486,"")</f>
        <v>0</v>
      </c>
    </row>
    <row r="487" spans="1:20" ht="18" customHeight="1">
      <c r="A487" s="161" t="s">
        <v>249</v>
      </c>
      <c r="B487" s="162"/>
      <c r="C487" s="162"/>
      <c r="D487" s="162"/>
      <c r="E487" s="162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250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9" t="s">
        <v>245</v>
      </c>
      <c r="B500" s="160"/>
      <c r="C500" s="160"/>
      <c r="D500" s="160"/>
      <c r="E500" s="160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246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248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246</v>
      </c>
      <c r="S513" s="45"/>
      <c r="T513" s="122">
        <f>IFERROR(J513,"")</f>
        <v>0</v>
      </c>
    </row>
    <row r="514" spans="1:20" ht="18" customHeight="1">
      <c r="A514" s="83" t="s">
        <v>249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250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9" t="s">
        <v>245</v>
      </c>
      <c r="B527" s="160"/>
      <c r="C527" s="160"/>
      <c r="D527" s="160"/>
      <c r="E527" s="160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246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9" t="s">
        <v>248</v>
      </c>
      <c r="B540" s="160"/>
      <c r="C540" s="160"/>
      <c r="D540" s="160"/>
      <c r="E540" s="160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246</v>
      </c>
      <c r="S540" s="45"/>
      <c r="T540" s="122">
        <f>IFERROR(J540,"")</f>
        <v>0</v>
      </c>
    </row>
    <row r="541" spans="1:20" ht="18" customHeight="1">
      <c r="A541" s="161" t="s">
        <v>249</v>
      </c>
      <c r="B541" s="162"/>
      <c r="C541" s="162"/>
      <c r="D541" s="162"/>
      <c r="E541" s="162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250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9" t="s">
        <v>245</v>
      </c>
      <c r="B554" s="160"/>
      <c r="C554" s="160"/>
      <c r="D554" s="160"/>
      <c r="E554" s="160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246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9" t="s">
        <v>248</v>
      </c>
      <c r="B567" s="160"/>
      <c r="C567" s="160"/>
      <c r="D567" s="160"/>
      <c r="E567" s="160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246</v>
      </c>
      <c r="S567" s="45"/>
      <c r="T567" s="122">
        <f>IFERROR(J567,"")</f>
        <v>0</v>
      </c>
    </row>
    <row r="568" spans="1:20" ht="18" customHeight="1">
      <c r="A568" s="161" t="s">
        <v>249</v>
      </c>
      <c r="B568" s="162"/>
      <c r="C568" s="162"/>
      <c r="D568" s="162"/>
      <c r="E568" s="162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250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9" t="s">
        <v>245</v>
      </c>
      <c r="B581" s="160"/>
      <c r="C581" s="160"/>
      <c r="D581" s="160"/>
      <c r="E581" s="160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246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9" t="s">
        <v>248</v>
      </c>
      <c r="B594" s="160"/>
      <c r="C594" s="160"/>
      <c r="D594" s="160"/>
      <c r="E594" s="160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246</v>
      </c>
      <c r="S594" s="45"/>
      <c r="T594" s="122">
        <f>IFERROR(J594,"")</f>
        <v>0</v>
      </c>
    </row>
    <row r="595" spans="1:20" ht="18" customHeight="1">
      <c r="A595" s="161" t="s">
        <v>249</v>
      </c>
      <c r="B595" s="162"/>
      <c r="C595" s="162"/>
      <c r="D595" s="162"/>
      <c r="E595" s="162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250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9" t="s">
        <v>245</v>
      </c>
      <c r="B608" s="160"/>
      <c r="C608" s="160"/>
      <c r="D608" s="160"/>
      <c r="E608" s="160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246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9" t="s">
        <v>248</v>
      </c>
      <c r="B621" s="160"/>
      <c r="C621" s="160"/>
      <c r="D621" s="160"/>
      <c r="E621" s="160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246</v>
      </c>
      <c r="S621" s="45"/>
      <c r="T621" s="122">
        <f>IFERROR(J621,"")</f>
        <v>0</v>
      </c>
    </row>
    <row r="622" spans="1:20" ht="18" customHeight="1">
      <c r="A622" s="161" t="s">
        <v>249</v>
      </c>
      <c r="B622" s="162"/>
      <c r="C622" s="162"/>
      <c r="D622" s="162"/>
      <c r="E622" s="162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250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9" t="s">
        <v>245</v>
      </c>
      <c r="B635" s="160"/>
      <c r="C635" s="160"/>
      <c r="D635" s="160"/>
      <c r="E635" s="160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246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9" t="s">
        <v>248</v>
      </c>
      <c r="B648" s="160"/>
      <c r="C648" s="160"/>
      <c r="D648" s="160"/>
      <c r="E648" s="160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246</v>
      </c>
      <c r="S648" s="45"/>
      <c r="T648" s="122">
        <f>IFERROR(J648,"")</f>
        <v>0</v>
      </c>
    </row>
    <row r="649" spans="1:20" ht="18" customHeight="1">
      <c r="A649" s="161" t="s">
        <v>249</v>
      </c>
      <c r="B649" s="162"/>
      <c r="C649" s="162"/>
      <c r="D649" s="162"/>
      <c r="E649" s="162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250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9" t="s">
        <v>245</v>
      </c>
      <c r="B662" s="160"/>
      <c r="C662" s="160"/>
      <c r="D662" s="160"/>
      <c r="E662" s="160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246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9" t="s">
        <v>248</v>
      </c>
      <c r="B675" s="160"/>
      <c r="C675" s="160"/>
      <c r="D675" s="160"/>
      <c r="E675" s="160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246</v>
      </c>
      <c r="S675" s="45"/>
      <c r="T675" s="122">
        <f>IFERROR(J675,"")</f>
        <v>0</v>
      </c>
    </row>
    <row r="676" spans="1:20" ht="18" customHeight="1">
      <c r="A676" s="161" t="s">
        <v>249</v>
      </c>
      <c r="B676" s="162"/>
      <c r="C676" s="162"/>
      <c r="D676" s="162"/>
      <c r="E676" s="162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250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9" t="s">
        <v>245</v>
      </c>
      <c r="B689" s="160"/>
      <c r="C689" s="160"/>
      <c r="D689" s="160"/>
      <c r="E689" s="160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246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9" t="s">
        <v>248</v>
      </c>
      <c r="B702" s="160"/>
      <c r="C702" s="160"/>
      <c r="D702" s="160"/>
      <c r="E702" s="160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246</v>
      </c>
      <c r="S702" s="45"/>
      <c r="T702" s="122">
        <f>IFERROR(J702,"")</f>
        <v>0</v>
      </c>
    </row>
    <row r="703" spans="1:20" ht="18" customHeight="1">
      <c r="A703" s="161" t="s">
        <v>249</v>
      </c>
      <c r="B703" s="162"/>
      <c r="C703" s="162"/>
      <c r="D703" s="162"/>
      <c r="E703" s="162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250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9" t="s">
        <v>245</v>
      </c>
      <c r="B716" s="160"/>
      <c r="C716" s="160"/>
      <c r="D716" s="160"/>
      <c r="E716" s="160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246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9" t="s">
        <v>248</v>
      </c>
      <c r="B729" s="160"/>
      <c r="C729" s="160"/>
      <c r="D729" s="160"/>
      <c r="E729" s="160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246</v>
      </c>
      <c r="S729" s="45"/>
      <c r="T729" s="122">
        <f>IFERROR(J729,"")</f>
        <v>0</v>
      </c>
    </row>
    <row r="730" spans="1:20" ht="18" customHeight="1">
      <c r="A730" s="161" t="s">
        <v>249</v>
      </c>
      <c r="B730" s="162"/>
      <c r="C730" s="162"/>
      <c r="D730" s="162"/>
      <c r="E730" s="162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250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9" t="s">
        <v>245</v>
      </c>
      <c r="B743" s="160"/>
      <c r="C743" s="160"/>
      <c r="D743" s="160"/>
      <c r="E743" s="160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246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9" t="s">
        <v>248</v>
      </c>
      <c r="B756" s="160"/>
      <c r="C756" s="160"/>
      <c r="D756" s="160"/>
      <c r="E756" s="160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246</v>
      </c>
      <c r="S756" s="39"/>
      <c r="T756" s="119">
        <f>IFERROR(J756,"")</f>
        <v>0</v>
      </c>
    </row>
    <row r="757" spans="1:20" ht="18" customHeight="1">
      <c r="A757" s="161" t="s">
        <v>249</v>
      </c>
      <c r="B757" s="162"/>
      <c r="C757" s="162"/>
      <c r="D757" s="162"/>
      <c r="E757" s="162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250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9" t="s">
        <v>245</v>
      </c>
      <c r="B770" s="160"/>
      <c r="C770" s="160"/>
      <c r="D770" s="160"/>
      <c r="E770" s="160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246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9" t="s">
        <v>248</v>
      </c>
      <c r="B783" s="160"/>
      <c r="C783" s="160"/>
      <c r="D783" s="160"/>
      <c r="E783" s="160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246</v>
      </c>
      <c r="S783" s="39"/>
      <c r="T783" s="119">
        <f>IFERROR(J783,"")</f>
        <v>0</v>
      </c>
    </row>
    <row r="784" spans="1:20" ht="18" customHeight="1">
      <c r="A784" s="161" t="s">
        <v>249</v>
      </c>
      <c r="B784" s="162"/>
      <c r="C784" s="162"/>
      <c r="D784" s="162"/>
      <c r="E784" s="162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250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9" t="s">
        <v>245</v>
      </c>
      <c r="B797" s="160"/>
      <c r="C797" s="160"/>
      <c r="D797" s="160"/>
      <c r="E797" s="160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246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9" t="s">
        <v>248</v>
      </c>
      <c r="B810" s="160"/>
      <c r="C810" s="160"/>
      <c r="D810" s="160"/>
      <c r="E810" s="160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246</v>
      </c>
      <c r="S810" s="39"/>
      <c r="T810" s="119">
        <f>IFERROR(J810,"")</f>
        <v>0</v>
      </c>
    </row>
    <row r="811" spans="1:20" ht="18" customHeight="1">
      <c r="A811" s="161" t="s">
        <v>249</v>
      </c>
      <c r="B811" s="162"/>
      <c r="C811" s="162"/>
      <c r="D811" s="162"/>
      <c r="E811" s="162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250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9" t="s">
        <v>245</v>
      </c>
      <c r="B824" s="160"/>
      <c r="C824" s="160"/>
      <c r="D824" s="160"/>
      <c r="E824" s="160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246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9" t="s">
        <v>248</v>
      </c>
      <c r="B837" s="160"/>
      <c r="C837" s="160"/>
      <c r="D837" s="160"/>
      <c r="E837" s="160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246</v>
      </c>
      <c r="S837" s="75"/>
      <c r="T837" s="117">
        <f>IFERROR(J837,"")</f>
        <v>0</v>
      </c>
    </row>
    <row r="838" spans="1:20" ht="18" customHeight="1">
      <c r="A838" s="161" t="s">
        <v>249</v>
      </c>
      <c r="B838" s="162"/>
      <c r="C838" s="162"/>
      <c r="D838" s="162"/>
      <c r="E838" s="162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250</v>
      </c>
      <c r="S838" s="13">
        <f>IFERROR(S824+S837,"")</f>
        <v>0</v>
      </c>
      <c r="T838" s="97">
        <f>IFERROR(J838,"")</f>
        <v>0</v>
      </c>
    </row>
  </sheetData>
  <sheetProtection algorithmName="SHA-512" hashValue="SWL4gXjS9R7EyBWFwmCE2Yv3mUo9QPqR9hwPcBqWekiBLwxNAhPegsRnaRwz5hDUJnnuiaTg3zoTFmKcbRoPNA==" saltValue="yT7m/80XqX40T7YA66K4Cw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29:F431 F440 E434:F439 E441:F512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427" activePane="bottomLeft" state="frozen"/>
      <selection pane="bottomLeft" activeCell="G451" sqref="G451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234</v>
      </c>
      <c r="C1" s="23" t="s">
        <v>17</v>
      </c>
      <c r="D1" s="22" t="s">
        <v>18</v>
      </c>
      <c r="E1" s="22" t="s">
        <v>235</v>
      </c>
      <c r="F1" s="133" t="s">
        <v>19</v>
      </c>
      <c r="G1" s="23" t="s">
        <v>236</v>
      </c>
      <c r="H1" s="133" t="s">
        <v>276</v>
      </c>
      <c r="I1" s="133" t="s">
        <v>20</v>
      </c>
      <c r="J1" s="133" t="s">
        <v>277</v>
      </c>
      <c r="K1" s="23" t="s">
        <v>237</v>
      </c>
      <c r="L1" s="23" t="s">
        <v>21</v>
      </c>
      <c r="M1" s="23" t="s">
        <v>22</v>
      </c>
      <c r="N1" s="23" t="s">
        <v>238</v>
      </c>
      <c r="O1" s="23" t="s">
        <v>239</v>
      </c>
      <c r="P1" s="23" t="s">
        <v>240</v>
      </c>
      <c r="Q1" s="24" t="s">
        <v>241</v>
      </c>
      <c r="R1" s="23" t="s">
        <v>242</v>
      </c>
      <c r="S1" s="23" t="s">
        <v>243</v>
      </c>
      <c r="T1" s="23" t="s">
        <v>277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260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260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260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260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260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260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260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260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260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260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260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260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9" t="s">
        <v>245</v>
      </c>
      <c r="B14" s="160"/>
      <c r="C14" s="160"/>
      <c r="D14" s="160"/>
      <c r="E14" s="160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246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260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314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260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142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260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165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260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142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281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260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169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315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260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260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260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260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260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260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260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9" t="s">
        <v>248</v>
      </c>
      <c r="B27" s="160"/>
      <c r="C27" s="160"/>
      <c r="D27" s="160"/>
      <c r="E27" s="160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246</v>
      </c>
      <c r="S27" s="39">
        <v>358000</v>
      </c>
      <c r="T27" s="119">
        <f>IFERROR(J27,"")</f>
        <v>0</v>
      </c>
    </row>
    <row r="28" spans="1:20" ht="18" customHeight="1">
      <c r="A28" s="161" t="s">
        <v>249</v>
      </c>
      <c r="B28" s="162"/>
      <c r="C28" s="162"/>
      <c r="D28" s="162"/>
      <c r="E28" s="162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250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260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260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260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260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260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260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260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260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260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260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260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260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9" t="s">
        <v>245</v>
      </c>
      <c r="B41" s="160"/>
      <c r="C41" s="160"/>
      <c r="D41" s="160"/>
      <c r="E41" s="160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246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260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175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287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260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314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260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260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260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260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260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260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260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314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260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165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260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260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141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9" t="s">
        <v>248</v>
      </c>
      <c r="B54" s="160"/>
      <c r="C54" s="160"/>
      <c r="D54" s="160"/>
      <c r="E54" s="160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246</v>
      </c>
      <c r="S54" s="39">
        <v>279980</v>
      </c>
      <c r="T54" s="119">
        <f>IFERROR(J54,"")</f>
        <v>0</v>
      </c>
    </row>
    <row r="55" spans="1:20" ht="18" customHeight="1">
      <c r="A55" s="161" t="s">
        <v>249</v>
      </c>
      <c r="B55" s="162"/>
      <c r="C55" s="162"/>
      <c r="D55" s="162"/>
      <c r="E55" s="162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250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260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130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260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130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260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260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260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130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260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260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137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316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260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260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260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260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260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9" t="s">
        <v>245</v>
      </c>
      <c r="B68" s="160"/>
      <c r="C68" s="160"/>
      <c r="D68" s="160"/>
      <c r="E68" s="160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246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260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317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260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156</v>
      </c>
      <c r="N70" s="26" t="s">
        <v>193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260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165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260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260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165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260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260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260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260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260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9" t="s">
        <v>248</v>
      </c>
      <c r="B81" s="160"/>
      <c r="C81" s="160"/>
      <c r="D81" s="160"/>
      <c r="E81" s="160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246</v>
      </c>
      <c r="S81" s="39">
        <v>185920</v>
      </c>
      <c r="T81" s="119">
        <f>IFERROR(J81,"")</f>
        <v>0</v>
      </c>
    </row>
    <row r="82" spans="1:20" ht="18" customHeight="1">
      <c r="A82" s="161" t="s">
        <v>249</v>
      </c>
      <c r="B82" s="162"/>
      <c r="C82" s="162"/>
      <c r="D82" s="162"/>
      <c r="E82" s="162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250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260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318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260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145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319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260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260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260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260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260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260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260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260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260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260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9" t="s">
        <v>245</v>
      </c>
      <c r="B95" s="160"/>
      <c r="C95" s="160"/>
      <c r="D95" s="160"/>
      <c r="E95" s="160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246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260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145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260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145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320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260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260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165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260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260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260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260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260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260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260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260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9" t="s">
        <v>248</v>
      </c>
      <c r="B108" s="160"/>
      <c r="C108" s="160"/>
      <c r="D108" s="160"/>
      <c r="E108" s="160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246</v>
      </c>
      <c r="S108" s="39">
        <v>434370</v>
      </c>
      <c r="T108" s="119">
        <f>IFERROR(J108,"")</f>
        <v>0</v>
      </c>
    </row>
    <row r="109" spans="1:20" ht="18" customHeight="1">
      <c r="A109" s="161" t="s">
        <v>249</v>
      </c>
      <c r="B109" s="162"/>
      <c r="C109" s="162"/>
      <c r="D109" s="162"/>
      <c r="E109" s="162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250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260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260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260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260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260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260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260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260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260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260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260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260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9" t="s">
        <v>245</v>
      </c>
      <c r="B122" s="160"/>
      <c r="C122" s="160"/>
      <c r="D122" s="160"/>
      <c r="E122" s="160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246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260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165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260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165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260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321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260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260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142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260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260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138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260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260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206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260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260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260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9" t="s">
        <v>248</v>
      </c>
      <c r="B135" s="160"/>
      <c r="C135" s="160"/>
      <c r="D135" s="160"/>
      <c r="E135" s="160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246</v>
      </c>
      <c r="S135" s="39">
        <v>416350</v>
      </c>
      <c r="T135" s="119">
        <f>IFERROR(J135,"")</f>
        <v>0</v>
      </c>
    </row>
    <row r="136" spans="1:20" ht="18" customHeight="1">
      <c r="A136" s="161" t="s">
        <v>249</v>
      </c>
      <c r="B136" s="162"/>
      <c r="C136" s="162"/>
      <c r="D136" s="162"/>
      <c r="E136" s="162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250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260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322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260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260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212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260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145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260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260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260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260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295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260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260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260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260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9" t="s">
        <v>245</v>
      </c>
      <c r="B149" s="160"/>
      <c r="C149" s="160"/>
      <c r="D149" s="160"/>
      <c r="E149" s="160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246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260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260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260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260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287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260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260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260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260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260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260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260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260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9" t="s">
        <v>248</v>
      </c>
      <c r="B162" s="160"/>
      <c r="C162" s="160"/>
      <c r="D162" s="160"/>
      <c r="E162" s="160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246</v>
      </c>
      <c r="S162" s="39">
        <v>169760</v>
      </c>
      <c r="T162" s="119">
        <f>IFERROR(J162,"")</f>
        <v>0</v>
      </c>
    </row>
    <row r="163" spans="1:20" ht="18" customHeight="1">
      <c r="A163" s="161" t="s">
        <v>249</v>
      </c>
      <c r="B163" s="162"/>
      <c r="C163" s="162"/>
      <c r="D163" s="162"/>
      <c r="E163" s="162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250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260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260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260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323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260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260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260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260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260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260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165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260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165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260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260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9" t="s">
        <v>245</v>
      </c>
      <c r="B176" s="160"/>
      <c r="C176" s="160"/>
      <c r="D176" s="160"/>
      <c r="E176" s="160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246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260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260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260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324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260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130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260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156</v>
      </c>
      <c r="N181" s="33" t="s">
        <v>141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260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298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260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260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260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298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260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260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260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9" t="s">
        <v>248</v>
      </c>
      <c r="B189" s="160"/>
      <c r="C189" s="160"/>
      <c r="D189" s="160"/>
      <c r="E189" s="160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246</v>
      </c>
      <c r="S189" s="39">
        <v>72220</v>
      </c>
      <c r="T189" s="119">
        <f>IFERROR(J189,"")</f>
        <v>0</v>
      </c>
    </row>
    <row r="190" spans="1:20" ht="18" customHeight="1">
      <c r="A190" s="161" t="s">
        <v>249</v>
      </c>
      <c r="B190" s="162"/>
      <c r="C190" s="162"/>
      <c r="D190" s="162"/>
      <c r="E190" s="162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250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260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260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260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260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156</v>
      </c>
      <c r="N194" s="26" t="s">
        <v>190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260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156</v>
      </c>
      <c r="N195" s="26" t="s">
        <v>190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260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260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260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260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260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130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260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130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260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9" t="s">
        <v>245</v>
      </c>
      <c r="B203" s="160"/>
      <c r="C203" s="160"/>
      <c r="D203" s="160"/>
      <c r="E203" s="160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246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260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260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325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260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260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260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260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260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260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260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260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260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260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9" t="s">
        <v>248</v>
      </c>
      <c r="B216" s="160"/>
      <c r="C216" s="160"/>
      <c r="D216" s="160"/>
      <c r="E216" s="160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246</v>
      </c>
      <c r="S216" s="39">
        <v>148720</v>
      </c>
      <c r="T216" s="119">
        <f>IFERROR(J216,"")</f>
        <v>0</v>
      </c>
    </row>
    <row r="217" spans="1:20" ht="18" customHeight="1">
      <c r="A217" s="161" t="s">
        <v>249</v>
      </c>
      <c r="B217" s="162"/>
      <c r="C217" s="162"/>
      <c r="D217" s="162"/>
      <c r="E217" s="162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250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260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142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260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260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165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260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142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326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244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142</v>
      </c>
      <c r="N222" s="26" t="s">
        <v>68</v>
      </c>
      <c r="O222" s="29">
        <v>0.69930555555555551</v>
      </c>
      <c r="P222" s="29" t="s">
        <v>327</v>
      </c>
      <c r="Q222" s="30" t="str">
        <f t="shared" ca="1" si="49"/>
        <v/>
      </c>
      <c r="R222" s="27" t="s">
        <v>328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260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260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260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260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260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260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260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9" t="s">
        <v>245</v>
      </c>
      <c r="B230" s="160"/>
      <c r="C230" s="160"/>
      <c r="D230" s="160"/>
      <c r="E230" s="160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246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260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244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260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244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244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244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244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244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244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244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244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244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9" t="s">
        <v>248</v>
      </c>
      <c r="B243" s="160"/>
      <c r="C243" s="160"/>
      <c r="D243" s="160"/>
      <c r="E243" s="160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246</v>
      </c>
      <c r="S243" s="39">
        <v>352720</v>
      </c>
      <c r="T243" s="119">
        <f>IFERROR(J243,"")</f>
        <v>0</v>
      </c>
    </row>
    <row r="244" spans="1:20" ht="18" customHeight="1">
      <c r="A244" s="161" t="s">
        <v>249</v>
      </c>
      <c r="B244" s="162"/>
      <c r="C244" s="162"/>
      <c r="D244" s="162"/>
      <c r="E244" s="162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250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244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329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244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244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244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260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260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260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260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260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260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244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244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9" t="s">
        <v>245</v>
      </c>
      <c r="B257" s="160"/>
      <c r="C257" s="160"/>
      <c r="D257" s="160"/>
      <c r="E257" s="160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246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260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260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260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260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260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260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260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260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260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260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260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260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9" t="s">
        <v>248</v>
      </c>
      <c r="B270" s="160"/>
      <c r="C270" s="160"/>
      <c r="D270" s="160"/>
      <c r="E270" s="160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246</v>
      </c>
      <c r="S270" s="39">
        <v>327900</v>
      </c>
      <c r="T270" s="119">
        <f>IFERROR(J270,"")</f>
        <v>0</v>
      </c>
    </row>
    <row r="271" spans="1:20" ht="18" customHeight="1">
      <c r="A271" s="161" t="s">
        <v>249</v>
      </c>
      <c r="B271" s="162"/>
      <c r="C271" s="162"/>
      <c r="D271" s="162"/>
      <c r="E271" s="162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250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260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260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260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260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260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260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260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260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260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260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244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260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9" t="s">
        <v>245</v>
      </c>
      <c r="B284" s="160"/>
      <c r="C284" s="160"/>
      <c r="D284" s="160"/>
      <c r="E284" s="160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246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244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244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260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244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244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244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244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244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244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244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244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244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9" t="s">
        <v>248</v>
      </c>
      <c r="B297" s="160"/>
      <c r="C297" s="160"/>
      <c r="D297" s="160"/>
      <c r="E297" s="160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246</v>
      </c>
      <c r="S297" s="39">
        <v>462190</v>
      </c>
      <c r="T297" s="119">
        <f>IFERROR(J297,"")</f>
        <v>0</v>
      </c>
    </row>
    <row r="298" spans="1:20" ht="18" customHeight="1">
      <c r="A298" s="161" t="s">
        <v>249</v>
      </c>
      <c r="B298" s="162"/>
      <c r="C298" s="162"/>
      <c r="D298" s="162"/>
      <c r="E298" s="162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250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260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206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260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206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260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191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260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260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260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260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260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260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260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260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260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9" t="s">
        <v>245</v>
      </c>
      <c r="B311" s="160"/>
      <c r="C311" s="160"/>
      <c r="D311" s="160"/>
      <c r="E311" s="160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246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260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260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145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260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260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142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260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142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260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260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260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260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260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260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260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9" t="s">
        <v>248</v>
      </c>
      <c r="B324" s="160"/>
      <c r="C324" s="160"/>
      <c r="D324" s="160"/>
      <c r="E324" s="160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246</v>
      </c>
      <c r="S324" s="39">
        <v>289490</v>
      </c>
      <c r="T324" s="119">
        <f>IFERROR(J324,"")</f>
        <v>41.68656</v>
      </c>
    </row>
    <row r="325" spans="1:20" ht="18" customHeight="1">
      <c r="A325" s="161" t="s">
        <v>249</v>
      </c>
      <c r="B325" s="162"/>
      <c r="C325" s="162"/>
      <c r="D325" s="162"/>
      <c r="E325" s="162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250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244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145</v>
      </c>
      <c r="N326" s="26" t="s">
        <v>137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305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244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145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330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244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133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244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145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306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244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260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260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260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260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260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260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260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9" t="s">
        <v>245</v>
      </c>
      <c r="B338" s="160"/>
      <c r="C338" s="160"/>
      <c r="D338" s="160"/>
      <c r="E338" s="160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246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260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260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142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260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142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260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260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260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260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260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260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260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260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260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9" t="s">
        <v>248</v>
      </c>
      <c r="B351" s="160"/>
      <c r="C351" s="160"/>
      <c r="D351" s="160"/>
      <c r="E351" s="160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246</v>
      </c>
      <c r="S351" s="39">
        <v>256170</v>
      </c>
      <c r="T351" s="119">
        <f>IFERROR(J351,"")</f>
        <v>53.795699999999997</v>
      </c>
    </row>
    <row r="352" spans="1:20" ht="18" customHeight="1">
      <c r="A352" s="161" t="s">
        <v>249</v>
      </c>
      <c r="B352" s="162"/>
      <c r="C352" s="162"/>
      <c r="D352" s="162"/>
      <c r="E352" s="162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250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260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260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287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260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165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260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260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142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260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260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260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260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260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260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260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9" t="s">
        <v>245</v>
      </c>
      <c r="B365" s="160"/>
      <c r="C365" s="160"/>
      <c r="D365" s="160"/>
      <c r="E365" s="160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246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260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260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142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260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212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260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260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260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260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260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260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260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260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260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9" t="s">
        <v>248</v>
      </c>
      <c r="B378" s="160"/>
      <c r="C378" s="160"/>
      <c r="D378" s="160"/>
      <c r="E378" s="160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246</v>
      </c>
      <c r="S378" s="39">
        <v>360560</v>
      </c>
      <c r="T378" s="119">
        <f>IFERROR(J378,"")</f>
        <v>75.71759999999999</v>
      </c>
    </row>
    <row r="379" spans="1:20" ht="18" customHeight="1">
      <c r="A379" s="161" t="s">
        <v>249</v>
      </c>
      <c r="B379" s="162"/>
      <c r="C379" s="162"/>
      <c r="D379" s="162"/>
      <c r="E379" s="162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250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260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260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260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331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260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309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260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260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260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260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260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260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260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9" t="s">
        <v>245</v>
      </c>
      <c r="B392" s="160"/>
      <c r="C392" s="160"/>
      <c r="D392" s="160"/>
      <c r="E392" s="160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246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260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260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260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165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260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165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260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260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260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260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260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260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260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260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9" t="s">
        <v>248</v>
      </c>
      <c r="B405" s="160"/>
      <c r="C405" s="160"/>
      <c r="D405" s="160"/>
      <c r="E405" s="160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246</v>
      </c>
      <c r="S405" s="39">
        <v>489360</v>
      </c>
      <c r="T405" s="119">
        <f>IFERROR(J405,"")</f>
        <v>99.305125714285708</v>
      </c>
    </row>
    <row r="406" spans="1:20" ht="18" customHeight="1">
      <c r="A406" s="161" t="s">
        <v>249</v>
      </c>
      <c r="B406" s="162"/>
      <c r="C406" s="162"/>
      <c r="D406" s="162"/>
      <c r="E406" s="162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250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260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260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332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260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260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260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260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260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260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260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260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260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260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9" t="s">
        <v>245</v>
      </c>
      <c r="B419" s="160"/>
      <c r="C419" s="160"/>
      <c r="D419" s="160"/>
      <c r="E419" s="160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246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260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26.363414634146341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3.7963317073170728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>
        <v>0.8979166666666667</v>
      </c>
      <c r="Q420" s="30">
        <f t="shared" ref="Q420:Q431" ca="1" si="102">IFERROR(IF(O420="","",IF(P420="",MOD(NOW()-O420,1),IF(P420&gt;=O420,P420-O420,P420+1-O420))),"")</f>
        <v>2.9166666666666674E-2</v>
      </c>
      <c r="R420" s="86" t="s">
        <v>333</v>
      </c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260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13.181707317073171</v>
      </c>
      <c r="I421" s="135">
        <f>IFERROR(IF($D421="","",VLOOKUP($D421,Cadastro!$C$4:$G$7,5,FALSE)),"")</f>
        <v>0.6</v>
      </c>
      <c r="J421" s="136">
        <f t="shared" si="100"/>
        <v>1.8981658536585364</v>
      </c>
      <c r="K421" s="34">
        <f t="shared" si="101"/>
        <v>12.600000000000001</v>
      </c>
      <c r="L421" s="33" t="s">
        <v>27</v>
      </c>
      <c r="M421" s="33" t="s">
        <v>54</v>
      </c>
      <c r="N421" s="33" t="s">
        <v>69</v>
      </c>
      <c r="O421" s="29">
        <v>0.9145833333333333</v>
      </c>
      <c r="P421" s="29">
        <v>0.95138888888888884</v>
      </c>
      <c r="Q421" s="85">
        <f t="shared" ca="1" si="102"/>
        <v>3.6805555555555536E-2</v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260</v>
      </c>
      <c r="F422" s="134">
        <f>IFERROR(IF($D422="","",VLOOKUP($D422,Cadastro!$C$4:$E$7,3,FALSE)),"")</f>
        <v>0.24</v>
      </c>
      <c r="G422" s="105">
        <v>2</v>
      </c>
      <c r="H422" s="134">
        <f>IFERROR(IF($G422="","",$G422*$S$432/$G$432/Cadastro!$E$33),"")</f>
        <v>8.7878048780487799</v>
      </c>
      <c r="I422" s="135">
        <f>IFERROR(IF($D422="","",VLOOKUP($D422,Cadastro!$C$4:$G$7,5,FALSE)),"")</f>
        <v>0.6</v>
      </c>
      <c r="J422" s="136">
        <f t="shared" si="100"/>
        <v>1.265443902439024</v>
      </c>
      <c r="K422" s="28">
        <f t="shared" si="101"/>
        <v>8.4</v>
      </c>
      <c r="L422" s="26" t="s">
        <v>27</v>
      </c>
      <c r="M422" s="26" t="s">
        <v>165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2"/>
        <v>1.0416666666666741E-2</v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260</v>
      </c>
      <c r="F423" s="134">
        <f>IFERROR(IF($D423="","",VLOOKUP($D423,Cadastro!$C$4:$E$7,3,FALSE)),"")</f>
        <v>0.24</v>
      </c>
      <c r="G423" s="105">
        <v>2</v>
      </c>
      <c r="H423" s="134">
        <f>IFERROR(IF($G423="","",$G423*$S$432/$G$432/Cadastro!$E$33),"")</f>
        <v>8.7878048780487799</v>
      </c>
      <c r="I423" s="135">
        <f>IFERROR(IF($D423="","",VLOOKUP($D423,Cadastro!$C$4:$G$7,5,FALSE)),"")</f>
        <v>0.6</v>
      </c>
      <c r="J423" s="136">
        <f t="shared" si="100"/>
        <v>1.265443902439024</v>
      </c>
      <c r="K423" s="34">
        <f t="shared" si="101"/>
        <v>8.4</v>
      </c>
      <c r="L423" s="33" t="s">
        <v>27</v>
      </c>
      <c r="M423" s="33" t="s">
        <v>54</v>
      </c>
      <c r="N423" s="33" t="s">
        <v>63</v>
      </c>
      <c r="O423" s="29">
        <v>9.0277777777777776E-2</v>
      </c>
      <c r="P423" s="29">
        <v>9.8611111111111108E-2</v>
      </c>
      <c r="Q423" s="35">
        <f t="shared" ca="1" si="102"/>
        <v>8.3333333333333315E-3</v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260</v>
      </c>
      <c r="F424" s="134">
        <f>IFERROR(IF($D424="","",VLOOKUP($D424,Cadastro!$C$4:$E$7,3,FALSE)),"")</f>
        <v>0.24</v>
      </c>
      <c r="G424" s="105">
        <v>4</v>
      </c>
      <c r="H424" s="134">
        <f>IFERROR(IF($G424="","",$G424*$S$432/$G$432/Cadastro!$E$33),"")</f>
        <v>17.57560975609756</v>
      </c>
      <c r="I424" s="135">
        <f>IFERROR(IF($D424="","",VLOOKUP($D424,Cadastro!$C$4:$G$7,5,FALSE)),"")</f>
        <v>0.6</v>
      </c>
      <c r="J424" s="136">
        <f t="shared" si="100"/>
        <v>2.5308878048780481</v>
      </c>
      <c r="K424" s="28">
        <f t="shared" si="101"/>
        <v>16.8</v>
      </c>
      <c r="L424" s="26" t="s">
        <v>27</v>
      </c>
      <c r="M424" s="26" t="s">
        <v>54</v>
      </c>
      <c r="N424" s="26" t="s">
        <v>35</v>
      </c>
      <c r="O424" s="29">
        <v>0.25277777777777777</v>
      </c>
      <c r="P424" s="29">
        <v>0.26041666666666669</v>
      </c>
      <c r="Q424" s="30">
        <f t="shared" ca="1" si="102"/>
        <v>7.6388888888889173E-3</v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260</v>
      </c>
      <c r="F425" s="134">
        <f>IFERROR(IF($D425="","",VLOOKUP($D425,Cadastro!$C$4:$E$7,3,FALSE)),"")</f>
        <v>0.24</v>
      </c>
      <c r="G425" s="105">
        <v>4</v>
      </c>
      <c r="H425" s="134">
        <f>IFERROR(IF($G425="","",$G425*$S$432/$G$432/Cadastro!$E$33),"")</f>
        <v>17.57560975609756</v>
      </c>
      <c r="I425" s="135">
        <f>IFERROR(IF($D425="","",VLOOKUP($D425,Cadastro!$C$4:$G$7,5,FALSE)),"")</f>
        <v>0.6</v>
      </c>
      <c r="J425" s="136">
        <f t="shared" si="100"/>
        <v>2.5308878048780481</v>
      </c>
      <c r="K425" s="34">
        <f t="shared" si="101"/>
        <v>16.8</v>
      </c>
      <c r="L425" s="33" t="s">
        <v>27</v>
      </c>
      <c r="M425" s="33" t="s">
        <v>165</v>
      </c>
      <c r="N425" s="33" t="s">
        <v>81</v>
      </c>
      <c r="O425" s="29">
        <v>0.2673611111111111</v>
      </c>
      <c r="P425" s="29">
        <v>0.28472222222222221</v>
      </c>
      <c r="Q425" s="35">
        <f t="shared" ca="1" si="102"/>
        <v>1.7361111111111105E-2</v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260</v>
      </c>
      <c r="F426" s="134">
        <f>IFERROR(IF($D426="","",VLOOKUP($D426,Cadastro!$C$4:$E$7,3,FALSE)),"")</f>
        <v>0.24</v>
      </c>
      <c r="G426" s="105">
        <v>5</v>
      </c>
      <c r="H426" s="134">
        <f>IFERROR(IF($G426="","",$G426*$S$432/$G$432/Cadastro!$E$33),"")</f>
        <v>21.969512195121951</v>
      </c>
      <c r="I426" s="135">
        <f>IFERROR(IF($D426="","",VLOOKUP($D426,Cadastro!$C$4:$G$7,5,FALSE)),"")</f>
        <v>0.6</v>
      </c>
      <c r="J426" s="136">
        <f t="shared" si="100"/>
        <v>3.1636097560975607</v>
      </c>
      <c r="K426" s="28">
        <f t="shared" si="101"/>
        <v>21</v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260</v>
      </c>
      <c r="F427" s="134">
        <f>IFERROR(IF($D427="","",VLOOKUP($D427,Cadastro!$C$4:$E$7,3,FALSE)),"")</f>
        <v>0.24</v>
      </c>
      <c r="G427" s="105">
        <v>4</v>
      </c>
      <c r="H427" s="134">
        <f>IFERROR(IF($G427="","",$G427*$S$432/$G$432/Cadastro!$E$33),"")</f>
        <v>17.57560975609756</v>
      </c>
      <c r="I427" s="135">
        <f>IFERROR(IF($D427="","",VLOOKUP($D427,Cadastro!$C$4:$G$7,5,FALSE)),"")</f>
        <v>0.6</v>
      </c>
      <c r="J427" s="136">
        <f t="shared" si="100"/>
        <v>2.5308878048780481</v>
      </c>
      <c r="K427" s="34">
        <f t="shared" si="101"/>
        <v>16.8</v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260</v>
      </c>
      <c r="F428" s="134">
        <f>IFERROR(IF($D428="","",VLOOKUP($D428,Cadastro!$C$4:$E$7,3,FALSE)),"")</f>
        <v>0.24</v>
      </c>
      <c r="G428" s="105">
        <v>0</v>
      </c>
      <c r="H428" s="134">
        <f>IFERROR(IF($G428="","",$G428*$S$432/$G$432/Cadastro!$E$33),"")</f>
        <v>0</v>
      </c>
      <c r="I428" s="135">
        <f>IFERROR(IF($D428="","",VLOOKUP($D428,Cadastro!$C$4:$G$7,5,FALSE)),"")</f>
        <v>0.6</v>
      </c>
      <c r="J428" s="136">
        <f t="shared" si="100"/>
        <v>0</v>
      </c>
      <c r="K428" s="28">
        <f t="shared" si="101"/>
        <v>0</v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260</v>
      </c>
      <c r="F429" s="134">
        <f>IFERROR(IF($D429="","",VLOOKUP($D429,Cadastro!$C$4:$E$7,3,FALSE)),"")</f>
        <v>0.24</v>
      </c>
      <c r="G429" s="105">
        <v>5</v>
      </c>
      <c r="H429" s="134">
        <f>IFERROR(IF($G429="","",$G429*$S$432/$G$432/Cadastro!$E$33),"")</f>
        <v>21.969512195121951</v>
      </c>
      <c r="I429" s="135">
        <f>IFERROR(IF($D429="","",VLOOKUP($D429,Cadastro!$C$4:$G$7,5,FALSE)),"")</f>
        <v>0.6</v>
      </c>
      <c r="J429" s="136">
        <f t="shared" si="100"/>
        <v>3.1636097560975607</v>
      </c>
      <c r="K429" s="34">
        <f t="shared" si="101"/>
        <v>21</v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260</v>
      </c>
      <c r="F430" s="134">
        <f>IFERROR(IF($D430="","",VLOOKUP($D430,Cadastro!$C$4:$E$7,3,FALSE)),"")</f>
        <v>0.24</v>
      </c>
      <c r="G430" s="105">
        <v>6</v>
      </c>
      <c r="H430" s="134">
        <f>IFERROR(IF($G430="","",$G430*$S$432/$G$432/Cadastro!$E$33),"")</f>
        <v>26.363414634146341</v>
      </c>
      <c r="I430" s="135">
        <f>IFERROR(IF($D430="","",VLOOKUP($D430,Cadastro!$C$4:$G$7,5,FALSE)),"")</f>
        <v>0.6</v>
      </c>
      <c r="J430" s="136">
        <f t="shared" si="100"/>
        <v>3.7963317073170728</v>
      </c>
      <c r="K430" s="28">
        <f t="shared" si="101"/>
        <v>25.200000000000003</v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260</v>
      </c>
      <c r="F431" s="137">
        <f>IFERROR(IF($D431="","",VLOOKUP($D431,Cadastro!$C$4:$E$7,3,FALSE)),"")</f>
        <v>0.24</v>
      </c>
      <c r="G431" s="105">
        <v>0</v>
      </c>
      <c r="H431" s="137">
        <f>IFERROR(IF($G431="","",$G431*$S$432/$G$432/Cadastro!$E$33),"")</f>
        <v>0</v>
      </c>
      <c r="I431" s="138">
        <f>IFERROR(IF($D431="","",VLOOKUP($D431,Cadastro!$C$4:$G$7,5,FALSE)),"")</f>
        <v>0.6</v>
      </c>
      <c r="J431" s="139">
        <f t="shared" si="100"/>
        <v>0</v>
      </c>
      <c r="K431" s="34">
        <f t="shared" si="101"/>
        <v>0</v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9" t="s">
        <v>248</v>
      </c>
      <c r="B432" s="160"/>
      <c r="C432" s="160"/>
      <c r="D432" s="160"/>
      <c r="E432" s="160">
        <f>SUM(E420:E431)</f>
        <v>0</v>
      </c>
      <c r="F432" s="111"/>
      <c r="G432" s="80">
        <f>SUM(G420:G431)</f>
        <v>41</v>
      </c>
      <c r="H432" s="111">
        <f>IFERROR(SUM(H420:H431),"")</f>
        <v>180.15</v>
      </c>
      <c r="I432" s="115"/>
      <c r="J432" s="124">
        <f>IFERROR(SUM(J420:J431),"")</f>
        <v>25.941599999999998</v>
      </c>
      <c r="K432" s="36">
        <f>SUM(K420:K431)</f>
        <v>172.2</v>
      </c>
      <c r="L432" s="37"/>
      <c r="M432" s="37"/>
      <c r="N432" s="37"/>
      <c r="O432" s="37"/>
      <c r="P432" s="37"/>
      <c r="Q432" s="38">
        <f ca="1">IFERROR(SUM(Q420:Q431),"")</f>
        <v>0.1097222222222223</v>
      </c>
      <c r="R432" s="36" t="s">
        <v>246</v>
      </c>
      <c r="S432" s="39">
        <v>180150</v>
      </c>
      <c r="T432" s="119">
        <f>IFERROR(J432,"")</f>
        <v>25.941599999999998</v>
      </c>
    </row>
    <row r="433" spans="1:20" ht="18" customHeight="1">
      <c r="A433" s="161" t="s">
        <v>249</v>
      </c>
      <c r="B433" s="162"/>
      <c r="C433" s="162"/>
      <c r="D433" s="162"/>
      <c r="E433" s="162">
        <f>E419+E432</f>
        <v>0</v>
      </c>
      <c r="F433" s="112"/>
      <c r="G433" s="91">
        <f>G419+G432</f>
        <v>162</v>
      </c>
      <c r="H433" s="112">
        <f>IFERROR(H419+H432,"")</f>
        <v>627.77</v>
      </c>
      <c r="I433" s="116"/>
      <c r="J433" s="125">
        <f>IFERROR(J419+J432,"")</f>
        <v>90.398879999999991</v>
      </c>
      <c r="K433" s="40">
        <f>K419+K432</f>
        <v>680.40000000000009</v>
      </c>
      <c r="L433" s="41"/>
      <c r="M433" s="41"/>
      <c r="N433" s="41"/>
      <c r="O433" s="41"/>
      <c r="P433" s="41"/>
      <c r="Q433" s="42">
        <f ca="1">IFERROR(Q419+Q432,"")</f>
        <v>0.18263888888888904</v>
      </c>
      <c r="R433" s="40" t="s">
        <v>250</v>
      </c>
      <c r="S433" s="48">
        <f>IFERROR(S419+S432,"")</f>
        <v>627770</v>
      </c>
      <c r="T433" s="121">
        <f>IFERROR(J433,"")</f>
        <v>90.398879999999991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260</v>
      </c>
      <c r="F434" s="140">
        <f>IFERROR(IF($D434="","",VLOOKUP($D434,Cadastro!$C$4:$E$7,3,FALSE)),"")</f>
        <v>0.35</v>
      </c>
      <c r="G434" s="105">
        <v>6</v>
      </c>
      <c r="H434" s="140">
        <f>IFERROR(IF($G434="","",$G434*$S$446/$G$446/Cadastro!$E$33),"")</f>
        <v>27.478588235294119</v>
      </c>
      <c r="I434" s="141">
        <f>IFERROR(IF($D434="","",VLOOKUP($D434,Cadastro!$C$4:$G$7,5,FALSE)),"")</f>
        <v>0.6</v>
      </c>
      <c r="J434" s="142">
        <f t="shared" ref="J434:J445" si="104">IFERROR(IF($H434="","",$H434*$F434*$I434),"")</f>
        <v>5.7705035294117639</v>
      </c>
      <c r="K434" s="28">
        <f t="shared" ref="K434:K445" si="105">IF(G434="","",IF(E434="PC 17",G434*4.2,IF(E434="PC 19",G434*5,IF(E434="CB",G434*24,""))))</f>
        <v>25.200000000000003</v>
      </c>
      <c r="L434" s="26" t="s">
        <v>27</v>
      </c>
      <c r="M434" s="26" t="s">
        <v>54</v>
      </c>
      <c r="N434" s="26" t="s">
        <v>63</v>
      </c>
      <c r="O434" s="29">
        <v>0.34513888888888888</v>
      </c>
      <c r="P434" s="29">
        <v>0.35486111111111113</v>
      </c>
      <c r="Q434" s="30">
        <f t="shared" ref="Q434:Q445" ca="1" si="106">IFERROR(IF(O434="","",IF(P434="",MOD(NOW()-O434,1),IF(P434&gt;=O434,P434-O434,P434+1-O434))),"")</f>
        <v>9.7222222222222432E-3</v>
      </c>
      <c r="R434" s="27" t="s">
        <v>334</v>
      </c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 t="s">
        <v>52</v>
      </c>
      <c r="D435" s="59" t="s">
        <v>29</v>
      </c>
      <c r="E435" s="108" t="s">
        <v>260</v>
      </c>
      <c r="F435" s="134">
        <f>IFERROR(IF($D435="","",VLOOKUP($D435,Cadastro!$C$4:$E$7,3,FALSE)),"")</f>
        <v>0.35</v>
      </c>
      <c r="G435" s="105">
        <v>3</v>
      </c>
      <c r="H435" s="134">
        <f>IFERROR(IF($G435="","",$G435*$S$446/$G$446/Cadastro!$E$33),"")</f>
        <v>13.739294117647059</v>
      </c>
      <c r="I435" s="135">
        <f>IFERROR(IF($D435="","",VLOOKUP($D435,Cadastro!$C$4:$G$7,5,FALSE)),"")</f>
        <v>0.6</v>
      </c>
      <c r="J435" s="136">
        <f t="shared" si="104"/>
        <v>2.885251764705882</v>
      </c>
      <c r="K435" s="28">
        <f t="shared" si="105"/>
        <v>12.600000000000001</v>
      </c>
      <c r="L435" s="33" t="s">
        <v>26</v>
      </c>
      <c r="M435" s="33" t="s">
        <v>54</v>
      </c>
      <c r="N435" s="33" t="s">
        <v>34</v>
      </c>
      <c r="O435" s="29">
        <v>0.55555555555555558</v>
      </c>
      <c r="P435" s="29">
        <v>0.57291666666666663</v>
      </c>
      <c r="Q435" s="35">
        <f t="shared" ca="1" si="106"/>
        <v>1.7361111111111049E-2</v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 t="s">
        <v>52</v>
      </c>
      <c r="D436" s="59" t="s">
        <v>29</v>
      </c>
      <c r="E436" s="108" t="s">
        <v>260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50.377411764705883</v>
      </c>
      <c r="I436" s="135">
        <f>IFERROR(IF($D436="","",VLOOKUP($D436,Cadastro!$C$4:$G$7,5,FALSE)),"")</f>
        <v>0.6</v>
      </c>
      <c r="J436" s="136">
        <f t="shared" si="104"/>
        <v>10.579256470588234</v>
      </c>
      <c r="K436" s="28">
        <f t="shared" si="105"/>
        <v>46.2</v>
      </c>
      <c r="L436" s="26" t="s">
        <v>27</v>
      </c>
      <c r="M436" s="26" t="s">
        <v>54</v>
      </c>
      <c r="N436" s="26" t="s">
        <v>58</v>
      </c>
      <c r="O436" s="29">
        <v>0.7319444444444444</v>
      </c>
      <c r="P436" s="29">
        <v>0.75</v>
      </c>
      <c r="Q436" s="30">
        <f t="shared" ca="1" si="106"/>
        <v>1.8055555555555602E-2</v>
      </c>
      <c r="R436" s="27" t="s">
        <v>334</v>
      </c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 t="s">
        <v>52</v>
      </c>
      <c r="D437" s="59" t="s">
        <v>29</v>
      </c>
      <c r="E437" s="108" t="s">
        <v>260</v>
      </c>
      <c r="F437" s="134">
        <f>IFERROR(IF($D437="","",VLOOKUP($D437,Cadastro!$C$4:$E$7,3,FALSE)),"")</f>
        <v>0.35</v>
      </c>
      <c r="G437" s="105">
        <v>12</v>
      </c>
      <c r="H437" s="134">
        <f>IFERROR(IF($G437="","",$G437*$S$446/$G$446/Cadastro!$E$33),"")</f>
        <v>54.957176470588237</v>
      </c>
      <c r="I437" s="135">
        <f>IFERROR(IF($D437="","",VLOOKUP($D437,Cadastro!$C$4:$G$7,5,FALSE)),"")</f>
        <v>0.6</v>
      </c>
      <c r="J437" s="136">
        <f t="shared" si="104"/>
        <v>11.541007058823528</v>
      </c>
      <c r="K437" s="34">
        <f t="shared" si="105"/>
        <v>50.400000000000006</v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 t="s">
        <v>52</v>
      </c>
      <c r="D438" s="59" t="s">
        <v>29</v>
      </c>
      <c r="E438" s="108" t="s">
        <v>260</v>
      </c>
      <c r="F438" s="134">
        <f>IFERROR(IF($D438="","",VLOOKUP($D438,Cadastro!$C$4:$E$7,3,FALSE)),"")</f>
        <v>0.35</v>
      </c>
      <c r="G438" s="105">
        <v>0</v>
      </c>
      <c r="H438" s="134">
        <f>IFERROR(IF($G438="","",$G438*$S$446/$G$446/Cadastro!$E$33),"")</f>
        <v>0</v>
      </c>
      <c r="I438" s="135">
        <f>IFERROR(IF($D438="","",VLOOKUP($D438,Cadastro!$C$4:$G$7,5,FALSE)),"")</f>
        <v>0.6</v>
      </c>
      <c r="J438" s="136">
        <f t="shared" si="104"/>
        <v>0</v>
      </c>
      <c r="K438" s="28">
        <f t="shared" si="105"/>
        <v>0</v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 t="s">
        <v>52</v>
      </c>
      <c r="D439" s="59" t="s">
        <v>29</v>
      </c>
      <c r="E439" s="108" t="s">
        <v>260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45.797647058823529</v>
      </c>
      <c r="I439" s="135">
        <f>IFERROR(IF($D439="","",VLOOKUP($D439,Cadastro!$C$4:$G$7,5,FALSE)),"")</f>
        <v>0.6</v>
      </c>
      <c r="J439" s="136">
        <f t="shared" si="104"/>
        <v>9.6175058823529387</v>
      </c>
      <c r="K439" s="34">
        <f t="shared" si="105"/>
        <v>42</v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 t="s">
        <v>52</v>
      </c>
      <c r="D440" s="59" t="s">
        <v>29</v>
      </c>
      <c r="E440" s="108" t="s">
        <v>260</v>
      </c>
      <c r="F440" s="134">
        <f>IFERROR(IF($D440="","",VLOOKUP($D440,Cadastro!$C$4:$E$7,3,FALSE)),"")</f>
        <v>0.35</v>
      </c>
      <c r="G440" s="105">
        <v>2</v>
      </c>
      <c r="H440" s="134">
        <f>IFERROR(IF($G440="","",$G440*$S$446/$G$446/Cadastro!$E$33),"")</f>
        <v>9.1595294117647068</v>
      </c>
      <c r="I440" s="135">
        <f>IFERROR(IF($D440="","",VLOOKUP($D440,Cadastro!$C$4:$G$7,5,FALSE)),"")</f>
        <v>0.6</v>
      </c>
      <c r="J440" s="136">
        <f t="shared" si="104"/>
        <v>1.9235011764705883</v>
      </c>
      <c r="K440" s="28">
        <f t="shared" si="105"/>
        <v>8.4</v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 t="s">
        <v>52</v>
      </c>
      <c r="D441" s="59" t="s">
        <v>29</v>
      </c>
      <c r="E441" s="108" t="s">
        <v>260</v>
      </c>
      <c r="F441" s="134">
        <f>IFERROR(IF($D441="","",VLOOKUP($D441,Cadastro!$C$4:$E$7,3,FALSE)),"")</f>
        <v>0.35</v>
      </c>
      <c r="G441" s="105">
        <v>13</v>
      </c>
      <c r="H441" s="134">
        <f>IFERROR(IF($G441="","",$G441*$S$446/$G$446/Cadastro!$E$33),"")</f>
        <v>59.536941176470584</v>
      </c>
      <c r="I441" s="135">
        <f>IFERROR(IF($D441="","",VLOOKUP($D441,Cadastro!$C$4:$G$7,5,FALSE)),"")</f>
        <v>0.6</v>
      </c>
      <c r="J441" s="136">
        <f t="shared" si="104"/>
        <v>12.502757647058823</v>
      </c>
      <c r="K441" s="34">
        <f t="shared" si="105"/>
        <v>54.6</v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 t="s">
        <v>52</v>
      </c>
      <c r="D442" s="59" t="s">
        <v>29</v>
      </c>
      <c r="E442" s="108" t="s">
        <v>260</v>
      </c>
      <c r="F442" s="134">
        <f>IFERROR(IF($D442="","",VLOOKUP($D442,Cadastro!$C$4:$E$7,3,FALSE)),"")</f>
        <v>0.35</v>
      </c>
      <c r="G442" s="105">
        <v>11</v>
      </c>
      <c r="H442" s="134">
        <f>IFERROR(IF($G442="","",$G442*$S$446/$G$446/Cadastro!$E$33),"")</f>
        <v>50.377411764705883</v>
      </c>
      <c r="I442" s="135">
        <f>IFERROR(IF($D442="","",VLOOKUP($D442,Cadastro!$C$4:$G$7,5,FALSE)),"")</f>
        <v>0.6</v>
      </c>
      <c r="J442" s="136">
        <f t="shared" si="104"/>
        <v>10.579256470588234</v>
      </c>
      <c r="K442" s="28">
        <f t="shared" si="105"/>
        <v>46.2</v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 t="s">
        <v>52</v>
      </c>
      <c r="D443" s="59" t="s">
        <v>29</v>
      </c>
      <c r="E443" s="108" t="s">
        <v>260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41.217882352941174</v>
      </c>
      <c r="I443" s="135">
        <f>IFERROR(IF($D443="","",VLOOKUP($D443,Cadastro!$C$4:$G$7,5,FALSE)),"")</f>
        <v>0.6</v>
      </c>
      <c r="J443" s="136">
        <f t="shared" si="104"/>
        <v>8.6557552941176468</v>
      </c>
      <c r="K443" s="34">
        <f t="shared" si="105"/>
        <v>37.800000000000004</v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 t="s">
        <v>52</v>
      </c>
      <c r="D444" s="59" t="s">
        <v>29</v>
      </c>
      <c r="E444" s="108" t="s">
        <v>260</v>
      </c>
      <c r="F444" s="134">
        <f>IFERROR(IF($D444="","",VLOOKUP($D444,Cadastro!$C$4:$E$7,3,FALSE)),"")</f>
        <v>0.35</v>
      </c>
      <c r="G444" s="105">
        <v>8</v>
      </c>
      <c r="H444" s="134">
        <f>IFERROR(IF($G444="","",$G444*$S$446/$G$446/Cadastro!$E$33),"")</f>
        <v>36.638117647058827</v>
      </c>
      <c r="I444" s="135">
        <f>IFERROR(IF($D444="","",VLOOKUP($D444,Cadastro!$C$4:$G$7,5,FALSE)),"")</f>
        <v>0.6</v>
      </c>
      <c r="J444" s="136">
        <f t="shared" si="104"/>
        <v>7.6940047058823531</v>
      </c>
      <c r="K444" s="28">
        <f t="shared" si="105"/>
        <v>33.6</v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 t="s">
        <v>52</v>
      </c>
      <c r="D445" s="59" t="s">
        <v>29</v>
      </c>
      <c r="E445" s="108" t="s">
        <v>260</v>
      </c>
      <c r="F445" s="137">
        <f>IFERROR(IF($D445="","",VLOOKUP($D445,Cadastro!$C$4:$E$7,3,FALSE)),"")</f>
        <v>0.35</v>
      </c>
      <c r="G445" s="105">
        <v>0</v>
      </c>
      <c r="H445" s="137">
        <f>IFERROR(IF($G445="","",$G445*$S$446/$G$446/Cadastro!$E$33),"")</f>
        <v>0</v>
      </c>
      <c r="I445" s="138">
        <f>IFERROR(IF($D445="","",VLOOKUP($D445,Cadastro!$C$4:$G$7,5,FALSE)),"")</f>
        <v>0.6</v>
      </c>
      <c r="J445" s="139">
        <f t="shared" si="104"/>
        <v>0</v>
      </c>
      <c r="K445" s="34">
        <f t="shared" si="105"/>
        <v>0</v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9" t="s">
        <v>245</v>
      </c>
      <c r="B446" s="160"/>
      <c r="C446" s="160"/>
      <c r="D446" s="160"/>
      <c r="E446" s="160">
        <f>SUM(E434:E445)</f>
        <v>0</v>
      </c>
      <c r="F446" s="110"/>
      <c r="G446" s="80">
        <f>SUM(G434:G445)</f>
        <v>85</v>
      </c>
      <c r="H446" s="110">
        <f>IFERROR(SUM(H434:H445),"")</f>
        <v>389.28</v>
      </c>
      <c r="I446" s="114"/>
      <c r="J446" s="123">
        <f>IFERROR(SUM(J434:J445),"")</f>
        <v>81.748799999999989</v>
      </c>
      <c r="K446" s="36">
        <f>SUM(K434:K445)</f>
        <v>357.00000000000006</v>
      </c>
      <c r="L446" s="37"/>
      <c r="M446" s="37"/>
      <c r="N446" s="37"/>
      <c r="O446" s="37"/>
      <c r="P446" s="37"/>
      <c r="Q446" s="38">
        <f ca="1">IFERROR(SUM(Q434:Q445),"")</f>
        <v>4.5138888888888895E-2</v>
      </c>
      <c r="R446" s="36" t="s">
        <v>246</v>
      </c>
      <c r="S446" s="39">
        <v>389280</v>
      </c>
      <c r="T446" s="119">
        <f>IFERROR(J446,"")</f>
        <v>81.748799999999989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260</v>
      </c>
      <c r="F447" s="140">
        <f>IFERROR(IF($D447="","",VLOOKUP($D447,Cadastro!$C$4:$E$7,3,FALSE)),"")</f>
        <v>0.35</v>
      </c>
      <c r="G447" s="105">
        <v>15</v>
      </c>
      <c r="H447" s="140">
        <f>IFERROR(IF($G447="","",$G447*$S$459/$G$459/Cadastro!$E$33),"")</f>
        <v>0</v>
      </c>
      <c r="I447" s="141">
        <f>IFERROR(IF($D447="","",VLOOKUP($D447,Cadastro!$C$4:$G$7,5,FALSE)),"")</f>
        <v>0.6</v>
      </c>
      <c r="J447" s="142">
        <f t="shared" ref="J447:J458" si="108">IFERROR(IF($H447="","",$H447*$F447*$I447),"")</f>
        <v>0</v>
      </c>
      <c r="K447" s="34">
        <f t="shared" ref="K447:K458" si="109">IF(G447="","",IF(E447="PC 17",G447*4.2,IF(E447="PC 19",G447*5,IF(E447="CB",G447*24,""))))</f>
        <v>63</v>
      </c>
      <c r="L447" s="33" t="s">
        <v>27</v>
      </c>
      <c r="M447" s="33" t="s">
        <v>133</v>
      </c>
      <c r="N447" s="33" t="s">
        <v>217</v>
      </c>
      <c r="O447" s="29">
        <v>0.83333333333333337</v>
      </c>
      <c r="P447" s="29">
        <v>0.84027777777777779</v>
      </c>
      <c r="Q447" s="35">
        <f t="shared" ref="Q447:Q458" ca="1" si="110">IFERROR(IF(O447="","",IF(P447="",MOD(NOW()-O447,1),IF(P447&gt;=O447,P447-O447,P447+1-O447))),"")</f>
        <v>6.9444444444444198E-3</v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 t="s">
        <v>28</v>
      </c>
      <c r="D448" s="62" t="s">
        <v>29</v>
      </c>
      <c r="E448" s="109" t="s">
        <v>260</v>
      </c>
      <c r="F448" s="134">
        <f>IFERROR(IF($D448="","",VLOOKUP($D448,Cadastro!$C$4:$E$7,3,FALSE)),"")</f>
        <v>0.35</v>
      </c>
      <c r="G448" s="105">
        <v>16</v>
      </c>
      <c r="H448" s="134">
        <f>IFERROR(IF($G448="","",$G448*$S$459/$G$459/Cadastro!$E$33),"")</f>
        <v>0</v>
      </c>
      <c r="I448" s="135">
        <f>IFERROR(IF($D448="","",VLOOKUP($D448,Cadastro!$C$4:$G$7,5,FALSE)),"")</f>
        <v>0.6</v>
      </c>
      <c r="J448" s="136">
        <f t="shared" si="108"/>
        <v>0</v>
      </c>
      <c r="K448" s="28">
        <f t="shared" si="109"/>
        <v>67.2</v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 t="s">
        <v>28</v>
      </c>
      <c r="D449" s="62" t="s">
        <v>29</v>
      </c>
      <c r="E449" s="109" t="s">
        <v>260</v>
      </c>
      <c r="F449" s="134">
        <f>IFERROR(IF($D449="","",VLOOKUP($D449,Cadastro!$C$4:$E$7,3,FALSE)),"")</f>
        <v>0.35</v>
      </c>
      <c r="G449" s="105">
        <v>6</v>
      </c>
      <c r="H449" s="134">
        <f>IFERROR(IF($G449="","",$G449*$S$459/$G$459/Cadastro!$E$33),"")</f>
        <v>0</v>
      </c>
      <c r="I449" s="135">
        <f>IFERROR(IF($D449="","",VLOOKUP($D449,Cadastro!$C$4:$G$7,5,FALSE)),"")</f>
        <v>0.6</v>
      </c>
      <c r="J449" s="136">
        <f t="shared" si="108"/>
        <v>0</v>
      </c>
      <c r="K449" s="34">
        <f t="shared" si="109"/>
        <v>25.200000000000003</v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 t="s">
        <v>28</v>
      </c>
      <c r="D450" s="62" t="s">
        <v>29</v>
      </c>
      <c r="E450" s="109" t="s">
        <v>260</v>
      </c>
      <c r="F450" s="134">
        <f>IFERROR(IF($D450="","",VLOOKUP($D450,Cadastro!$C$4:$E$7,3,FALSE)),"")</f>
        <v>0.35</v>
      </c>
      <c r="G450" s="105">
        <v>11</v>
      </c>
      <c r="H450" s="134">
        <f>IFERROR(IF($G450="","",$G450*$S$459/$G$459/Cadastro!$E$33),"")</f>
        <v>0</v>
      </c>
      <c r="I450" s="135">
        <f>IFERROR(IF($D450="","",VLOOKUP($D450,Cadastro!$C$4:$G$7,5,FALSE)),"")</f>
        <v>0.6</v>
      </c>
      <c r="J450" s="136">
        <f t="shared" si="108"/>
        <v>0</v>
      </c>
      <c r="K450" s="28">
        <f t="shared" si="109"/>
        <v>46.2</v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 t="s">
        <v>28</v>
      </c>
      <c r="D451" s="62" t="s">
        <v>29</v>
      </c>
      <c r="E451" s="109" t="s">
        <v>260</v>
      </c>
      <c r="F451" s="134">
        <f>IFERROR(IF($D451="","",VLOOKUP($D451,Cadastro!$C$4:$E$7,3,FALSE)),"")</f>
        <v>0.35</v>
      </c>
      <c r="G451" s="105"/>
      <c r="H451" s="134" t="str">
        <f>IFERROR(IF($G451="","",$G451*$S$459/$G$459/Cadastro!$E$33),"")</f>
        <v/>
      </c>
      <c r="I451" s="135">
        <f>IFERROR(IF($D451="","",VLOOKUP($D451,Cadastro!$C$4:$G$7,5,FALSE)),"")</f>
        <v>0.6</v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 t="s">
        <v>28</v>
      </c>
      <c r="D452" s="62" t="s">
        <v>29</v>
      </c>
      <c r="E452" s="109" t="s">
        <v>260</v>
      </c>
      <c r="F452" s="134">
        <f>IFERROR(IF($D452="","",VLOOKUP($D452,Cadastro!$C$4:$E$7,3,FALSE)),"")</f>
        <v>0.35</v>
      </c>
      <c r="G452" s="105"/>
      <c r="H452" s="134" t="str">
        <f>IFERROR(IF($G452="","",$G452*$S$459/$G$459/Cadastro!$E$33),"")</f>
        <v/>
      </c>
      <c r="I452" s="135">
        <f>IFERROR(IF($D452="","",VLOOKUP($D452,Cadastro!$C$4:$G$7,5,FALSE)),"")</f>
        <v>0.6</v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 t="s">
        <v>28</v>
      </c>
      <c r="D453" s="62" t="s">
        <v>29</v>
      </c>
      <c r="E453" s="109" t="s">
        <v>260</v>
      </c>
      <c r="F453" s="134">
        <f>IFERROR(IF($D453="","",VLOOKUP($D453,Cadastro!$C$4:$E$7,3,FALSE)),"")</f>
        <v>0.35</v>
      </c>
      <c r="G453" s="105"/>
      <c r="H453" s="134" t="str">
        <f>IFERROR(IF($G453="","",$G453*$S$459/$G$459/Cadastro!$E$33),"")</f>
        <v/>
      </c>
      <c r="I453" s="135">
        <f>IFERROR(IF($D453="","",VLOOKUP($D453,Cadastro!$C$4:$G$7,5,FALSE)),"")</f>
        <v>0.6</v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 t="s">
        <v>28</v>
      </c>
      <c r="D454" s="62" t="s">
        <v>29</v>
      </c>
      <c r="E454" s="109" t="s">
        <v>260</v>
      </c>
      <c r="F454" s="134">
        <f>IFERROR(IF($D454="","",VLOOKUP($D454,Cadastro!$C$4:$E$7,3,FALSE)),"")</f>
        <v>0.35</v>
      </c>
      <c r="G454" s="105"/>
      <c r="H454" s="134" t="str">
        <f>IFERROR(IF($G454="","",$G454*$S$459/$G$459/Cadastro!$E$33),"")</f>
        <v/>
      </c>
      <c r="I454" s="135">
        <f>IFERROR(IF($D454="","",VLOOKUP($D454,Cadastro!$C$4:$G$7,5,FALSE)),"")</f>
        <v>0.6</v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 t="s">
        <v>28</v>
      </c>
      <c r="D455" s="62" t="s">
        <v>29</v>
      </c>
      <c r="E455" s="109" t="s">
        <v>260</v>
      </c>
      <c r="F455" s="134">
        <f>IFERROR(IF($D455="","",VLOOKUP($D455,Cadastro!$C$4:$E$7,3,FALSE)),"")</f>
        <v>0.35</v>
      </c>
      <c r="G455" s="105"/>
      <c r="H455" s="134" t="str">
        <f>IFERROR(IF($G455="","",$G455*$S$459/$G$459/Cadastro!$E$33),"")</f>
        <v/>
      </c>
      <c r="I455" s="135">
        <f>IFERROR(IF($D455="","",VLOOKUP($D455,Cadastro!$C$4:$G$7,5,FALSE)),"")</f>
        <v>0.6</v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 t="s">
        <v>28</v>
      </c>
      <c r="D456" s="62" t="s">
        <v>29</v>
      </c>
      <c r="E456" s="109" t="s">
        <v>260</v>
      </c>
      <c r="F456" s="134">
        <f>IFERROR(IF($D456="","",VLOOKUP($D456,Cadastro!$C$4:$E$7,3,FALSE)),"")</f>
        <v>0.35</v>
      </c>
      <c r="G456" s="105"/>
      <c r="H456" s="134" t="str">
        <f>IFERROR(IF($G456="","",$G456*$S$459/$G$459/Cadastro!$E$33),"")</f>
        <v/>
      </c>
      <c r="I456" s="135">
        <f>IFERROR(IF($D456="","",VLOOKUP($D456,Cadastro!$C$4:$G$7,5,FALSE)),"")</f>
        <v>0.6</v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 t="s">
        <v>28</v>
      </c>
      <c r="D457" s="62" t="s">
        <v>29</v>
      </c>
      <c r="E457" s="109" t="s">
        <v>260</v>
      </c>
      <c r="F457" s="134">
        <f>IFERROR(IF($D457="","",VLOOKUP($D457,Cadastro!$C$4:$E$7,3,FALSE)),"")</f>
        <v>0.35</v>
      </c>
      <c r="G457" s="105"/>
      <c r="H457" s="134" t="str">
        <f>IFERROR(IF($G457="","",$G457*$S$459/$G$459/Cadastro!$E$33),"")</f>
        <v/>
      </c>
      <c r="I457" s="135">
        <f>IFERROR(IF($D457="","",VLOOKUP($D457,Cadastro!$C$4:$G$7,5,FALSE)),"")</f>
        <v>0.6</v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 t="s">
        <v>28</v>
      </c>
      <c r="D458" s="62" t="s">
        <v>29</v>
      </c>
      <c r="E458" s="109" t="s">
        <v>260</v>
      </c>
      <c r="F458" s="137">
        <f>IFERROR(IF($D458="","",VLOOKUP($D458,Cadastro!$C$4:$E$7,3,FALSE)),"")</f>
        <v>0.35</v>
      </c>
      <c r="G458" s="105"/>
      <c r="H458" s="137" t="str">
        <f>IFERROR(IF($G458="","",$G458*$S$459/$G$459/Cadastro!$E$33),"")</f>
        <v/>
      </c>
      <c r="I458" s="138">
        <f>IFERROR(IF($D458="","",VLOOKUP($D458,Cadastro!$C$4:$G$7,5,FALSE)),"")</f>
        <v>0.6</v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9" t="s">
        <v>248</v>
      </c>
      <c r="B459" s="160"/>
      <c r="C459" s="160"/>
      <c r="D459" s="160"/>
      <c r="E459" s="160">
        <f>SUM(E447:E458)</f>
        <v>0</v>
      </c>
      <c r="F459" s="111"/>
      <c r="G459" s="80">
        <f>SUM(G447:G458)</f>
        <v>48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201.59999999999997</v>
      </c>
      <c r="L459" s="37"/>
      <c r="M459" s="37"/>
      <c r="N459" s="37"/>
      <c r="O459" s="37"/>
      <c r="P459" s="37"/>
      <c r="Q459" s="38">
        <f ca="1">IFERROR(SUM(Q447:Q458),"")</f>
        <v>6.9444444444444198E-3</v>
      </c>
      <c r="R459" s="36" t="s">
        <v>246</v>
      </c>
      <c r="S459" s="39"/>
      <c r="T459" s="119">
        <f>IFERROR(J459,"")</f>
        <v>0</v>
      </c>
    </row>
    <row r="460" spans="1:20" ht="18" customHeight="1">
      <c r="A460" s="161" t="s">
        <v>249</v>
      </c>
      <c r="B460" s="162"/>
      <c r="C460" s="162"/>
      <c r="D460" s="162"/>
      <c r="E460" s="162">
        <f>E446+E459</f>
        <v>0</v>
      </c>
      <c r="F460" s="112"/>
      <c r="G460" s="91">
        <f>G446+G459</f>
        <v>133</v>
      </c>
      <c r="H460" s="112">
        <f>IFERROR(H446+H459,"")</f>
        <v>389.28</v>
      </c>
      <c r="I460" s="116"/>
      <c r="J460" s="125">
        <f>IFERROR(J446+J459,"")</f>
        <v>81.748799999999989</v>
      </c>
      <c r="K460" s="40">
        <f>K446+K459</f>
        <v>558.6</v>
      </c>
      <c r="L460" s="41"/>
      <c r="M460" s="41"/>
      <c r="N460" s="41"/>
      <c r="O460" s="41"/>
      <c r="P460" s="41"/>
      <c r="Q460" s="42">
        <f ca="1">IFERROR(Q446+Q459,"")</f>
        <v>5.2083333333333315E-2</v>
      </c>
      <c r="R460" s="40" t="s">
        <v>250</v>
      </c>
      <c r="S460" s="48">
        <f>IFERROR(S446+S459,"")</f>
        <v>389280</v>
      </c>
      <c r="T460" s="121">
        <f>IFERROR(J460,"")</f>
        <v>81.748799999999989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9" t="s">
        <v>245</v>
      </c>
      <c r="B473" s="160"/>
      <c r="C473" s="160"/>
      <c r="D473" s="160"/>
      <c r="E473" s="160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246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9" t="s">
        <v>248</v>
      </c>
      <c r="B486" s="160"/>
      <c r="C486" s="160"/>
      <c r="D486" s="160"/>
      <c r="E486" s="160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246</v>
      </c>
      <c r="S486" s="39"/>
      <c r="T486" s="119">
        <f>IFERROR(J486,"")</f>
        <v>0</v>
      </c>
    </row>
    <row r="487" spans="1:20" ht="18" customHeight="1">
      <c r="A487" s="161" t="s">
        <v>249</v>
      </c>
      <c r="B487" s="162"/>
      <c r="C487" s="162"/>
      <c r="D487" s="162"/>
      <c r="E487" s="162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250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9" t="s">
        <v>245</v>
      </c>
      <c r="B500" s="160"/>
      <c r="C500" s="160"/>
      <c r="D500" s="160"/>
      <c r="E500" s="160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246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9" t="s">
        <v>248</v>
      </c>
      <c r="B513" s="160"/>
      <c r="C513" s="160"/>
      <c r="D513" s="160"/>
      <c r="E513" s="160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246</v>
      </c>
      <c r="S513" s="39"/>
      <c r="T513" s="119">
        <f>IFERROR(J513,"")</f>
        <v>0</v>
      </c>
    </row>
    <row r="514" spans="1:20" ht="18" customHeight="1">
      <c r="A514" s="161" t="s">
        <v>249</v>
      </c>
      <c r="B514" s="162"/>
      <c r="C514" s="162"/>
      <c r="D514" s="162"/>
      <c r="E514" s="162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250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9" t="s">
        <v>245</v>
      </c>
      <c r="B527" s="160"/>
      <c r="C527" s="160"/>
      <c r="D527" s="160"/>
      <c r="E527" s="160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246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9" t="s">
        <v>248</v>
      </c>
      <c r="B540" s="160"/>
      <c r="C540" s="160"/>
      <c r="D540" s="160"/>
      <c r="E540" s="160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246</v>
      </c>
      <c r="S540" s="39"/>
      <c r="T540" s="119">
        <f>IFERROR(J540,"")</f>
        <v>0</v>
      </c>
    </row>
    <row r="541" spans="1:20" ht="18" customHeight="1">
      <c r="A541" s="161" t="s">
        <v>249</v>
      </c>
      <c r="B541" s="162"/>
      <c r="C541" s="162"/>
      <c r="D541" s="162"/>
      <c r="E541" s="162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250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9" t="s">
        <v>245</v>
      </c>
      <c r="B554" s="160"/>
      <c r="C554" s="160"/>
      <c r="D554" s="160"/>
      <c r="E554" s="160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246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9" t="s">
        <v>248</v>
      </c>
      <c r="B567" s="160"/>
      <c r="C567" s="160"/>
      <c r="D567" s="160"/>
      <c r="E567" s="160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246</v>
      </c>
      <c r="S567" s="39"/>
      <c r="T567" s="119">
        <f>IFERROR(J567,"")</f>
        <v>0</v>
      </c>
    </row>
    <row r="568" spans="1:20" ht="18" customHeight="1">
      <c r="A568" s="161" t="s">
        <v>249</v>
      </c>
      <c r="B568" s="162"/>
      <c r="C568" s="162"/>
      <c r="D568" s="162"/>
      <c r="E568" s="162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250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9" t="s">
        <v>245</v>
      </c>
      <c r="B581" s="160"/>
      <c r="C581" s="160"/>
      <c r="D581" s="160"/>
      <c r="E581" s="160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246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9" t="s">
        <v>248</v>
      </c>
      <c r="B594" s="160"/>
      <c r="C594" s="160"/>
      <c r="D594" s="160"/>
      <c r="E594" s="160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246</v>
      </c>
      <c r="S594" s="39"/>
      <c r="T594" s="119">
        <f>IFERROR(J594,"")</f>
        <v>0</v>
      </c>
    </row>
    <row r="595" spans="1:20" ht="18" customHeight="1">
      <c r="A595" s="161" t="s">
        <v>249</v>
      </c>
      <c r="B595" s="162"/>
      <c r="C595" s="162"/>
      <c r="D595" s="162"/>
      <c r="E595" s="162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250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9" t="s">
        <v>245</v>
      </c>
      <c r="B608" s="160"/>
      <c r="C608" s="160"/>
      <c r="D608" s="160"/>
      <c r="E608" s="160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246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9" t="s">
        <v>248</v>
      </c>
      <c r="B621" s="160"/>
      <c r="C621" s="160"/>
      <c r="D621" s="160"/>
      <c r="E621" s="160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246</v>
      </c>
      <c r="S621" s="39"/>
      <c r="T621" s="119">
        <f>IFERROR(J621,"")</f>
        <v>0</v>
      </c>
    </row>
    <row r="622" spans="1:20" ht="18" customHeight="1">
      <c r="A622" s="161" t="s">
        <v>249</v>
      </c>
      <c r="B622" s="162"/>
      <c r="C622" s="162"/>
      <c r="D622" s="162"/>
      <c r="E622" s="162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250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9" t="s">
        <v>245</v>
      </c>
      <c r="B635" s="160"/>
      <c r="C635" s="160"/>
      <c r="D635" s="160"/>
      <c r="E635" s="160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246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9" t="s">
        <v>248</v>
      </c>
      <c r="B648" s="160"/>
      <c r="C648" s="160"/>
      <c r="D648" s="160"/>
      <c r="E648" s="160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246</v>
      </c>
      <c r="S648" s="39"/>
      <c r="T648" s="119">
        <f>IFERROR(J648,"")</f>
        <v>0</v>
      </c>
    </row>
    <row r="649" spans="1:20" ht="18" customHeight="1">
      <c r="A649" s="161" t="s">
        <v>249</v>
      </c>
      <c r="B649" s="162"/>
      <c r="C649" s="162"/>
      <c r="D649" s="162"/>
      <c r="E649" s="162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250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9" t="s">
        <v>245</v>
      </c>
      <c r="B662" s="160"/>
      <c r="C662" s="160"/>
      <c r="D662" s="160"/>
      <c r="E662" s="160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246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9" t="s">
        <v>248</v>
      </c>
      <c r="B675" s="160"/>
      <c r="C675" s="160"/>
      <c r="D675" s="160"/>
      <c r="E675" s="160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246</v>
      </c>
      <c r="S675" s="39"/>
      <c r="T675" s="119">
        <f>IFERROR(J675,"")</f>
        <v>0</v>
      </c>
    </row>
    <row r="676" spans="1:20" ht="18" customHeight="1">
      <c r="A676" s="161" t="s">
        <v>249</v>
      </c>
      <c r="B676" s="162"/>
      <c r="C676" s="162"/>
      <c r="D676" s="162"/>
      <c r="E676" s="162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250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9" t="s">
        <v>245</v>
      </c>
      <c r="B689" s="160"/>
      <c r="C689" s="160"/>
      <c r="D689" s="160"/>
      <c r="E689" s="160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246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9" t="s">
        <v>248</v>
      </c>
      <c r="B702" s="160"/>
      <c r="C702" s="160"/>
      <c r="D702" s="160"/>
      <c r="E702" s="160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246</v>
      </c>
      <c r="S702" s="39"/>
      <c r="T702" s="119">
        <f>IFERROR(J702,"")</f>
        <v>0</v>
      </c>
    </row>
    <row r="703" spans="1:20" ht="18" customHeight="1">
      <c r="A703" s="161" t="s">
        <v>249</v>
      </c>
      <c r="B703" s="162"/>
      <c r="C703" s="162"/>
      <c r="D703" s="162"/>
      <c r="E703" s="162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250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9" t="s">
        <v>245</v>
      </c>
      <c r="B716" s="160"/>
      <c r="C716" s="160"/>
      <c r="D716" s="160"/>
      <c r="E716" s="160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246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9" t="s">
        <v>248</v>
      </c>
      <c r="B729" s="160"/>
      <c r="C729" s="160"/>
      <c r="D729" s="160"/>
      <c r="E729" s="160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246</v>
      </c>
      <c r="S729" s="39"/>
      <c r="T729" s="119">
        <f>IFERROR(J729,"")</f>
        <v>0</v>
      </c>
    </row>
    <row r="730" spans="1:20" ht="18" customHeight="1">
      <c r="A730" s="161" t="s">
        <v>249</v>
      </c>
      <c r="B730" s="162"/>
      <c r="C730" s="162"/>
      <c r="D730" s="162"/>
      <c r="E730" s="162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250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9" t="s">
        <v>245</v>
      </c>
      <c r="B743" s="160"/>
      <c r="C743" s="160"/>
      <c r="D743" s="160"/>
      <c r="E743" s="160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246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9" t="s">
        <v>248</v>
      </c>
      <c r="B756" s="160"/>
      <c r="C756" s="160"/>
      <c r="D756" s="160"/>
      <c r="E756" s="160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246</v>
      </c>
      <c r="S756" s="39"/>
      <c r="T756" s="119">
        <f>IFERROR(J756,"")</f>
        <v>0</v>
      </c>
    </row>
    <row r="757" spans="1:20" ht="18" customHeight="1">
      <c r="A757" s="161" t="s">
        <v>249</v>
      </c>
      <c r="B757" s="162"/>
      <c r="C757" s="162"/>
      <c r="D757" s="162"/>
      <c r="E757" s="162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250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9" t="s">
        <v>245</v>
      </c>
      <c r="B770" s="160"/>
      <c r="C770" s="160"/>
      <c r="D770" s="160"/>
      <c r="E770" s="160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246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9" t="s">
        <v>248</v>
      </c>
      <c r="B783" s="160"/>
      <c r="C783" s="160"/>
      <c r="D783" s="160"/>
      <c r="E783" s="160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246</v>
      </c>
      <c r="S783" s="39"/>
      <c r="T783" s="119">
        <f>IFERROR(J783,"")</f>
        <v>0</v>
      </c>
    </row>
    <row r="784" spans="1:20" ht="18" customHeight="1">
      <c r="A784" s="161" t="s">
        <v>249</v>
      </c>
      <c r="B784" s="162"/>
      <c r="C784" s="162"/>
      <c r="D784" s="162"/>
      <c r="E784" s="162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250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9" t="s">
        <v>245</v>
      </c>
      <c r="B797" s="160"/>
      <c r="C797" s="160"/>
      <c r="D797" s="160"/>
      <c r="E797" s="160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246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9" t="s">
        <v>248</v>
      </c>
      <c r="B810" s="160"/>
      <c r="C810" s="160"/>
      <c r="D810" s="160"/>
      <c r="E810" s="160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246</v>
      </c>
      <c r="S810" s="39"/>
      <c r="T810" s="119">
        <f>IFERROR(J810,"")</f>
        <v>0</v>
      </c>
    </row>
    <row r="811" spans="1:20" ht="18" customHeight="1">
      <c r="A811" s="161" t="s">
        <v>249</v>
      </c>
      <c r="B811" s="162"/>
      <c r="C811" s="162"/>
      <c r="D811" s="162"/>
      <c r="E811" s="162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250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9" t="s">
        <v>245</v>
      </c>
      <c r="B824" s="160"/>
      <c r="C824" s="160"/>
      <c r="D824" s="160"/>
      <c r="E824" s="160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246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9" t="s">
        <v>248</v>
      </c>
      <c r="B837" s="160"/>
      <c r="C837" s="160"/>
      <c r="D837" s="160"/>
      <c r="E837" s="160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246</v>
      </c>
      <c r="S837" s="39"/>
      <c r="T837" s="119">
        <f>IFERROR(J837,"")</f>
        <v>0</v>
      </c>
    </row>
    <row r="838" spans="1:20" ht="18" customHeight="1">
      <c r="A838" s="161" t="s">
        <v>249</v>
      </c>
      <c r="B838" s="162"/>
      <c r="C838" s="162"/>
      <c r="D838" s="162"/>
      <c r="E838" s="162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250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433" activePane="bottomLeft" state="frozen"/>
      <selection pane="bottomLeft" activeCell="G451" sqref="G451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234</v>
      </c>
      <c r="C1" s="23" t="s">
        <v>17</v>
      </c>
      <c r="D1" s="22" t="s">
        <v>18</v>
      </c>
      <c r="E1" s="22" t="s">
        <v>235</v>
      </c>
      <c r="F1" s="133" t="s">
        <v>19</v>
      </c>
      <c r="G1" s="23" t="s">
        <v>236</v>
      </c>
      <c r="H1" s="133" t="s">
        <v>276</v>
      </c>
      <c r="I1" s="133" t="s">
        <v>20</v>
      </c>
      <c r="J1" s="133" t="s">
        <v>277</v>
      </c>
      <c r="K1" s="23" t="s">
        <v>237</v>
      </c>
      <c r="L1" s="23" t="s">
        <v>21</v>
      </c>
      <c r="M1" s="23" t="s">
        <v>22</v>
      </c>
      <c r="N1" s="23" t="s">
        <v>238</v>
      </c>
      <c r="O1" s="23" t="s">
        <v>239</v>
      </c>
      <c r="P1" s="23" t="s">
        <v>240</v>
      </c>
      <c r="Q1" s="24" t="s">
        <v>241</v>
      </c>
      <c r="R1" s="23" t="s">
        <v>242</v>
      </c>
      <c r="S1" s="23" t="s">
        <v>243</v>
      </c>
      <c r="T1" s="23" t="s">
        <v>277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260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260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260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260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260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260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260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260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260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260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260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260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9" t="s">
        <v>245</v>
      </c>
      <c r="B14" s="160"/>
      <c r="C14" s="160"/>
      <c r="D14" s="160"/>
      <c r="E14" s="160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246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260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260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335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260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284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260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137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314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260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137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336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260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260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260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169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337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260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260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260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260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9" t="s">
        <v>248</v>
      </c>
      <c r="B27" s="160"/>
      <c r="C27" s="160"/>
      <c r="D27" s="160"/>
      <c r="E27" s="160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246</v>
      </c>
      <c r="S27" s="39">
        <v>491520</v>
      </c>
      <c r="T27" s="119">
        <f>IFERROR(J27,"")</f>
        <v>0</v>
      </c>
    </row>
    <row r="28" spans="1:20" ht="18" customHeight="1">
      <c r="A28" s="161" t="s">
        <v>249</v>
      </c>
      <c r="B28" s="162"/>
      <c r="C28" s="162"/>
      <c r="D28" s="162"/>
      <c r="E28" s="162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250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260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260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260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260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260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260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260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260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260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260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260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260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9" t="s">
        <v>245</v>
      </c>
      <c r="B41" s="160"/>
      <c r="C41" s="160"/>
      <c r="D41" s="160"/>
      <c r="E41" s="160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246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260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260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260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260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338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260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260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260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260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260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260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260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260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9" t="s">
        <v>248</v>
      </c>
      <c r="B54" s="160"/>
      <c r="C54" s="160"/>
      <c r="D54" s="160"/>
      <c r="E54" s="160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246</v>
      </c>
      <c r="S54" s="39">
        <v>352430</v>
      </c>
      <c r="T54" s="119">
        <f>IFERROR(J54,"")</f>
        <v>0</v>
      </c>
    </row>
    <row r="55" spans="1:20" ht="18" customHeight="1">
      <c r="A55" s="161" t="s">
        <v>249</v>
      </c>
      <c r="B55" s="162"/>
      <c r="C55" s="162"/>
      <c r="D55" s="162"/>
      <c r="E55" s="162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250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260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260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260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214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260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339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260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137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340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260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260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260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260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260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260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260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9" t="s">
        <v>245</v>
      </c>
      <c r="B68" s="160"/>
      <c r="C68" s="160"/>
      <c r="D68" s="160"/>
      <c r="E68" s="160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246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260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226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341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260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260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260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137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314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260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260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214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260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260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260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260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260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9" t="s">
        <v>248</v>
      </c>
      <c r="B81" s="160"/>
      <c r="C81" s="160"/>
      <c r="D81" s="160"/>
      <c r="E81" s="160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246</v>
      </c>
      <c r="S81" s="39">
        <v>612410</v>
      </c>
      <c r="T81" s="119">
        <f>IFERROR(J81,"")</f>
        <v>0</v>
      </c>
    </row>
    <row r="82" spans="1:20" ht="18" customHeight="1">
      <c r="A82" s="161" t="s">
        <v>249</v>
      </c>
      <c r="B82" s="162"/>
      <c r="C82" s="162"/>
      <c r="D82" s="162"/>
      <c r="E82" s="162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250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260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170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260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260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260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260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260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260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260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260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260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260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260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9" t="s">
        <v>245</v>
      </c>
      <c r="B95" s="160"/>
      <c r="C95" s="160"/>
      <c r="D95" s="160"/>
      <c r="E95" s="160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246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260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170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260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137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314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260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260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260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260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260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260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260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260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260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260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9" t="s">
        <v>248</v>
      </c>
      <c r="B108" s="160"/>
      <c r="C108" s="160"/>
      <c r="D108" s="160"/>
      <c r="E108" s="160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246</v>
      </c>
      <c r="S108" s="39">
        <v>956070</v>
      </c>
      <c r="T108" s="119">
        <f>IFERROR(J108,"")</f>
        <v>0</v>
      </c>
    </row>
    <row r="109" spans="1:20" ht="18" customHeight="1">
      <c r="A109" s="161" t="s">
        <v>249</v>
      </c>
      <c r="B109" s="162"/>
      <c r="C109" s="162"/>
      <c r="D109" s="162"/>
      <c r="E109" s="162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250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260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170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260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226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260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231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260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231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260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170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342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260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260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260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260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260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260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260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9" t="s">
        <v>245</v>
      </c>
      <c r="B122" s="160"/>
      <c r="C122" s="160"/>
      <c r="D122" s="160"/>
      <c r="E122" s="160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246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260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214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260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343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260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260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260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287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260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260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137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314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260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260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260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260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260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9" t="s">
        <v>248</v>
      </c>
      <c r="B135" s="160"/>
      <c r="C135" s="160"/>
      <c r="D135" s="160"/>
      <c r="E135" s="160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246</v>
      </c>
      <c r="S135" s="39">
        <v>912240</v>
      </c>
      <c r="T135" s="119">
        <f>IFERROR(J135,"")</f>
        <v>0</v>
      </c>
    </row>
    <row r="136" spans="1:22" ht="18" customHeight="1">
      <c r="A136" s="161" t="s">
        <v>249</v>
      </c>
      <c r="B136" s="162"/>
      <c r="C136" s="162"/>
      <c r="D136" s="162"/>
      <c r="E136" s="162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250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260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260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170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344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260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345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260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260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148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260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260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170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260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260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260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295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260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260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245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246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260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170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346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260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147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347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260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260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260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260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260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260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260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260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260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260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9" t="s">
        <v>248</v>
      </c>
      <c r="B162" s="160"/>
      <c r="C162" s="160"/>
      <c r="D162" s="160"/>
      <c r="E162" s="160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246</v>
      </c>
      <c r="S162" s="39">
        <v>573230</v>
      </c>
      <c r="T162" s="119">
        <f>IFERROR(J162,"")</f>
        <v>0</v>
      </c>
    </row>
    <row r="163" spans="1:20" ht="18" customHeight="1">
      <c r="A163" s="161" t="s">
        <v>249</v>
      </c>
      <c r="B163" s="162"/>
      <c r="C163" s="162"/>
      <c r="D163" s="162"/>
      <c r="E163" s="162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250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260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147</v>
      </c>
      <c r="N164" s="26" t="s">
        <v>141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260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170</v>
      </c>
      <c r="N165" s="33" t="s">
        <v>191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260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170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260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260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164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260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148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260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170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348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260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148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260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260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260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260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9" t="s">
        <v>245</v>
      </c>
      <c r="B176" s="160"/>
      <c r="C176" s="160"/>
      <c r="D176" s="160"/>
      <c r="E176" s="160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246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260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349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260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148</v>
      </c>
      <c r="N178" s="26" t="s">
        <v>137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260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170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260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260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260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260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260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260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260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260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260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9" t="s">
        <v>248</v>
      </c>
      <c r="B189" s="160"/>
      <c r="C189" s="160"/>
      <c r="D189" s="160"/>
      <c r="E189" s="160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246</v>
      </c>
      <c r="S189" s="39">
        <v>692750</v>
      </c>
      <c r="T189" s="119">
        <f>IFERROR(J189,"")</f>
        <v>0</v>
      </c>
    </row>
    <row r="190" spans="1:20" ht="18" customHeight="1">
      <c r="A190" s="161" t="s">
        <v>249</v>
      </c>
      <c r="B190" s="162"/>
      <c r="C190" s="162"/>
      <c r="D190" s="162"/>
      <c r="E190" s="162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250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260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170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260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164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350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260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260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165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260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260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260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260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260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260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260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260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9" t="s">
        <v>245</v>
      </c>
      <c r="B203" s="160"/>
      <c r="C203" s="160"/>
      <c r="D203" s="160"/>
      <c r="E203" s="160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246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260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351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260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352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260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353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260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260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260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260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260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260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260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260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260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9" t="s">
        <v>248</v>
      </c>
      <c r="B216" s="160"/>
      <c r="C216" s="160"/>
      <c r="D216" s="160"/>
      <c r="E216" s="160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246</v>
      </c>
      <c r="S216" s="45">
        <v>607180</v>
      </c>
      <c r="T216" s="122">
        <f>IFERROR(J216,"")</f>
        <v>0</v>
      </c>
    </row>
    <row r="217" spans="1:20" ht="18" customHeight="1">
      <c r="A217" s="161" t="s">
        <v>249</v>
      </c>
      <c r="B217" s="162"/>
      <c r="C217" s="162"/>
      <c r="D217" s="162"/>
      <c r="E217" s="162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250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260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260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260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354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260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355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244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260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260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260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260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260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260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260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9" t="s">
        <v>245</v>
      </c>
      <c r="B230" s="160"/>
      <c r="C230" s="160"/>
      <c r="D230" s="160"/>
      <c r="E230" s="160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246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260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356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244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357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260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159</v>
      </c>
      <c r="N233" s="33" t="s">
        <v>137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244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244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244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244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244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244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244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244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244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9" t="s">
        <v>248</v>
      </c>
      <c r="B243" s="160"/>
      <c r="C243" s="160"/>
      <c r="D243" s="160"/>
      <c r="E243" s="160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246</v>
      </c>
      <c r="S243" s="39">
        <v>795250</v>
      </c>
      <c r="T243" s="119">
        <f>IFERROR(J243,"")</f>
        <v>0</v>
      </c>
    </row>
    <row r="244" spans="1:20" ht="18" customHeight="1">
      <c r="A244" s="161" t="s">
        <v>249</v>
      </c>
      <c r="B244" s="162"/>
      <c r="C244" s="162"/>
      <c r="D244" s="162"/>
      <c r="E244" s="162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250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244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174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244</v>
      </c>
      <c r="F246" s="134"/>
      <c r="G246" s="27" t="s">
        <v>270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244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244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260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159</v>
      </c>
      <c r="N249" s="33" t="s">
        <v>137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358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260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260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260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260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260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260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260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9" t="s">
        <v>245</v>
      </c>
      <c r="B257" s="160"/>
      <c r="C257" s="160"/>
      <c r="D257" s="160"/>
      <c r="E257" s="160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246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260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260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260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260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260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260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260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260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260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260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260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260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9" t="s">
        <v>248</v>
      </c>
      <c r="B270" s="160"/>
      <c r="C270" s="160"/>
      <c r="D270" s="160"/>
      <c r="E270" s="160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246</v>
      </c>
      <c r="S270" s="39">
        <v>683360</v>
      </c>
      <c r="T270" s="119">
        <f>IFERROR(J270,"")</f>
        <v>0</v>
      </c>
    </row>
    <row r="271" spans="1:20" ht="18" customHeight="1">
      <c r="A271" s="161" t="s">
        <v>249</v>
      </c>
      <c r="B271" s="162"/>
      <c r="C271" s="162"/>
      <c r="D271" s="162"/>
      <c r="E271" s="162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250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260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260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260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260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260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260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260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260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260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260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260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260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9" t="s">
        <v>245</v>
      </c>
      <c r="B284" s="160"/>
      <c r="C284" s="160"/>
      <c r="D284" s="160"/>
      <c r="E284" s="160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246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244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244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260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244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244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244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244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244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244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244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244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244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9" t="s">
        <v>248</v>
      </c>
      <c r="B297" s="160"/>
      <c r="C297" s="160"/>
      <c r="D297" s="160"/>
      <c r="E297" s="160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246</v>
      </c>
      <c r="S297" s="39">
        <v>904710</v>
      </c>
      <c r="T297" s="119">
        <f>IFERROR(J297,"")</f>
        <v>0</v>
      </c>
    </row>
    <row r="298" spans="1:20" ht="18" customHeight="1">
      <c r="A298" s="161" t="s">
        <v>249</v>
      </c>
      <c r="B298" s="162"/>
      <c r="C298" s="162"/>
      <c r="D298" s="162"/>
      <c r="E298" s="162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250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260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191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260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260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260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260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260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260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260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260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260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260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260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9" t="s">
        <v>245</v>
      </c>
      <c r="B311" s="160"/>
      <c r="C311" s="160"/>
      <c r="D311" s="160"/>
      <c r="E311" s="160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246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260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165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260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170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260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260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260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260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260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260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260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260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260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260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9" t="s">
        <v>248</v>
      </c>
      <c r="B324" s="160"/>
      <c r="C324" s="160"/>
      <c r="D324" s="160"/>
      <c r="E324" s="160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246</v>
      </c>
      <c r="S324" s="39">
        <v>1049720</v>
      </c>
      <c r="T324" s="119">
        <f>IFERROR(J324,"")</f>
        <v>151.15967999999998</v>
      </c>
    </row>
    <row r="325" spans="1:20" ht="18" customHeight="1">
      <c r="A325" s="161" t="s">
        <v>249</v>
      </c>
      <c r="B325" s="162"/>
      <c r="C325" s="162"/>
      <c r="D325" s="162"/>
      <c r="E325" s="162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250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244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170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244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244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244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260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244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260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260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260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260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260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260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9" t="s">
        <v>245</v>
      </c>
      <c r="B338" s="160"/>
      <c r="C338" s="160"/>
      <c r="D338" s="160"/>
      <c r="E338" s="160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246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260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170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260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260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260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170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260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260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260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260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170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359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260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360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260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260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260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9" t="s">
        <v>248</v>
      </c>
      <c r="B351" s="160"/>
      <c r="C351" s="160"/>
      <c r="D351" s="160"/>
      <c r="E351" s="160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246</v>
      </c>
      <c r="S351" s="39">
        <v>1058130</v>
      </c>
      <c r="T351" s="119">
        <f>IFERROR(J351,"")</f>
        <v>222.20729999999995</v>
      </c>
    </row>
    <row r="352" spans="1:20" ht="18" customHeight="1">
      <c r="A352" s="161" t="s">
        <v>249</v>
      </c>
      <c r="B352" s="162"/>
      <c r="C352" s="162"/>
      <c r="D352" s="162"/>
      <c r="E352" s="162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250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260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260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148</v>
      </c>
      <c r="N354" s="33" t="s">
        <v>137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260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260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361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260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260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362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260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260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260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260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260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260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245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246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260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260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139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260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170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260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260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260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164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260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363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260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174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260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260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260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260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9" t="s">
        <v>248</v>
      </c>
      <c r="B378" s="160"/>
      <c r="C378" s="160"/>
      <c r="D378" s="160"/>
      <c r="E378" s="160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246</v>
      </c>
      <c r="S378" s="39">
        <v>1137080</v>
      </c>
      <c r="T378" s="119">
        <f>IFERROR(J378,"")</f>
        <v>238.78679999999994</v>
      </c>
    </row>
    <row r="379" spans="1:20" ht="18" customHeight="1">
      <c r="A379" s="161" t="s">
        <v>249</v>
      </c>
      <c r="B379" s="162"/>
      <c r="C379" s="162"/>
      <c r="D379" s="162"/>
      <c r="E379" s="162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250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260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139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260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136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260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260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170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260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309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260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364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260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260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260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260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260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260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9" t="s">
        <v>245</v>
      </c>
      <c r="B392" s="160"/>
      <c r="C392" s="160"/>
      <c r="D392" s="160"/>
      <c r="E392" s="160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246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260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226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260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170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365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260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260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260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260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260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260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260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260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260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260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9" t="s">
        <v>248</v>
      </c>
      <c r="B405" s="160"/>
      <c r="C405" s="160"/>
      <c r="D405" s="160"/>
      <c r="E405" s="160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246</v>
      </c>
      <c r="S405" s="39">
        <v>989450</v>
      </c>
      <c r="T405" s="119">
        <f>IFERROR(J405,"")</f>
        <v>195.72390675675675</v>
      </c>
    </row>
    <row r="406" spans="1:20" ht="18" customHeight="1">
      <c r="A406" s="161" t="s">
        <v>249</v>
      </c>
      <c r="B406" s="162"/>
      <c r="C406" s="162"/>
      <c r="D406" s="162"/>
      <c r="E406" s="162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250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260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233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366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260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170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260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260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260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170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260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137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260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260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260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260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260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260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9" t="s">
        <v>245</v>
      </c>
      <c r="B419" s="160"/>
      <c r="C419" s="160"/>
      <c r="D419" s="160"/>
      <c r="E419" s="160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246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260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85.567180851063839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12.321674042553193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260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24.447765957446808</v>
      </c>
      <c r="I421" s="135">
        <f>IFERROR(IF($D421="","",VLOOKUP($D421,Cadastro!$C$4:$G$7,5,FALSE)),"")</f>
        <v>0.6</v>
      </c>
      <c r="J421" s="136">
        <f t="shared" si="102"/>
        <v>3.5204782978723399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260</v>
      </c>
      <c r="F422" s="134">
        <f>IFERROR(IF($D422="","",VLOOKUP($D422,Cadastro!$C$4:$E$7,3,FALSE)),"")</f>
        <v>0.24</v>
      </c>
      <c r="G422" s="105">
        <v>31</v>
      </c>
      <c r="H422" s="134">
        <f>IFERROR(IF($G422="","",$G422*$S$432/$G$432/Cadastro!$E$33),"")</f>
        <v>126.3134574468085</v>
      </c>
      <c r="I422" s="135">
        <f>IFERROR(IF($D422="","",VLOOKUP($D422,Cadastro!$C$4:$G$7,5,FALSE)),"")</f>
        <v>0.6</v>
      </c>
      <c r="J422" s="136">
        <f t="shared" si="102"/>
        <v>18.189137872340421</v>
      </c>
      <c r="K422" s="28">
        <f t="shared" si="103"/>
        <v>130.20000000000002</v>
      </c>
      <c r="L422" s="26" t="s">
        <v>27</v>
      </c>
      <c r="M422" s="26" t="s">
        <v>64</v>
      </c>
      <c r="N422" s="26" t="s">
        <v>69</v>
      </c>
      <c r="O422" s="29">
        <v>0.93888888888888888</v>
      </c>
      <c r="P422" s="29">
        <v>0.94374999999999998</v>
      </c>
      <c r="Q422" s="30">
        <f t="shared" ca="1" si="104"/>
        <v>4.8611111111110938E-3</v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260</v>
      </c>
      <c r="F423" s="134">
        <f>IFERROR(IF($D423="","",VLOOKUP($D423,Cadastro!$C$4:$E$7,3,FALSE)),"")</f>
        <v>0.24</v>
      </c>
      <c r="G423" s="105">
        <v>16</v>
      </c>
      <c r="H423" s="134">
        <f>IFERROR(IF($G423="","",$G423*$S$432/$G$432/Cadastro!$E$33),"")</f>
        <v>65.194042553191494</v>
      </c>
      <c r="I423" s="135">
        <f>IFERROR(IF($D423="","",VLOOKUP($D423,Cadastro!$C$4:$G$7,5,FALSE)),"")</f>
        <v>0.6</v>
      </c>
      <c r="J423" s="136">
        <f t="shared" si="102"/>
        <v>9.3879421276595743</v>
      </c>
      <c r="K423" s="34">
        <f t="shared" si="103"/>
        <v>67.2</v>
      </c>
      <c r="L423" s="33" t="s">
        <v>26</v>
      </c>
      <c r="M423" s="33" t="s">
        <v>170</v>
      </c>
      <c r="N423" s="33" t="s">
        <v>34</v>
      </c>
      <c r="O423" s="29">
        <v>0.95486111111111116</v>
      </c>
      <c r="P423" s="29">
        <v>0.97916666666666663</v>
      </c>
      <c r="Q423" s="35">
        <f t="shared" ca="1" si="104"/>
        <v>2.4305555555555469E-2</v>
      </c>
      <c r="R423" s="27" t="s">
        <v>367</v>
      </c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260</v>
      </c>
      <c r="F424" s="134">
        <f>IFERROR(IF($D424="","",VLOOKUP($D424,Cadastro!$C$4:$E$7,3,FALSE)),"")</f>
        <v>0.24</v>
      </c>
      <c r="G424" s="105">
        <v>14</v>
      </c>
      <c r="H424" s="134">
        <f>IFERROR(IF($G424="","",$G424*$S$432/$G$432/Cadastro!$E$33),"")</f>
        <v>57.044787234042552</v>
      </c>
      <c r="I424" s="135">
        <f>IFERROR(IF($D424="","",VLOOKUP($D424,Cadastro!$C$4:$G$7,5,FALSE)),"")</f>
        <v>0.6</v>
      </c>
      <c r="J424" s="136">
        <f t="shared" si="102"/>
        <v>8.2144493617021279</v>
      </c>
      <c r="K424" s="28">
        <f t="shared" si="103"/>
        <v>58.800000000000004</v>
      </c>
      <c r="L424" s="26" t="s">
        <v>27</v>
      </c>
      <c r="M424" s="26" t="s">
        <v>64</v>
      </c>
      <c r="N424" s="26" t="s">
        <v>69</v>
      </c>
      <c r="O424" s="29">
        <v>1.5277777777777777E-2</v>
      </c>
      <c r="P424" s="29">
        <v>2.4305555555555556E-2</v>
      </c>
      <c r="Q424" s="30">
        <f t="shared" ca="1" si="104"/>
        <v>9.0277777777777787E-3</v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260</v>
      </c>
      <c r="F425" s="134">
        <f>IFERROR(IF($D425="","",VLOOKUP($D425,Cadastro!$C$4:$E$7,3,FALSE)),"")</f>
        <v>0.24</v>
      </c>
      <c r="G425" s="105">
        <v>13</v>
      </c>
      <c r="H425" s="134">
        <f>IFERROR(IF($G425="","",$G425*$S$432/$G$432/Cadastro!$E$33),"")</f>
        <v>52.970159574468084</v>
      </c>
      <c r="I425" s="135">
        <f>IFERROR(IF($D425="","",VLOOKUP($D425,Cadastro!$C$4:$G$7,5,FALSE)),"")</f>
        <v>0.6</v>
      </c>
      <c r="J425" s="136">
        <f t="shared" si="102"/>
        <v>7.6277029787234039</v>
      </c>
      <c r="K425" s="34">
        <f t="shared" si="103"/>
        <v>54.6</v>
      </c>
      <c r="L425" s="33" t="s">
        <v>27</v>
      </c>
      <c r="M425" s="33" t="s">
        <v>136</v>
      </c>
      <c r="N425" s="33" t="s">
        <v>121</v>
      </c>
      <c r="O425" s="29">
        <v>4.1666666666666664E-2</v>
      </c>
      <c r="P425" s="29">
        <v>4.9305555555555554E-2</v>
      </c>
      <c r="Q425" s="35">
        <f t="shared" ca="1" si="104"/>
        <v>7.6388888888888895E-3</v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260</v>
      </c>
      <c r="F426" s="134">
        <f>IFERROR(IF($D426="","",VLOOKUP($D426,Cadastro!$C$4:$E$7,3,FALSE)),"")</f>
        <v>0.24</v>
      </c>
      <c r="G426" s="105">
        <v>20</v>
      </c>
      <c r="H426" s="134">
        <f>IFERROR(IF($G426="","",$G426*$S$432/$G$432/Cadastro!$E$33),"")</f>
        <v>81.492553191489364</v>
      </c>
      <c r="I426" s="135">
        <f>IFERROR(IF($D426="","",VLOOKUP($D426,Cadastro!$C$4:$G$7,5,FALSE)),"")</f>
        <v>0.6</v>
      </c>
      <c r="J426" s="136">
        <f t="shared" si="102"/>
        <v>11.734927659574467</v>
      </c>
      <c r="K426" s="28">
        <f t="shared" si="103"/>
        <v>84</v>
      </c>
      <c r="L426" s="26" t="s">
        <v>27</v>
      </c>
      <c r="M426" s="26" t="s">
        <v>59</v>
      </c>
      <c r="N426" s="26" t="s">
        <v>69</v>
      </c>
      <c r="O426" s="29">
        <v>0.17916666666666667</v>
      </c>
      <c r="P426" s="29">
        <v>0.19305555555555556</v>
      </c>
      <c r="Q426" s="30">
        <f t="shared" ca="1" si="104"/>
        <v>1.3888888888888895E-2</v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260</v>
      </c>
      <c r="F427" s="134">
        <f>IFERROR(IF($D427="","",VLOOKUP($D427,Cadastro!$C$4:$E$7,3,FALSE)),"")</f>
        <v>0.24</v>
      </c>
      <c r="G427" s="105">
        <v>19</v>
      </c>
      <c r="H427" s="134">
        <f>IFERROR(IF($G427="","",$G427*$S$432/$G$432/Cadastro!$E$33),"")</f>
        <v>77.417925531914889</v>
      </c>
      <c r="I427" s="135">
        <f>IFERROR(IF($D427="","",VLOOKUP($D427,Cadastro!$C$4:$G$7,5,FALSE)),"")</f>
        <v>0.6</v>
      </c>
      <c r="J427" s="136">
        <f t="shared" si="102"/>
        <v>11.148181276595743</v>
      </c>
      <c r="K427" s="34">
        <f t="shared" si="103"/>
        <v>79.8</v>
      </c>
      <c r="L427" s="33" t="s">
        <v>26</v>
      </c>
      <c r="M427" s="33" t="s">
        <v>170</v>
      </c>
      <c r="N427" s="33" t="s">
        <v>34</v>
      </c>
      <c r="O427" s="29">
        <v>0.25138888888888888</v>
      </c>
      <c r="P427" s="29">
        <v>0.26250000000000001</v>
      </c>
      <c r="Q427" s="35">
        <f t="shared" ca="1" si="104"/>
        <v>1.1111111111111127E-2</v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260</v>
      </c>
      <c r="F428" s="134">
        <f>IFERROR(IF($D428="","",VLOOKUP($D428,Cadastro!$C$4:$E$7,3,FALSE)),"")</f>
        <v>0.24</v>
      </c>
      <c r="G428" s="105">
        <v>13</v>
      </c>
      <c r="H428" s="134">
        <f>IFERROR(IF($G428="","",$G428*$S$432/$G$432/Cadastro!$E$33),"")</f>
        <v>52.970159574468084</v>
      </c>
      <c r="I428" s="135">
        <f>IFERROR(IF($D428="","",VLOOKUP($D428,Cadastro!$C$4:$G$7,5,FALSE)),"")</f>
        <v>0.6</v>
      </c>
      <c r="J428" s="136">
        <f t="shared" si="102"/>
        <v>7.6277029787234039</v>
      </c>
      <c r="K428" s="28">
        <f t="shared" si="103"/>
        <v>54.6</v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260</v>
      </c>
      <c r="F429" s="134">
        <f>IFERROR(IF($D429="","",VLOOKUP($D429,Cadastro!$C$4:$E$7,3,FALSE)),"")</f>
        <v>0.24</v>
      </c>
      <c r="G429" s="105">
        <v>15</v>
      </c>
      <c r="H429" s="134">
        <f>IFERROR(IF($G429="","",$G429*$S$432/$G$432/Cadastro!$E$33),"")</f>
        <v>61.119414893617027</v>
      </c>
      <c r="I429" s="135">
        <f>IFERROR(IF($D429="","",VLOOKUP($D429,Cadastro!$C$4:$G$7,5,FALSE)),"")</f>
        <v>0.6</v>
      </c>
      <c r="J429" s="136">
        <f t="shared" si="102"/>
        <v>8.8011957446808502</v>
      </c>
      <c r="K429" s="34">
        <f t="shared" si="103"/>
        <v>63</v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260</v>
      </c>
      <c r="F430" s="134">
        <f>IFERROR(IF($D430="","",VLOOKUP($D430,Cadastro!$C$4:$E$7,3,FALSE)),"")</f>
        <v>0.24</v>
      </c>
      <c r="G430" s="105">
        <v>16</v>
      </c>
      <c r="H430" s="134">
        <f>IFERROR(IF($G430="","",$G430*$S$432/$G$432/Cadastro!$E$33),"")</f>
        <v>65.194042553191494</v>
      </c>
      <c r="I430" s="135">
        <f>IFERROR(IF($D430="","",VLOOKUP($D430,Cadastro!$C$4:$G$7,5,FALSE)),"")</f>
        <v>0.6</v>
      </c>
      <c r="J430" s="136">
        <f t="shared" si="102"/>
        <v>9.3879421276595743</v>
      </c>
      <c r="K430" s="28">
        <f t="shared" si="103"/>
        <v>67.2</v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260</v>
      </c>
      <c r="F431" s="137">
        <f>IFERROR(IF($D431="","",VLOOKUP($D431,Cadastro!$C$4:$E$7,3,FALSE)),"")</f>
        <v>0.24</v>
      </c>
      <c r="G431" s="105">
        <v>4</v>
      </c>
      <c r="H431" s="137">
        <f>IFERROR(IF($G431="","",$G431*$S$432/$G$432/Cadastro!$E$33),"")</f>
        <v>16.298510638297873</v>
      </c>
      <c r="I431" s="138">
        <f>IFERROR(IF($D431="","",VLOOKUP($D431,Cadastro!$C$4:$G$7,5,FALSE)),"")</f>
        <v>0.6</v>
      </c>
      <c r="J431" s="139">
        <f t="shared" si="102"/>
        <v>2.3469855319148936</v>
      </c>
      <c r="K431" s="34">
        <f t="shared" si="103"/>
        <v>16.8</v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9" t="s">
        <v>248</v>
      </c>
      <c r="B432" s="160"/>
      <c r="C432" s="160"/>
      <c r="D432" s="160"/>
      <c r="E432" s="160">
        <f>SUM(E420:E431)</f>
        <v>0</v>
      </c>
      <c r="F432" s="111"/>
      <c r="G432" s="80">
        <f>SUM(G420:G431)</f>
        <v>188</v>
      </c>
      <c r="H432" s="111">
        <f>IFERROR(SUM(H420:H431),"")</f>
        <v>766.03</v>
      </c>
      <c r="I432" s="115"/>
      <c r="J432" s="124">
        <f>IFERROR(SUM(J420:J431),"")</f>
        <v>110.30832000000001</v>
      </c>
      <c r="K432" s="36">
        <f>SUM(K420:K431)</f>
        <v>789.6</v>
      </c>
      <c r="L432" s="37"/>
      <c r="M432" s="37"/>
      <c r="N432" s="37"/>
      <c r="O432" s="61"/>
      <c r="P432" s="61"/>
      <c r="Q432" s="38">
        <f ca="1">IFERROR(SUM(Q420:Q431),"")</f>
        <v>9.4444444444444497E-2</v>
      </c>
      <c r="R432" s="36" t="s">
        <v>246</v>
      </c>
      <c r="S432" s="39">
        <v>766030</v>
      </c>
      <c r="T432" s="119">
        <f>IFERROR(J432,"")</f>
        <v>110.30832000000001</v>
      </c>
    </row>
    <row r="433" spans="1:21" ht="18" customHeight="1">
      <c r="A433" s="161" t="s">
        <v>249</v>
      </c>
      <c r="B433" s="162"/>
      <c r="C433" s="162"/>
      <c r="D433" s="162"/>
      <c r="E433" s="162">
        <f>E419+E432</f>
        <v>0</v>
      </c>
      <c r="F433" s="112"/>
      <c r="G433" s="91">
        <f>G419+G432</f>
        <v>330</v>
      </c>
      <c r="H433" s="112">
        <f>IFERROR(H419+H432,"")</f>
        <v>1393.4399999999998</v>
      </c>
      <c r="I433" s="116"/>
      <c r="J433" s="125">
        <f>IFERROR(J419+J432,"")</f>
        <v>200.65536</v>
      </c>
      <c r="K433" s="40">
        <f>K419+K432</f>
        <v>1386</v>
      </c>
      <c r="L433" s="41"/>
      <c r="M433" s="41"/>
      <c r="N433" s="41"/>
      <c r="O433" s="63"/>
      <c r="P433" s="63"/>
      <c r="Q433" s="42">
        <f ca="1">IFERROR(Q419+Q432,"")</f>
        <v>0.20972222222222231</v>
      </c>
      <c r="R433" s="40" t="s">
        <v>250</v>
      </c>
      <c r="S433" s="48">
        <f>IFERROR(S419+S432,"")</f>
        <v>1393440</v>
      </c>
      <c r="T433" s="121">
        <f>IFERROR(J433,"")</f>
        <v>200.65536</v>
      </c>
    </row>
    <row r="434" spans="1:21" ht="15" customHeight="1">
      <c r="A434" s="67">
        <v>46251</v>
      </c>
      <c r="B434" s="25">
        <v>0.33333333333333298</v>
      </c>
      <c r="C434" s="26" t="s">
        <v>52</v>
      </c>
      <c r="D434" s="59" t="s">
        <v>37</v>
      </c>
      <c r="E434" s="108" t="s">
        <v>260</v>
      </c>
      <c r="F434" s="140">
        <f>IFERROR(IF($D434="","",VLOOKUP($D434,Cadastro!$C$4:$E$7,3,FALSE)),"")</f>
        <v>0.24</v>
      </c>
      <c r="G434" s="105">
        <v>18</v>
      </c>
      <c r="H434" s="140">
        <f>IFERROR(IF($G434="","",$G434*$S$446/$G$446/Cadastro!$E$33),"")</f>
        <v>82.024918032786886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11.81158819672131</v>
      </c>
      <c r="K434" s="28">
        <f t="shared" ref="K434:K445" si="107">IF(G434="","",IF(E434="PC 17",G434*4.2,IF(E434="PC 19",G434*5,IF(E434="CB",G434*24,""))))</f>
        <v>75.600000000000009</v>
      </c>
      <c r="L434" s="26" t="s">
        <v>26</v>
      </c>
      <c r="M434" s="26" t="s">
        <v>170</v>
      </c>
      <c r="N434" s="26" t="s">
        <v>34</v>
      </c>
      <c r="O434" s="29">
        <v>0.57013888888888886</v>
      </c>
      <c r="P434" s="29">
        <v>0.58333333333333337</v>
      </c>
      <c r="Q434" s="30">
        <f t="shared" ref="Q434:Q445" ca="1" si="108">IFERROR(IF(O434="","",IF(P434="",MOD(NOW()-O434,1),IF(P434&gt;=O434,P434-O434,P434+1-O434))),"")</f>
        <v>1.3194444444444509E-2</v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260</v>
      </c>
      <c r="F435" s="134">
        <f>IFERROR(IF($D435="","",VLOOKUP($D435,Cadastro!$C$4:$E$7,3,FALSE)),"")</f>
        <v>0.35</v>
      </c>
      <c r="G435" s="105">
        <v>23</v>
      </c>
      <c r="H435" s="134">
        <f>IFERROR(IF($G435="","",$G435*$S$446/$G$446/Cadastro!$E$33),"")</f>
        <v>104.80961748633879</v>
      </c>
      <c r="I435" s="135">
        <f>IFERROR(IF($D435="","",VLOOKUP($D435,Cadastro!$C$4:$G$7,5,FALSE)),"")</f>
        <v>0.6</v>
      </c>
      <c r="J435" s="136">
        <f t="shared" si="106"/>
        <v>22.010019672131143</v>
      </c>
      <c r="K435" s="28">
        <f t="shared" si="107"/>
        <v>96.600000000000009</v>
      </c>
      <c r="L435" s="33" t="s">
        <v>25</v>
      </c>
      <c r="M435" s="33" t="s">
        <v>64</v>
      </c>
      <c r="N435" s="33" t="s">
        <v>164</v>
      </c>
      <c r="O435" s="29">
        <v>0.67986111111111114</v>
      </c>
      <c r="P435" s="29">
        <v>0.70277777777777772</v>
      </c>
      <c r="Q435" s="35">
        <f t="shared" ca="1" si="108"/>
        <v>2.2916666666666585E-2</v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260</v>
      </c>
      <c r="F436" s="134">
        <f>IFERROR(IF($D436="","",VLOOKUP($D436,Cadastro!$C$4:$E$7,3,FALSE)),"")</f>
        <v>0.35</v>
      </c>
      <c r="G436" s="105">
        <v>30</v>
      </c>
      <c r="H436" s="134">
        <f>IFERROR(IF($G436="","",$G436*$S$446/$G$446/Cadastro!$E$33),"")</f>
        <v>136.70819672131148</v>
      </c>
      <c r="I436" s="135">
        <f>IFERROR(IF($D436="","",VLOOKUP($D436,Cadastro!$C$4:$G$7,5,FALSE)),"")</f>
        <v>0.6</v>
      </c>
      <c r="J436" s="136">
        <f t="shared" si="106"/>
        <v>28.708721311475408</v>
      </c>
      <c r="K436" s="28">
        <f t="shared" si="107"/>
        <v>126</v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260</v>
      </c>
      <c r="F437" s="134">
        <f>IFERROR(IF($D437="","",VLOOKUP($D437,Cadastro!$C$4:$E$7,3,FALSE)),"")</f>
        <v>0.35</v>
      </c>
      <c r="G437" s="105">
        <v>26</v>
      </c>
      <c r="H437" s="134">
        <f>IFERROR(IF($G437="","",$G437*$S$446/$G$446/Cadastro!$E$33),"")</f>
        <v>118.48043715846994</v>
      </c>
      <c r="I437" s="135">
        <f>IFERROR(IF($D437="","",VLOOKUP($D437,Cadastro!$C$4:$G$7,5,FALSE)),"")</f>
        <v>0.6</v>
      </c>
      <c r="J437" s="136">
        <f t="shared" si="106"/>
        <v>24.880891803278686</v>
      </c>
      <c r="K437" s="34">
        <f t="shared" si="107"/>
        <v>109.2</v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260</v>
      </c>
      <c r="F438" s="134">
        <f>IFERROR(IF($D438="","",VLOOKUP($D438,Cadastro!$C$4:$E$7,3,FALSE)),"")</f>
        <v>0.35</v>
      </c>
      <c r="G438" s="105">
        <v>25</v>
      </c>
      <c r="H438" s="134">
        <f>IFERROR(IF($G438="","",$G438*$S$446/$G$446/Cadastro!$E$33),"")</f>
        <v>113.92349726775957</v>
      </c>
      <c r="I438" s="135">
        <f>IFERROR(IF($D438="","",VLOOKUP($D438,Cadastro!$C$4:$G$7,5,FALSE)),"")</f>
        <v>0.6</v>
      </c>
      <c r="J438" s="136">
        <f t="shared" si="106"/>
        <v>23.923934426229511</v>
      </c>
      <c r="K438" s="28">
        <f t="shared" si="107"/>
        <v>105</v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260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45.569398907103825</v>
      </c>
      <c r="I439" s="135">
        <f>IFERROR(IF($D439="","",VLOOKUP($D439,Cadastro!$C$4:$G$7,5,FALSE)),"")</f>
        <v>0.6</v>
      </c>
      <c r="J439" s="136">
        <f t="shared" si="106"/>
        <v>9.569573770491802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08" t="s">
        <v>260</v>
      </c>
      <c r="F440" s="134">
        <f>IFERROR(IF($D440="","",VLOOKUP($D440,Cadastro!$C$4:$E$7,3,FALSE)),"")</f>
        <v>0.35</v>
      </c>
      <c r="G440" s="105">
        <v>1</v>
      </c>
      <c r="H440" s="134">
        <f>IFERROR(IF($G440="","",$G440*$S$446/$G$446/Cadastro!$E$33),"")</f>
        <v>4.5569398907103826</v>
      </c>
      <c r="I440" s="135">
        <f>IFERROR(IF($D440="","",VLOOKUP($D440,Cadastro!$C$4:$G$7,5,FALSE)),"")</f>
        <v>0.6</v>
      </c>
      <c r="J440" s="136">
        <f t="shared" si="106"/>
        <v>0.95695737704918016</v>
      </c>
      <c r="K440" s="28">
        <f t="shared" si="107"/>
        <v>4.2</v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29</v>
      </c>
      <c r="E441" s="108" t="s">
        <v>260</v>
      </c>
      <c r="F441" s="134">
        <f>IFERROR(IF($D441="","",VLOOKUP($D441,Cadastro!$C$4:$E$7,3,FALSE)),"")</f>
        <v>0.35</v>
      </c>
      <c r="G441" s="105">
        <v>12</v>
      </c>
      <c r="H441" s="134">
        <f>IFERROR(IF($G441="","",$G441*$S$446/$G$446/Cadastro!$E$33),"")</f>
        <v>54.683278688524588</v>
      </c>
      <c r="I441" s="135">
        <f>IFERROR(IF($D441="","",VLOOKUP($D441,Cadastro!$C$4:$G$7,5,FALSE)),"")</f>
        <v>0.6</v>
      </c>
      <c r="J441" s="136">
        <f t="shared" si="106"/>
        <v>11.483488524590163</v>
      </c>
      <c r="K441" s="34">
        <f t="shared" si="107"/>
        <v>50.400000000000006</v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29</v>
      </c>
      <c r="E442" s="108" t="s">
        <v>260</v>
      </c>
      <c r="F442" s="134">
        <f>IFERROR(IF($D442="","",VLOOKUP($D442,Cadastro!$C$4:$E$7,3,FALSE)),"")</f>
        <v>0.35</v>
      </c>
      <c r="G442" s="105">
        <v>15</v>
      </c>
      <c r="H442" s="134">
        <f>IFERROR(IF($G442="","",$G442*$S$446/$G$446/Cadastro!$E$33),"")</f>
        <v>68.35409836065574</v>
      </c>
      <c r="I442" s="135">
        <f>IFERROR(IF($D442="","",VLOOKUP($D442,Cadastro!$C$4:$G$7,5,FALSE)),"")</f>
        <v>0.6</v>
      </c>
      <c r="J442" s="136">
        <f t="shared" si="106"/>
        <v>14.354360655737704</v>
      </c>
      <c r="K442" s="28">
        <f t="shared" si="107"/>
        <v>63</v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260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41.012459016393443</v>
      </c>
      <c r="I443" s="135">
        <f>IFERROR(IF($D443="","",VLOOKUP($D443,Cadastro!$C$4:$G$7,5,FALSE)),"")</f>
        <v>0.6</v>
      </c>
      <c r="J443" s="136">
        <f t="shared" si="106"/>
        <v>8.6126163934426216</v>
      </c>
      <c r="K443" s="34">
        <f t="shared" si="107"/>
        <v>37.800000000000004</v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260</v>
      </c>
      <c r="F444" s="134">
        <f>IFERROR(IF($D444="","",VLOOKUP($D444,Cadastro!$C$4:$E$7,3,FALSE)),"")</f>
        <v>0.35</v>
      </c>
      <c r="G444" s="105">
        <v>11</v>
      </c>
      <c r="H444" s="134">
        <f>IFERROR(IF($G444="","",$G444*$S$446/$G$446/Cadastro!$E$33),"")</f>
        <v>50.126338797814206</v>
      </c>
      <c r="I444" s="135">
        <f>IFERROR(IF($D444="","",VLOOKUP($D444,Cadastro!$C$4:$G$7,5,FALSE)),"")</f>
        <v>0.6</v>
      </c>
      <c r="J444" s="136">
        <f t="shared" si="106"/>
        <v>10.526531147540982</v>
      </c>
      <c r="K444" s="28">
        <f t="shared" si="107"/>
        <v>46.2</v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260</v>
      </c>
      <c r="F445" s="137">
        <f>IFERROR(IF($D445="","",VLOOKUP($D445,Cadastro!$C$4:$E$7,3,FALSE)),"")</f>
        <v>0.35</v>
      </c>
      <c r="G445" s="105">
        <v>3</v>
      </c>
      <c r="H445" s="137">
        <f>IFERROR(IF($G445="","",$G445*$S$446/$G$446/Cadastro!$E$33),"")</f>
        <v>13.670819672131147</v>
      </c>
      <c r="I445" s="138">
        <f>IFERROR(IF($D445="","",VLOOKUP($D445,Cadastro!$C$4:$G$7,5,FALSE)),"")</f>
        <v>0.6</v>
      </c>
      <c r="J445" s="139">
        <f t="shared" si="106"/>
        <v>2.8708721311475407</v>
      </c>
      <c r="K445" s="34">
        <f t="shared" si="107"/>
        <v>12.600000000000001</v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9" t="s">
        <v>245</v>
      </c>
      <c r="B446" s="160"/>
      <c r="C446" s="160"/>
      <c r="D446" s="160"/>
      <c r="E446" s="160">
        <f>SUM(E434:E445)</f>
        <v>0</v>
      </c>
      <c r="F446" s="110"/>
      <c r="G446" s="80">
        <f>SUM(G434:G445)</f>
        <v>183</v>
      </c>
      <c r="H446" s="110">
        <f>IFERROR(SUM(H434:H445),"")</f>
        <v>833.92000000000019</v>
      </c>
      <c r="I446" s="114"/>
      <c r="J446" s="123">
        <f>IFERROR(SUM(J434:J445),"")</f>
        <v>169.70955540983604</v>
      </c>
      <c r="K446" s="36">
        <f>SUM(K434:K445)</f>
        <v>768.60000000000014</v>
      </c>
      <c r="L446" s="37"/>
      <c r="M446" s="37"/>
      <c r="N446" s="37"/>
      <c r="O446" s="61"/>
      <c r="P446" s="61"/>
      <c r="Q446" s="38">
        <f ca="1">IFERROR(SUM(Q434:Q445),"")</f>
        <v>3.6111111111111094E-2</v>
      </c>
      <c r="R446" s="36" t="s">
        <v>246</v>
      </c>
      <c r="S446" s="39">
        <v>833920</v>
      </c>
      <c r="T446" s="119">
        <f>IFERROR(J446,"")</f>
        <v>169.70955540983604</v>
      </c>
    </row>
    <row r="447" spans="1:21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260</v>
      </c>
      <c r="F447" s="140">
        <f>IFERROR(IF($D447="","",VLOOKUP($D447,Cadastro!$C$4:$E$7,3,FALSE)),"")</f>
        <v>0.35</v>
      </c>
      <c r="G447" s="105">
        <v>40</v>
      </c>
      <c r="H447" s="140">
        <f>IFERROR(IF($G447="","",$G447*$S$459/$G$459/Cadastro!$E$33),"")</f>
        <v>0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0</v>
      </c>
      <c r="K447" s="34">
        <f t="shared" ref="K447:K458" si="111">IF(G447="","",IF(E447="PC 17",G447*4.2,IF(E447="PC 19",G447*5,IF(E447="CB",G447*24,""))))</f>
        <v>168</v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260</v>
      </c>
      <c r="F448" s="134">
        <f>IFERROR(IF($D448="","",VLOOKUP($D448,Cadastro!$C$4:$E$7,3,FALSE)),"")</f>
        <v>0.35</v>
      </c>
      <c r="G448" s="105">
        <v>42</v>
      </c>
      <c r="H448" s="134">
        <f>IFERROR(IF($G448="","",$G448*$S$459/$G$459/Cadastro!$E$33),"")</f>
        <v>0</v>
      </c>
      <c r="I448" s="135">
        <f>IFERROR(IF($D448="","",VLOOKUP($D448,Cadastro!$C$4:$G$7,5,FALSE)),"")</f>
        <v>0.6</v>
      </c>
      <c r="J448" s="136">
        <f t="shared" si="110"/>
        <v>0</v>
      </c>
      <c r="K448" s="28">
        <f t="shared" si="111"/>
        <v>176.4</v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260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0</v>
      </c>
      <c r="I449" s="135">
        <f>IFERROR(IF($D449="","",VLOOKUP($D449,Cadastro!$C$4:$G$7,5,FALSE)),"")</f>
        <v>0.6</v>
      </c>
      <c r="J449" s="136">
        <f t="shared" si="110"/>
        <v>0</v>
      </c>
      <c r="K449" s="34">
        <f t="shared" si="111"/>
        <v>46.2</v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29</v>
      </c>
      <c r="E450" s="178" t="s">
        <v>260</v>
      </c>
      <c r="F450" s="134">
        <f>IFERROR(IF($D450="","",VLOOKUP($D450,Cadastro!$C$4:$E$7,3,FALSE)),"")</f>
        <v>0.35</v>
      </c>
      <c r="G450" s="105">
        <v>24</v>
      </c>
      <c r="H450" s="134">
        <f>IFERROR(IF($G450="","",$G450*$S$459/$G$459/Cadastro!$E$33),"")</f>
        <v>0</v>
      </c>
      <c r="I450" s="135">
        <f>IFERROR(IF($D450="","",VLOOKUP($D450,Cadastro!$C$4:$G$7,5,FALSE)),"")</f>
        <v>0.6</v>
      </c>
      <c r="J450" s="136">
        <f t="shared" si="110"/>
        <v>0</v>
      </c>
      <c r="K450" s="28">
        <f>IF(G450="","",IF(E451="PC 17",G450*4.2,IF(E451="PC 19",G450*5,"")))</f>
        <v>100.80000000000001</v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29</v>
      </c>
      <c r="E451" s="109" t="s">
        <v>260</v>
      </c>
      <c r="F451" s="134">
        <f>IFERROR(IF($D451="","",VLOOKUP($D451,Cadastro!$C$4:$E$7,3,FALSE)),"")</f>
        <v>0.35</v>
      </c>
      <c r="G451" s="105"/>
      <c r="H451" s="134" t="str">
        <f>IFERROR(IF($G451="","",$G451*$S$459/$G$459/Cadastro!$E$33),"")</f>
        <v/>
      </c>
      <c r="I451" s="135">
        <f>IFERROR(IF($D451="","",VLOOKUP($D451,Cadastro!$C$4:$G$7,5,FALSE)),"")</f>
        <v>0.6</v>
      </c>
      <c r="J451" s="136" t="str">
        <f t="shared" si="110"/>
        <v/>
      </c>
      <c r="K451" s="151" t="str">
        <f>IF(G451="","",IF(E452="PC 17",G451*4.2,IF(E452="PC 19",G451*5,"")))</f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29</v>
      </c>
      <c r="E452" s="109" t="s">
        <v>260</v>
      </c>
      <c r="F452" s="134">
        <f>IFERROR(IF($D452="","",VLOOKUP($D452,Cadastro!$C$4:$E$7,3,FALSE)),"")</f>
        <v>0.35</v>
      </c>
      <c r="G452" s="105"/>
      <c r="H452" s="134" t="str">
        <f>IFERROR(IF($G452="","",$G452*$S$459/$G$459/Cadastro!$E$33),"")</f>
        <v/>
      </c>
      <c r="I452" s="135">
        <f>IFERROR(IF($D452="","",VLOOKUP($D452,Cadastro!$C$4:$G$7,5,FALSE)),"")</f>
        <v>0.6</v>
      </c>
      <c r="J452" s="136" t="str">
        <f t="shared" si="110"/>
        <v/>
      </c>
      <c r="K452" s="28" t="str">
        <f>IF(G452="","",IF(E453="PC 17",G452*4.2,IF(E453="PC 19",G452*5,"")))</f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260</v>
      </c>
      <c r="F453" s="134">
        <f>IFERROR(IF($D453="","",VLOOKUP($D453,Cadastro!$C$4:$E$7,3,FALSE)),"")</f>
        <v>0.35</v>
      </c>
      <c r="G453" s="105"/>
      <c r="H453" s="134" t="str">
        <f>IFERROR(IF($G453="","",$G453*$S$459/$G$459/Cadastro!$E$33),"")</f>
        <v/>
      </c>
      <c r="I453" s="135">
        <f>IFERROR(IF($D453="","",VLOOKUP($D453,Cadastro!$C$4:$G$7,5,FALSE)),"")</f>
        <v>0.6</v>
      </c>
      <c r="J453" s="136" t="str">
        <f t="shared" si="110"/>
        <v/>
      </c>
      <c r="K453" s="151" t="str">
        <f>IF(G453="","",IF(E454="PC 17",G453*4.2,IF(E454="PC 19",G453*5,"")))</f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260</v>
      </c>
      <c r="F454" s="134">
        <f>IFERROR(IF($D454="","",VLOOKUP($D454,Cadastro!$C$4:$E$7,3,FALSE)),"")</f>
        <v>0.35</v>
      </c>
      <c r="G454" s="105"/>
      <c r="H454" s="134" t="str">
        <f>IFERROR(IF($G454="","",$G454*$S$459/$G$459/Cadastro!$E$33),"")</f>
        <v/>
      </c>
      <c r="I454" s="135">
        <f>IFERROR(IF($D454="","",VLOOKUP($D454,Cadastro!$C$4:$G$7,5,FALSE)),"")</f>
        <v>0.6</v>
      </c>
      <c r="J454" s="136" t="str">
        <f t="shared" si="110"/>
        <v/>
      </c>
      <c r="K454" s="28" t="str">
        <f>IF(G454="","",IF(E455="PC 17",G454*4.2,IF(E455="PC 19",G454*5,"")))</f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260</v>
      </c>
      <c r="F455" s="134">
        <f>IFERROR(IF($D455="","",VLOOKUP($D455,Cadastro!$C$4:$E$7,3,FALSE)),"")</f>
        <v>0.35</v>
      </c>
      <c r="G455" s="105"/>
      <c r="H455" s="134" t="str">
        <f>IFERROR(IF($G455="","",$G455*$S$459/$G$459/Cadastro!$E$33),"")</f>
        <v/>
      </c>
      <c r="I455" s="135">
        <f>IFERROR(IF($D455="","",VLOOKUP($D455,Cadastro!$C$4:$G$7,5,FALSE)),"")</f>
        <v>0.6</v>
      </c>
      <c r="J455" s="136" t="str">
        <f t="shared" si="110"/>
        <v/>
      </c>
      <c r="K455" s="151" t="str">
        <f>IF(G455="","",IF(E456="PC 17",G455*4.2,IF(E456="PC 19",G455*5,"")))</f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260</v>
      </c>
      <c r="F456" s="134">
        <f>IFERROR(IF($D456="","",VLOOKUP($D456,Cadastro!$C$4:$E$7,3,FALSE)),"")</f>
        <v>0.35</v>
      </c>
      <c r="G456" s="105"/>
      <c r="H456" s="134" t="str">
        <f>IFERROR(IF($G456="","",$G456*$S$459/$G$459/Cadastro!$E$33),"")</f>
        <v/>
      </c>
      <c r="I456" s="135">
        <f>IFERROR(IF($D456="","",VLOOKUP($D456,Cadastro!$C$4:$G$7,5,FALSE)),"")</f>
        <v>0.6</v>
      </c>
      <c r="J456" s="136" t="str">
        <f t="shared" si="110"/>
        <v/>
      </c>
      <c r="K456" s="28" t="str">
        <f>IF(G456="","",IF(E457="PC 17",G456*4.2,IF(E457="PC 19",G456*5,"")))</f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260</v>
      </c>
      <c r="F457" s="134">
        <f>IFERROR(IF($D457="","",VLOOKUP($D457,Cadastro!$C$4:$E$7,3,FALSE)),"")</f>
        <v>0.35</v>
      </c>
      <c r="G457" s="105"/>
      <c r="H457" s="134" t="str">
        <f>IFERROR(IF($G457="","",$G457*$S$459/$G$459/Cadastro!$E$33),"")</f>
        <v/>
      </c>
      <c r="I457" s="135">
        <f>IFERROR(IF($D457="","",VLOOKUP($D457,Cadastro!$C$4:$G$7,5,FALSE)),"")</f>
        <v>0.6</v>
      </c>
      <c r="J457" s="136" t="str">
        <f t="shared" si="110"/>
        <v/>
      </c>
      <c r="K457" s="151" t="str">
        <f>IF(G457="","",IF(E458="PC 17",G457*4.2,IF(E458="PC 19",G457*5,"")))</f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260</v>
      </c>
      <c r="F458" s="137">
        <f>IFERROR(IF($D458="","",VLOOKUP($D458,Cadastro!$C$4:$E$7,3,FALSE)),"")</f>
        <v>0.35</v>
      </c>
      <c r="G458" s="105"/>
      <c r="H458" s="137" t="str">
        <f>IFERROR(IF($G458="","",$G458*$S$459/$G$459/Cadastro!$E$33),"")</f>
        <v/>
      </c>
      <c r="I458" s="138">
        <f>IFERROR(IF($D458="","",VLOOKUP($D458,Cadastro!$C$4:$G$7,5,FALSE)),"")</f>
        <v>0.6</v>
      </c>
      <c r="J458" s="139" t="str">
        <f t="shared" si="110"/>
        <v/>
      </c>
      <c r="K458" s="28" t="str">
        <f>IF(G458="","",IF(E459="PC 17",G458*4.2,IF(E459="PC 19",G458*5,"")))</f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9" t="s">
        <v>248</v>
      </c>
      <c r="B459" s="160"/>
      <c r="C459" s="160"/>
      <c r="D459" s="160"/>
      <c r="E459" s="160">
        <f>SUM(E447:E458)</f>
        <v>0</v>
      </c>
      <c r="F459" s="111"/>
      <c r="G459" s="80">
        <f>SUM(G447:G458)</f>
        <v>117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491.4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246</v>
      </c>
      <c r="S459" s="39"/>
      <c r="T459" s="119">
        <f>IFERROR(J459,"")</f>
        <v>0</v>
      </c>
    </row>
    <row r="460" spans="1:20" ht="18" customHeight="1">
      <c r="A460" s="161" t="s">
        <v>249</v>
      </c>
      <c r="B460" s="162"/>
      <c r="C460" s="162"/>
      <c r="D460" s="162"/>
      <c r="E460" s="162">
        <f>E446+E459</f>
        <v>0</v>
      </c>
      <c r="F460" s="112"/>
      <c r="G460" s="91">
        <f>G446+G459</f>
        <v>300</v>
      </c>
      <c r="H460" s="112">
        <f>IFERROR(H446+H459,"")</f>
        <v>833.92000000000019</v>
      </c>
      <c r="I460" s="116"/>
      <c r="J460" s="125">
        <f>IFERROR(J446+J459,"")</f>
        <v>169.70955540983604</v>
      </c>
      <c r="K460" s="40">
        <f>K446+K459</f>
        <v>1260</v>
      </c>
      <c r="L460" s="41"/>
      <c r="M460" s="41"/>
      <c r="N460" s="41"/>
      <c r="O460" s="63"/>
      <c r="P460" s="63"/>
      <c r="Q460" s="42">
        <f ca="1">IFERROR(Q446+Q459,"")</f>
        <v>3.6111111111111094E-2</v>
      </c>
      <c r="R460" s="40" t="s">
        <v>250</v>
      </c>
      <c r="S460" s="48">
        <f>IFERROR(S446+S459,"")</f>
        <v>833920</v>
      </c>
      <c r="T460" s="121">
        <f>IFERROR(J460,"")</f>
        <v>169.70955540983604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9" t="s">
        <v>245</v>
      </c>
      <c r="B473" s="160"/>
      <c r="C473" s="160"/>
      <c r="D473" s="160"/>
      <c r="E473" s="160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246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9" t="s">
        <v>248</v>
      </c>
      <c r="B486" s="160"/>
      <c r="C486" s="160"/>
      <c r="D486" s="160"/>
      <c r="E486" s="160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246</v>
      </c>
      <c r="S486" s="39"/>
      <c r="T486" s="119">
        <f>IFERROR(J486,"")</f>
        <v>0</v>
      </c>
    </row>
    <row r="487" spans="1:20" ht="18" customHeight="1">
      <c r="A487" s="161" t="s">
        <v>249</v>
      </c>
      <c r="B487" s="162"/>
      <c r="C487" s="162"/>
      <c r="D487" s="162"/>
      <c r="E487" s="162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250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9" t="s">
        <v>245</v>
      </c>
      <c r="B500" s="160"/>
      <c r="C500" s="160"/>
      <c r="D500" s="160"/>
      <c r="E500" s="160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246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9" t="s">
        <v>248</v>
      </c>
      <c r="B513" s="160"/>
      <c r="C513" s="160"/>
      <c r="D513" s="160"/>
      <c r="E513" s="160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246</v>
      </c>
      <c r="S513" s="39"/>
      <c r="T513" s="119">
        <f>IFERROR(J513,"")</f>
        <v>0</v>
      </c>
    </row>
    <row r="514" spans="1:20" ht="18" customHeight="1">
      <c r="A514" s="161" t="s">
        <v>249</v>
      </c>
      <c r="B514" s="162"/>
      <c r="C514" s="162"/>
      <c r="D514" s="162"/>
      <c r="E514" s="162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250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9" t="s">
        <v>245</v>
      </c>
      <c r="B527" s="160"/>
      <c r="C527" s="160"/>
      <c r="D527" s="160"/>
      <c r="E527" s="160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246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9" t="s">
        <v>248</v>
      </c>
      <c r="B540" s="160"/>
      <c r="C540" s="160"/>
      <c r="D540" s="160"/>
      <c r="E540" s="160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246</v>
      </c>
      <c r="S540" s="39"/>
      <c r="T540" s="119">
        <f>IFERROR(J540,"")</f>
        <v>0</v>
      </c>
    </row>
    <row r="541" spans="1:20" ht="18" customHeight="1">
      <c r="A541" s="161" t="s">
        <v>249</v>
      </c>
      <c r="B541" s="162"/>
      <c r="C541" s="162"/>
      <c r="D541" s="162"/>
      <c r="E541" s="162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250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9" t="s">
        <v>245</v>
      </c>
      <c r="B554" s="160"/>
      <c r="C554" s="160"/>
      <c r="D554" s="160"/>
      <c r="E554" s="160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246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9" t="s">
        <v>248</v>
      </c>
      <c r="B567" s="160"/>
      <c r="C567" s="160"/>
      <c r="D567" s="160"/>
      <c r="E567" s="160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246</v>
      </c>
      <c r="S567" s="39"/>
      <c r="T567" s="119">
        <f>IFERROR(J567,"")</f>
        <v>0</v>
      </c>
    </row>
    <row r="568" spans="1:20" ht="18" customHeight="1">
      <c r="A568" s="161" t="s">
        <v>249</v>
      </c>
      <c r="B568" s="162"/>
      <c r="C568" s="162"/>
      <c r="D568" s="162"/>
      <c r="E568" s="162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250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9" t="s">
        <v>245</v>
      </c>
      <c r="B581" s="160"/>
      <c r="C581" s="160"/>
      <c r="D581" s="160"/>
      <c r="E581" s="160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246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9" t="s">
        <v>248</v>
      </c>
      <c r="B594" s="160"/>
      <c r="C594" s="160"/>
      <c r="D594" s="160"/>
      <c r="E594" s="160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246</v>
      </c>
      <c r="S594" s="39"/>
      <c r="T594" s="119">
        <f>IFERROR(J594,"")</f>
        <v>0</v>
      </c>
    </row>
    <row r="595" spans="1:20" ht="18" customHeight="1">
      <c r="A595" s="161" t="s">
        <v>249</v>
      </c>
      <c r="B595" s="162"/>
      <c r="C595" s="162"/>
      <c r="D595" s="162"/>
      <c r="E595" s="162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250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9" t="s">
        <v>245</v>
      </c>
      <c r="B608" s="160"/>
      <c r="C608" s="160"/>
      <c r="D608" s="160"/>
      <c r="E608" s="160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246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9" t="s">
        <v>248</v>
      </c>
      <c r="B621" s="160"/>
      <c r="C621" s="160"/>
      <c r="D621" s="160"/>
      <c r="E621" s="160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246</v>
      </c>
      <c r="S621" s="39"/>
      <c r="T621" s="119">
        <f>IFERROR(J621,"")</f>
        <v>0</v>
      </c>
    </row>
    <row r="622" spans="1:20" ht="18" customHeight="1">
      <c r="A622" s="161" t="s">
        <v>249</v>
      </c>
      <c r="B622" s="162"/>
      <c r="C622" s="162"/>
      <c r="D622" s="162"/>
      <c r="E622" s="162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250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9" t="s">
        <v>245</v>
      </c>
      <c r="B635" s="160"/>
      <c r="C635" s="160"/>
      <c r="D635" s="160"/>
      <c r="E635" s="160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246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9" t="s">
        <v>248</v>
      </c>
      <c r="B648" s="160"/>
      <c r="C648" s="160"/>
      <c r="D648" s="160"/>
      <c r="E648" s="160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246</v>
      </c>
      <c r="S648" s="39"/>
      <c r="T648" s="119">
        <f>IFERROR(J648,"")</f>
        <v>0</v>
      </c>
    </row>
    <row r="649" spans="1:20" ht="18" customHeight="1">
      <c r="A649" s="161" t="s">
        <v>249</v>
      </c>
      <c r="B649" s="162"/>
      <c r="C649" s="162"/>
      <c r="D649" s="162"/>
      <c r="E649" s="162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250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9" t="s">
        <v>245</v>
      </c>
      <c r="B662" s="160"/>
      <c r="C662" s="160"/>
      <c r="D662" s="160"/>
      <c r="E662" s="160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246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9" t="s">
        <v>248</v>
      </c>
      <c r="B675" s="160"/>
      <c r="C675" s="160"/>
      <c r="D675" s="160"/>
      <c r="E675" s="160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246</v>
      </c>
      <c r="S675" s="39"/>
      <c r="T675" s="119">
        <f>IFERROR(J675,"")</f>
        <v>0</v>
      </c>
    </row>
    <row r="676" spans="1:20" ht="18" customHeight="1">
      <c r="A676" s="161" t="s">
        <v>249</v>
      </c>
      <c r="B676" s="162"/>
      <c r="C676" s="162"/>
      <c r="D676" s="162"/>
      <c r="E676" s="162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250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9" t="s">
        <v>245</v>
      </c>
      <c r="B689" s="160"/>
      <c r="C689" s="160"/>
      <c r="D689" s="160"/>
      <c r="E689" s="160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246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9" t="s">
        <v>248</v>
      </c>
      <c r="B702" s="160"/>
      <c r="C702" s="160"/>
      <c r="D702" s="160"/>
      <c r="E702" s="160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246</v>
      </c>
      <c r="S702" s="39"/>
      <c r="T702" s="119">
        <f>IFERROR(J702,"")</f>
        <v>0</v>
      </c>
    </row>
    <row r="703" spans="1:20" ht="18" customHeight="1">
      <c r="A703" s="161" t="s">
        <v>249</v>
      </c>
      <c r="B703" s="162"/>
      <c r="C703" s="162"/>
      <c r="D703" s="162"/>
      <c r="E703" s="162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250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9" t="s">
        <v>245</v>
      </c>
      <c r="B716" s="160"/>
      <c r="C716" s="160"/>
      <c r="D716" s="160"/>
      <c r="E716" s="160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246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9" t="s">
        <v>248</v>
      </c>
      <c r="B729" s="160"/>
      <c r="C729" s="160"/>
      <c r="D729" s="160"/>
      <c r="E729" s="160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246</v>
      </c>
      <c r="S729" s="39"/>
      <c r="T729" s="119">
        <f>IFERROR(J729,"")</f>
        <v>0</v>
      </c>
    </row>
    <row r="730" spans="1:20" ht="18" customHeight="1">
      <c r="A730" s="161" t="s">
        <v>249</v>
      </c>
      <c r="B730" s="162"/>
      <c r="C730" s="162"/>
      <c r="D730" s="162"/>
      <c r="E730" s="162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250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9" t="s">
        <v>245</v>
      </c>
      <c r="B743" s="160"/>
      <c r="C743" s="160"/>
      <c r="D743" s="160"/>
      <c r="E743" s="160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246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9" t="s">
        <v>248</v>
      </c>
      <c r="B756" s="160"/>
      <c r="C756" s="160"/>
      <c r="D756" s="160"/>
      <c r="E756" s="160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246</v>
      </c>
      <c r="S756" s="39"/>
      <c r="T756" s="119">
        <f>IFERROR(J756,"")</f>
        <v>0</v>
      </c>
    </row>
    <row r="757" spans="1:20" ht="18" customHeight="1">
      <c r="A757" s="161" t="s">
        <v>249</v>
      </c>
      <c r="B757" s="162"/>
      <c r="C757" s="162"/>
      <c r="D757" s="162"/>
      <c r="E757" s="162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250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9" t="s">
        <v>245</v>
      </c>
      <c r="B770" s="160"/>
      <c r="C770" s="160"/>
      <c r="D770" s="160"/>
      <c r="E770" s="160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246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9" t="s">
        <v>248</v>
      </c>
      <c r="B783" s="160"/>
      <c r="C783" s="160"/>
      <c r="D783" s="160"/>
      <c r="E783" s="160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246</v>
      </c>
      <c r="S783" s="39"/>
      <c r="T783" s="119">
        <f>IFERROR(J783,"")</f>
        <v>0</v>
      </c>
    </row>
    <row r="784" spans="1:20" ht="18" customHeight="1">
      <c r="A784" s="161" t="s">
        <v>249</v>
      </c>
      <c r="B784" s="162"/>
      <c r="C784" s="162"/>
      <c r="D784" s="162"/>
      <c r="E784" s="162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250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9" t="s">
        <v>245</v>
      </c>
      <c r="B797" s="160"/>
      <c r="C797" s="160"/>
      <c r="D797" s="160"/>
      <c r="E797" s="160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246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9" t="s">
        <v>248</v>
      </c>
      <c r="B810" s="160"/>
      <c r="C810" s="160"/>
      <c r="D810" s="160"/>
      <c r="E810" s="160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246</v>
      </c>
      <c r="S810" s="39"/>
      <c r="T810" s="119">
        <f>IFERROR(J810,"")</f>
        <v>0</v>
      </c>
    </row>
    <row r="811" spans="1:20" ht="18" customHeight="1">
      <c r="A811" s="161" t="s">
        <v>249</v>
      </c>
      <c r="B811" s="162"/>
      <c r="C811" s="162"/>
      <c r="D811" s="162"/>
      <c r="E811" s="162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250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9" t="s">
        <v>245</v>
      </c>
      <c r="B824" s="160"/>
      <c r="C824" s="160"/>
      <c r="D824" s="160"/>
      <c r="E824" s="160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246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9" t="s">
        <v>248</v>
      </c>
      <c r="B837" s="160"/>
      <c r="C837" s="160"/>
      <c r="D837" s="160"/>
      <c r="E837" s="160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246</v>
      </c>
      <c r="S837" s="39"/>
      <c r="T837" s="119">
        <f>IFERROR(J837,"")</f>
        <v>0</v>
      </c>
    </row>
    <row r="838" spans="1:20" ht="18" customHeight="1">
      <c r="A838" s="161" t="s">
        <v>249</v>
      </c>
      <c r="B838" s="162"/>
      <c r="C838" s="162"/>
      <c r="D838" s="162"/>
      <c r="E838" s="162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250</v>
      </c>
      <c r="S838" s="48">
        <f>IFERROR(S824+S837,"")</f>
        <v>0</v>
      </c>
      <c r="T838" s="121">
        <f>IFERROR(J838,"")</f>
        <v>0</v>
      </c>
    </row>
  </sheetData>
  <sheetProtection algorithmName="SHA-512" hashValue="Lyb87YCfa5jSAJoNQBsLb4kwuNinpT5WUTwdkFH1dLGOK/yYcHKRwEoCRyM0A9pk9N+X6Nao9q3qrZ+UJE+udg==" saltValue="LielITBT7qkXQ6nVHgGPqA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2:F325 E327:F449 E29:F40 E326 F451:F838 E450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2026-08-18T03:00:57Z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