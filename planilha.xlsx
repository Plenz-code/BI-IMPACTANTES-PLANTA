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93" documentId="8_{C51EB6CB-002B-4D6B-B68F-DDEBDB4460C0}" xr6:coauthVersionLast="47" xr6:coauthVersionMax="47" xr10:uidLastSave="{6436179E-AA30-4823-881B-74245CB78D59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G28" i="6"/>
  <c r="M648" i="6"/>
  <c r="G27" i="6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<sst xmlns="http://schemas.openxmlformats.org/spreadsheetml/2006/main" count="1211" uniqueCount="237">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</sst>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0</v>
      </c>
      <c r="D4" s="8">
        <f>IFERROR('Linha 1'!O28,"")</f>
        <v>0</v>
      </c>
      <c r="E4" s="8">
        <f>IFERROR('Linha 2'!O28,"")</f>
        <v>0</v>
      </c>
      <c r="F4" s="8">
        <f>IFERROR('Linha 3'!O28,"")</f>
        <v>0</v>
      </c>
      <c r="G4" s="9">
        <f t="shared" ref="G4:G34" si="0">IFERROR(D4+E4+F4,"")</f>
        <v>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0</v>
      </c>
      <c r="D35" s="13">
        <f>IFERROR(SUM(D4:D34),"")</f>
        <v>0</v>
      </c>
      <c r="E35" s="13">
        <f>IFERROR(SUM(E4:E34),"")</f>
        <v>0</v>
      </c>
      <c r="F35" s="13">
        <f>IFERROR(SUM(F4:F34),"")</f>
        <v>0</v>
      </c>
      <c r="G35" s="13">
        <f>IFERROR(SUM(G4:G34),"")</f>
        <v>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" activePane="bottomLeft" state="frozen"/>
      <selection pane="bottomLeft" activeCell="F11" sqref="F1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/>
      <c r="I2" s="26"/>
      <c r="J2" s="26"/>
      <c r="K2" s="29"/>
      <c r="L2" s="29"/>
      <c r="M2" s="30" t="str">
        <f ca="1">IFERROR(IF(K2="","",IF(L2="",MOD(NOW()-K2,1),IF(L2&gt;=K2,L2-K2,L2+1-K2))),"")</f>
        <v/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146</v>
      </c>
      <c r="G14" s="36">
        <f>SUM(G2:G13)</f>
        <v>730</v>
      </c>
      <c r="H14" s="37"/>
      <c r="I14" s="37"/>
      <c r="J14" s="37"/>
      <c r="K14" s="37"/>
      <c r="L14" s="37"/>
      <c r="M14" s="38">
        <f ca="1">IFERROR(SUM(M2:M13),"")</f>
        <v>0</v>
      </c>
      <c r="N14" s="36" t="s">
        <v>229</v>
      </c>
      <c r="O14" s="39"/>
    </row>
    <row r="15" spans="1:15" ht="15" customHeight="1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19",F15*5,IF(E15="CB",F15*35,""))))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/>
      <c r="D16" s="62"/>
      <c r="E16" s="62"/>
      <c r="F16" s="27"/>
      <c r="G16" s="34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/>
      <c r="D18" s="62"/>
      <c r="E18" s="62"/>
      <c r="F18" s="27"/>
      <c r="G18" s="34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/>
      <c r="D20" s="62"/>
      <c r="E20" s="62"/>
      <c r="F20" s="27"/>
      <c r="G20" s="34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/>
      <c r="D22" s="62"/>
      <c r="E22" s="62"/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/>
      <c r="D24" s="62"/>
      <c r="E24" s="62"/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/>
      <c r="D26" s="62"/>
      <c r="E26" s="62"/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146</v>
      </c>
      <c r="G28" s="40">
        <f>G14+G27</f>
        <v>730</v>
      </c>
      <c r="H28" s="41"/>
      <c r="I28" s="41"/>
      <c r="J28" s="41"/>
      <c r="K28" s="41"/>
      <c r="L28" s="41"/>
      <c r="M28" s="42">
        <f ca="1">IFERROR(M14+M27,"")</f>
        <v>0</v>
      </c>
      <c r="N28" s="40" t="s">
        <v>232</v>
      </c>
      <c r="O28" s="43">
        <f>IFERROR(O14+O27,"")</f>
        <v>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0" t="s">
        <v>231</v>
      </c>
      <c r="B811" s="111"/>
      <c r="C811" s="111"/>
      <c r="D811" s="111"/>
      <c r="E811" s="112">
        <f>E797+E810</f>
        <v>0</v>
      </c>
      <c r="F811" s="11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" activePane="bottomLeft" state="frozen"/>
      <selection pane="bottomLeft" activeCell="I2" sqref="I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/>
      <c r="G11" s="28" t="str">
        <f t="shared" si="0"/>
        <v/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/>
      <c r="G13" s="28" t="str">
        <f t="shared" si="0"/>
        <v/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87</v>
      </c>
      <c r="G14" s="36">
        <f>SUM(G2:G13)</f>
        <v>365.40000000000003</v>
      </c>
      <c r="H14" s="37"/>
      <c r="I14" s="37"/>
      <c r="J14" s="37"/>
      <c r="K14" s="37"/>
      <c r="L14" s="37"/>
      <c r="M14" s="38">
        <f ca="1">IFERROR(SUM(M2:M13),"")</f>
        <v>0.15902777777777771</v>
      </c>
      <c r="N14" s="36" t="s">
        <v>229</v>
      </c>
      <c r="O14" s="77"/>
    </row>
    <row r="15" spans="1:15" ht="15" customHeight="1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/>
      <c r="D16" s="62"/>
      <c r="E16" s="62"/>
      <c r="F16" s="27"/>
      <c r="G16" s="34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/>
      <c r="D18" s="62"/>
      <c r="E18" s="62"/>
      <c r="F18" s="27"/>
      <c r="G18" s="34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46235</v>
      </c>
      <c r="B20" s="25">
        <f t="shared" si="5"/>
        <v>1.0416666666666663</v>
      </c>
      <c r="C20" s="33"/>
      <c r="D20" s="62"/>
      <c r="E20" s="62"/>
      <c r="F20" s="27"/>
      <c r="G20" s="34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46235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/>
      <c r="D22" s="62"/>
      <c r="E22" s="62"/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/>
      <c r="D23" s="62"/>
      <c r="E23" s="62"/>
      <c r="F23" s="76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/>
      <c r="D24" s="62"/>
      <c r="E24" s="62"/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/>
      <c r="D26" s="62"/>
      <c r="E26" s="62"/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77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87</v>
      </c>
      <c r="G28" s="40">
        <f>G14+G27</f>
        <v>365.40000000000003</v>
      </c>
      <c r="H28" s="41"/>
      <c r="I28" s="41"/>
      <c r="J28" s="41"/>
      <c r="K28" s="41"/>
      <c r="L28" s="41"/>
      <c r="M28" s="42">
        <f ca="1">IFERROR(M14+M27,"")</f>
        <v>0.15902777777777771</v>
      </c>
      <c r="N28" s="40" t="s">
        <v>232</v>
      </c>
      <c r="O28" s="82">
        <f>O14+O27</f>
        <v>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50" zoomScaleNormal="50" workbookViewId="0">
      <selection activeCell="F11" sqref="F1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/>
      <c r="I3" s="33"/>
      <c r="J3" s="33"/>
      <c r="K3" s="29"/>
      <c r="L3" s="29"/>
      <c r="M3" s="35" t="str">
        <f t="shared" ca="1" si="1"/>
        <v/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64</v>
      </c>
      <c r="G14" s="36">
        <f>SUM(G2:G13)</f>
        <v>268.8</v>
      </c>
      <c r="H14" s="37"/>
      <c r="I14" s="37"/>
      <c r="J14" s="37"/>
      <c r="K14" s="37"/>
      <c r="L14" s="37"/>
      <c r="M14" s="38">
        <f ca="1">IFERROR(SUM(M2:M13),"")</f>
        <v>3.4722222222222099E-3</v>
      </c>
      <c r="N14" s="36" t="s">
        <v>229</v>
      </c>
      <c r="O14" s="39"/>
    </row>
    <row r="15" spans="1:15" ht="15" customHeight="1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ca="1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46235</v>
      </c>
      <c r="B19" s="32">
        <f t="shared" si="4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46235</v>
      </c>
      <c r="B20" s="25">
        <f t="shared" si="4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64</v>
      </c>
      <c r="G28" s="40">
        <f>G14+G27</f>
        <v>268.8</v>
      </c>
      <c r="H28" s="41"/>
      <c r="I28" s="41"/>
      <c r="J28" s="41"/>
      <c r="K28" s="41"/>
      <c r="L28" s="41"/>
      <c r="M28" s="42">
        <f ca="1">IFERROR(M14+M27,"")</f>
        <v>3.4722222222222099E-3</v>
      </c>
      <c r="N28" s="40" t="s">
        <v>232</v>
      </c>
      <c r="O28" s="43">
        <f>IFERROR(O14+O27,"")</f>
        <v>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C29:C900 C2:C13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D296:D900 D29:D294 D2:D13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" activePane="bottomLeft" state="frozen"/>
      <selection pane="bottomLeft" activeCell="F11" sqref="F1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98</v>
      </c>
      <c r="G14" s="36">
        <f>SUM(G2:G13)</f>
        <v>411.6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/>
    </row>
    <row r="15" spans="1:15" ht="15" customHeight="1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78" t="str">
        <f ca="1">IFERROR(IF(K16="","",IF(L16="",MOD(NOW()-K16,1),IF(L16&gt;=K16,L16-K16,L16+1-K16))),"")</f>
        <v/>
      </c>
      <c r="N16" s="27"/>
      <c r="O16" s="60"/>
    </row>
    <row r="17" spans="1:15" ht="15" customHeight="1">
      <c r="A17" s="69">
        <v>46235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46235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46235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46235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46235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98</v>
      </c>
      <c r="G28" s="40">
        <f>G14+G27</f>
        <v>411.6</v>
      </c>
      <c r="H28" s="41"/>
      <c r="I28" s="41"/>
      <c r="J28" s="41"/>
      <c r="K28" s="63"/>
      <c r="L28" s="63"/>
      <c r="M28" s="42">
        <f ca="1">IFERROR(M14+M27,"")</f>
        <v>3.8888888888888917E-2</v>
      </c>
      <c r="N28" s="40" t="s">
        <v>232</v>
      </c>
      <c r="O28" s="48">
        <f>IFERROR(O14+O27,"")</f>
        <v>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228</v>
      </c>
      <c r="B338" s="99"/>
      <c r="C338" s="99"/>
      <c r="D338" s="99"/>
      <c r="E338" s="100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C366:C900 C29:C364 C2:C13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D29:D900 C365 D2:D13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2026-08-01T20:13:07Z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