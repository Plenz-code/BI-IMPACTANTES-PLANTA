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47" documentId="8_{AF585B22-221D-4780-BB9C-493D365A6A02}" xr6:coauthVersionLast="47" xr6:coauthVersionMax="47" xr10:uidLastSave="{08B74656-A8F5-46D3-9C4D-512B4F96C98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<sst xmlns="http://schemas.openxmlformats.org/spreadsheetml/2006/main" count="9993" uniqueCount="389">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</sst>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F653" sqref="F6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98</v>
      </c>
      <c r="G662" s="36">
        <f>SUM(G650:G661)</f>
        <v>490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98</v>
      </c>
      <c r="G676" s="40">
        <f>G662+G675</f>
        <v>490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L653" sqref="L6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0.18325196758814855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0.34089085647703743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0.45061307869925959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0.16172418981295777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0.33255752314629117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0.47769641203518004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16</v>
      </c>
      <c r="G662" s="36">
        <f>SUM(G650:G661)</f>
        <v>67.2</v>
      </c>
      <c r="H662" s="37"/>
      <c r="I662" s="37"/>
      <c r="J662" s="37"/>
      <c r="K662" s="37"/>
      <c r="L662" s="37"/>
      <c r="M662" s="38">
        <f ca="1">IFERROR(SUM(M650:M661),"")</f>
        <v>0.10555555555555562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16</v>
      </c>
      <c r="G676" s="40">
        <f>G662+G675</f>
        <v>67.2</v>
      </c>
      <c r="H676" s="41"/>
      <c r="I676" s="41"/>
      <c r="J676" s="41"/>
      <c r="K676" s="41"/>
      <c r="L676" s="41"/>
      <c r="M676" s="42">
        <f ca="1">IFERROR(M662+M675,"")</f>
        <v>0.10555555555555562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52" sqref="F6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321</v>
      </c>
      <c r="N166" s="27" t="s">
        <v>322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/>
      <c r="I650" s="26"/>
      <c r="J650" s="26"/>
      <c r="K650" s="29">
        <v>0.33541666666666664</v>
      </c>
      <c r="L650" s="29"/>
      <c r="M650" s="30">
        <f t="shared" ref="M650:M661" ca="1" si="145">IFERROR(IF(K650="","",IF(L650="",MOD(NOW()-K650,1),IF(L650&gt;=K650,L650-K650,L650+1-K650))),"")</f>
        <v>8.7418634255300276E-2</v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15</v>
      </c>
      <c r="G662" s="36">
        <f>SUM(G650:G661)</f>
        <v>63</v>
      </c>
      <c r="H662" s="37"/>
      <c r="I662" s="37"/>
      <c r="J662" s="37"/>
      <c r="K662" s="37"/>
      <c r="L662" s="37"/>
      <c r="M662" s="38">
        <f ca="1">IFERROR(SUM(M650:M661),"")</f>
        <v>8.7418634255300276E-2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15</v>
      </c>
      <c r="G676" s="40">
        <f>G662+G675</f>
        <v>63</v>
      </c>
      <c r="H676" s="41"/>
      <c r="I676" s="41"/>
      <c r="J676" s="41"/>
      <c r="K676" s="41"/>
      <c r="L676" s="41"/>
      <c r="M676" s="42">
        <f ca="1">IFERROR(M662+M675,"")</f>
        <v>8.7418634255300276E-2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N651" sqref="N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346</v>
      </c>
      <c r="L58" s="29">
        <v>0.54097222222222219</v>
      </c>
      <c r="M58" s="30" t="str">
        <f t="shared" ca="1" si="13"/>
        <v/>
      </c>
      <c r="N58" s="27" t="s">
        <v>347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0.17352974537061527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0.3728353009261709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0.74019641203728193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0.13116863425966585</v>
      </c>
      <c r="N650" s="27" t="s">
        <v>388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0.13116863425966585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0.13116863425966585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2026-07-25T14:10:54Z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