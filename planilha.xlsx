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25" documentId="8_{AF585B22-221D-4780-BB9C-493D365A6A02}" xr6:coauthVersionLast="47" xr6:coauthVersionMax="47" xr10:uidLastSave="{EA800750-CB3F-45F0-9732-BA2F36BDC38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<sst xmlns="http://schemas.openxmlformats.org/spreadsheetml/2006/main" count="12508" uniqueCount="443">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</sst>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27" sqref="E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F827" sqref="F8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0.66592650462553138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0.82356539351442026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0.93328761573664243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0.64439872685034061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0.815232060183674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0.96037094907256293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/>
      <c r="M826" s="78">
        <f ca="1">IFERROR(IF(K826="","",IF(L826="",MOD(NOW()-K826,1),IF(L826&gt;=K826,L826-K826,L826+1-K826))),"")</f>
        <v>7.5931712926831096E-3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25</v>
      </c>
      <c r="G827" s="104">
        <f>IF(F827="","",IF(E827="PC 17",F827*4.2,IF(E827="PC 19",F827*5,"")))</f>
        <v>105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60</v>
      </c>
      <c r="G837" s="109">
        <f>SUM(G825:G836)</f>
        <v>264.8</v>
      </c>
      <c r="H837" s="37"/>
      <c r="I837" s="37"/>
      <c r="J837" s="37"/>
      <c r="K837" s="37"/>
      <c r="L837" s="37"/>
      <c r="M837" s="110">
        <f ca="1">IFERROR(SUM(M825:M836),"")</f>
        <v>1.2454282403794203E-2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229</v>
      </c>
      <c r="G838" s="111">
        <f>G824+G837</f>
        <v>974.60000000000014</v>
      </c>
      <c r="H838" s="41"/>
      <c r="I838" s="41"/>
      <c r="J838" s="41"/>
      <c r="K838" s="41"/>
      <c r="L838" s="41"/>
      <c r="M838" s="112">
        <f ca="1">IFERROR(M824+M837,"")</f>
        <v>0.11731539351490533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15</v>
      </c>
      <c r="G827" s="104">
        <f>IF(F827="","",IF(E827="PC 17",F827*4.2,IF(E827="PC 19",F827*5,"")))</f>
        <v>63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33</v>
      </c>
      <c r="G837" s="109">
        <f>SUM(G825:G836)</f>
        <v>147.4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128</v>
      </c>
      <c r="G838" s="111">
        <f>G824+G837</f>
        <v>546.4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F827" sqref="F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0.65620428240799811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0.85550983796355373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1.2228709490746648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20</v>
      </c>
      <c r="G837" s="109">
        <f>SUM(G825:G836)</f>
        <v>84</v>
      </c>
      <c r="H837" s="37"/>
      <c r="I837" s="37"/>
      <c r="J837" s="37"/>
      <c r="K837" s="37"/>
      <c r="L837" s="37"/>
      <c r="M837" s="110">
        <f ca="1">IFERROR(SUM(M825:M836),"")</f>
        <v>9.7222222222221877E-3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139</v>
      </c>
      <c r="G838" s="111">
        <f>G824+G837</f>
        <v>583.80000000000007</v>
      </c>
      <c r="H838" s="41"/>
      <c r="I838" s="41"/>
      <c r="J838" s="41"/>
      <c r="K838" s="41"/>
      <c r="L838" s="41"/>
      <c r="M838" s="112">
        <f ca="1">IFERROR(M824+M837,"")</f>
        <v>0.12569444444444433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2026-08-01T01:44:12Z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