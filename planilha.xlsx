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72" documentId="8_{C51EB6CB-002B-4D6B-B68F-DDEBDB4460C0}" xr6:coauthVersionLast="47" xr6:coauthVersionMax="47" xr10:uidLastSave="{EFEE2593-EF2D-4992-8DE0-C296BE30D65F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<sst xmlns="http://schemas.openxmlformats.org/spreadsheetml/2006/main" count="2833" uniqueCount="270">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</sst>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P12" sqref="P12:P1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12985645</v>
      </c>
      <c r="D35" s="13">
        <f>IFERROR(SUM(D4:D34),"")</f>
        <v>3800510</v>
      </c>
      <c r="E35" s="13">
        <f>IFERROR(SUM(E4:E34),"")</f>
        <v>2247410</v>
      </c>
      <c r="F35" s="13">
        <f>IFERROR(SUM(F4:F34),"")</f>
        <v>5004440</v>
      </c>
      <c r="G35" s="13">
        <f>IFERROR(SUM(G4:G34),"")</f>
        <v>11052360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8" activePane="bottomLeft" state="frozen"/>
      <selection pane="bottomLeft" activeCell="J110" sqref="J11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228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239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228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228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228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228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228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3156240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228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/>
      <c r="M110" s="30">
        <f t="shared" ref="M110:M121" ca="1" si="25">IFERROR(IF(K110="","",IF(L110="",MOD(NOW()-K110,1),IF(L110&gt;=K110,L110-K110,L110+1-K110))),"")</f>
        <v>6.9684953705291264E-2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228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228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228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228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228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228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228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228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110</v>
      </c>
      <c r="G122" s="36">
        <f>SUM(G110:G121)</f>
        <v>550</v>
      </c>
      <c r="H122" s="37"/>
      <c r="I122" s="37"/>
      <c r="J122" s="37"/>
      <c r="K122" s="37"/>
      <c r="L122" s="37"/>
      <c r="M122" s="38">
        <f ca="1">IFERROR(SUM(M110:M121),"")</f>
        <v>6.9684953705291264E-2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110</v>
      </c>
      <c r="G136" s="40">
        <f>G122+G135</f>
        <v>550</v>
      </c>
      <c r="H136" s="41"/>
      <c r="I136" s="41"/>
      <c r="J136" s="41"/>
      <c r="K136" s="41"/>
      <c r="L136" s="41"/>
      <c r="M136" s="42">
        <f ca="1">IFERROR(M122+M135,"")</f>
        <v>6.9684953705291264E-2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0" t="s">
        <v>233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92" activePane="bottomLeft" state="frozen"/>
      <selection pane="bottomLeft" activeCell="L112" sqref="L11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240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240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240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240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240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0.38982384258997627</v>
      </c>
      <c r="N53" s="46" t="s">
        <v>249</v>
      </c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0.52871273147886511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0.61343495370108747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240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240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240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240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240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240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240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240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251</v>
      </c>
      <c r="E83" s="59" t="s">
        <v>240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252</v>
      </c>
      <c r="M96" s="30" t="str">
        <f t="shared" ref="M96:M107" ca="1" si="22">IFERROR(IF(K96="","",IF(L96="",MOD(NOW()-K96,1),IF(L96&gt;=K96,L96-K96,L96+1-K96))),"")</f>
        <v/>
      </c>
      <c r="N96" s="46" t="s">
        <v>253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231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230</v>
      </c>
      <c r="O108" s="54">
        <v>456830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234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240</v>
      </c>
      <c r="F112" s="27">
        <v>23</v>
      </c>
      <c r="G112" s="28">
        <f t="shared" si="24"/>
        <v>96.600000000000009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240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240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240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240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240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240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240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79</v>
      </c>
      <c r="G122" s="36">
        <f>SUM(G110:G121)</f>
        <v>331.8</v>
      </c>
      <c r="H122" s="37"/>
      <c r="I122" s="37"/>
      <c r="J122" s="37"/>
      <c r="K122" s="37"/>
      <c r="L122" s="37"/>
      <c r="M122" s="38">
        <f ca="1">IFERROR(SUM(M110:M121),"")</f>
        <v>4.9305555555555602E-2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79</v>
      </c>
      <c r="G136" s="40">
        <f>G122+G135</f>
        <v>331.8</v>
      </c>
      <c r="H136" s="41"/>
      <c r="I136" s="41"/>
      <c r="J136" s="41"/>
      <c r="K136" s="41"/>
      <c r="L136" s="41"/>
      <c r="M136" s="42">
        <f ca="1">IFERROR(M122+M135,"")</f>
        <v>4.9305555555555602E-2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7" zoomScale="50" zoomScaleNormal="50" workbookViewId="0">
      <selection activeCell="F115" sqref="F11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240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240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240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232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229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240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240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240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240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240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0.23287939815054415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0.28010162037276631</v>
      </c>
      <c r="N108" s="36" t="s">
        <v>230</v>
      </c>
      <c r="O108" s="39">
        <v>434370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0.43635162037276631</v>
      </c>
      <c r="N109" s="40" t="s">
        <v>234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240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240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240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240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240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240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240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32</v>
      </c>
      <c r="G122" s="36">
        <f>SUM(G110:G121)</f>
        <v>134.4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32</v>
      </c>
      <c r="G136" s="40">
        <f>G122+G135</f>
        <v>134.4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229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229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4" activePane="bottomLeft" state="frozen"/>
      <selection pane="bottomLeft" activeCell="F115" sqref="F11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229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232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229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232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229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232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229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232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230</v>
      </c>
      <c r="O108" s="39">
        <v>956070</v>
      </c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234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240</v>
      </c>
      <c r="F112" s="27">
        <v>16</v>
      </c>
      <c r="G112" s="28">
        <f t="shared" si="24"/>
        <v>67.2</v>
      </c>
      <c r="H112" s="26"/>
      <c r="I112" s="26"/>
      <c r="J112" s="33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240</v>
      </c>
      <c r="F113" s="27">
        <v>18</v>
      </c>
      <c r="G113" s="34">
        <f t="shared" si="24"/>
        <v>75.600000000000009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240</v>
      </c>
      <c r="F114" s="27">
        <v>14</v>
      </c>
      <c r="G114" s="28">
        <f t="shared" si="24"/>
        <v>58.800000000000004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240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240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240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240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240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240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240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229</v>
      </c>
      <c r="B122" s="107"/>
      <c r="C122" s="107"/>
      <c r="D122" s="107"/>
      <c r="E122" s="108">
        <f>SUM(E110:E121)</f>
        <v>0</v>
      </c>
      <c r="F122" s="36">
        <f>SUM(F110:F121)</f>
        <v>83</v>
      </c>
      <c r="G122" s="36">
        <f>SUM(G110:G121)</f>
        <v>348.6</v>
      </c>
      <c r="H122" s="37"/>
      <c r="I122" s="37"/>
      <c r="J122" s="37"/>
      <c r="K122" s="61"/>
      <c r="L122" s="61"/>
      <c r="M122" s="38">
        <f ca="1">IFERROR(SUM(M110:M121),"")</f>
        <v>3.4722222222222265E-2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232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83</v>
      </c>
      <c r="G136" s="40">
        <f>G122+G135</f>
        <v>348.6</v>
      </c>
      <c r="H136" s="41"/>
      <c r="I136" s="41"/>
      <c r="J136" s="41"/>
      <c r="K136" s="63"/>
      <c r="L136" s="63"/>
      <c r="M136" s="42">
        <f ca="1">IFERROR(M122+M135,"")</f>
        <v>3.4722222222222265E-2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229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232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229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232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229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232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232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229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232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229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232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229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232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229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232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232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229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232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229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232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229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232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229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232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229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232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229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232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229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232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229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232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229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232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229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232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229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232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229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232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229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232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229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232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229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232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229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232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229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232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2026-08-05T16:16:26Z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