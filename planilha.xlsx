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2" documentId="8_{C51EB6CB-002B-4D6B-B68F-DDEBDB4460C0}" xr6:coauthVersionLast="47" xr6:coauthVersionMax="47" xr10:uidLastSave="{A5D06095-A9A8-42E1-BA51-18DBD2520EAC}"/>
  <bookViews>
    <workbookView xWindow="-108" yWindow="-108" windowWidth="23256" windowHeight="12456" tabRatio="500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E7" i="1" s="1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F109" i="4" l="1"/>
  <c r="F109" i="3"/>
  <c r="G7" i="1"/>
  <c r="E109" i="3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109" i="5" l="1"/>
  <c r="M703" i="6"/>
  <c r="M838" i="4"/>
  <c r="M487" i="3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<sst xmlns="http://schemas.openxmlformats.org/spreadsheetml/2006/main" count="2818" uniqueCount="270">
  <si>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</si>
  <si>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</si>
  <si>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</si>
  <si>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</si>
  <si>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</si>
  <si>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</si>
  <si>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</si>
  <si>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</si>
  <si>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</si>
  <si>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</si>
  <si>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</si>
  <si>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</si>
  <si>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</si>
  <si>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</si>
  <si>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</si>
  <si>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</si>
  <si>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</si>
  <si>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</si>
  <si>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</si>
  <si>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</si>
  <si>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</si>
  <si>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</si>
  <si>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</si>
  <si>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</si>
  <si>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</si>
  <si>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</si>
  <si>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</si>
  <si>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</si>
  <si>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</si>
  <si>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</si>
  <si>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</si>
  <si>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</si>
  <si>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</si>
  <si>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</si>
  <si>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</si>
  <si>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</si>
  <si>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</si>
  <si>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</si>
  <si>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</si>
  <si>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</si>
  <si>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</si>
  <si>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</si>
  <si>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</si>
  <si>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</si>
  <si>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</si>
  <si>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</si>
  <si>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</si>
  <si>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</si>
  <si>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</si>
  <si>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</si>
  <si>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</si>
  <si>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</si>
  <si>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</si>
  <si>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</si>
  <si>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</si>
  <si>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</si>
  <si>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</si>
  <si>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</si>
  <si>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</si>
  <si>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</si>
  <si>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</si>
  <si>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</si>
  <si>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</si>
  <si>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</si>
  <si>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</si>
  <si>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</si>
  <si>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</si>
  <si>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</si>
  <si>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</si>
  <si>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</si>
  <si>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</si>
  <si>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</si>
  <si>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</si>
  <si>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</si>
  <si>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</si>
  <si>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</si>
  <si>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</si>
  <si>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</si>
  <si>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</si>
  <si>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</si>
  <si>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</si>
  <si>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</si>
  <si>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</si>
  <si>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</si>
  <si>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</si>
  <si>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</si>
  <si>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</si>
  <si>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</si>
  <si>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</si>
  <si>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</si>
  <si>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</si>
  <si>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</si>
  <si>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</si>
  <si>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</si>
  <si>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</si>
  <si>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</si>
  <si>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</si>
  <si>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</si>
  <si>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</si>
  <si>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</si>
  <si>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</si>
  <si>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</si>
  <si>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</si>
  <si>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</si>
  <si>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</si>
  <si>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</si>
  <si>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</si>
  <si>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</si>
  <si>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</si>
  <si>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</si>
  <si>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</si>
  <si>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</si>
  <si>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</si>
  <si>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</si>
  <si>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</si>
  <si>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</si>
  <si>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</si>
  <si>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</si>
  <si>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</si>
  <si>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</si>
  <si>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</si>
  <si>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</si>
  <si>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</si>
  <si>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</si>
  <si>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</si>
  <si>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</si>
  <si>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</si>
  <si>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</si>
  <si>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</si>
  <si>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</si>
  <si>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</si>
  <si>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</si>
  <si>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</si>
  <si>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</si>
  <si>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</si>
  <si>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</si>
  <si>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</si>
  <si>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</si>
  <si>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</si>
  <si>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</si>
  <si>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</si>
  <si>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</si>
  <si>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</si>
  <si>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</si>
  <si>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</si>
  <si>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</si>
  <si>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</si>
  <si>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</si>
  <si>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</si>
  <si>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</si>
  <si>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</si>
  <si>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</si>
  <si>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</si>
  <si>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</si>
  <si>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</si>
  <si>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</si>
  <si>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</si>
  <si>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</si>
  <si>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</si>
  <si>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</si>
  <si>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</si>
  <si>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</si>
  <si>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</si>
  <si>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</si>
  <si>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</si>
  <si>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</si>
  <si>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</si>
  <si>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</si>
  <si>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</si>
  <si>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</si>
  <si>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</si>
  <si>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</si>
  <si>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</si>
  <si>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</si>
  <si>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</si>
  <si>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</si>
  <si>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</si>
  <si>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</si>
  <si>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</si>
  <si>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</si>
  <si>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</si>
  <si>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</si>
  <si>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</si>
  <si>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</si>
  <si>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</si>
  <si>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</si>
  <si>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</si>
  <si>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</si>
  <si>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</si>
  <si>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</si>
  <si>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</si>
  <si>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</si>
  <si>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</si>
  <si>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</si>
  <si>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</si>
  <si>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</si>
  <si>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</si>
  <si>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</si>
  <si>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</si>
  <si>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</si>
  <si>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</si>
  <si>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</si>
  <si>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</si>
  <si>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</si>
  <si>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</si>
  <si>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</si>
  <si>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</si>
  <si>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</si>
  <si>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</si>
  <si>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</si>
  <si>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</si>
  <si>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</si>
  <si>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</si>
  <si>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</si>
  <si>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</si>
  <si>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</si>
  <si>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</si>
  <si>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</si>
  <si>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</si>
  <si>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</si>
  <si>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</si>
  <si>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</si>
  <si>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</si>
  <si>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</si>
  <si>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</si>
  <si>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</si>
  <si>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</si>
  <si>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</si>
  <si>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</si>
  <si>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</si>
  <si>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</si>
  <si>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</si>
  <si>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</si>
  <si>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</si>
  <si>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</si>
  <si>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</si>
  <si>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</si>
  <si>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</si>
  <si>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</si>
  <si>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</si>
  <si>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</si>
  <si>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</si>
  <si>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</si>
  <si>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</si>
  <si>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</si>
  <si>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</si>
  <si>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</si>
  <si>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</si>
  <si>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</si>
  <si>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</si>
  <si>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</si>
  <si>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</si>
  <si>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</si>
  <si>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</si>
  <si>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</si>
  <si>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</si>
  <si>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</si>
  <si>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</si>
  <si>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</si>
  <si>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</si>
  <si>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</si>
  <si>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</si>
  <si>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</si>
  <si>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</si>
  <si>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bomba com problema,troca de martelo mm1</t>
  </si>
  <si>
    <t>instalação da bomba de polpa 02</t>
  </si>
  <si>
    <t>22;54</t>
  </si>
  <si>
    <t>moinho desarmou</t>
  </si>
  <si>
    <t>troca de marttelo</t>
  </si>
  <si>
    <t>5 viagens com caminhão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</si>
</sst>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I7" sqref="I7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3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3">
      <c r="H2" s="113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 x14ac:dyDescent="0.3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3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 x14ac:dyDescent="0.3">
      <c r="H57" s="113"/>
      <c r="I57" s="17"/>
      <c r="J57" s="17"/>
      <c r="K57" s="17" t="s">
        <v>50</v>
      </c>
      <c r="L57" s="17"/>
      <c r="M57" s="17"/>
    </row>
    <row r="58" spans="1:13" ht="15" customHeight="1" x14ac:dyDescent="0.3">
      <c r="H58" s="113"/>
      <c r="I58" s="16"/>
      <c r="J58" s="16"/>
      <c r="K58" s="16" t="s">
        <v>204</v>
      </c>
      <c r="L58" s="16"/>
      <c r="M58" s="16"/>
    </row>
    <row r="59" spans="1:13" ht="15" customHeight="1" x14ac:dyDescent="0.3">
      <c r="H59" s="113"/>
      <c r="I59" s="17"/>
      <c r="J59" s="17"/>
      <c r="K59" s="17" t="s">
        <v>205</v>
      </c>
      <c r="L59" s="17"/>
      <c r="M59" s="17"/>
    </row>
    <row r="60" spans="1:13" ht="15" customHeight="1" x14ac:dyDescent="0.3">
      <c r="H60" s="113"/>
      <c r="I60" s="16"/>
      <c r="J60" s="16"/>
      <c r="K60" s="86" t="s">
        <v>105</v>
      </c>
      <c r="L60" s="16"/>
      <c r="M60" s="16"/>
    </row>
    <row r="61" spans="1:13" ht="15" customHeight="1" x14ac:dyDescent="0.3">
      <c r="H61" s="113"/>
      <c r="I61" s="17"/>
      <c r="J61" s="17"/>
      <c r="K61" s="17" t="s">
        <v>206</v>
      </c>
      <c r="L61" s="17"/>
      <c r="M61" s="17"/>
    </row>
    <row r="62" spans="1:13" ht="15" customHeight="1" x14ac:dyDescent="0.3">
      <c r="H62" s="113"/>
      <c r="I62" s="16"/>
      <c r="J62" s="16"/>
      <c r="K62" s="16" t="s">
        <v>207</v>
      </c>
      <c r="L62" s="16"/>
      <c r="M62" s="16"/>
    </row>
    <row r="63" spans="1:13" ht="15" customHeight="1" x14ac:dyDescent="0.3">
      <c r="H63" s="113"/>
      <c r="I63" s="17"/>
      <c r="J63" s="17"/>
      <c r="K63" s="17" t="s">
        <v>208</v>
      </c>
      <c r="L63" s="17"/>
      <c r="M63" s="17"/>
    </row>
    <row r="64" spans="1:13" ht="15" customHeight="1" x14ac:dyDescent="0.3">
      <c r="H64" s="113"/>
      <c r="I64" s="16"/>
      <c r="J64" s="16"/>
      <c r="K64" s="16" t="s">
        <v>209</v>
      </c>
      <c r="L64" s="16"/>
      <c r="M64" s="16"/>
    </row>
    <row r="65" spans="8:13" ht="15" customHeight="1" x14ac:dyDescent="0.3">
      <c r="H65" s="113"/>
      <c r="I65" s="17"/>
      <c r="J65" s="17"/>
      <c r="K65" s="17" t="s">
        <v>210</v>
      </c>
      <c r="L65" s="17"/>
      <c r="M65" s="17"/>
    </row>
    <row r="66" spans="8:13" ht="15" customHeight="1" x14ac:dyDescent="0.3">
      <c r="H66" s="113"/>
      <c r="I66" s="16"/>
      <c r="J66" s="16"/>
      <c r="K66" s="16" t="s">
        <v>211</v>
      </c>
      <c r="L66" s="16"/>
      <c r="M66" s="16"/>
    </row>
    <row r="67" spans="8:13" ht="15" customHeight="1" x14ac:dyDescent="0.3">
      <c r="H67" s="113"/>
      <c r="I67" s="17"/>
      <c r="J67" s="17"/>
      <c r="K67" s="17" t="s">
        <v>212</v>
      </c>
      <c r="L67" s="17"/>
      <c r="M67" s="17"/>
    </row>
    <row r="68" spans="8:13" ht="15" customHeight="1" x14ac:dyDescent="0.3">
      <c r="H68" s="113"/>
      <c r="I68" s="16"/>
      <c r="J68" s="16"/>
      <c r="K68" s="16" t="s">
        <v>213</v>
      </c>
      <c r="L68" s="16"/>
      <c r="M68" s="16"/>
    </row>
    <row r="69" spans="8:13" ht="15" customHeight="1" x14ac:dyDescent="0.3">
      <c r="H69" s="113"/>
      <c r="I69" s="17"/>
      <c r="J69" s="17"/>
      <c r="K69" s="17" t="s">
        <v>214</v>
      </c>
      <c r="L69" s="17"/>
      <c r="M69" s="17"/>
    </row>
    <row r="70" spans="8:13" ht="15" customHeight="1" x14ac:dyDescent="0.3">
      <c r="H70" s="113"/>
      <c r="I70" s="16"/>
      <c r="J70" s="16"/>
      <c r="K70" s="16" t="s">
        <v>215</v>
      </c>
      <c r="L70" s="16"/>
      <c r="M70" s="16"/>
    </row>
    <row r="71" spans="8:13" ht="15" customHeight="1" x14ac:dyDescent="0.3">
      <c r="H71" s="113"/>
      <c r="I71" s="17"/>
      <c r="J71" s="17"/>
      <c r="K71" s="17" t="s">
        <v>216</v>
      </c>
      <c r="L71" s="17"/>
      <c r="M71" s="17"/>
    </row>
    <row r="72" spans="8:13" ht="15" customHeight="1" x14ac:dyDescent="0.3">
      <c r="H72" s="113"/>
      <c r="I72" s="16"/>
      <c r="J72" s="16"/>
      <c r="K72" s="16" t="s">
        <v>217</v>
      </c>
      <c r="L72" s="16"/>
      <c r="M72" s="16"/>
    </row>
    <row r="73" spans="8:13" ht="15" customHeight="1" x14ac:dyDescent="0.3">
      <c r="H73" s="113"/>
      <c r="I73" s="17"/>
      <c r="J73" s="17"/>
      <c r="K73" s="17"/>
      <c r="L73" s="17"/>
      <c r="M73" s="17"/>
    </row>
    <row r="74" spans="8:13" ht="15" customHeight="1" x14ac:dyDescent="0.3">
      <c r="H74" s="113"/>
      <c r="I74" s="16"/>
      <c r="J74" s="16"/>
      <c r="K74" s="16"/>
      <c r="L74" s="16"/>
      <c r="M74" s="16"/>
    </row>
    <row r="75" spans="8:13" ht="15" customHeight="1" x14ac:dyDescent="0.3">
      <c r="H75" s="113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6" activePane="bottomLeft" state="frozen"/>
      <selection pane="bottomLeft" activeCell="C114" sqref="C114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64.441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 x14ac:dyDescent="0.3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 x14ac:dyDescent="0.3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 x14ac:dyDescent="0.3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269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 x14ac:dyDescent="0.3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25</v>
      </c>
      <c r="G122" s="36">
        <f>SUM(G110:G121)</f>
        <v>125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 x14ac:dyDescent="0.3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25</v>
      </c>
      <c r="G136" s="40">
        <f>G122+G135</f>
        <v>125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 x14ac:dyDescent="0.3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3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 x14ac:dyDescent="0.3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3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3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3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3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3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3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3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 x14ac:dyDescent="0.3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3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3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3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3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3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3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3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3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3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3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3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3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3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3">
      <c r="A811" s="106" t="s">
        <v>233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3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5" activePane="bottomLeft" state="frozen"/>
      <selection pane="bottomLeft" activeCell="H130" sqref="H130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9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 x14ac:dyDescent="0.3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0.23159826388291549</v>
      </c>
      <c r="N53" s="46" t="s">
        <v>248</v>
      </c>
      <c r="O53" s="31"/>
    </row>
    <row r="54" spans="1:15" ht="15.75" customHeight="1" x14ac:dyDescent="0.3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0.37048715277180438</v>
      </c>
      <c r="N54" s="36" t="s">
        <v>230</v>
      </c>
      <c r="O54" s="84">
        <v>352430</v>
      </c>
    </row>
    <row r="55" spans="1:15" ht="18" customHeight="1" x14ac:dyDescent="0.3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0.45520937499402669</v>
      </c>
      <c r="N55" s="40" t="s">
        <v>234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 x14ac:dyDescent="0.3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 x14ac:dyDescent="0.3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239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239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239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239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25</v>
      </c>
      <c r="G122" s="36">
        <f>SUM(G110:G121)</f>
        <v>105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 x14ac:dyDescent="0.3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25</v>
      </c>
      <c r="G136" s="40">
        <f>G122+G135</f>
        <v>105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 x14ac:dyDescent="0.3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 x14ac:dyDescent="0.3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 x14ac:dyDescent="0.3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 x14ac:dyDescent="0.3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 x14ac:dyDescent="0.3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 x14ac:dyDescent="0.3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 x14ac:dyDescent="0.3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 x14ac:dyDescent="0.3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 x14ac:dyDescent="0.3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 x14ac:dyDescent="0.3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 x14ac:dyDescent="0.3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 x14ac:dyDescent="0.3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 x14ac:dyDescent="0.3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 x14ac:dyDescent="0.3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 x14ac:dyDescent="0.3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 x14ac:dyDescent="0.3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 x14ac:dyDescent="0.3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 x14ac:dyDescent="0.3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 x14ac:dyDescent="0.3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 x14ac:dyDescent="0.3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 x14ac:dyDescent="0.3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 x14ac:dyDescent="0.3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3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3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3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 x14ac:dyDescent="0.3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6" zoomScale="50" zoomScaleNormal="50" workbookViewId="0">
      <selection activeCell="K91" sqref="K91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7.66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 x14ac:dyDescent="0.3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 x14ac:dyDescent="0.3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 x14ac:dyDescent="0.3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7.4653819443483371E-2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0.12187604166570556</v>
      </c>
      <c r="N108" s="36" t="s">
        <v>230</v>
      </c>
      <c r="O108" s="39">
        <v>434370</v>
      </c>
    </row>
    <row r="109" spans="1:15" ht="18" customHeight="1" x14ac:dyDescent="0.3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0.27812604166570554</v>
      </c>
      <c r="N109" s="40" t="s">
        <v>234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239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239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239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239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4</v>
      </c>
      <c r="G122" s="36">
        <f>SUM(G110:G121)</f>
        <v>16.8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 x14ac:dyDescent="0.3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4</v>
      </c>
      <c r="G136" s="40">
        <f>G122+G135</f>
        <v>16.8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 x14ac:dyDescent="0.3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3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 x14ac:dyDescent="0.3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3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3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3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3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3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3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3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 x14ac:dyDescent="0.3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3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3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3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3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3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3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3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3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3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3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3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3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3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3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3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0" activePane="bottomLeft" state="frozen"/>
      <selection pane="bottomLeft" activeCell="C58" sqref="C58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7.1093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 x14ac:dyDescent="0.3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 x14ac:dyDescent="0.3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 x14ac:dyDescent="0.3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251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 x14ac:dyDescent="0.3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/>
      <c r="I110" s="26"/>
      <c r="J110" s="26"/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239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239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239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239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25</v>
      </c>
      <c r="G122" s="36">
        <f>SUM(G110:G121)</f>
        <v>105</v>
      </c>
      <c r="H122" s="37"/>
      <c r="I122" s="37"/>
      <c r="J122" s="37"/>
      <c r="K122" s="61"/>
      <c r="L122" s="61"/>
      <c r="M122" s="38">
        <f ca="1">IFERROR(SUM(M110:M121),"")</f>
        <v>1.9444444444444486E-2</v>
      </c>
      <c r="N122" s="36" t="s">
        <v>230</v>
      </c>
      <c r="O122" s="39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 x14ac:dyDescent="0.3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25</v>
      </c>
      <c r="G136" s="40">
        <f>G122+G135</f>
        <v>105</v>
      </c>
      <c r="H136" s="41"/>
      <c r="I136" s="41"/>
      <c r="J136" s="41"/>
      <c r="K136" s="63"/>
      <c r="L136" s="63"/>
      <c r="M136" s="42">
        <f ca="1">IFERROR(M122+M135,"")</f>
        <v>1.9444444444444486E-2</v>
      </c>
      <c r="N136" s="40" t="s">
        <v>234</v>
      </c>
      <c r="O136" s="48">
        <f>IFERROR(O122+O135,"")</f>
        <v>0</v>
      </c>
    </row>
    <row r="137" spans="1:18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 x14ac:dyDescent="0.3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 x14ac:dyDescent="0.3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 x14ac:dyDescent="0.3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 x14ac:dyDescent="0.3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 x14ac:dyDescent="0.3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 x14ac:dyDescent="0.3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 x14ac:dyDescent="0.3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 x14ac:dyDescent="0.3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 x14ac:dyDescent="0.3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 x14ac:dyDescent="0.3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 x14ac:dyDescent="0.3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 x14ac:dyDescent="0.3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 x14ac:dyDescent="0.3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 x14ac:dyDescent="0.3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 x14ac:dyDescent="0.3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 x14ac:dyDescent="0.3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 x14ac:dyDescent="0.3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 x14ac:dyDescent="0.3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 x14ac:dyDescent="0.3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 x14ac:dyDescent="0.3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 x14ac:dyDescent="0.3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 x14ac:dyDescent="0.3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 x14ac:dyDescent="0.3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 x14ac:dyDescent="0.3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 x14ac:dyDescent="0.3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 x14ac:dyDescent="0.3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2026-08-05T12:28:30Z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