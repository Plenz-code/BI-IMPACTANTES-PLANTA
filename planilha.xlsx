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19" documentId="8_{C51EB6CB-002B-4D6B-B68F-DDEBDB4460C0}" xr6:coauthVersionLast="47" xr6:coauthVersionMax="47" xr10:uidLastSave="{A973D98D-2FEA-45D3-B491-F04B22919B5C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G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<sst xmlns="http://schemas.openxmlformats.org/spreadsheetml/2006/main" count="3248" uniqueCount="282">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</sst>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16707485</v>
      </c>
      <c r="D35" s="13">
        <f>IFERROR(SUM(D4:D34),"")</f>
        <v>5348300</v>
      </c>
      <c r="E35" s="13">
        <f>IFERROR(SUM(E4:E34),"")</f>
        <v>2984130</v>
      </c>
      <c r="F35" s="13">
        <f>IFERROR(SUM(F4:F34),"")</f>
        <v>6728260</v>
      </c>
      <c r="G35" s="13">
        <f>IFERROR(SUM(G4:G34),"")</f>
        <v>15060690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19" sqref="I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/>
      <c r="J19" s="17"/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0" activePane="bottomLeft" state="frozen"/>
      <selection pane="bottomLeft" activeCell="F140" sqref="F14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230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230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232</v>
      </c>
      <c r="O27" s="39">
        <v>997910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230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230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230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230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230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230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232</v>
      </c>
      <c r="O54" s="39">
        <v>981310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230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230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232</v>
      </c>
      <c r="O81" s="39">
        <v>1547910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230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230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232</v>
      </c>
      <c r="O108" s="39">
        <v>3156240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232</v>
      </c>
      <c r="O135" s="39">
        <v>2875180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230</v>
      </c>
      <c r="F138" s="27">
        <v>35</v>
      </c>
      <c r="G138" s="28">
        <f t="shared" si="30"/>
        <v>175</v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230</v>
      </c>
      <c r="F139" s="27">
        <v>25</v>
      </c>
      <c r="G139" s="34">
        <f t="shared" si="30"/>
        <v>125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230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230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230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230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230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230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230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230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230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75</v>
      </c>
      <c r="G149" s="36">
        <f>SUM(G137:G148)</f>
        <v>375</v>
      </c>
      <c r="H149" s="37"/>
      <c r="I149" s="37"/>
      <c r="J149" s="37"/>
      <c r="K149" s="37"/>
      <c r="L149" s="37"/>
      <c r="M149" s="38">
        <f ca="1">IFERROR(SUM(M137:M148),"")</f>
        <v>9.0277777777778012E-3</v>
      </c>
      <c r="N149" s="36" t="s">
        <v>232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4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75</v>
      </c>
      <c r="G163" s="40">
        <f>G149+G162</f>
        <v>375</v>
      </c>
      <c r="H163" s="41"/>
      <c r="I163" s="41"/>
      <c r="J163" s="41"/>
      <c r="K163" s="41"/>
      <c r="L163" s="41"/>
      <c r="M163" s="42">
        <f ca="1">IFERROR(M149+M162,"")</f>
        <v>9.0277777777778012E-3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14" activePane="bottomLeft" state="frozen"/>
      <selection pane="bottomLeft" activeCell="N142" sqref="N1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157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128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129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129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232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133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155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133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232</v>
      </c>
      <c r="O27" s="77">
        <v>549860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236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155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232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157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157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128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128</v>
      </c>
      <c r="K53" s="29">
        <v>0.12152777777777778</v>
      </c>
      <c r="L53" s="29"/>
      <c r="M53" s="30">
        <f t="shared" ca="1" si="11"/>
        <v>0.33650775462592719</v>
      </c>
      <c r="N53" s="46" t="s">
        <v>252</v>
      </c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0.47539664351481609</v>
      </c>
      <c r="N54" s="36" t="s">
        <v>232</v>
      </c>
      <c r="O54" s="84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0.5601188657370384</v>
      </c>
      <c r="N55" s="40" t="s">
        <v>236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121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121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121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121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121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121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244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232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147</v>
      </c>
      <c r="J69" s="26" t="s">
        <v>183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14</v>
      </c>
      <c r="G70" s="28">
        <f t="shared" si="15"/>
        <v>58.800000000000004</v>
      </c>
      <c r="H70" s="26" t="s">
        <v>17</v>
      </c>
      <c r="I70" s="26" t="s">
        <v>133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243</v>
      </c>
      <c r="F71" s="27">
        <v>1</v>
      </c>
      <c r="G71" s="34">
        <f t="shared" si="15"/>
        <v>4.2</v>
      </c>
      <c r="H71" s="33" t="s">
        <v>20</v>
      </c>
      <c r="I71" s="33" t="s">
        <v>155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243</v>
      </c>
      <c r="F72" s="27">
        <v>5</v>
      </c>
      <c r="G72" s="28">
        <f t="shared" si="15"/>
        <v>21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243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243</v>
      </c>
      <c r="F74" s="27">
        <v>19</v>
      </c>
      <c r="G74" s="28">
        <f t="shared" si="15"/>
        <v>79.8</v>
      </c>
      <c r="H74" s="26" t="s">
        <v>20</v>
      </c>
      <c r="I74" s="26" t="s">
        <v>155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243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198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253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243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243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243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232</v>
      </c>
      <c r="O81" s="54">
        <v>634210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236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254</v>
      </c>
      <c r="E83" s="59" t="s">
        <v>243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136</v>
      </c>
      <c r="J83" s="33" t="s">
        <v>207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14</v>
      </c>
      <c r="G87" s="28">
        <f t="shared" si="18"/>
        <v>58.800000000000004</v>
      </c>
      <c r="H87" s="33" t="s">
        <v>18</v>
      </c>
      <c r="I87" s="33" t="s">
        <v>136</v>
      </c>
      <c r="J87" s="33" t="s">
        <v>116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232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139</v>
      </c>
      <c r="J96" s="26" t="s">
        <v>116</v>
      </c>
      <c r="K96" s="29">
        <v>0.79166666666666663</v>
      </c>
      <c r="L96" s="29" t="s">
        <v>255</v>
      </c>
      <c r="M96" s="30" t="str">
        <f t="shared" ref="M96:M107" ca="1" si="22">IFERROR(IF(K96="","",IF(L96="",MOD(NOW()-K96,1),IF(L96&gt;=K96,L96-K96,L96+1-K96))),"")</f>
        <v/>
      </c>
      <c r="N96" s="46" t="s">
        <v>256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233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257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181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258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233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232</v>
      </c>
      <c r="O108" s="54">
        <v>456830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236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154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259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154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232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157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154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133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17</v>
      </c>
      <c r="I126" s="26" t="s">
        <v>133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121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232</v>
      </c>
      <c r="O135" s="54">
        <v>756720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236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243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260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2"/>
        <v/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2"/>
        <v/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261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2"/>
        <v/>
      </c>
      <c r="H142" s="26"/>
      <c r="I142" s="26"/>
      <c r="J142" s="26"/>
      <c r="K142" s="29"/>
      <c r="L142" s="29"/>
      <c r="M142" s="30" t="str">
        <f t="shared" ca="1" si="30"/>
        <v/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2"/>
        <v/>
      </c>
      <c r="H143" s="33"/>
      <c r="I143" s="33"/>
      <c r="J143" s="33"/>
      <c r="K143" s="29"/>
      <c r="L143" s="29"/>
      <c r="M143" s="35" t="str">
        <f t="shared" ca="1" si="30"/>
        <v/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2"/>
        <v/>
      </c>
      <c r="H144" s="26"/>
      <c r="I144" s="26"/>
      <c r="J144" s="26"/>
      <c r="K144" s="29"/>
      <c r="L144" s="29"/>
      <c r="M144" s="30" t="str">
        <f t="shared" ca="1" si="30"/>
        <v/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2"/>
        <v/>
      </c>
      <c r="H145" s="33"/>
      <c r="I145" s="33"/>
      <c r="J145" s="33"/>
      <c r="K145" s="29"/>
      <c r="L145" s="29"/>
      <c r="M145" s="35" t="str">
        <f t="shared" ca="1" si="30"/>
        <v/>
      </c>
      <c r="N145" s="46"/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2"/>
        <v/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2"/>
        <v/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2"/>
        <v/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47</v>
      </c>
      <c r="G149" s="36">
        <f>SUM(G137:G148)</f>
        <v>197.4</v>
      </c>
      <c r="H149" s="37"/>
      <c r="I149" s="37"/>
      <c r="J149" s="37"/>
      <c r="K149" s="37"/>
      <c r="L149" s="37"/>
      <c r="M149" s="38">
        <f ca="1">IFERROR(SUM(M137:M148),"")</f>
        <v>5.0694444444444431E-2</v>
      </c>
      <c r="N149" s="36" t="s">
        <v>232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54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47</v>
      </c>
      <c r="G163" s="40">
        <f>G149+G162</f>
        <v>197.4</v>
      </c>
      <c r="H163" s="41"/>
      <c r="I163" s="41"/>
      <c r="J163" s="41"/>
      <c r="K163" s="41"/>
      <c r="L163" s="41"/>
      <c r="M163" s="42">
        <f ca="1">IFERROR(M149+M162,"")</f>
        <v>5.0694444444444431E-2</v>
      </c>
      <c r="N163" s="40" t="s">
        <v>236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77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77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231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77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77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77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77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77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77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77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77"/>
    </row>
    <row r="433" spans="1:15" ht="18" customHeight="1">
      <c r="A433" s="92" t="s">
        <v>235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77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77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77"/>
    </row>
    <row r="514" spans="1:15" ht="18" customHeight="1">
      <c r="A514" s="92" t="s">
        <v>235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77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77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77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77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77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77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77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77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84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K140" sqref="K1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232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133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155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133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159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234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232</v>
      </c>
      <c r="O27" s="39">
        <v>358000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236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231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232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165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155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132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232</v>
      </c>
      <c r="O54" s="39">
        <v>279980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236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121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121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121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128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232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147</v>
      </c>
      <c r="J70" s="26" t="s">
        <v>183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20</v>
      </c>
      <c r="I71" s="33" t="s">
        <v>155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0</v>
      </c>
      <c r="G72" s="28">
        <f t="shared" si="15"/>
        <v>0</v>
      </c>
      <c r="H72" s="26" t="s">
        <v>20</v>
      </c>
      <c r="I72" s="26" t="s">
        <v>155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7</v>
      </c>
      <c r="G73" s="34">
        <f t="shared" si="15"/>
        <v>29.400000000000002</v>
      </c>
      <c r="H73" s="33" t="s">
        <v>20</v>
      </c>
      <c r="I73" s="33" t="s">
        <v>155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232</v>
      </c>
      <c r="O81" s="39">
        <v>185920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236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0</v>
      </c>
      <c r="G84" s="34">
        <f t="shared" si="18"/>
        <v>0</v>
      </c>
      <c r="H84" s="26" t="s">
        <v>18</v>
      </c>
      <c r="I84" s="26" t="s">
        <v>136</v>
      </c>
      <c r="J84" s="26" t="s">
        <v>116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232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136</v>
      </c>
      <c r="J96" s="26" t="s">
        <v>116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0</v>
      </c>
      <c r="G97" s="28">
        <f t="shared" si="21"/>
        <v>0</v>
      </c>
      <c r="H97" s="33" t="s">
        <v>18</v>
      </c>
      <c r="I97" s="33" t="s">
        <v>136</v>
      </c>
      <c r="J97" s="33" t="s">
        <v>116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7</v>
      </c>
      <c r="G99" s="28">
        <f t="shared" si="21"/>
        <v>29.400000000000002</v>
      </c>
      <c r="H99" s="33" t="s">
        <v>20</v>
      </c>
      <c r="I99" s="33" t="s">
        <v>155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232</v>
      </c>
      <c r="O108" s="39">
        <v>434370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236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232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155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9</v>
      </c>
      <c r="G124" s="28">
        <f t="shared" si="27"/>
        <v>37.800000000000004</v>
      </c>
      <c r="H124" s="26" t="s">
        <v>20</v>
      </c>
      <c r="I124" s="26" t="s">
        <v>155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133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129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196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232</v>
      </c>
      <c r="O135" s="39">
        <v>416350</v>
      </c>
    </row>
    <row r="136" spans="1:15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236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5</v>
      </c>
      <c r="G139" s="34">
        <f t="shared" si="30"/>
        <v>21</v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231</v>
      </c>
      <c r="B149" s="107"/>
      <c r="C149" s="107"/>
      <c r="D149" s="107"/>
      <c r="E149" s="108">
        <f>SUM(E137:E148)</f>
        <v>0</v>
      </c>
      <c r="F149" s="36">
        <f>SUM(F137:F148)</f>
        <v>9</v>
      </c>
      <c r="G149" s="36">
        <f>SUM(G137:G148)</f>
        <v>37.799999999999997</v>
      </c>
      <c r="H149" s="37"/>
      <c r="I149" s="37"/>
      <c r="J149" s="37"/>
      <c r="K149" s="37"/>
      <c r="L149" s="37"/>
      <c r="M149" s="38">
        <f ca="1">IFERROR(SUM(M137:M148),"")</f>
        <v>6.3888888888888939E-2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9</v>
      </c>
      <c r="G163" s="40">
        <f>G149+G162</f>
        <v>37.799999999999997</v>
      </c>
      <c r="H163" s="41"/>
      <c r="I163" s="41"/>
      <c r="J163" s="41"/>
      <c r="K163" s="41"/>
      <c r="L163" s="41"/>
      <c r="M163" s="42">
        <f ca="1">IFERROR(M149+M162,"")</f>
        <v>6.3888888888888939E-2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232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232</v>
      </c>
      <c r="O216" s="39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231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231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232</v>
      </c>
      <c r="O432" s="39"/>
    </row>
    <row r="433" spans="1:15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15" activePane="bottomLeft" state="frozen"/>
      <selection pane="bottomLeft" activeCell="J139" sqref="J1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231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232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128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128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159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234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232</v>
      </c>
      <c r="O27" s="39">
        <v>491520</v>
      </c>
    </row>
    <row r="28" spans="1:15" ht="18" customHeight="1">
      <c r="A28" s="103" t="s">
        <v>235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236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231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232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234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232</v>
      </c>
      <c r="O54" s="39">
        <v>352430</v>
      </c>
    </row>
    <row r="55" spans="1:15" ht="18" customHeight="1">
      <c r="A55" s="103" t="s">
        <v>235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236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204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128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231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232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243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214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243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128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243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243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204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243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243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243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243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243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234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232</v>
      </c>
      <c r="O81" s="39">
        <v>612410</v>
      </c>
    </row>
    <row r="82" spans="1:15" ht="18" customHeight="1">
      <c r="A82" s="103" t="s">
        <v>235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236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243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160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243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243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243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243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243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243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243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243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243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243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243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231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232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243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160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243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128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243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243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243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243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243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243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243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243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243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234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232</v>
      </c>
      <c r="O108" s="39">
        <v>956070</v>
      </c>
    </row>
    <row r="109" spans="1:15" ht="18" customHeight="1">
      <c r="A109" s="103" t="s">
        <v>235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236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160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243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214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243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219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243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219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243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160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243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243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243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243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243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231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232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243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204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243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243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243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243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243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243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128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243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243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243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243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243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234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232</v>
      </c>
      <c r="O135" s="39">
        <v>912240</v>
      </c>
    </row>
    <row r="136" spans="1:18" ht="18" customHeight="1">
      <c r="A136" s="103" t="s">
        <v>235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236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243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243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160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243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243</v>
      </c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243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243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243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243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243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243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243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231</v>
      </c>
      <c r="B149" s="88"/>
      <c r="C149" s="88"/>
      <c r="D149" s="88"/>
      <c r="E149" s="89">
        <f>SUM(E137:E148)</f>
        <v>0</v>
      </c>
      <c r="F149" s="36">
        <f>SUM(F137:F148)</f>
        <v>59</v>
      </c>
      <c r="G149" s="36">
        <f>SUM(G137:G148)</f>
        <v>247.8</v>
      </c>
      <c r="H149" s="37"/>
      <c r="I149" s="37"/>
      <c r="J149" s="37"/>
      <c r="K149" s="61"/>
      <c r="L149" s="61"/>
      <c r="M149" s="38">
        <f ca="1">IFERROR(SUM(M137:M148),"")</f>
        <v>2.7083333333333293E-2</v>
      </c>
      <c r="N149" s="36" t="s">
        <v>232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234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232</v>
      </c>
      <c r="O162" s="39"/>
    </row>
    <row r="163" spans="1:15" ht="18" customHeight="1">
      <c r="A163" s="103" t="s">
        <v>235</v>
      </c>
      <c r="B163" s="104"/>
      <c r="C163" s="104"/>
      <c r="D163" s="104"/>
      <c r="E163" s="105">
        <f>E149+E162</f>
        <v>0</v>
      </c>
      <c r="F163" s="40">
        <f>F149+F162</f>
        <v>59</v>
      </c>
      <c r="G163" s="40">
        <f>G149+G162</f>
        <v>247.8</v>
      </c>
      <c r="H163" s="41"/>
      <c r="I163" s="41"/>
      <c r="J163" s="41"/>
      <c r="K163" s="63"/>
      <c r="L163" s="63"/>
      <c r="M163" s="42">
        <f ca="1">IFERROR(M149+M162,"")</f>
        <v>2.7083333333333293E-2</v>
      </c>
      <c r="N163" s="40" t="s">
        <v>236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231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232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234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232</v>
      </c>
      <c r="O189" s="39"/>
    </row>
    <row r="190" spans="1:15" ht="18" customHeight="1">
      <c r="A190" s="103" t="s">
        <v>235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236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231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232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234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232</v>
      </c>
      <c r="O216" s="45"/>
    </row>
    <row r="217" spans="1:15" ht="18" customHeight="1">
      <c r="A217" s="103" t="s">
        <v>235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236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231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232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234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232</v>
      </c>
      <c r="O243" s="39"/>
    </row>
    <row r="244" spans="1:15" ht="18" customHeight="1">
      <c r="A244" s="103" t="s">
        <v>235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236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231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232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234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232</v>
      </c>
      <c r="O270" s="39"/>
    </row>
    <row r="271" spans="1:15" ht="18" customHeight="1">
      <c r="A271" s="103" t="s">
        <v>235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236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231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232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234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232</v>
      </c>
      <c r="O297" s="39"/>
    </row>
    <row r="298" spans="1:15" ht="18" customHeight="1">
      <c r="A298" s="103" t="s">
        <v>235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236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231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234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232</v>
      </c>
      <c r="O324" s="39"/>
    </row>
    <row r="325" spans="1:15" ht="18" customHeight="1">
      <c r="A325" s="103" t="s">
        <v>235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231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234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232</v>
      </c>
      <c r="O351" s="39"/>
    </row>
    <row r="352" spans="1:15" ht="18" customHeight="1">
      <c r="A352" s="103" t="s">
        <v>235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234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232</v>
      </c>
      <c r="O378" s="39"/>
    </row>
    <row r="379" spans="1:15" ht="18" customHeight="1">
      <c r="A379" s="103" t="s">
        <v>235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231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234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232</v>
      </c>
      <c r="O405" s="39"/>
    </row>
    <row r="406" spans="1:15" ht="18" customHeight="1">
      <c r="A406" s="103" t="s">
        <v>235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231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234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232</v>
      </c>
      <c r="O432" s="39"/>
    </row>
    <row r="433" spans="1:17" ht="18" customHeight="1">
      <c r="A433" s="103" t="s">
        <v>235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236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231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232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234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232</v>
      </c>
      <c r="O459" s="39"/>
    </row>
    <row r="460" spans="1:15" ht="18" customHeight="1">
      <c r="A460" s="103" t="s">
        <v>235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231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234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232</v>
      </c>
      <c r="O486" s="39"/>
    </row>
    <row r="487" spans="1:15" ht="18" customHeight="1">
      <c r="A487" s="103" t="s">
        <v>235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231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234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232</v>
      </c>
      <c r="O513" s="39"/>
    </row>
    <row r="514" spans="1:15" ht="18" customHeight="1">
      <c r="A514" s="103" t="s">
        <v>235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231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234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232</v>
      </c>
      <c r="O540" s="39"/>
    </row>
    <row r="541" spans="1:15" ht="18" customHeight="1">
      <c r="A541" s="103" t="s">
        <v>235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231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234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232</v>
      </c>
      <c r="O567" s="39"/>
    </row>
    <row r="568" spans="1:15" ht="18" customHeight="1">
      <c r="A568" s="103" t="s">
        <v>235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231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234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232</v>
      </c>
      <c r="O594" s="39"/>
    </row>
    <row r="595" spans="1:15" ht="18" customHeight="1">
      <c r="A595" s="103" t="s">
        <v>235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231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234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232</v>
      </c>
      <c r="O621" s="39"/>
    </row>
    <row r="622" spans="1:15" ht="18" customHeight="1">
      <c r="A622" s="103" t="s">
        <v>235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231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234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232</v>
      </c>
      <c r="O648" s="39"/>
    </row>
    <row r="649" spans="1:15" ht="18" customHeight="1">
      <c r="A649" s="103" t="s">
        <v>235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234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232</v>
      </c>
      <c r="O675" s="39"/>
    </row>
    <row r="676" spans="1:15" ht="18" customHeight="1">
      <c r="A676" s="103" t="s">
        <v>235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231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234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232</v>
      </c>
      <c r="O702" s="39"/>
    </row>
    <row r="703" spans="1:15" ht="18" customHeight="1">
      <c r="A703" s="103" t="s">
        <v>235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231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234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232</v>
      </c>
      <c r="O729" s="39"/>
    </row>
    <row r="730" spans="1:15" ht="18" customHeight="1">
      <c r="A730" s="103" t="s">
        <v>235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231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234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232</v>
      </c>
      <c r="O756" s="39"/>
    </row>
    <row r="757" spans="1:15" ht="18" customHeight="1">
      <c r="A757" s="103" t="s">
        <v>235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231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234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232</v>
      </c>
      <c r="O783" s="39"/>
    </row>
    <row r="784" spans="1:15" ht="18" customHeight="1">
      <c r="A784" s="103" t="s">
        <v>235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231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234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232</v>
      </c>
      <c r="O810" s="39"/>
    </row>
    <row r="811" spans="1:15" ht="18" customHeight="1">
      <c r="A811" s="103" t="s">
        <v>235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231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234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232</v>
      </c>
      <c r="O837" s="39"/>
    </row>
    <row r="838" spans="1:15" ht="18" customHeight="1">
      <c r="A838" s="103" t="s">
        <v>235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236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2026-08-06T14:59:53Z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