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44" documentId="8_{AF585B22-221D-4780-BB9C-493D365A6A02}" xr6:coauthVersionLast="47" xr6:coauthVersionMax="47" xr10:uidLastSave="{DEAC5CA6-A015-4BC6-848B-C3CD01F9BF5A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<sst xmlns="http://schemas.openxmlformats.org/spreadsheetml/2006/main" count="7809" uniqueCount="352">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</sst>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2" sqref="G22:G3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85" activePane="bottomLeft" state="frozen"/>
      <selection pane="bottomLeft" activeCell="F492" sqref="F4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69" activePane="bottomLeft" state="frozen"/>
      <selection pane="bottomLeft" activeCell="I488" sqref="I48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0.11858923610998318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0.27622812499887206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0.38595034722109423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9.7061458334792405E-2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0.2678947916681258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0.41303368055701467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/>
      <c r="K488" s="29">
        <v>0.35416666666666669</v>
      </c>
      <c r="L488" s="29"/>
      <c r="M488" s="30">
        <f t="shared" ref="M488:M499" ca="1" si="109">IFERROR(IF(K488="","",IF(L488="",MOD(NOW()-K488,1),IF(L488&gt;=K488,L488-K488,L488+1-K488))),"")</f>
        <v>4.0059027815004811E-3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14</v>
      </c>
      <c r="G500" s="36">
        <f>SUM(G488:G499)</f>
        <v>70</v>
      </c>
      <c r="H500" s="37"/>
      <c r="I500" s="37"/>
      <c r="J500" s="37"/>
      <c r="K500" s="37"/>
      <c r="L500" s="37"/>
      <c r="M500" s="38">
        <f ca="1">IFERROR(SUM(M488:M499),"")</f>
        <v>4.0059027815004811E-3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14</v>
      </c>
      <c r="G514" s="40">
        <f>G500+G513</f>
        <v>70</v>
      </c>
      <c r="H514" s="41"/>
      <c r="I514" s="41"/>
      <c r="J514" s="41"/>
      <c r="K514" s="41"/>
      <c r="L514" s="41"/>
      <c r="M514" s="42">
        <f ca="1">IFERROR(M500+M513,"")</f>
        <v>4.0059027815004811E-3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89" sqref="F4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8</v>
      </c>
      <c r="G500" s="36">
        <f>SUM(G488:G499)</f>
        <v>40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8</v>
      </c>
      <c r="G514" s="40">
        <f>G500+G513</f>
        <v>40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K474" sqref="K4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0.1088670138924499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0.30817256944800553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0.67553368055911656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10</v>
      </c>
      <c r="G500" s="36">
        <f>SUM(G488:G499)</f>
        <v>50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10</v>
      </c>
      <c r="G514" s="40">
        <f>G500+G513</f>
        <v>50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2026-07-19T12:36:14Z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