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07" documentId="8_{C51EB6CB-002B-4D6B-B68F-DDEBDB4460C0}" xr6:coauthVersionLast="47" xr6:coauthVersionMax="47" xr10:uidLastSave="{CBE0F8E6-EF86-450F-879F-1A378D6F3D9A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<sst xmlns="http://schemas.openxmlformats.org/spreadsheetml/2006/main" count="2970" uniqueCount="273">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</sst>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4" sqref="F1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40</v>
      </c>
      <c r="G135" s="36">
        <f>SUM(G123:G134)</f>
        <v>200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162</v>
      </c>
      <c r="G136" s="40">
        <f>G122+G135</f>
        <v>810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2" activePane="bottomLeft" state="frozen"/>
      <selection pane="bottomLeft" activeCell="F124" sqref="F1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0.7379767361053382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0.87686562499422704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0.96158784721644941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19</v>
      </c>
      <c r="G135" s="36">
        <f>SUM(G123:G134)</f>
        <v>79.8</v>
      </c>
      <c r="H135" s="37"/>
      <c r="I135" s="37"/>
      <c r="J135" s="37"/>
      <c r="K135" s="37"/>
      <c r="L135" s="37"/>
      <c r="M135" s="38">
        <f ca="1">IFERROR(SUM(M123:M134),"")</f>
        <v>1.1805555555555625E-2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203</v>
      </c>
      <c r="G136" s="40">
        <f>G122+G135</f>
        <v>852.6</v>
      </c>
      <c r="H136" s="41"/>
      <c r="I136" s="41"/>
      <c r="J136" s="41"/>
      <c r="K136" s="41"/>
      <c r="L136" s="41"/>
      <c r="M136" s="42">
        <f ca="1">IFERROR(M122+M135,"")</f>
        <v>0.10694444444444451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E123" sqref="E1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0.58103206018859055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0.62825428241081271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0.78450428241081271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/>
      <c r="F124" s="27"/>
      <c r="G124" s="28" t="str">
        <f t="shared" si="27"/>
        <v/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15</v>
      </c>
      <c r="G135" s="36">
        <f>SUM(G123:G134)</f>
        <v>63</v>
      </c>
      <c r="H135" s="37"/>
      <c r="I135" s="37"/>
      <c r="J135" s="37"/>
      <c r="K135" s="37"/>
      <c r="L135" s="37"/>
      <c r="M135" s="38">
        <f ca="1">IFERROR(SUM(M123:M134),"")</f>
        <v>9.7222222222221877E-3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93</v>
      </c>
      <c r="G136" s="40">
        <f>G122+G135</f>
        <v>390.6</v>
      </c>
      <c r="H136" s="41"/>
      <c r="I136" s="41"/>
      <c r="J136" s="41"/>
      <c r="K136" s="41"/>
      <c r="L136" s="41"/>
      <c r="M136" s="42">
        <f ca="1">IFERROR(M122+M135,"")</f>
        <v>9.7222222222221877E-3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00" activePane="bottomLeft" state="frozen"/>
      <selection pane="bottomLeft" activeCell="E123" sqref="E12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/>
      <c r="M123" s="35">
        <f t="shared" ref="M123:M134" ca="1" si="28">IFERROR(IF(K123="","",IF(L123="",MOD(NOW()-K123,1),IF(L123&gt;=K123,L123-K123,L123+1-K123))),"")</f>
        <v>4.6431712980847806E-3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24</v>
      </c>
      <c r="G135" s="36">
        <f>SUM(G123:G134)</f>
        <v>100.80000000000001</v>
      </c>
      <c r="H135" s="37"/>
      <c r="I135" s="37"/>
      <c r="J135" s="37"/>
      <c r="K135" s="61"/>
      <c r="L135" s="61"/>
      <c r="M135" s="38">
        <f ca="1">IFERROR(SUM(M123:M134),"")</f>
        <v>4.6431712980847806E-3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194</v>
      </c>
      <c r="G136" s="40">
        <f>G122+G135</f>
        <v>814.80000000000018</v>
      </c>
      <c r="H136" s="41"/>
      <c r="I136" s="41"/>
      <c r="J136" s="41"/>
      <c r="K136" s="63"/>
      <c r="L136" s="63"/>
      <c r="M136" s="42">
        <f ca="1">IFERROR(M122+M135,"")</f>
        <v>0.12894872685364051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2026-08-06T00:37:51Z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