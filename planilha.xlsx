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46" documentId="8_{C51EB6CB-002B-4D6B-B68F-DDEBDB4460C0}" xr6:coauthVersionLast="47" xr6:coauthVersionMax="47" xr10:uidLastSave="{9007E582-067A-4195-80D4-A799EE4C2F9F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<sst xmlns="http://schemas.openxmlformats.org/spreadsheetml/2006/main" count="2089" uniqueCount="262">
  <si>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</si>
  <si>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</si>
  <si>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</si>
  <si>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</si>
  <si>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</si>
  <si>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</si>
  <si>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</si>
  <si>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</si>
  <si>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</si>
  <si>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</si>
  <si>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</si>
  <si>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</si>
  <si>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</si>
  <si>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</si>
  <si>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</si>
  <si>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</si>
  <si>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</si>
  <si>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</si>
  <si>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</si>
  <si>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</si>
  <si>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</si>
  <si>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</si>
  <si>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</si>
  <si>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</si>
  <si>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</si>
  <si>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</si>
  <si>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</si>
  <si>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</si>
  <si>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</si>
  <si>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</si>
  <si>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</si>
  <si>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</si>
  <si>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</si>
  <si>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</si>
  <si>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</si>
  <si>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</si>
  <si>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</si>
  <si>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</si>
  <si>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</si>
  <si>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</si>
  <si>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</si>
  <si>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</si>
  <si>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</si>
  <si>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</si>
  <si>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</si>
  <si>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</si>
  <si>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</si>
  <si>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</si>
  <si>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</si>
  <si>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</si>
  <si>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</si>
  <si>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</si>
  <si>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</si>
  <si>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</si>
  <si>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</si>
  <si>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</si>
  <si>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</si>
  <si>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</si>
  <si>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</si>
  <si>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</si>
  <si>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</si>
  <si>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</si>
  <si>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</si>
  <si>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</si>
  <si>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</si>
  <si>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</si>
  <si>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</si>
  <si>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</si>
  <si>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</si>
  <si>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</si>
  <si>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</si>
  <si>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</si>
  <si>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</si>
  <si>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</si>
  <si>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</si>
  <si>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</si>
  <si>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</si>
  <si>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</si>
  <si>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</si>
  <si>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</si>
  <si>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</si>
  <si>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</si>
  <si>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</si>
  <si>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</si>
  <si>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</si>
  <si>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</si>
  <si>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</si>
  <si>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</si>
  <si>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</si>
  <si>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</si>
  <si>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</si>
  <si>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</si>
  <si>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</si>
  <si>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</si>
  <si>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</si>
  <si>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</si>
  <si>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</si>
  <si>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</si>
  <si>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</si>
  <si>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</si>
  <si>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</si>
  <si>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</si>
  <si>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</si>
  <si>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</si>
  <si>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</si>
  <si>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</si>
  <si>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</si>
  <si>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</si>
  <si>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</si>
  <si>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</si>
  <si>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</si>
  <si>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</si>
  <si>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</si>
  <si>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</si>
  <si>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</si>
  <si>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</si>
  <si>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</si>
  <si>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</si>
  <si>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</si>
  <si>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</si>
  <si>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</si>
  <si>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</si>
  <si>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</si>
  <si>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</si>
  <si>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</si>
  <si>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</si>
  <si>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</si>
  <si>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</si>
  <si>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</si>
  <si>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</si>
  <si>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</si>
  <si>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</si>
  <si>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</si>
  <si>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</si>
  <si>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</si>
  <si>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</si>
  <si>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</si>
  <si>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</si>
  <si>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</si>
  <si>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</si>
  <si>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</si>
  <si>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</si>
  <si>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</si>
  <si>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</si>
  <si>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</si>
  <si>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</si>
  <si>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</si>
  <si>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</si>
  <si>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</si>
  <si>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</si>
  <si>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</si>
  <si>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</si>
  <si>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</si>
  <si>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</si>
  <si>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</si>
  <si>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</si>
  <si>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</si>
  <si>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</si>
  <si>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</si>
  <si>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</si>
  <si>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</si>
  <si>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</si>
  <si>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</si>
  <si>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</si>
  <si>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</si>
  <si>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</si>
  <si>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</si>
  <si>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</si>
  <si>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</si>
  <si>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</si>
  <si>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</si>
  <si>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</si>
  <si>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</si>
  <si>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</si>
  <si>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</si>
  <si>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</si>
  <si>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</si>
  <si>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</si>
  <si>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</si>
  <si>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</si>
  <si>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</si>
  <si>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</si>
  <si>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</si>
  <si>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</si>
  <si>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</si>
  <si>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</si>
  <si>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</si>
  <si>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</si>
  <si>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</si>
  <si>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</si>
  <si>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</si>
  <si>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</si>
  <si>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</si>
  <si>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</si>
  <si>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</si>
  <si>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</si>
  <si>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</si>
  <si>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</si>
  <si>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</si>
  <si>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</si>
  <si>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</si>
  <si>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</si>
  <si>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</si>
  <si>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</si>
  <si>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</si>
  <si>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</si>
  <si>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</si>
  <si>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</si>
  <si>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</si>
  <si>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</si>
  <si>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</si>
  <si>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</si>
  <si>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</si>
  <si>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</si>
  <si>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</si>
  <si>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</si>
  <si>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</si>
  <si>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</si>
  <si>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</si>
  <si>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</si>
  <si>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</si>
  <si>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</si>
  <si>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</si>
  <si>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</si>
  <si>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</si>
  <si>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</si>
  <si>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</si>
  <si>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</si>
  <si>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</si>
  <si>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</si>
  <si>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</si>
  <si>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</si>
  <si>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</si>
  <si>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</si>
  <si>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</si>
  <si>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</si>
  <si>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</si>
  <si>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</si>
  <si>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</si>
  <si>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</si>
  <si>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</si>
  <si>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</si>
  <si>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</si>
  <si>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</si>
  <si>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</si>
  <si>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</si>
  <si>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</si>
  <si>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</si>
  <si>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</si>
  <si>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</si>
  <si>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</si>
  <si>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</si>
  <si>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</si>
  <si>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</si>
  <si>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</si>
  <si>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</si>
  <si>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</si>
  <si>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</si>
  <si>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</si>
  <si>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</si>
  <si>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</si>
  <si>
    <t>vai roda com o moinho 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</si>
</sst>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5" sqref="F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291</v>
      </c>
      <c r="G68" s="36">
        <f>SUM(G56:G67)</f>
        <v>1455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291</v>
      </c>
      <c r="G82" s="40">
        <f>G68+G81</f>
        <v>1455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33" activePane="bottomLeft" state="frozen"/>
      <selection pane="bottomLeft" activeCell="J63" sqref="J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0.57853379629523261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0.71742268518412144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0.80214490740634381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/>
      <c r="M63" s="30">
        <f t="shared" ca="1" si="13"/>
        <v>1.4644907409092411E-2</v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114</v>
      </c>
      <c r="G68" s="36">
        <f>SUM(G56:G67)</f>
        <v>478.8</v>
      </c>
      <c r="H68" s="37"/>
      <c r="I68" s="37"/>
      <c r="J68" s="37"/>
      <c r="K68" s="37"/>
      <c r="L68" s="37"/>
      <c r="M68" s="38">
        <f ca="1">IFERROR(SUM(M56:M67),"")</f>
        <v>9.1728240742425748E-2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114</v>
      </c>
      <c r="G82" s="40">
        <f>G68+G81</f>
        <v>478.8</v>
      </c>
      <c r="H82" s="41"/>
      <c r="I82" s="41"/>
      <c r="J82" s="41"/>
      <c r="K82" s="41"/>
      <c r="L82" s="41"/>
      <c r="M82" s="42">
        <f ca="1">IFERROR(M68+M81,"")</f>
        <v>9.1728240742425748E-2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65" sqref="F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39</v>
      </c>
      <c r="G68" s="36">
        <f>SUM(G56:G67)</f>
        <v>163.80000000000001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39</v>
      </c>
      <c r="G82" s="40">
        <f>G68+G81</f>
        <v>163.80000000000001</v>
      </c>
      <c r="H82" s="41"/>
      <c r="I82" s="41"/>
      <c r="J82" s="41"/>
      <c r="K82" s="41"/>
      <c r="L82" s="41"/>
      <c r="M82" s="42">
        <f ca="1">IFERROR(M68+M81,"")</f>
        <v>8.3333333333333426E-2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K60" sqref="K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/>
      <c r="I60" s="26"/>
      <c r="J60" s="26"/>
      <c r="K60" s="29">
        <v>0.69513888888888886</v>
      </c>
      <c r="L60" s="29"/>
      <c r="M60" s="30">
        <f t="shared" ca="1" si="13"/>
        <v>4.9224536996916868E-3</v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103</v>
      </c>
      <c r="G68" s="36">
        <f>SUM(G56:G67)</f>
        <v>432.59999999999997</v>
      </c>
      <c r="H68" s="37"/>
      <c r="I68" s="37"/>
      <c r="J68" s="37"/>
      <c r="K68" s="61"/>
      <c r="L68" s="61"/>
      <c r="M68" s="38">
        <f ca="1">IFERROR(SUM(M56:M67),"")</f>
        <v>9.6589120366358416E-2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103</v>
      </c>
      <c r="G82" s="40">
        <f>G68+G81</f>
        <v>432.59999999999997</v>
      </c>
      <c r="H82" s="41"/>
      <c r="I82" s="41"/>
      <c r="J82" s="41"/>
      <c r="K82" s="63"/>
      <c r="L82" s="63"/>
      <c r="M82" s="42">
        <f ca="1">IFERROR(M68+M81,"")</f>
        <v>9.6589120366358416E-2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2026-08-03T20:48:39Z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