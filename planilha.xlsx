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2122" documentId="13_ncr:1_{0A10D8D4-8450-4366-8075-B53B08E6B7EA}" xr6:coauthVersionLast="47" xr6:coauthVersionMax="47" xr10:uidLastSave="{35939AAD-4726-476B-9C38-0772BA917345}"/>
  <bookViews>
    <workbookView xWindow="-28920" yWindow="-60" windowWidth="29040" windowHeight="1572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8" i="5"/>
  <c r="J408" i="5" s="1"/>
  <c r="H409" i="5"/>
  <c r="J409" i="5" s="1"/>
  <c r="H410" i="5"/>
  <c r="J410" i="5" s="1"/>
  <c r="H411" i="5"/>
  <c r="J411" i="5" s="1"/>
  <c r="H412" i="5"/>
  <c r="J412" i="5" s="1"/>
  <c r="H413" i="5"/>
  <c r="J413" i="5" s="1"/>
  <c r="H414" i="5"/>
  <c r="J414" i="5" s="1"/>
  <c r="H415" i="5"/>
  <c r="J415" i="5" s="1"/>
  <c r="H416" i="5"/>
  <c r="J416" i="5" s="1"/>
  <c r="H417" i="5"/>
  <c r="J417" i="5" s="1"/>
  <c r="H418" i="5"/>
  <c r="J418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8" i="4"/>
  <c r="J408" i="4" s="1"/>
  <c r="H409" i="4"/>
  <c r="J409" i="4" s="1"/>
  <c r="H410" i="4"/>
  <c r="J410" i="4" s="1"/>
  <c r="H411" i="4"/>
  <c r="J411" i="4" s="1"/>
  <c r="H412" i="4"/>
  <c r="J412" i="4" s="1"/>
  <c r="H413" i="4"/>
  <c r="J413" i="4" s="1"/>
  <c r="H414" i="4"/>
  <c r="J414" i="4" s="1"/>
  <c r="H415" i="4"/>
  <c r="J415" i="4" s="1"/>
  <c r="H416" i="4"/>
  <c r="J416" i="4" s="1"/>
  <c r="H417" i="4"/>
  <c r="J417" i="4" s="1"/>
  <c r="H418" i="4"/>
  <c r="J41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432" i="4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H407" i="6" s="1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H407" i="5" s="1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H407" i="4" s="1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J407" i="6" l="1"/>
  <c r="J419" i="6" s="1"/>
  <c r="H419" i="6"/>
  <c r="H433" i="6" s="1"/>
  <c r="J407" i="5"/>
  <c r="J419" i="5" s="1"/>
  <c r="H419" i="5"/>
  <c r="H433" i="5" s="1"/>
  <c r="J407" i="4"/>
  <c r="J419" i="4" s="1"/>
  <c r="H419" i="4"/>
  <c r="H433" i="4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33" i="6" l="1"/>
  <c r="T433" i="6" s="1"/>
  <c r="T419" i="6"/>
  <c r="T419" i="5"/>
  <c r="J433" i="5"/>
  <c r="T433" i="5" s="1"/>
  <c r="T419" i="4"/>
  <c r="J433" i="4"/>
  <c r="T433" i="4" s="1"/>
  <c r="H19" i="1" s="1"/>
  <c r="J19" i="1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<sst xmlns="http://schemas.openxmlformats.org/spreadsheetml/2006/main" count="7098" uniqueCount="354">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</sst>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3" sqref="F23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56392520</v>
      </c>
      <c r="D35" s="13">
        <f t="shared" si="2"/>
        <v>18248020</v>
      </c>
      <c r="E35" s="13">
        <f t="shared" si="2"/>
        <v>9434670</v>
      </c>
      <c r="F35" s="13">
        <f t="shared" si="2"/>
        <v>23508930</v>
      </c>
      <c r="G35" s="13">
        <f t="shared" si="2"/>
        <v>51191620</v>
      </c>
      <c r="H35" s="97">
        <f t="shared" si="2"/>
        <v>3210.2952927907322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>
      <selection activeCell="P76" sqref="P7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92" activePane="bottomLeft" state="frozen"/>
      <selection pane="bottomLeft" activeCell="F408" sqref="F408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40</v>
      </c>
      <c r="G419" s="36">
        <f>SUM(G407:G418)</f>
        <v>200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40</v>
      </c>
      <c r="G433" s="40">
        <f>G419+G432</f>
        <v>200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92" activePane="bottomLeft" state="frozen"/>
      <selection pane="bottomLeft" activeCell="G408" sqref="G40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272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273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274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275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276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277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278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279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0.2153493055520812</v>
      </c>
      <c r="R53" s="46" t="s">
        <v>280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0.3542381944409701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0.43896041666319241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272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281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282</v>
      </c>
      <c r="Q96" s="30" t="str">
        <f t="shared" ref="Q96:Q107" ca="1" si="22">IFERROR(IF(O96="","",IF(P96="",MOD(NOW()-O96,1),IF(P96&gt;=O96,P96-O96,P96+1-O96))),"")</f>
        <v/>
      </c>
      <c r="R96" s="46" t="s">
        <v>283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284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285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286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287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288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289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291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292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293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286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281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295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296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297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298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299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300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301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293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288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281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302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303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304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2</v>
      </c>
      <c r="H407" s="140">
        <f>IFERROR(IF($G407="","",$G407*$S$419/$G$419/Cadastro!$E$33),"")</f>
        <v>0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0</v>
      </c>
      <c r="K407" s="34">
        <f t="shared" ref="K407:K418" si="99">IF(G407="","",IF(E407="PC 17",G407*4.2,IF(E407="PC 19",G407*5,IF(E407="CB",G407*24,""))))</f>
        <v>8.4</v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/>
      <c r="H408" s="134" t="str">
        <f>IFERROR(IF($G408="","",$G408*$S$419/$G$419/Cadastro!$E$33),"")</f>
        <v/>
      </c>
      <c r="I408" s="135">
        <f>IFERROR(IF($D408="","",VLOOKUP($D408,Cadastro!$C$4:$G$7,5,FALSE)),"")</f>
        <v>0.6</v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/>
      <c r="H409" s="134" t="str">
        <f>IFERROR(IF($G409="","",$G409*$S$419/$G$419/Cadastro!$E$33),"")</f>
        <v/>
      </c>
      <c r="I409" s="135">
        <f>IFERROR(IF($D409="","",VLOOKUP($D409,Cadastro!$C$4:$G$7,5,FALSE)),"")</f>
        <v>0.6</v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/>
      <c r="H410" s="134" t="str">
        <f>IFERROR(IF($G410="","",$G410*$S$419/$G$419/Cadastro!$E$33),"")</f>
        <v/>
      </c>
      <c r="I410" s="135">
        <f>IFERROR(IF($D410="","",VLOOKUP($D410,Cadastro!$C$4:$G$7,5,FALSE)),"")</f>
        <v>0.6</v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/>
      <c r="H411" s="134" t="str">
        <f>IFERROR(IF($G411="","",$G411*$S$419/$G$419/Cadastro!$E$33),"")</f>
        <v/>
      </c>
      <c r="I411" s="135">
        <f>IFERROR(IF($D411="","",VLOOKUP($D411,Cadastro!$C$4:$G$7,5,FALSE)),"")</f>
        <v>0.6</v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/>
      <c r="H412" s="134" t="str">
        <f>IFERROR(IF($G412="","",$G412*$S$419/$G$419/Cadastro!$E$33),"")</f>
        <v/>
      </c>
      <c r="I412" s="135">
        <f>IFERROR(IF($D412="","",VLOOKUP($D412,Cadastro!$C$4:$G$7,5,FALSE)),"")</f>
        <v>0.6</v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/>
      <c r="H413" s="134" t="str">
        <f>IFERROR(IF($G413="","",$G413*$S$419/$G$419/Cadastro!$E$33),"")</f>
        <v/>
      </c>
      <c r="I413" s="135">
        <f>IFERROR(IF($D413="","",VLOOKUP($D413,Cadastro!$C$4:$G$7,5,FALSE)),"")</f>
        <v>0.6</v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/>
      <c r="H414" s="134" t="str">
        <f>IFERROR(IF($G414="","",$G414*$S$419/$G$419/Cadastro!$E$33),"")</f>
        <v/>
      </c>
      <c r="I414" s="135">
        <f>IFERROR(IF($D414="","",VLOOKUP($D414,Cadastro!$C$4:$G$7,5,FALSE)),"")</f>
        <v>0.6</v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/>
      <c r="H415" s="134" t="str">
        <f>IFERROR(IF($G415="","",$G415*$S$419/$G$419/Cadastro!$E$33),"")</f>
        <v/>
      </c>
      <c r="I415" s="135">
        <f>IFERROR(IF($D415="","",VLOOKUP($D415,Cadastro!$C$4:$G$7,5,FALSE)),"")</f>
        <v>0.6</v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/>
      <c r="H416" s="134" t="str">
        <f>IFERROR(IF($G416="","",$G416*$S$419/$G$419/Cadastro!$E$33),"")</f>
        <v/>
      </c>
      <c r="I416" s="135">
        <f>IFERROR(IF($D416="","",VLOOKUP($D416,Cadastro!$C$4:$G$7,5,FALSE)),"")</f>
        <v>0.6</v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/>
      <c r="H417" s="134" t="str">
        <f>IFERROR(IF($G417="","",$G417*$S$419/$G$419/Cadastro!$E$33),"")</f>
        <v/>
      </c>
      <c r="I417" s="135">
        <f>IFERROR(IF($D417="","",VLOOKUP($D417,Cadastro!$C$4:$G$7,5,FALSE)),"")</f>
        <v>0.6</v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2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8.4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2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8.4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392" activePane="bottomLeft" state="frozen"/>
      <selection pane="bottomLeft" activeCell="D408" sqref="D40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305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275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306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281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305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305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307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308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309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310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311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312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313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289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281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314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315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292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316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317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318</v>
      </c>
      <c r="Q222" s="30" t="str">
        <f t="shared" ca="1" si="49"/>
        <v/>
      </c>
      <c r="R222" s="27" t="s">
        <v>319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320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299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321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300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281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322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303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3</v>
      </c>
      <c r="H407" s="140">
        <f>IFERROR(IF($G407="","",$G407*$S$419/$G$419/Cadastro!$E$33),"")</f>
        <v>0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0</v>
      </c>
      <c r="K407" s="34">
        <f t="shared" ref="K407:K418" si="97">IF(G407="","",IF(E407="PC 17",G407*4.2,IF(E407="PC 19",G407*5,IF(E407="CB",G407*24,""))))</f>
        <v>12.600000000000001</v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/>
      <c r="H408" s="134" t="str">
        <f>IFERROR(IF($G408="","",$G408*$S$419/$G$419/Cadastro!$E$33),"")</f>
        <v/>
      </c>
      <c r="I408" s="135">
        <f>IFERROR(IF($D408="","",VLOOKUP($D408,Cadastro!$C$4:$G$7,5,FALSE)),"")</f>
        <v>0.6</v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29</v>
      </c>
      <c r="E409" s="109" t="s">
        <v>259</v>
      </c>
      <c r="F409" s="134">
        <f>IFERROR(IF($D409="","",VLOOKUP($D409,Cadastro!$C$4:$E$7,3,FALSE)),"")</f>
        <v>0.35</v>
      </c>
      <c r="G409" s="105"/>
      <c r="H409" s="134" t="str">
        <f>IFERROR(IF($G409="","",$G409*$S$419/$G$419/Cadastro!$E$33),"")</f>
        <v/>
      </c>
      <c r="I409" s="135">
        <f>IFERROR(IF($D409="","",VLOOKUP($D409,Cadastro!$C$4:$G$7,5,FALSE)),"")</f>
        <v>0.6</v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29</v>
      </c>
      <c r="E410" s="109" t="s">
        <v>259</v>
      </c>
      <c r="F410" s="134">
        <f>IFERROR(IF($D410="","",VLOOKUP($D410,Cadastro!$C$4:$E$7,3,FALSE)),"")</f>
        <v>0.35</v>
      </c>
      <c r="G410" s="105"/>
      <c r="H410" s="134" t="str">
        <f>IFERROR(IF($G410="","",$G410*$S$419/$G$419/Cadastro!$E$33),"")</f>
        <v/>
      </c>
      <c r="I410" s="135">
        <f>IFERROR(IF($D410="","",VLOOKUP($D410,Cadastro!$C$4:$G$7,5,FALSE)),"")</f>
        <v>0.6</v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29</v>
      </c>
      <c r="E411" s="109" t="s">
        <v>259</v>
      </c>
      <c r="F411" s="134">
        <f>IFERROR(IF($D411="","",VLOOKUP($D411,Cadastro!$C$4:$E$7,3,FALSE)),"")</f>
        <v>0.35</v>
      </c>
      <c r="G411" s="105"/>
      <c r="H411" s="134" t="str">
        <f>IFERROR(IF($G411="","",$G411*$S$419/$G$419/Cadastro!$E$33),"")</f>
        <v/>
      </c>
      <c r="I411" s="135">
        <f>IFERROR(IF($D411="","",VLOOKUP($D411,Cadastro!$C$4:$G$7,5,FALSE)),"")</f>
        <v>0.6</v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29</v>
      </c>
      <c r="E412" s="109" t="s">
        <v>259</v>
      </c>
      <c r="F412" s="134">
        <f>IFERROR(IF($D412="","",VLOOKUP($D412,Cadastro!$C$4:$E$7,3,FALSE)),"")</f>
        <v>0.35</v>
      </c>
      <c r="G412" s="105"/>
      <c r="H412" s="134" t="str">
        <f>IFERROR(IF($G412="","",$G412*$S$419/$G$419/Cadastro!$E$33),"")</f>
        <v/>
      </c>
      <c r="I412" s="135">
        <f>IFERROR(IF($D412="","",VLOOKUP($D412,Cadastro!$C$4:$G$7,5,FALSE)),"")</f>
        <v>0.6</v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29</v>
      </c>
      <c r="E413" s="109" t="s">
        <v>259</v>
      </c>
      <c r="F413" s="134">
        <f>IFERROR(IF($D413="","",VLOOKUP($D413,Cadastro!$C$4:$E$7,3,FALSE)),"")</f>
        <v>0.35</v>
      </c>
      <c r="G413" s="105"/>
      <c r="H413" s="134" t="str">
        <f>IFERROR(IF($G413="","",$G413*$S$419/$G$419/Cadastro!$E$33),"")</f>
        <v/>
      </c>
      <c r="I413" s="135">
        <f>IFERROR(IF($D413="","",VLOOKUP($D413,Cadastro!$C$4:$G$7,5,FALSE)),"")</f>
        <v>0.6</v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29</v>
      </c>
      <c r="E414" s="109" t="s">
        <v>259</v>
      </c>
      <c r="F414" s="134">
        <f>IFERROR(IF($D414="","",VLOOKUP($D414,Cadastro!$C$4:$E$7,3,FALSE)),"")</f>
        <v>0.35</v>
      </c>
      <c r="G414" s="105"/>
      <c r="H414" s="134" t="str">
        <f>IFERROR(IF($G414="","",$G414*$S$419/$G$419/Cadastro!$E$33),"")</f>
        <v/>
      </c>
      <c r="I414" s="135">
        <f>IFERROR(IF($D414="","",VLOOKUP($D414,Cadastro!$C$4:$G$7,5,FALSE)),"")</f>
        <v>0.6</v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29</v>
      </c>
      <c r="E415" s="109" t="s">
        <v>259</v>
      </c>
      <c r="F415" s="134">
        <f>IFERROR(IF($D415="","",VLOOKUP($D415,Cadastro!$C$4:$E$7,3,FALSE)),"")</f>
        <v>0.35</v>
      </c>
      <c r="G415" s="105"/>
      <c r="H415" s="134" t="str">
        <f>IFERROR(IF($G415="","",$G415*$S$419/$G$419/Cadastro!$E$33),"")</f>
        <v/>
      </c>
      <c r="I415" s="135">
        <f>IFERROR(IF($D415="","",VLOOKUP($D415,Cadastro!$C$4:$G$7,5,FALSE)),"")</f>
        <v>0.6</v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29</v>
      </c>
      <c r="E416" s="109" t="s">
        <v>259</v>
      </c>
      <c r="F416" s="134">
        <f>IFERROR(IF($D416="","",VLOOKUP($D416,Cadastro!$C$4:$E$7,3,FALSE)),"")</f>
        <v>0.35</v>
      </c>
      <c r="G416" s="105"/>
      <c r="H416" s="134" t="str">
        <f>IFERROR(IF($G416="","",$G416*$S$419/$G$419/Cadastro!$E$33),"")</f>
        <v/>
      </c>
      <c r="I416" s="135">
        <f>IFERROR(IF($D416="","",VLOOKUP($D416,Cadastro!$C$4:$G$7,5,FALSE)),"")</f>
        <v>0.6</v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29</v>
      </c>
      <c r="E417" s="109" t="s">
        <v>259</v>
      </c>
      <c r="F417" s="134">
        <f>IFERROR(IF($D417="","",VLOOKUP($D417,Cadastro!$C$4:$E$7,3,FALSE)),"")</f>
        <v>0.35</v>
      </c>
      <c r="G417" s="105"/>
      <c r="H417" s="134" t="str">
        <f>IFERROR(IF($G417="","",$G417*$S$419/$G$419/Cadastro!$E$33),"")</f>
        <v/>
      </c>
      <c r="I417" s="135">
        <f>IFERROR(IF($D417="","",VLOOKUP($D417,Cadastro!$C$4:$G$7,5,FALSE)),"")</f>
        <v>0.6</v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29</v>
      </c>
      <c r="E418" s="109" t="s">
        <v>259</v>
      </c>
      <c r="F418" s="137">
        <f>IFERROR(IF($D418="","",VLOOKUP($D418,Cadastro!$C$4:$E$7,3,FALSE)),"")</f>
        <v>0.35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3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12.600000000000001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3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12.600000000000001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92" activePane="bottomLeft" state="frozen"/>
      <selection pane="bottomLeft" activeCell="G408" sqref="G408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323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278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305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324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325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326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327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328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329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305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305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330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331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305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332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333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289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334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336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337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338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339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340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341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342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343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344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345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346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347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348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349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350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351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303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0.7090993055535364</v>
      </c>
      <c r="R385" s="27" t="s">
        <v>352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0.77368263888686961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353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0.83340486110909184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29</v>
      </c>
      <c r="E407" s="109" t="s">
        <v>259</v>
      </c>
      <c r="F407" s="140">
        <f>IFERROR(IF($D407="","",VLOOKUP($D407,Cadastro!$C$4:$E$7,3,FALSE)),"")</f>
        <v>0.35</v>
      </c>
      <c r="G407" s="105">
        <v>4</v>
      </c>
      <c r="H407" s="140">
        <f>IFERROR(IF($G407="","",$G407*$S$419/$G$419/Cadastro!$E$33),"")</f>
        <v>0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0</v>
      </c>
      <c r="K407" s="34">
        <f t="shared" ref="K407:K418" si="99">IF(G407="","",IF(E407="PC 17",G407*4.2,IF(E407="PC 19",G407*5,IF(E407="CB",G407*24,""))))</f>
        <v>16.8</v>
      </c>
      <c r="L407" s="33" t="s">
        <v>25</v>
      </c>
      <c r="M407" s="33"/>
      <c r="N407" s="33" t="s">
        <v>232</v>
      </c>
      <c r="O407" s="29">
        <v>0.32777777777777778</v>
      </c>
      <c r="P407" s="29"/>
      <c r="Q407" s="35">
        <f t="shared" ref="Q407:Q418" ca="1" si="100">IFERROR(IF(O407="","",IF(P407="",MOD(NOW()-O407,1),IF(P407&gt;=O407,P407-O407,P407+1-O407))),"")</f>
        <v>9.0993055564467795E-3</v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29</v>
      </c>
      <c r="E408" s="109" t="s">
        <v>259</v>
      </c>
      <c r="F408" s="134">
        <f>IFERROR(IF($D408="","",VLOOKUP($D408,Cadastro!$C$4:$E$7,3,FALSE)),"")</f>
        <v>0.35</v>
      </c>
      <c r="G408" s="105"/>
      <c r="H408" s="134" t="str">
        <f>IFERROR(IF($G408="","",$G408*$S$419/$G$419/Cadastro!$E$33),"")</f>
        <v/>
      </c>
      <c r="I408" s="135">
        <f>IFERROR(IF($D408="","",VLOOKUP($D408,Cadastro!$C$4:$G$7,5,FALSE)),"")</f>
        <v>0.6</v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29</v>
      </c>
      <c r="E409" s="109" t="s">
        <v>259</v>
      </c>
      <c r="F409" s="134">
        <f>IFERROR(IF($D409="","",VLOOKUP($D409,Cadastro!$C$4:$E$7,3,FALSE)),"")</f>
        <v>0.35</v>
      </c>
      <c r="G409" s="105"/>
      <c r="H409" s="134" t="str">
        <f>IFERROR(IF($G409="","",$G409*$S$419/$G$419/Cadastro!$E$33),"")</f>
        <v/>
      </c>
      <c r="I409" s="135">
        <f>IFERROR(IF($D409="","",VLOOKUP($D409,Cadastro!$C$4:$G$7,5,FALSE)),"")</f>
        <v>0.6</v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29</v>
      </c>
      <c r="E410" s="109" t="s">
        <v>259</v>
      </c>
      <c r="F410" s="134">
        <f>IFERROR(IF($D410="","",VLOOKUP($D410,Cadastro!$C$4:$E$7,3,FALSE)),"")</f>
        <v>0.35</v>
      </c>
      <c r="G410" s="105"/>
      <c r="H410" s="134" t="str">
        <f>IFERROR(IF($G410="","",$G410*$S$419/$G$419/Cadastro!$E$33),"")</f>
        <v/>
      </c>
      <c r="I410" s="135">
        <f>IFERROR(IF($D410="","",VLOOKUP($D410,Cadastro!$C$4:$G$7,5,FALSE)),"")</f>
        <v>0.6</v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29</v>
      </c>
      <c r="E411" s="109" t="s">
        <v>259</v>
      </c>
      <c r="F411" s="134">
        <f>IFERROR(IF($D411="","",VLOOKUP($D411,Cadastro!$C$4:$E$7,3,FALSE)),"")</f>
        <v>0.35</v>
      </c>
      <c r="G411" s="105"/>
      <c r="H411" s="134" t="str">
        <f>IFERROR(IF($G411="","",$G411*$S$419/$G$419/Cadastro!$E$33),"")</f>
        <v/>
      </c>
      <c r="I411" s="135">
        <f>IFERROR(IF($D411="","",VLOOKUP($D411,Cadastro!$C$4:$G$7,5,FALSE)),"")</f>
        <v>0.6</v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29</v>
      </c>
      <c r="E412" s="109" t="s">
        <v>259</v>
      </c>
      <c r="F412" s="134">
        <f>IFERROR(IF($D412="","",VLOOKUP($D412,Cadastro!$C$4:$E$7,3,FALSE)),"")</f>
        <v>0.35</v>
      </c>
      <c r="G412" s="105"/>
      <c r="H412" s="134" t="str">
        <f>IFERROR(IF($G412="","",$G412*$S$419/$G$419/Cadastro!$E$33),"")</f>
        <v/>
      </c>
      <c r="I412" s="135">
        <f>IFERROR(IF($D412="","",VLOOKUP($D412,Cadastro!$C$4:$G$7,5,FALSE)),"")</f>
        <v>0.6</v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29</v>
      </c>
      <c r="E413" s="109" t="s">
        <v>259</v>
      </c>
      <c r="F413" s="134">
        <f>IFERROR(IF($D413="","",VLOOKUP($D413,Cadastro!$C$4:$E$7,3,FALSE)),"")</f>
        <v>0.35</v>
      </c>
      <c r="G413" s="105"/>
      <c r="H413" s="134" t="str">
        <f>IFERROR(IF($G413="","",$G413*$S$419/$G$419/Cadastro!$E$33),"")</f>
        <v/>
      </c>
      <c r="I413" s="135">
        <f>IFERROR(IF($D413="","",VLOOKUP($D413,Cadastro!$C$4:$G$7,5,FALSE)),"")</f>
        <v>0.6</v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29</v>
      </c>
      <c r="E414" s="109" t="s">
        <v>259</v>
      </c>
      <c r="F414" s="134">
        <f>IFERROR(IF($D414="","",VLOOKUP($D414,Cadastro!$C$4:$E$7,3,FALSE)),"")</f>
        <v>0.35</v>
      </c>
      <c r="G414" s="105"/>
      <c r="H414" s="134" t="str">
        <f>IFERROR(IF($G414="","",$G414*$S$419/$G$419/Cadastro!$E$33),"")</f>
        <v/>
      </c>
      <c r="I414" s="135">
        <f>IFERROR(IF($D414="","",VLOOKUP($D414,Cadastro!$C$4:$G$7,5,FALSE)),"")</f>
        <v>0.6</v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29</v>
      </c>
      <c r="E415" s="109" t="s">
        <v>259</v>
      </c>
      <c r="F415" s="134">
        <f>IFERROR(IF($D415="","",VLOOKUP($D415,Cadastro!$C$4:$E$7,3,FALSE)),"")</f>
        <v>0.35</v>
      </c>
      <c r="G415" s="105"/>
      <c r="H415" s="134" t="str">
        <f>IFERROR(IF($G415="","",$G415*$S$419/$G$419/Cadastro!$E$33),"")</f>
        <v/>
      </c>
      <c r="I415" s="135">
        <f>IFERROR(IF($D415="","",VLOOKUP($D415,Cadastro!$C$4:$G$7,5,FALSE)),"")</f>
        <v>0.6</v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29</v>
      </c>
      <c r="E416" s="109" t="s">
        <v>259</v>
      </c>
      <c r="F416" s="134">
        <f>IFERROR(IF($D416="","",VLOOKUP($D416,Cadastro!$C$4:$E$7,3,FALSE)),"")</f>
        <v>0.35</v>
      </c>
      <c r="G416" s="105"/>
      <c r="H416" s="134" t="str">
        <f>IFERROR(IF($G416="","",$G416*$S$419/$G$419/Cadastro!$E$33),"")</f>
        <v/>
      </c>
      <c r="I416" s="135">
        <f>IFERROR(IF($D416="","",VLOOKUP($D416,Cadastro!$C$4:$G$7,5,FALSE)),"")</f>
        <v>0.6</v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29</v>
      </c>
      <c r="E417" s="109" t="s">
        <v>259</v>
      </c>
      <c r="F417" s="134">
        <f>IFERROR(IF($D417="","",VLOOKUP($D417,Cadastro!$C$4:$E$7,3,FALSE)),"")</f>
        <v>0.35</v>
      </c>
      <c r="G417" s="105"/>
      <c r="H417" s="134" t="str">
        <f>IFERROR(IF($G417="","",$G417*$S$419/$G$419/Cadastro!$E$33),"")</f>
        <v/>
      </c>
      <c r="I417" s="135">
        <f>IFERROR(IF($D417="","",VLOOKUP($D417,Cadastro!$C$4:$G$7,5,FALSE)),"")</f>
        <v>0.6</v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29</v>
      </c>
      <c r="E418" s="109" t="s">
        <v>259</v>
      </c>
      <c r="F418" s="137">
        <f>IFERROR(IF($D418="","",VLOOKUP($D418,Cadastro!$C$4:$E$7,3,FALSE)),"")</f>
        <v>0.35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4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16.8</v>
      </c>
      <c r="L419" s="37"/>
      <c r="M419" s="37"/>
      <c r="N419" s="37"/>
      <c r="O419" s="61"/>
      <c r="P419" s="61"/>
      <c r="Q419" s="38">
        <f ca="1">IFERROR(SUM(Q407:Q418),"")</f>
        <v>9.0993055564467795E-3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4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16.8</v>
      </c>
      <c r="L433" s="41"/>
      <c r="M433" s="41"/>
      <c r="N433" s="41"/>
      <c r="O433" s="63"/>
      <c r="P433" s="63"/>
      <c r="Q433" s="42">
        <f ca="1">IFERROR(Q419+Q432,"")</f>
        <v>9.0993055564467795E-3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2026-08-16T12:05:10Z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