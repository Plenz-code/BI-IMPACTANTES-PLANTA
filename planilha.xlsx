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29" documentId="13_ncr:1_{A6DBCFB4-28D9-4249-9038-216934055CA6}" xr6:coauthVersionLast="47" xr6:coauthVersionMax="47" xr10:uidLastSave="{C9F22137-43E3-48C5-9E9F-F31EC3441B98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<sst xmlns="http://schemas.openxmlformats.org/spreadsheetml/2006/main" count="10482" uniqueCount="434">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</sst>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5" activePane="bottomLeft" state="frozen"/>
      <selection pane="bottomLeft" activeCell="F29" sqref="F29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83322110</v>
      </c>
      <c r="D35" s="30">
        <f t="shared" si="2"/>
        <v>26600450</v>
      </c>
      <c r="E35" s="30">
        <f t="shared" si="2"/>
        <v>15324620</v>
      </c>
      <c r="F35" s="30">
        <f t="shared" si="2"/>
        <v>35839950</v>
      </c>
      <c r="G35" s="30">
        <f t="shared" si="2"/>
        <v>77765020</v>
      </c>
      <c r="H35" s="31">
        <f t="shared" si="2"/>
        <v>7909.4386946384147</v>
      </c>
      <c r="I35" s="31">
        <f t="shared" si="2"/>
        <v>4967.05</v>
      </c>
      <c r="J35" s="32">
        <f>I35/H35</f>
        <v>0.62799020155084118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/>
    </row>
    <row r="61" spans="1:18" ht="15" customHeight="1">
      <c r="M61" s="165"/>
      <c r="N61" s="40"/>
      <c r="O61" s="40"/>
      <c r="P61" s="40" t="s">
        <v>226</v>
      </c>
      <c r="Q61" s="40"/>
      <c r="R61" s="40"/>
    </row>
    <row r="62" spans="1:18" ht="15" customHeight="1">
      <c r="M62" s="165"/>
      <c r="N62" s="37"/>
      <c r="O62" s="37"/>
      <c r="P62" s="37" t="s">
        <v>227</v>
      </c>
      <c r="Q62" s="37"/>
      <c r="R62" s="37"/>
    </row>
    <row r="63" spans="1:18" ht="15" customHeight="1">
      <c r="M63" s="165"/>
      <c r="N63" s="40"/>
      <c r="O63" s="40"/>
      <c r="P63" s="40" t="s">
        <v>228</v>
      </c>
      <c r="Q63" s="40"/>
      <c r="R63" s="40"/>
    </row>
    <row r="64" spans="1:18" ht="15" customHeight="1">
      <c r="M64" s="165"/>
      <c r="N64" s="37"/>
      <c r="O64" s="37"/>
      <c r="P64" s="37" t="s">
        <v>229</v>
      </c>
      <c r="Q64" s="37"/>
      <c r="R64" s="37"/>
    </row>
    <row r="65" spans="13:18" ht="15" customHeight="1">
      <c r="M65" s="165"/>
      <c r="N65" s="40"/>
      <c r="O65" s="40"/>
      <c r="P65" s="40" t="s">
        <v>230</v>
      </c>
      <c r="Q65" s="40"/>
      <c r="R65" s="40"/>
    </row>
    <row r="66" spans="13:18" ht="15" customHeight="1">
      <c r="M66" s="165"/>
      <c r="N66" s="37"/>
      <c r="O66" s="37"/>
      <c r="P66" s="37" t="s">
        <v>231</v>
      </c>
      <c r="Q66" s="37"/>
      <c r="R66" s="37"/>
    </row>
    <row r="67" spans="13:18" ht="15" customHeight="1">
      <c r="M67" s="165"/>
      <c r="N67" s="40"/>
      <c r="O67" s="40"/>
      <c r="P67" s="40" t="s">
        <v>232</v>
      </c>
      <c r="Q67" s="40"/>
      <c r="R67" s="40"/>
    </row>
    <row r="68" spans="13:18" ht="15" customHeight="1">
      <c r="M68" s="165"/>
      <c r="N68" s="37"/>
      <c r="O68" s="37"/>
      <c r="P68" s="37" t="s">
        <v>233</v>
      </c>
      <c r="Q68" s="37"/>
      <c r="R68" s="37"/>
    </row>
    <row r="69" spans="13:18" ht="15" customHeight="1">
      <c r="M69" s="165"/>
      <c r="N69" s="40"/>
      <c r="O69" s="40"/>
      <c r="P69" s="40" t="s">
        <v>234</v>
      </c>
      <c r="Q69" s="40"/>
      <c r="R69" s="40"/>
    </row>
    <row r="70" spans="13:18" ht="15" customHeight="1">
      <c r="M70" s="165"/>
      <c r="N70" s="37"/>
      <c r="O70" s="37"/>
      <c r="P70" s="37" t="s">
        <v>235</v>
      </c>
      <c r="Q70" s="37"/>
      <c r="R70" s="37"/>
    </row>
    <row r="71" spans="13:18" ht="15" customHeight="1">
      <c r="M71" s="165"/>
      <c r="N71" s="40"/>
      <c r="O71" s="40"/>
      <c r="P71" s="40" t="s">
        <v>236</v>
      </c>
      <c r="Q71" s="40"/>
      <c r="R71" s="40"/>
    </row>
    <row r="72" spans="13:18" ht="15" customHeight="1">
      <c r="M72" s="165"/>
      <c r="N72" s="37"/>
      <c r="O72" s="37"/>
      <c r="P72" s="37" t="s">
        <v>237</v>
      </c>
      <c r="Q72" s="37"/>
      <c r="R72" s="37"/>
    </row>
    <row r="73" spans="13:18" ht="15" customHeight="1">
      <c r="M73" s="165"/>
      <c r="N73" s="40"/>
      <c r="O73" s="40"/>
      <c r="P73" s="40" t="s">
        <v>238</v>
      </c>
      <c r="Q73" s="40"/>
      <c r="R73" s="40"/>
    </row>
    <row r="74" spans="13:18" ht="15" customHeight="1">
      <c r="M74" s="165"/>
      <c r="N74" s="37"/>
      <c r="O74" s="37"/>
      <c r="P74" s="37" t="s">
        <v>239</v>
      </c>
      <c r="Q74" s="37"/>
      <c r="R74" s="37"/>
    </row>
    <row r="75" spans="13:18" ht="15" customHeight="1">
      <c r="M75" s="165"/>
      <c r="N75" s="40"/>
      <c r="O75" s="40"/>
      <c r="P75" s="40" t="s">
        <v>240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241</v>
      </c>
      <c r="C1" s="138" t="s">
        <v>242</v>
      </c>
      <c r="D1" s="138" t="s">
        <v>19</v>
      </c>
      <c r="E1" s="138" t="s">
        <v>243</v>
      </c>
      <c r="F1" s="138" t="s">
        <v>244</v>
      </c>
      <c r="G1" s="138" t="s">
        <v>245</v>
      </c>
      <c r="H1" s="138" t="s">
        <v>246</v>
      </c>
      <c r="I1" s="138" t="s">
        <v>247</v>
      </c>
      <c r="J1" s="138" t="s">
        <v>248</v>
      </c>
      <c r="K1" s="138" t="s">
        <v>249</v>
      </c>
    </row>
    <row r="2" spans="1:11" ht="15.75" customHeight="1">
      <c r="A2" s="139">
        <v>46235</v>
      </c>
      <c r="B2" s="140" t="s">
        <v>250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251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252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250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251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252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250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251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252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250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251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252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250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251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252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250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251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252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250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251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252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250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251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252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250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251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252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250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251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252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250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251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252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250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251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252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250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251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252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250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251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252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250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251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252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250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251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252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250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251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252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250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251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252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250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251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252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250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251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252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250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251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252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250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251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252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250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251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252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250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251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252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250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251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252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250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251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252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250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251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252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250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251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252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250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251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252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250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251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252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250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251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252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06" activePane="bottomLeft" state="frozen"/>
      <selection pane="bottomLeft" activeCell="F633" sqref="F633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57" t="s">
        <v>255</v>
      </c>
      <c r="G1" s="57" t="s">
        <v>256</v>
      </c>
      <c r="H1" s="57" t="s">
        <v>23</v>
      </c>
      <c r="I1" s="57" t="s">
        <v>24</v>
      </c>
      <c r="J1" s="57" t="s">
        <v>257</v>
      </c>
      <c r="K1" s="57" t="s">
        <v>258</v>
      </c>
      <c r="L1" s="57" t="s">
        <v>259</v>
      </c>
      <c r="M1" s="58" t="s">
        <v>260</v>
      </c>
      <c r="N1" s="57" t="s">
        <v>249</v>
      </c>
      <c r="O1" s="57" t="s">
        <v>261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262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262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262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262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262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262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262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262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262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262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262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262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263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264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262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262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262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265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262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262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262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262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262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262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262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262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262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266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264</v>
      </c>
      <c r="O27" s="74">
        <v>997910</v>
      </c>
    </row>
    <row r="28" spans="1:15" ht="18" customHeight="1">
      <c r="A28" s="169" t="s">
        <v>252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267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262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262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268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262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265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262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262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262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262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262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262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262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262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262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263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264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262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269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262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262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262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262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262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262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262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262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262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262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266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264</v>
      </c>
      <c r="O54" s="74">
        <v>981310</v>
      </c>
    </row>
    <row r="55" spans="1:15" ht="18" customHeight="1">
      <c r="A55" s="169" t="s">
        <v>252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267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262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262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262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262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262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262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262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262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262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262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262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262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263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264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262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262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270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262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262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262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262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262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262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262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262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262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262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266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264</v>
      </c>
      <c r="O81" s="74">
        <v>1547910</v>
      </c>
    </row>
    <row r="82" spans="1:15" ht="18" customHeight="1">
      <c r="A82" s="169" t="s">
        <v>252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267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262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262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262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271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262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262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262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262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262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262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262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262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262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263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264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262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262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262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262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262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262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272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262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262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262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262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262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262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266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264</v>
      </c>
      <c r="O108" s="74">
        <v>3156240</v>
      </c>
    </row>
    <row r="109" spans="1:15" ht="18" customHeight="1">
      <c r="A109" s="169" t="s">
        <v>252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267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262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262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262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262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262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262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262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262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262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262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262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262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263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264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262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262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262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262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262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262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262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262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262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262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262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262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266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264</v>
      </c>
      <c r="O135" s="74">
        <v>2875180</v>
      </c>
    </row>
    <row r="136" spans="1:15" ht="18" customHeight="1">
      <c r="A136" s="169" t="s">
        <v>252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267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262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273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262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262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262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262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262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262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262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262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262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262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262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263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264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262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262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274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262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262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262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262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262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262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262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262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262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262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266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264</v>
      </c>
      <c r="O162" s="79">
        <v>842000</v>
      </c>
    </row>
    <row r="163" spans="1:15" ht="18" customHeight="1">
      <c r="A163" s="169" t="s">
        <v>252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267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262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239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275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262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262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262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262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262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262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262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262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262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262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262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263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264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262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276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262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262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262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262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262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262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262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277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262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262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262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266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264</v>
      </c>
      <c r="O189" s="74">
        <v>1901630</v>
      </c>
    </row>
    <row r="190" spans="1:15" ht="18" customHeight="1">
      <c r="A190" s="169" t="s">
        <v>252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267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262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262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262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278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262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262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262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262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262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262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262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262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262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263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264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262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262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262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262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262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262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262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262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262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262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262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262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266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264</v>
      </c>
      <c r="O216" s="74">
        <v>1852295</v>
      </c>
    </row>
    <row r="217" spans="1:15" ht="18" customHeight="1">
      <c r="A217" s="169" t="s">
        <v>252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267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262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262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262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279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262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262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262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262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262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262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262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262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262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263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264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262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262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262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280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280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280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280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280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280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280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280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280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266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264</v>
      </c>
      <c r="O243" s="74">
        <v>991010</v>
      </c>
    </row>
    <row r="244" spans="1:15" ht="18" customHeight="1">
      <c r="A244" s="169" t="s">
        <v>252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267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262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262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262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262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262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281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262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262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262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262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262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262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262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263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264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282</v>
      </c>
      <c r="E258" s="75" t="s">
        <v>262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282</v>
      </c>
      <c r="E259" s="75" t="s">
        <v>262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282</v>
      </c>
      <c r="E260" s="75" t="s">
        <v>262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282</v>
      </c>
      <c r="E261" s="75" t="s">
        <v>262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282</v>
      </c>
      <c r="E262" s="75" t="s">
        <v>262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282</v>
      </c>
      <c r="E263" s="75" t="s">
        <v>262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282</v>
      </c>
      <c r="E264" s="75" t="s">
        <v>262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282</v>
      </c>
      <c r="E265" s="75" t="s">
        <v>262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282</v>
      </c>
      <c r="E266" s="75" t="s">
        <v>262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282</v>
      </c>
      <c r="E267" s="75" t="s">
        <v>262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282</v>
      </c>
      <c r="E268" s="75" t="s">
        <v>262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282</v>
      </c>
      <c r="E269" s="75" t="s">
        <v>262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266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264</v>
      </c>
      <c r="O270" s="74">
        <v>1544700</v>
      </c>
    </row>
    <row r="271" spans="1:15" ht="18" customHeight="1">
      <c r="A271" s="169" t="s">
        <v>252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267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282</v>
      </c>
      <c r="E272" s="62" t="s">
        <v>262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282</v>
      </c>
      <c r="E273" s="62" t="s">
        <v>262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282</v>
      </c>
      <c r="E274" s="62" t="s">
        <v>262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282</v>
      </c>
      <c r="E275" s="62" t="s">
        <v>262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282</v>
      </c>
      <c r="E276" s="62" t="s">
        <v>262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282</v>
      </c>
      <c r="E277" s="62" t="s">
        <v>262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283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282</v>
      </c>
      <c r="E278" s="62" t="s">
        <v>262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282</v>
      </c>
      <c r="E279" s="62" t="s">
        <v>262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282</v>
      </c>
      <c r="E280" s="62" t="s">
        <v>262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282</v>
      </c>
      <c r="E281" s="62" t="s">
        <v>262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282</v>
      </c>
      <c r="E282" s="62" t="s">
        <v>262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282</v>
      </c>
      <c r="E283" s="62" t="s">
        <v>262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263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264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282</v>
      </c>
      <c r="E285" s="75" t="s">
        <v>277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282</v>
      </c>
      <c r="E286" s="75" t="s">
        <v>277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282</v>
      </c>
      <c r="E287" s="75" t="s">
        <v>277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282</v>
      </c>
      <c r="E288" s="75" t="s">
        <v>277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282</v>
      </c>
      <c r="E289" s="75" t="s">
        <v>277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282</v>
      </c>
      <c r="E290" s="75" t="s">
        <v>277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282</v>
      </c>
      <c r="E291" s="75" t="s">
        <v>277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282</v>
      </c>
      <c r="E292" s="75" t="s">
        <v>277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282</v>
      </c>
      <c r="E293" s="75" t="s">
        <v>277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282</v>
      </c>
      <c r="E294" s="75" t="s">
        <v>277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282</v>
      </c>
      <c r="E295" s="75" t="s">
        <v>277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282</v>
      </c>
      <c r="E296" s="75" t="s">
        <v>277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266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264</v>
      </c>
      <c r="O297" s="74">
        <v>1715230</v>
      </c>
    </row>
    <row r="298" spans="1:15" ht="18" customHeight="1">
      <c r="A298" s="169" t="s">
        <v>252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267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262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239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262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262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262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284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262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262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262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262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262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262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262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262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263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264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262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262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262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262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262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262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262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262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262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262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262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262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266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264</v>
      </c>
      <c r="O324" s="74">
        <v>2216340</v>
      </c>
    </row>
    <row r="325" spans="1:15" ht="18" customHeight="1">
      <c r="A325" s="169" t="s">
        <v>252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267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285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262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262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262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286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262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262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262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262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263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264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262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262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262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262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262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262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262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262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262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262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262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262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266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264</v>
      </c>
      <c r="O351" s="74">
        <v>2154990</v>
      </c>
    </row>
    <row r="352" spans="1:15" ht="18" customHeight="1">
      <c r="A352" s="169" t="s">
        <v>252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267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262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262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262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262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262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262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277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262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262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262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262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262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263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264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262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262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262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262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262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262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262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262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262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262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262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262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266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264</v>
      </c>
      <c r="O378" s="74">
        <v>2614830</v>
      </c>
    </row>
    <row r="379" spans="1:15" ht="18" customHeight="1">
      <c r="A379" s="169" t="s">
        <v>252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267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262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262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262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262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262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262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262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262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262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262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262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262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263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264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262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287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262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262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262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262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262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262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262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262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262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262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262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266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264</v>
      </c>
      <c r="O405" s="74">
        <v>2612000</v>
      </c>
    </row>
    <row r="406" spans="1:15" ht="18" customHeight="1">
      <c r="A406" s="169" t="s">
        <v>252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267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262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262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262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262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262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262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262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262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262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262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262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262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263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264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262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233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262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288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262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288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262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262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262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262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262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262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262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262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262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266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264</v>
      </c>
      <c r="O432" s="74">
        <v>2266710</v>
      </c>
    </row>
    <row r="433" spans="1:15" ht="18" customHeight="1">
      <c r="A433" s="169" t="s">
        <v>252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267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262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262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262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262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262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262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262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262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262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262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262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262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263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264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262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289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262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290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262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262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262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262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291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262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292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262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293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262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262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262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262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266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264</v>
      </c>
      <c r="O459" s="74">
        <v>2361680</v>
      </c>
    </row>
    <row r="460" spans="1:15" ht="18" customHeight="1">
      <c r="A460" s="169" t="s">
        <v>252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267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262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294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262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262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262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262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262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262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262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262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262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262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262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263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264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262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262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262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295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262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262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262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262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262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262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262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262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262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266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264</v>
      </c>
      <c r="O486" s="74">
        <v>1798670</v>
      </c>
    </row>
    <row r="487" spans="1:15" ht="18" customHeight="1">
      <c r="A487" s="169" t="s">
        <v>252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267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262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262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296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262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262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262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262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262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262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262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262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262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262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263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264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262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262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297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262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262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262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262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262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262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262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262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262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277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266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264</v>
      </c>
      <c r="O513" s="74">
        <v>2435830</v>
      </c>
    </row>
    <row r="514" spans="1:15" ht="18" customHeight="1">
      <c r="A514" s="169" t="s">
        <v>252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267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262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262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262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262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262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277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277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277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277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277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277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277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263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264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262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298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262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262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262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262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262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262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262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262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262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262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262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266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264</v>
      </c>
      <c r="O540" s="74">
        <v>667100</v>
      </c>
    </row>
    <row r="541" spans="1:15" ht="18" customHeight="1">
      <c r="A541" s="169" t="s">
        <v>252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267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299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263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264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262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299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262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265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262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300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262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262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301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262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262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302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262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262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262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262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262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266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264</v>
      </c>
      <c r="O567" s="74">
        <v>1031030</v>
      </c>
    </row>
    <row r="568" spans="1:15" ht="18" customHeight="1">
      <c r="A568" s="169" t="s">
        <v>252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267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262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262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262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303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262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262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262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262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262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262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262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262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262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263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264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262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304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262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305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262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262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262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262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262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262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262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262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262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262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266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264</v>
      </c>
      <c r="O594" s="74">
        <v>2100270</v>
      </c>
    </row>
    <row r="595" spans="1:15" ht="18" customHeight="1">
      <c r="A595" s="169" t="s">
        <v>252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267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262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262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262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262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262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262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262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262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262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262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262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262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263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264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262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262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306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262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262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262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262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262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262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262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262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262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262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266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264</v>
      </c>
      <c r="O621" s="74">
        <v>2354670</v>
      </c>
    </row>
    <row r="622" spans="1:15" ht="18" customHeight="1">
      <c r="A622" s="169" t="s">
        <v>252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267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262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262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262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262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262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262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262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262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262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262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262</v>
      </c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262</v>
      </c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263</v>
      </c>
      <c r="B635" s="168"/>
      <c r="C635" s="168"/>
      <c r="D635" s="168"/>
      <c r="E635" s="168"/>
      <c r="F635" s="2">
        <f>SUM(F623:F634)</f>
        <v>329</v>
      </c>
      <c r="G635" s="2">
        <f>SUM(G623:G634)</f>
        <v>1645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264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266</v>
      </c>
      <c r="B648" s="168"/>
      <c r="C648" s="168"/>
      <c r="D648" s="168"/>
      <c r="E648" s="168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264</v>
      </c>
      <c r="O648" s="74"/>
    </row>
    <row r="649" spans="1:15" ht="18" customHeight="1">
      <c r="A649" s="169" t="s">
        <v>252</v>
      </c>
      <c r="B649" s="169"/>
      <c r="C649" s="169"/>
      <c r="D649" s="169"/>
      <c r="E649" s="169"/>
      <c r="F649" s="1">
        <f>F635+F648</f>
        <v>329</v>
      </c>
      <c r="G649" s="1">
        <f>G635+G648</f>
        <v>1645</v>
      </c>
      <c r="H649" s="76"/>
      <c r="I649" s="76"/>
      <c r="J649" s="76"/>
      <c r="K649" s="76"/>
      <c r="L649" s="76"/>
      <c r="M649" s="77">
        <f ca="1">IFERROR(M635+M648,"")</f>
        <v>2.2222222222222199E-2</v>
      </c>
      <c r="N649" s="1" t="s">
        <v>267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263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264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266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264</v>
      </c>
      <c r="O675" s="74"/>
    </row>
    <row r="676" spans="1:15" ht="18" customHeight="1">
      <c r="A676" s="169" t="s">
        <v>252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267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263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264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266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264</v>
      </c>
      <c r="O702" s="74"/>
    </row>
    <row r="703" spans="1:15" ht="18" customHeight="1">
      <c r="A703" s="169" t="s">
        <v>252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267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263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264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266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264</v>
      </c>
      <c r="O729" s="74"/>
    </row>
    <row r="730" spans="1:15" ht="18" customHeight="1">
      <c r="A730" s="169" t="s">
        <v>252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267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263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264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266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264</v>
      </c>
      <c r="O756" s="74"/>
    </row>
    <row r="757" spans="1:15" ht="18" customHeight="1">
      <c r="A757" s="169" t="s">
        <v>252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267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263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264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266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264</v>
      </c>
      <c r="O783" s="74"/>
    </row>
    <row r="784" spans="1:15" ht="18" customHeight="1">
      <c r="A784" s="169" t="s">
        <v>252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267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263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264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266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264</v>
      </c>
      <c r="O810" s="74"/>
    </row>
    <row r="811" spans="1:15" ht="18" customHeight="1">
      <c r="A811" s="169" t="s">
        <v>252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267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263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264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266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264</v>
      </c>
      <c r="O837" s="74"/>
    </row>
    <row r="838" spans="1:15" ht="18" customHeight="1">
      <c r="A838" s="169" t="s">
        <v>252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267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331" activePane="bottomLeft" state="frozen"/>
      <selection pane="bottomLeft" activeCell="G633" sqref="G633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309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310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311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0" t="s">
        <v>263</v>
      </c>
      <c r="B14" s="160"/>
      <c r="C14" s="160"/>
      <c r="D14" s="160"/>
      <c r="E14" s="160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264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277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277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277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277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277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313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277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277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277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277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277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277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0" t="s">
        <v>266</v>
      </c>
      <c r="B27" s="160"/>
      <c r="C27" s="160"/>
      <c r="D27" s="160"/>
      <c r="E27" s="160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264</v>
      </c>
      <c r="S27" s="74">
        <v>549860</v>
      </c>
      <c r="T27" s="99"/>
    </row>
    <row r="28" spans="1:20" ht="18" customHeight="1">
      <c r="A28" s="159" t="s">
        <v>252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267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0" t="s">
        <v>263</v>
      </c>
      <c r="B41" s="160"/>
      <c r="C41" s="160"/>
      <c r="D41" s="160"/>
      <c r="E41" s="160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264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314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315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316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0.62770891203399515</v>
      </c>
      <c r="R53" s="80" t="s">
        <v>317</v>
      </c>
      <c r="S53" s="67"/>
    </row>
    <row r="54" spans="1:20" ht="15.75" customHeight="1">
      <c r="A54" s="160" t="s">
        <v>266</v>
      </c>
      <c r="B54" s="160"/>
      <c r="C54" s="160"/>
      <c r="D54" s="160"/>
      <c r="E54" s="160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0.76659780092288288</v>
      </c>
      <c r="R54" s="2" t="s">
        <v>264</v>
      </c>
      <c r="S54" s="113">
        <v>352430</v>
      </c>
      <c r="T54" s="114"/>
    </row>
    <row r="55" spans="1:20" ht="18" customHeight="1">
      <c r="A55" s="159" t="s">
        <v>252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0.85132002314510569</v>
      </c>
      <c r="R55" s="1" t="s">
        <v>267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309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0" t="s">
        <v>263</v>
      </c>
      <c r="B68" s="160"/>
      <c r="C68" s="160"/>
      <c r="D68" s="160"/>
      <c r="E68" s="160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264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318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277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0" t="s">
        <v>266</v>
      </c>
      <c r="B81" s="160"/>
      <c r="C81" s="160"/>
      <c r="D81" s="160"/>
      <c r="E81" s="160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264</v>
      </c>
      <c r="S81" s="115">
        <v>634210</v>
      </c>
      <c r="T81" s="116"/>
    </row>
    <row r="82" spans="1:20" ht="18" customHeight="1">
      <c r="A82" s="159" t="s">
        <v>252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267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277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226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0" t="s">
        <v>263</v>
      </c>
      <c r="B95" s="160"/>
      <c r="C95" s="160"/>
      <c r="D95" s="160"/>
      <c r="E95" s="160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264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319</v>
      </c>
      <c r="Q96" s="66" t="str">
        <f t="shared" ref="Q96:Q107" ca="1" si="22">IFERROR(IF(O96="","",IF(P96="",MOD(NOW()-O96,1),IF(P96&gt;=O96,P96-O96,P96+1-O96))),"")</f>
        <v/>
      </c>
      <c r="R96" s="80" t="s">
        <v>320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321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322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265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0" t="s">
        <v>266</v>
      </c>
      <c r="B108" s="160"/>
      <c r="C108" s="160"/>
      <c r="D108" s="160"/>
      <c r="E108" s="160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264</v>
      </c>
      <c r="S108" s="115">
        <v>456830</v>
      </c>
      <c r="T108" s="116"/>
    </row>
    <row r="109" spans="1:20" ht="18" customHeight="1">
      <c r="A109" s="159" t="s">
        <v>252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267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323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0" t="s">
        <v>263</v>
      </c>
      <c r="B122" s="160"/>
      <c r="C122" s="160"/>
      <c r="D122" s="160"/>
      <c r="E122" s="160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264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0" t="s">
        <v>266</v>
      </c>
      <c r="B135" s="160"/>
      <c r="C135" s="160"/>
      <c r="D135" s="160"/>
      <c r="E135" s="160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264</v>
      </c>
      <c r="S135" s="115">
        <v>756720</v>
      </c>
      <c r="T135" s="116"/>
    </row>
    <row r="136" spans="1:20" ht="18" customHeight="1">
      <c r="A136" s="159" t="s">
        <v>252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267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324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325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326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0" t="s">
        <v>263</v>
      </c>
      <c r="B149" s="160"/>
      <c r="C149" s="160"/>
      <c r="D149" s="160"/>
      <c r="E149" s="160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264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0" t="s">
        <v>266</v>
      </c>
      <c r="B162" s="160"/>
      <c r="C162" s="160"/>
      <c r="D162" s="160"/>
      <c r="E162" s="160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264</v>
      </c>
      <c r="S162" s="115">
        <v>501750</v>
      </c>
      <c r="T162" s="116"/>
    </row>
    <row r="163" spans="1:20" ht="18" customHeight="1">
      <c r="A163" s="159" t="s">
        <v>252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267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277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277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277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277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277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277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277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277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277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277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0" t="s">
        <v>263</v>
      </c>
      <c r="B176" s="160"/>
      <c r="C176" s="160"/>
      <c r="D176" s="160"/>
      <c r="E176" s="160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264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277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277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328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277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329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277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0" t="s">
        <v>266</v>
      </c>
      <c r="B189" s="160"/>
      <c r="C189" s="160"/>
      <c r="D189" s="160"/>
      <c r="E189" s="160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264</v>
      </c>
      <c r="S189" s="74">
        <v>362530</v>
      </c>
      <c r="T189" s="99"/>
    </row>
    <row r="190" spans="1:20" ht="18" customHeight="1">
      <c r="A190" s="159" t="s">
        <v>252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267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330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323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0" t="s">
        <v>263</v>
      </c>
      <c r="B203" s="160"/>
      <c r="C203" s="160"/>
      <c r="D203" s="160"/>
      <c r="E203" s="160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264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0" t="s">
        <v>266</v>
      </c>
      <c r="B216" s="160"/>
      <c r="C216" s="160"/>
      <c r="D216" s="160"/>
      <c r="E216" s="160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264</v>
      </c>
      <c r="S216" s="74">
        <v>609740</v>
      </c>
      <c r="T216" s="99"/>
    </row>
    <row r="217" spans="1:20" ht="18" customHeight="1">
      <c r="A217" s="159" t="s">
        <v>252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267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318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265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332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333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0" t="s">
        <v>263</v>
      </c>
      <c r="B230" s="160"/>
      <c r="C230" s="160"/>
      <c r="D230" s="160"/>
      <c r="E230" s="160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264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265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0" t="s">
        <v>266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264</v>
      </c>
      <c r="S243" s="74">
        <v>825930</v>
      </c>
      <c r="T243" s="99"/>
    </row>
    <row r="244" spans="1:20" ht="18" customHeight="1">
      <c r="A244" s="159" t="s">
        <v>252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267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0" t="s">
        <v>263</v>
      </c>
      <c r="B257" s="160"/>
      <c r="C257" s="160"/>
      <c r="D257" s="160"/>
      <c r="E257" s="160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264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277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277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277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277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277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277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277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277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277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277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277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277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0" t="s">
        <v>266</v>
      </c>
      <c r="B270" s="160"/>
      <c r="C270" s="160"/>
      <c r="D270" s="160"/>
      <c r="E270" s="160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732130</v>
      </c>
      <c r="T270" s="99"/>
    </row>
    <row r="271" spans="1:20" ht="18" customHeight="1">
      <c r="A271" s="159" t="s">
        <v>252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267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277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277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277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277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262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277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0" t="s">
        <v>263</v>
      </c>
      <c r="B284" s="160"/>
      <c r="C284" s="160"/>
      <c r="D284" s="160"/>
      <c r="E284" s="160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262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262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277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277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262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262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262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262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262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0" t="s">
        <v>266</v>
      </c>
      <c r="B297" s="160"/>
      <c r="C297" s="160"/>
      <c r="D297" s="160"/>
      <c r="E297" s="160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990260</v>
      </c>
      <c r="T297" s="99"/>
    </row>
    <row r="298" spans="1:20" ht="18" customHeight="1">
      <c r="A298" s="159" t="s">
        <v>252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277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277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277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277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277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277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277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277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277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277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277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277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0" t="s">
        <v>263</v>
      </c>
      <c r="B311" s="160"/>
      <c r="C311" s="160"/>
      <c r="D311" s="160"/>
      <c r="E311" s="160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264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277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277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277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277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277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277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277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277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277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277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0" t="s">
        <v>266</v>
      </c>
      <c r="B324" s="160"/>
      <c r="C324" s="160"/>
      <c r="D324" s="160"/>
      <c r="E324" s="160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264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252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267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334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335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336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337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338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0" t="s">
        <v>263</v>
      </c>
      <c r="B338" s="160"/>
      <c r="C338" s="160"/>
      <c r="D338" s="160"/>
      <c r="E338" s="160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264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330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325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0" t="s">
        <v>266</v>
      </c>
      <c r="B351" s="160"/>
      <c r="C351" s="160"/>
      <c r="D351" s="160"/>
      <c r="E351" s="160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264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252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267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318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0" t="s">
        <v>263</v>
      </c>
      <c r="B365" s="160"/>
      <c r="C365" s="160"/>
      <c r="D365" s="160"/>
      <c r="E365" s="160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264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339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0" t="s">
        <v>266</v>
      </c>
      <c r="B378" s="160"/>
      <c r="C378" s="160"/>
      <c r="D378" s="160"/>
      <c r="E378" s="160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264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252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267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277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277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340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0" t="s">
        <v>263</v>
      </c>
      <c r="B392" s="160"/>
      <c r="C392" s="160"/>
      <c r="D392" s="160"/>
      <c r="E392" s="160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264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341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0" t="s">
        <v>266</v>
      </c>
      <c r="B405" s="160"/>
      <c r="C405" s="160"/>
      <c r="D405" s="160"/>
      <c r="E405" s="160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264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252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267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0" t="s">
        <v>263</v>
      </c>
      <c r="B419" s="160"/>
      <c r="C419" s="160"/>
      <c r="D419" s="160"/>
      <c r="E419" s="160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264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342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266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264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252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267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343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277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0" t="s">
        <v>263</v>
      </c>
      <c r="B446" s="160"/>
      <c r="C446" s="160"/>
      <c r="D446" s="160"/>
      <c r="E446" s="160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264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262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0" t="s">
        <v>266</v>
      </c>
      <c r="B459" s="160"/>
      <c r="C459" s="160"/>
      <c r="D459" s="160"/>
      <c r="E459" s="160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264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252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267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0" t="s">
        <v>263</v>
      </c>
      <c r="B473" s="160"/>
      <c r="C473" s="160"/>
      <c r="D473" s="160"/>
      <c r="E473" s="160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264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0" t="s">
        <v>266</v>
      </c>
      <c r="B486" s="160"/>
      <c r="C486" s="160"/>
      <c r="D486" s="160"/>
      <c r="E486" s="160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264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252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267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325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294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0" t="s">
        <v>263</v>
      </c>
      <c r="B500" s="160"/>
      <c r="C500" s="160"/>
      <c r="D500" s="160"/>
      <c r="E500" s="160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264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266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264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252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267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0" t="s">
        <v>263</v>
      </c>
      <c r="B527" s="160"/>
      <c r="C527" s="160"/>
      <c r="D527" s="160"/>
      <c r="E527" s="160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264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0" t="s">
        <v>266</v>
      </c>
      <c r="B540" s="160"/>
      <c r="C540" s="160"/>
      <c r="D540" s="160"/>
      <c r="E540" s="160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264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252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267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0" t="s">
        <v>263</v>
      </c>
      <c r="B554" s="160"/>
      <c r="C554" s="160"/>
      <c r="D554" s="160"/>
      <c r="E554" s="160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264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351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277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0" t="s">
        <v>266</v>
      </c>
      <c r="B567" s="160"/>
      <c r="C567" s="160"/>
      <c r="D567" s="160"/>
      <c r="E567" s="160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264</v>
      </c>
      <c r="S567" s="74">
        <v>0</v>
      </c>
      <c r="T567" s="99">
        <f>IFERROR(J567,"")</f>
        <v>0</v>
      </c>
    </row>
    <row r="568" spans="1:20" ht="18" customHeight="1">
      <c r="A568" s="159" t="s">
        <v>252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267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277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0" t="s">
        <v>263</v>
      </c>
      <c r="B581" s="160"/>
      <c r="C581" s="160"/>
      <c r="D581" s="160"/>
      <c r="E581" s="160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264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352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262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0" t="s">
        <v>266</v>
      </c>
      <c r="B594" s="160"/>
      <c r="C594" s="160"/>
      <c r="D594" s="160"/>
      <c r="E594" s="160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264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252</v>
      </c>
      <c r="B595" s="159"/>
      <c r="C595" s="159"/>
      <c r="D595" s="159"/>
      <c r="E595" s="159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267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0" t="s">
        <v>263</v>
      </c>
      <c r="B608" s="160"/>
      <c r="C608" s="160"/>
      <c r="D608" s="160"/>
      <c r="E608" s="160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264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353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277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0" t="s">
        <v>266</v>
      </c>
      <c r="B621" s="160"/>
      <c r="C621" s="160"/>
      <c r="D621" s="160"/>
      <c r="E621" s="160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264</v>
      </c>
      <c r="S621" s="74">
        <v>508500</v>
      </c>
      <c r="T621" s="99">
        <f>IFERROR(J621,"")</f>
        <v>106.785</v>
      </c>
    </row>
    <row r="622" spans="1:20" ht="18" customHeight="1">
      <c r="A622" s="159" t="s">
        <v>252</v>
      </c>
      <c r="B622" s="159"/>
      <c r="C622" s="159"/>
      <c r="D622" s="159"/>
      <c r="E622" s="159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267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0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0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325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0</v>
      </c>
      <c r="I624" s="90">
        <f>IFERROR(IF($D624="","",VLOOKUP($D624,Cadastro!$C$4:$G$7,5,FALSE())),"")</f>
        <v>0.6</v>
      </c>
      <c r="J624" s="91">
        <f t="shared" si="162"/>
        <v>0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0</v>
      </c>
      <c r="I625" s="90">
        <f>IFERROR(IF($D625="","",VLOOKUP($D625,Cadastro!$C$4:$G$7,5,FALSE())),"")</f>
        <v>0.6</v>
      </c>
      <c r="J625" s="91">
        <f t="shared" si="162"/>
        <v>0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0</v>
      </c>
      <c r="I626" s="90">
        <f>IFERROR(IF($D626="","",VLOOKUP($D626,Cadastro!$C$4:$G$7,5,FALSE())),"")</f>
        <v>0.6</v>
      </c>
      <c r="J626" s="91">
        <f t="shared" si="162"/>
        <v>0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0</v>
      </c>
      <c r="I627" s="90">
        <f>IFERROR(IF($D627="","",VLOOKUP($D627,Cadastro!$C$4:$G$7,5,FALSE())),"")</f>
        <v>0.6</v>
      </c>
      <c r="J627" s="91">
        <f t="shared" si="162"/>
        <v>0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0</v>
      </c>
      <c r="I628" s="90">
        <f>IFERROR(IF($D628="","",VLOOKUP($D628,Cadastro!$C$4:$G$7,5,FALSE())),"")</f>
        <v>0.6</v>
      </c>
      <c r="J628" s="91">
        <f t="shared" si="162"/>
        <v>0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0</v>
      </c>
      <c r="I629" s="90">
        <f>IFERROR(IF($D629="","",VLOOKUP($D629,Cadastro!$C$4:$G$7,5,FALSE())),"")</f>
        <v>0.6</v>
      </c>
      <c r="J629" s="91">
        <f t="shared" si="162"/>
        <v>0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0</v>
      </c>
      <c r="I630" s="90">
        <f>IFERROR(IF($D630="","",VLOOKUP($D630,Cadastro!$C$4:$G$7,5,FALSE())),"")</f>
        <v>0.6</v>
      </c>
      <c r="J630" s="91">
        <f t="shared" si="162"/>
        <v>0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0</v>
      </c>
      <c r="I631" s="90">
        <f>IFERROR(IF($D631="","",VLOOKUP($D631,Cadastro!$C$4:$G$7,5,FALSE())),"")</f>
        <v>0.6</v>
      </c>
      <c r="J631" s="91">
        <f t="shared" si="162"/>
        <v>0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0</v>
      </c>
      <c r="I632" s="90">
        <f>IFERROR(IF($D632="","",VLOOKUP($D632,Cadastro!$C$4:$G$7,5,FALSE())),"")</f>
        <v>0.6</v>
      </c>
      <c r="J632" s="91">
        <f t="shared" si="162"/>
        <v>0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/>
      <c r="H633" s="88" t="str">
        <f>IFERROR(IF($G633="","",$G633*$S$635/$G$635/Cadastro!$E$33),"")</f>
        <v/>
      </c>
      <c r="I633" s="90">
        <f>IFERROR(IF($D633="","",VLOOKUP($D633,Cadastro!$C$4:$G$7,5,FALSE())),"")</f>
        <v>0.6</v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/>
      <c r="H634" s="92" t="str">
        <f>IFERROR(IF($G634="","",$G634*$S$635/$G$635/Cadastro!$E$33),"")</f>
        <v/>
      </c>
      <c r="I634" s="93">
        <f>IFERROR(IF($D634="","",VLOOKUP($D634,Cadastro!$C$4:$G$7,5,FALSE())),"")</f>
        <v>0.6</v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0" t="s">
        <v>263</v>
      </c>
      <c r="B635" s="160"/>
      <c r="C635" s="160"/>
      <c r="D635" s="160"/>
      <c r="E635" s="160"/>
      <c r="F635" s="95"/>
      <c r="G635" s="96">
        <f>SUM(G623:G634)</f>
        <v>134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562.80000000000007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264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0" t="s">
        <v>266</v>
      </c>
      <c r="B648" s="160"/>
      <c r="C648" s="160"/>
      <c r="D648" s="160"/>
      <c r="E648" s="160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264</v>
      </c>
      <c r="S648" s="74"/>
      <c r="T648" s="99">
        <f>IFERROR(J648,"")</f>
        <v>0</v>
      </c>
    </row>
    <row r="649" spans="1:20" ht="18" customHeight="1">
      <c r="A649" s="159" t="s">
        <v>252</v>
      </c>
      <c r="B649" s="159"/>
      <c r="C649" s="159"/>
      <c r="D649" s="159"/>
      <c r="E649" s="159"/>
      <c r="F649" s="108"/>
      <c r="G649" s="109">
        <f>G635+G648</f>
        <v>134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562.80000000000007</v>
      </c>
      <c r="L649" s="76"/>
      <c r="M649" s="76"/>
      <c r="N649" s="76"/>
      <c r="O649" s="76"/>
      <c r="P649" s="76"/>
      <c r="Q649" s="77">
        <f ca="1">IFERROR(Q635+Q648,"")</f>
        <v>7.083333333333347E-2</v>
      </c>
      <c r="R649" s="1" t="s">
        <v>267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0" t="s">
        <v>263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0" t="s">
        <v>266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59" t="s">
        <v>252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0" t="s">
        <v>263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0" t="s">
        <v>266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59" t="s">
        <v>252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0" t="s">
        <v>263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0" t="s">
        <v>266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59" t="s">
        <v>252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0" t="s">
        <v>263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0" t="s">
        <v>266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59" t="s">
        <v>252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0" t="s">
        <v>263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0" t="s">
        <v>266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59" t="s">
        <v>252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0" t="s">
        <v>263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0" t="s">
        <v>266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59" t="s">
        <v>252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0" t="s">
        <v>263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0" t="s">
        <v>266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113"/>
      <c r="T837" s="114">
        <f>IFERROR(J837,"")</f>
        <v>0</v>
      </c>
    </row>
    <row r="838" spans="1:20" ht="18" customHeight="1">
      <c r="A838" s="159" t="s">
        <v>252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2" activePane="bottomLeft" state="frozen"/>
      <selection pane="bottomLeft" activeCell="G633" sqref="G633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0" t="s">
        <v>263</v>
      </c>
      <c r="B14" s="160"/>
      <c r="C14" s="160"/>
      <c r="D14" s="160"/>
      <c r="E14" s="160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264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312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277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277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0" t="s">
        <v>266</v>
      </c>
      <c r="B27" s="160"/>
      <c r="C27" s="160"/>
      <c r="D27" s="160"/>
      <c r="E27" s="160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264</v>
      </c>
      <c r="S27" s="74">
        <v>358000</v>
      </c>
      <c r="T27" s="99">
        <f>IFERROR(J27,"")</f>
        <v>0</v>
      </c>
    </row>
    <row r="28" spans="1:20" ht="18" customHeight="1">
      <c r="A28" s="159" t="s">
        <v>252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267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0" t="s">
        <v>263</v>
      </c>
      <c r="B41" s="160"/>
      <c r="C41" s="160"/>
      <c r="D41" s="160"/>
      <c r="E41" s="160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264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318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0" t="s">
        <v>266</v>
      </c>
      <c r="B54" s="160"/>
      <c r="C54" s="160"/>
      <c r="D54" s="160"/>
      <c r="E54" s="160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264</v>
      </c>
      <c r="S54" s="74">
        <v>279980</v>
      </c>
      <c r="T54" s="99">
        <f>IFERROR(J54,"")</f>
        <v>0</v>
      </c>
    </row>
    <row r="55" spans="1:20" ht="18" customHeight="1">
      <c r="A55" s="159" t="s">
        <v>252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267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277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277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277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277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277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277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277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277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277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0" t="s">
        <v>263</v>
      </c>
      <c r="B68" s="160"/>
      <c r="C68" s="160"/>
      <c r="D68" s="160"/>
      <c r="E68" s="160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264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0" t="s">
        <v>266</v>
      </c>
      <c r="B81" s="160"/>
      <c r="C81" s="160"/>
      <c r="D81" s="160"/>
      <c r="E81" s="160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264</v>
      </c>
      <c r="S81" s="74">
        <v>185920</v>
      </c>
      <c r="T81" s="99">
        <f>IFERROR(J81,"")</f>
        <v>0</v>
      </c>
    </row>
    <row r="82" spans="1:20" ht="18" customHeight="1">
      <c r="A82" s="159" t="s">
        <v>252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267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0" t="s">
        <v>263</v>
      </c>
      <c r="B95" s="160"/>
      <c r="C95" s="160"/>
      <c r="D95" s="160"/>
      <c r="E95" s="160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264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0" t="s">
        <v>266</v>
      </c>
      <c r="B108" s="160"/>
      <c r="C108" s="160"/>
      <c r="D108" s="160"/>
      <c r="E108" s="160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264</v>
      </c>
      <c r="S108" s="74">
        <v>434370</v>
      </c>
      <c r="T108" s="99">
        <f>IFERROR(J108,"")</f>
        <v>0</v>
      </c>
    </row>
    <row r="109" spans="1:20" ht="18" customHeight="1">
      <c r="A109" s="159" t="s">
        <v>252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267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0" t="s">
        <v>263</v>
      </c>
      <c r="B122" s="160"/>
      <c r="C122" s="160"/>
      <c r="D122" s="160"/>
      <c r="E122" s="160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264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0" t="s">
        <v>266</v>
      </c>
      <c r="B135" s="160"/>
      <c r="C135" s="160"/>
      <c r="D135" s="160"/>
      <c r="E135" s="160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264</v>
      </c>
      <c r="S135" s="74">
        <v>416350</v>
      </c>
      <c r="T135" s="99">
        <f>IFERROR(J135,"")</f>
        <v>0</v>
      </c>
    </row>
    <row r="136" spans="1:20" ht="18" customHeight="1">
      <c r="A136" s="159" t="s">
        <v>252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267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326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0" t="s">
        <v>263</v>
      </c>
      <c r="B149" s="160"/>
      <c r="C149" s="160"/>
      <c r="D149" s="160"/>
      <c r="E149" s="160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264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318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266</v>
      </c>
      <c r="B162" s="160"/>
      <c r="C162" s="160"/>
      <c r="D162" s="160"/>
      <c r="E162" s="160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264</v>
      </c>
      <c r="S162" s="74">
        <v>169760</v>
      </c>
      <c r="T162" s="99">
        <f>IFERROR(J162,"")</f>
        <v>0</v>
      </c>
    </row>
    <row r="163" spans="1:20" ht="18" customHeight="1">
      <c r="A163" s="159" t="s">
        <v>252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267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263</v>
      </c>
      <c r="B176" s="160"/>
      <c r="C176" s="160"/>
      <c r="D176" s="160"/>
      <c r="E176" s="160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264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329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266</v>
      </c>
      <c r="B189" s="160"/>
      <c r="C189" s="160"/>
      <c r="D189" s="160"/>
      <c r="E189" s="160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264</v>
      </c>
      <c r="S189" s="74">
        <v>72220</v>
      </c>
      <c r="T189" s="99">
        <f>IFERROR(J189,"")</f>
        <v>0</v>
      </c>
    </row>
    <row r="190" spans="1:20" ht="18" customHeight="1">
      <c r="A190" s="159" t="s">
        <v>252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267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263</v>
      </c>
      <c r="B203" s="160"/>
      <c r="C203" s="160"/>
      <c r="D203" s="160"/>
      <c r="E203" s="160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264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0" t="s">
        <v>266</v>
      </c>
      <c r="B216" s="160"/>
      <c r="C216" s="160"/>
      <c r="D216" s="160"/>
      <c r="E216" s="160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264</v>
      </c>
      <c r="S216" s="74">
        <v>148720</v>
      </c>
      <c r="T216" s="99">
        <f>IFERROR(J216,"")</f>
        <v>0</v>
      </c>
    </row>
    <row r="217" spans="1:20" ht="18" customHeight="1">
      <c r="A217" s="159" t="s">
        <v>252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267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367</v>
      </c>
      <c r="Q222" s="66" t="str">
        <f t="shared" ca="1" si="49"/>
        <v/>
      </c>
      <c r="R222" s="63" t="s">
        <v>368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0" t="s">
        <v>263</v>
      </c>
      <c r="B230" s="160"/>
      <c r="C230" s="160"/>
      <c r="D230" s="160"/>
      <c r="E230" s="160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264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0" t="s">
        <v>266</v>
      </c>
      <c r="B243" s="160"/>
      <c r="C243" s="160"/>
      <c r="D243" s="160"/>
      <c r="E243" s="160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264</v>
      </c>
      <c r="S243" s="74">
        <v>352720</v>
      </c>
      <c r="T243" s="99">
        <f>IFERROR(J243,"")</f>
        <v>0</v>
      </c>
    </row>
    <row r="244" spans="1:20" ht="18" customHeight="1">
      <c r="A244" s="159" t="s">
        <v>252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267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262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262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0" t="s">
        <v>263</v>
      </c>
      <c r="B257" s="160"/>
      <c r="C257" s="160"/>
      <c r="D257" s="160"/>
      <c r="E257" s="160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264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277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277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277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277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277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277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277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277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277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277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277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277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0" t="s">
        <v>266</v>
      </c>
      <c r="B270" s="160"/>
      <c r="C270" s="160"/>
      <c r="D270" s="160"/>
      <c r="E270" s="160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327900</v>
      </c>
      <c r="T270" s="99">
        <f>IFERROR(J270,"")</f>
        <v>0</v>
      </c>
    </row>
    <row r="271" spans="1:20" ht="18" customHeight="1">
      <c r="A271" s="159" t="s">
        <v>252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267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262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0" t="s">
        <v>263</v>
      </c>
      <c r="B284" s="160"/>
      <c r="C284" s="160"/>
      <c r="D284" s="160"/>
      <c r="E284" s="160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0" t="s">
        <v>266</v>
      </c>
      <c r="B297" s="160"/>
      <c r="C297" s="160"/>
      <c r="D297" s="160"/>
      <c r="E297" s="160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462190</v>
      </c>
      <c r="T297" s="99">
        <f>IFERROR(J297,"")</f>
        <v>0</v>
      </c>
    </row>
    <row r="298" spans="1:20" ht="18" customHeight="1">
      <c r="A298" s="159" t="s">
        <v>252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0" t="s">
        <v>263</v>
      </c>
      <c r="B311" s="160"/>
      <c r="C311" s="160"/>
      <c r="D311" s="160"/>
      <c r="E311" s="160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264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0" t="s">
        <v>266</v>
      </c>
      <c r="B324" s="160"/>
      <c r="C324" s="160"/>
      <c r="D324" s="160"/>
      <c r="E324" s="160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264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252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267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336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337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277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0" t="s">
        <v>263</v>
      </c>
      <c r="B338" s="160"/>
      <c r="C338" s="160"/>
      <c r="D338" s="160"/>
      <c r="E338" s="160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264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0" t="s">
        <v>266</v>
      </c>
      <c r="B351" s="160"/>
      <c r="C351" s="160"/>
      <c r="D351" s="160"/>
      <c r="E351" s="160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264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252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267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318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0" t="s">
        <v>263</v>
      </c>
      <c r="B365" s="160"/>
      <c r="C365" s="160"/>
      <c r="D365" s="160"/>
      <c r="E365" s="160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264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0" t="s">
        <v>266</v>
      </c>
      <c r="B378" s="160"/>
      <c r="C378" s="160"/>
      <c r="D378" s="160"/>
      <c r="E378" s="160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264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252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267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340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0" t="s">
        <v>263</v>
      </c>
      <c r="B392" s="160"/>
      <c r="C392" s="160"/>
      <c r="D392" s="160"/>
      <c r="E392" s="160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264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0" t="s">
        <v>266</v>
      </c>
      <c r="B405" s="160"/>
      <c r="C405" s="160"/>
      <c r="D405" s="160"/>
      <c r="E405" s="160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264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252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267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0" t="s">
        <v>263</v>
      </c>
      <c r="B419" s="160"/>
      <c r="C419" s="160"/>
      <c r="D419" s="160"/>
      <c r="E419" s="160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264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0" t="s">
        <v>266</v>
      </c>
      <c r="B432" s="160"/>
      <c r="C432" s="160"/>
      <c r="D432" s="160"/>
      <c r="E432" s="160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264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252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267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0" t="s">
        <v>263</v>
      </c>
      <c r="B446" s="160"/>
      <c r="C446" s="160"/>
      <c r="D446" s="160"/>
      <c r="E446" s="160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264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0" t="s">
        <v>266</v>
      </c>
      <c r="B459" s="160"/>
      <c r="C459" s="160"/>
      <c r="D459" s="160"/>
      <c r="E459" s="160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264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252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267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0" t="s">
        <v>263</v>
      </c>
      <c r="B473" s="160"/>
      <c r="C473" s="160"/>
      <c r="D473" s="160"/>
      <c r="E473" s="160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264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318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0" t="s">
        <v>266</v>
      </c>
      <c r="B486" s="160"/>
      <c r="C486" s="160"/>
      <c r="D486" s="160"/>
      <c r="E486" s="160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264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252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267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277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0" t="s">
        <v>263</v>
      </c>
      <c r="B500" s="160"/>
      <c r="C500" s="160"/>
      <c r="D500" s="160"/>
      <c r="E500" s="160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264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0" t="s">
        <v>266</v>
      </c>
      <c r="B513" s="160"/>
      <c r="C513" s="160"/>
      <c r="D513" s="160"/>
      <c r="E513" s="160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264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252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267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0" t="s">
        <v>263</v>
      </c>
      <c r="B527" s="160"/>
      <c r="C527" s="160"/>
      <c r="D527" s="160"/>
      <c r="E527" s="160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264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318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0" t="s">
        <v>266</v>
      </c>
      <c r="B540" s="160"/>
      <c r="C540" s="160"/>
      <c r="D540" s="160"/>
      <c r="E540" s="160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264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252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267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0" t="s">
        <v>263</v>
      </c>
      <c r="B554" s="160"/>
      <c r="C554" s="160"/>
      <c r="D554" s="160"/>
      <c r="E554" s="160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264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318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382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262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354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262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60" t="s">
        <v>266</v>
      </c>
      <c r="B567" s="160"/>
      <c r="C567" s="160"/>
      <c r="D567" s="160"/>
      <c r="E567" s="160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264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252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267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318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0" t="s">
        <v>263</v>
      </c>
      <c r="B581" s="160"/>
      <c r="C581" s="160"/>
      <c r="D581" s="160"/>
      <c r="E581" s="160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264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377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262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0" t="s">
        <v>266</v>
      </c>
      <c r="B594" s="160"/>
      <c r="C594" s="160"/>
      <c r="D594" s="160"/>
      <c r="E594" s="160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264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252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267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318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0" t="s">
        <v>263</v>
      </c>
      <c r="B608" s="160"/>
      <c r="C608" s="160"/>
      <c r="D608" s="160"/>
      <c r="E608" s="160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264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374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383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383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383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60" t="s">
        <v>266</v>
      </c>
      <c r="B621" s="160"/>
      <c r="C621" s="160"/>
      <c r="D621" s="160"/>
      <c r="E621" s="160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264</v>
      </c>
      <c r="S621" s="74">
        <v>399510</v>
      </c>
      <c r="T621" s="99">
        <f>IFERROR(J621,"")</f>
        <v>83.897099999999995</v>
      </c>
    </row>
    <row r="622" spans="1:20" ht="18" customHeight="1">
      <c r="A622" s="159" t="s">
        <v>252</v>
      </c>
      <c r="B622" s="159"/>
      <c r="C622" s="159"/>
      <c r="D622" s="159"/>
      <c r="E622" s="159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267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0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0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359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0</v>
      </c>
      <c r="I624" s="90">
        <f>IFERROR(IF($D624="","",VLOOKUP($D624,Cadastro!$C$4:$G$7,5,FALSE())),"")</f>
        <v>0.6</v>
      </c>
      <c r="J624" s="91">
        <f t="shared" si="159"/>
        <v>0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0</v>
      </c>
      <c r="I625" s="90">
        <f>IFERROR(IF($D625="","",VLOOKUP($D625,Cadastro!$C$4:$G$7,5,FALSE())),"")</f>
        <v>0.6</v>
      </c>
      <c r="J625" s="91">
        <f t="shared" si="159"/>
        <v>0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0</v>
      </c>
      <c r="I626" s="90">
        <f>IFERROR(IF($D626="","",VLOOKUP($D626,Cadastro!$C$4:$G$7,5,FALSE())),"")</f>
        <v>0.6</v>
      </c>
      <c r="J626" s="91">
        <f t="shared" si="159"/>
        <v>0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0</v>
      </c>
      <c r="I627" s="90">
        <f>IFERROR(IF($D627="","",VLOOKUP($D627,Cadastro!$C$4:$G$7,5,FALSE())),"")</f>
        <v>0.6</v>
      </c>
      <c r="J627" s="91">
        <f t="shared" si="159"/>
        <v>0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0</v>
      </c>
      <c r="I628" s="90">
        <f>IFERROR(IF($D628="","",VLOOKUP($D628,Cadastro!$C$4:$G$7,5,FALSE())),"")</f>
        <v>0.6</v>
      </c>
      <c r="J628" s="91">
        <f t="shared" si="159"/>
        <v>0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0</v>
      </c>
      <c r="I629" s="90">
        <f>IFERROR(IF($D629="","",VLOOKUP($D629,Cadastro!$C$4:$G$7,5,FALSE())),"")</f>
        <v>0.6</v>
      </c>
      <c r="J629" s="91">
        <f t="shared" si="159"/>
        <v>0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0</v>
      </c>
      <c r="I630" s="90">
        <f>IFERROR(IF($D630="","",VLOOKUP($D630,Cadastro!$C$4:$G$7,5,FALSE())),"")</f>
        <v>0.6</v>
      </c>
      <c r="J630" s="91">
        <f t="shared" si="159"/>
        <v>0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0</v>
      </c>
      <c r="I631" s="90">
        <f>IFERROR(IF($D631="","",VLOOKUP($D631,Cadastro!$C$4:$G$7,5,FALSE())),"")</f>
        <v>0.6</v>
      </c>
      <c r="J631" s="91">
        <f t="shared" si="159"/>
        <v>0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0</v>
      </c>
      <c r="I632" s="90">
        <f>IFERROR(IF($D632="","",VLOOKUP($D632,Cadastro!$C$4:$G$7,5,FALSE())),"")</f>
        <v>0.6</v>
      </c>
      <c r="J632" s="91">
        <f t="shared" si="159"/>
        <v>0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/>
      <c r="H633" s="88" t="str">
        <f>IFERROR(IF($G633="","",$G633*$S$635/$G$635/Cadastro!$E$33),"")</f>
        <v/>
      </c>
      <c r="I633" s="90">
        <f>IFERROR(IF($D633="","",VLOOKUP($D633,Cadastro!$C$4:$G$7,5,FALSE())),"")</f>
        <v>0.6</v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/>
      <c r="H634" s="92" t="str">
        <f>IFERROR(IF($G634="","",$G634*$S$635/$G$635/Cadastro!$E$33),"")</f>
        <v/>
      </c>
      <c r="I634" s="93">
        <f>IFERROR(IF($D634="","",VLOOKUP($D634,Cadastro!$C$4:$G$7,5,FALSE())),"")</f>
        <v>0.6</v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0" t="s">
        <v>263</v>
      </c>
      <c r="B635" s="160"/>
      <c r="C635" s="160"/>
      <c r="D635" s="160"/>
      <c r="E635" s="160"/>
      <c r="F635" s="95"/>
      <c r="G635" s="96">
        <f>SUM(G623:G634)</f>
        <v>61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256.20000000000005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264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0" t="s">
        <v>266</v>
      </c>
      <c r="B648" s="160"/>
      <c r="C648" s="160"/>
      <c r="D648" s="160"/>
      <c r="E648" s="160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264</v>
      </c>
      <c r="S648" s="74"/>
      <c r="T648" s="99">
        <f>IFERROR(J648,"")</f>
        <v>0</v>
      </c>
    </row>
    <row r="649" spans="1:20" ht="18" customHeight="1">
      <c r="A649" s="159" t="s">
        <v>252</v>
      </c>
      <c r="B649" s="159"/>
      <c r="C649" s="159"/>
      <c r="D649" s="159"/>
      <c r="E649" s="159"/>
      <c r="F649" s="108"/>
      <c r="G649" s="109">
        <f>G635+G648</f>
        <v>61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256.20000000000005</v>
      </c>
      <c r="L649" s="76"/>
      <c r="M649" s="76"/>
      <c r="N649" s="76"/>
      <c r="O649" s="76"/>
      <c r="P649" s="76"/>
      <c r="Q649" s="77">
        <f ca="1">IFERROR(Q635+Q648,"")</f>
        <v>5.3472222222222199E-2</v>
      </c>
      <c r="R649" s="1" t="s">
        <v>267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0" t="s">
        <v>263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0" t="s">
        <v>266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59" t="s">
        <v>252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0" t="s">
        <v>263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0" t="s">
        <v>266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59" t="s">
        <v>252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0" t="s">
        <v>263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0" t="s">
        <v>266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59" t="s">
        <v>252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0" t="s">
        <v>263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0" t="s">
        <v>266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59" t="s">
        <v>252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0" t="s">
        <v>263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0" t="s">
        <v>266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59" t="s">
        <v>252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0" t="s">
        <v>263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0" t="s">
        <v>266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59" t="s">
        <v>252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0" t="s">
        <v>263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0" t="s">
        <v>266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59" t="s">
        <v>252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22" activePane="bottomLeft" state="frozen"/>
      <selection pane="bottomLeft" activeCell="G634" sqref="G634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0" t="s">
        <v>263</v>
      </c>
      <c r="B14" s="160"/>
      <c r="C14" s="160"/>
      <c r="D14" s="160"/>
      <c r="E14" s="160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264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277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315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277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277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0" t="s">
        <v>266</v>
      </c>
      <c r="B27" s="160"/>
      <c r="C27" s="160"/>
      <c r="D27" s="160"/>
      <c r="E27" s="160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264</v>
      </c>
      <c r="S27" s="74">
        <v>491520</v>
      </c>
      <c r="T27" s="99">
        <f>IFERROR(J27,"")</f>
        <v>0</v>
      </c>
    </row>
    <row r="28" spans="1:20" ht="18" customHeight="1">
      <c r="A28" s="159" t="s">
        <v>252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267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277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277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277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277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277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277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277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277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277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277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277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0" t="s">
        <v>263</v>
      </c>
      <c r="B41" s="160"/>
      <c r="C41" s="160"/>
      <c r="D41" s="160"/>
      <c r="E41" s="160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264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0" t="s">
        <v>266</v>
      </c>
      <c r="B54" s="160"/>
      <c r="C54" s="160"/>
      <c r="D54" s="160"/>
      <c r="E54" s="160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264</v>
      </c>
      <c r="S54" s="74">
        <v>352430</v>
      </c>
      <c r="T54" s="99">
        <f>IFERROR(J54,"")</f>
        <v>0</v>
      </c>
    </row>
    <row r="55" spans="1:20" ht="18" customHeight="1">
      <c r="A55" s="159" t="s">
        <v>252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267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0" t="s">
        <v>263</v>
      </c>
      <c r="B68" s="160"/>
      <c r="C68" s="160"/>
      <c r="D68" s="160"/>
      <c r="E68" s="160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264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233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0" t="s">
        <v>266</v>
      </c>
      <c r="B81" s="160"/>
      <c r="C81" s="160"/>
      <c r="D81" s="160"/>
      <c r="E81" s="160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264</v>
      </c>
      <c r="S81" s="74">
        <v>612410</v>
      </c>
      <c r="T81" s="99">
        <f>IFERROR(J81,"")</f>
        <v>0</v>
      </c>
    </row>
    <row r="82" spans="1:20" ht="18" customHeight="1">
      <c r="A82" s="159" t="s">
        <v>252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267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0" t="s">
        <v>263</v>
      </c>
      <c r="B95" s="160"/>
      <c r="C95" s="160"/>
      <c r="D95" s="160"/>
      <c r="E95" s="160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264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0" t="s">
        <v>266</v>
      </c>
      <c r="B108" s="160"/>
      <c r="C108" s="160"/>
      <c r="D108" s="160"/>
      <c r="E108" s="160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264</v>
      </c>
      <c r="S108" s="74">
        <v>956070</v>
      </c>
      <c r="T108" s="99">
        <f>IFERROR(J108,"")</f>
        <v>0</v>
      </c>
    </row>
    <row r="109" spans="1:20" ht="18" customHeight="1">
      <c r="A109" s="159" t="s">
        <v>252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267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233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238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238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0" t="s">
        <v>263</v>
      </c>
      <c r="B122" s="160"/>
      <c r="C122" s="160"/>
      <c r="D122" s="160"/>
      <c r="E122" s="160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264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318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0" t="s">
        <v>266</v>
      </c>
      <c r="B135" s="160"/>
      <c r="C135" s="160"/>
      <c r="D135" s="160"/>
      <c r="E135" s="160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264</v>
      </c>
      <c r="S135" s="74">
        <v>912240</v>
      </c>
      <c r="T135" s="99">
        <f>IFERROR(J135,"")</f>
        <v>0</v>
      </c>
    </row>
    <row r="136" spans="1:22" ht="18" customHeight="1">
      <c r="A136" s="159" t="s">
        <v>252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267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326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263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264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266</v>
      </c>
      <c r="B162" s="160"/>
      <c r="C162" s="160"/>
      <c r="D162" s="160"/>
      <c r="E162" s="160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264</v>
      </c>
      <c r="S162" s="74">
        <v>573230</v>
      </c>
      <c r="T162" s="99">
        <f>IFERROR(J162,"")</f>
        <v>0</v>
      </c>
    </row>
    <row r="163" spans="1:20" ht="18" customHeight="1">
      <c r="A163" s="159" t="s">
        <v>252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267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263</v>
      </c>
      <c r="B176" s="160"/>
      <c r="C176" s="160"/>
      <c r="D176" s="160"/>
      <c r="E176" s="160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264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266</v>
      </c>
      <c r="B189" s="160"/>
      <c r="C189" s="160"/>
      <c r="D189" s="160"/>
      <c r="E189" s="160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264</v>
      </c>
      <c r="S189" s="74">
        <v>692750</v>
      </c>
      <c r="T189" s="99">
        <f>IFERROR(J189,"")</f>
        <v>0</v>
      </c>
    </row>
    <row r="190" spans="1:20" ht="18" customHeight="1">
      <c r="A190" s="159" t="s">
        <v>252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267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263</v>
      </c>
      <c r="B203" s="160"/>
      <c r="C203" s="160"/>
      <c r="D203" s="160"/>
      <c r="E203" s="160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264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0" t="s">
        <v>266</v>
      </c>
      <c r="B216" s="160"/>
      <c r="C216" s="160"/>
      <c r="D216" s="160"/>
      <c r="E216" s="160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264</v>
      </c>
      <c r="S216" s="74">
        <v>607180</v>
      </c>
      <c r="T216" s="99">
        <f>IFERROR(J216,"")</f>
        <v>0</v>
      </c>
    </row>
    <row r="217" spans="1:20" ht="18" customHeight="1">
      <c r="A217" s="159" t="s">
        <v>252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267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0" t="s">
        <v>263</v>
      </c>
      <c r="B230" s="160"/>
      <c r="C230" s="160"/>
      <c r="D230" s="160"/>
      <c r="E230" s="160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264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0" t="s">
        <v>266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264</v>
      </c>
      <c r="S243" s="74">
        <v>795250</v>
      </c>
      <c r="T243" s="99">
        <f>IFERROR(J243,"")</f>
        <v>0</v>
      </c>
    </row>
    <row r="244" spans="1:20" ht="18" customHeight="1">
      <c r="A244" s="159" t="s">
        <v>252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267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 t="s">
        <v>287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0" t="s">
        <v>263</v>
      </c>
      <c r="B257" s="160"/>
      <c r="C257" s="160"/>
      <c r="D257" s="160"/>
      <c r="E257" s="160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264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277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277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277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277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277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277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277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277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277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277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277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277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0" t="s">
        <v>266</v>
      </c>
      <c r="B270" s="160"/>
      <c r="C270" s="160"/>
      <c r="D270" s="160"/>
      <c r="E270" s="160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264</v>
      </c>
      <c r="S270" s="74">
        <v>683360</v>
      </c>
      <c r="T270" s="99">
        <f>IFERROR(J270,"")</f>
        <v>0</v>
      </c>
    </row>
    <row r="271" spans="1:20" ht="18" customHeight="1">
      <c r="A271" s="159" t="s">
        <v>252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267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277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0" t="s">
        <v>263</v>
      </c>
      <c r="B284" s="160"/>
      <c r="C284" s="160"/>
      <c r="D284" s="160"/>
      <c r="E284" s="160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264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0" t="s">
        <v>266</v>
      </c>
      <c r="B297" s="160"/>
      <c r="C297" s="160"/>
      <c r="D297" s="160"/>
      <c r="E297" s="160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264</v>
      </c>
      <c r="S297" s="74">
        <v>904710</v>
      </c>
      <c r="T297" s="99">
        <f>IFERROR(J297,"")</f>
        <v>0</v>
      </c>
    </row>
    <row r="298" spans="1:20" ht="18" customHeight="1">
      <c r="A298" s="159" t="s">
        <v>252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267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0" t="s">
        <v>263</v>
      </c>
      <c r="B311" s="160"/>
      <c r="C311" s="160"/>
      <c r="D311" s="160"/>
      <c r="E311" s="160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264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0" t="s">
        <v>266</v>
      </c>
      <c r="B324" s="160"/>
      <c r="C324" s="160"/>
      <c r="D324" s="160"/>
      <c r="E324" s="160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264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252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267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277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0" t="s">
        <v>263</v>
      </c>
      <c r="B338" s="160"/>
      <c r="C338" s="160"/>
      <c r="D338" s="160"/>
      <c r="E338" s="160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264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0" t="s">
        <v>266</v>
      </c>
      <c r="B351" s="160"/>
      <c r="C351" s="160"/>
      <c r="D351" s="160"/>
      <c r="E351" s="160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264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252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267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263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264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0" t="s">
        <v>266</v>
      </c>
      <c r="B378" s="160"/>
      <c r="C378" s="160"/>
      <c r="D378" s="160"/>
      <c r="E378" s="160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264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252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267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277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340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0" t="s">
        <v>263</v>
      </c>
      <c r="B392" s="160"/>
      <c r="C392" s="160"/>
      <c r="D392" s="160"/>
      <c r="E392" s="160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264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233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0" t="s">
        <v>266</v>
      </c>
      <c r="B405" s="160"/>
      <c r="C405" s="160"/>
      <c r="D405" s="160"/>
      <c r="E405" s="160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264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252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267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240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0" t="s">
        <v>263</v>
      </c>
      <c r="B419" s="160"/>
      <c r="C419" s="160"/>
      <c r="D419" s="160"/>
      <c r="E419" s="160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264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0" t="s">
        <v>266</v>
      </c>
      <c r="B432" s="160"/>
      <c r="C432" s="160"/>
      <c r="D432" s="160"/>
      <c r="E432" s="160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264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252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267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277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0" t="s">
        <v>263</v>
      </c>
      <c r="B446" s="160"/>
      <c r="C446" s="160"/>
      <c r="D446" s="160"/>
      <c r="E446" s="160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264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0" t="s">
        <v>266</v>
      </c>
      <c r="B459" s="160"/>
      <c r="C459" s="160"/>
      <c r="D459" s="160"/>
      <c r="E459" s="160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264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252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267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0" t="s">
        <v>263</v>
      </c>
      <c r="B473" s="160"/>
      <c r="C473" s="160"/>
      <c r="D473" s="160"/>
      <c r="E473" s="160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264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0" t="s">
        <v>266</v>
      </c>
      <c r="B486" s="160"/>
      <c r="C486" s="160"/>
      <c r="D486" s="160"/>
      <c r="E486" s="160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264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252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267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0" t="s">
        <v>263</v>
      </c>
      <c r="B500" s="160"/>
      <c r="C500" s="160"/>
      <c r="D500" s="160"/>
      <c r="E500" s="160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264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277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0" t="s">
        <v>266</v>
      </c>
      <c r="B513" s="160"/>
      <c r="C513" s="160"/>
      <c r="D513" s="160"/>
      <c r="E513" s="160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264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252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267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0" t="s">
        <v>263</v>
      </c>
      <c r="B527" s="160"/>
      <c r="C527" s="160"/>
      <c r="D527" s="160"/>
      <c r="E527" s="160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264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262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277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0" t="s">
        <v>266</v>
      </c>
      <c r="B540" s="160"/>
      <c r="C540" s="160"/>
      <c r="D540" s="160"/>
      <c r="E540" s="160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264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252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267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420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421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0" t="s">
        <v>263</v>
      </c>
      <c r="B554" s="160"/>
      <c r="C554" s="160"/>
      <c r="D554" s="160"/>
      <c r="E554" s="160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264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422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423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424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425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426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427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410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60" t="s">
        <v>266</v>
      </c>
      <c r="B567" s="160"/>
      <c r="C567" s="160"/>
      <c r="D567" s="160"/>
      <c r="E567" s="160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264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252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267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411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428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0" t="s">
        <v>263</v>
      </c>
      <c r="B581" s="160"/>
      <c r="C581" s="160"/>
      <c r="D581" s="160"/>
      <c r="E581" s="160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264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429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430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376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0" t="s">
        <v>266</v>
      </c>
      <c r="B594" s="160"/>
      <c r="C594" s="160"/>
      <c r="D594" s="160"/>
      <c r="E594" s="160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264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252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267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431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0" t="s">
        <v>263</v>
      </c>
      <c r="B608" s="160"/>
      <c r="C608" s="160"/>
      <c r="D608" s="160"/>
      <c r="E608" s="160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264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376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410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432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427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60" t="s">
        <v>266</v>
      </c>
      <c r="B621" s="160"/>
      <c r="C621" s="160"/>
      <c r="D621" s="160"/>
      <c r="E621" s="160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264</v>
      </c>
      <c r="S621" s="74">
        <v>715660</v>
      </c>
      <c r="T621" s="99">
        <f>IFERROR(J621,"")</f>
        <v>143.63866194690266</v>
      </c>
    </row>
    <row r="622" spans="1:20" ht="18" customHeight="1">
      <c r="A622" s="159" t="s">
        <v>252</v>
      </c>
      <c r="B622" s="159"/>
      <c r="C622" s="159"/>
      <c r="D622" s="159"/>
      <c r="E622" s="159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267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0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0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0</v>
      </c>
      <c r="I624" s="90">
        <f>IFERROR(IF($D624="","",VLOOKUP($D624,Cadastro!$C$4:$G$7,5,FALSE())),"")</f>
        <v>0.6</v>
      </c>
      <c r="J624" s="91">
        <f t="shared" si="162"/>
        <v>0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433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0</v>
      </c>
      <c r="I625" s="90">
        <f>IFERROR(IF($D625="","",VLOOKUP($D625,Cadastro!$C$4:$G$7,5,FALSE())),"")</f>
        <v>0.6</v>
      </c>
      <c r="J625" s="91">
        <f t="shared" si="162"/>
        <v>0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0</v>
      </c>
      <c r="I626" s="90">
        <f>IFERROR(IF($D626="","",VLOOKUP($D626,Cadastro!$C$4:$G$7,5,FALSE())),"")</f>
        <v>0.6</v>
      </c>
      <c r="J626" s="91">
        <f t="shared" si="162"/>
        <v>0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0</v>
      </c>
      <c r="I627" s="90">
        <f>IFERROR(IF($D627="","",VLOOKUP($D627,Cadastro!$C$4:$G$7,5,FALSE())),"")</f>
        <v>0.6</v>
      </c>
      <c r="J627" s="91">
        <f t="shared" si="162"/>
        <v>0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0</v>
      </c>
      <c r="I628" s="90">
        <f>IFERROR(IF($D628="","",VLOOKUP($D628,Cadastro!$C$4:$G$7,5,FALSE())),"")</f>
        <v>0.6</v>
      </c>
      <c r="J628" s="91">
        <f t="shared" si="162"/>
        <v>0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0</v>
      </c>
      <c r="I629" s="90">
        <f>IFERROR(IF($D629="","",VLOOKUP($D629,Cadastro!$C$4:$G$7,5,FALSE())),"")</f>
        <v>0.6</v>
      </c>
      <c r="J629" s="91">
        <f t="shared" si="162"/>
        <v>0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0</v>
      </c>
      <c r="I630" s="90">
        <f>IFERROR(IF($D630="","",VLOOKUP($D630,Cadastro!$C$4:$G$7,5,FALSE())),"")</f>
        <v>0.6</v>
      </c>
      <c r="J630" s="91">
        <f t="shared" si="162"/>
        <v>0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0</v>
      </c>
      <c r="I631" s="90">
        <f>IFERROR(IF($D631="","",VLOOKUP($D631,Cadastro!$C$4:$G$7,5,FALSE())),"")</f>
        <v>0.6</v>
      </c>
      <c r="J631" s="91">
        <f t="shared" si="162"/>
        <v>0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0</v>
      </c>
      <c r="I632" s="90">
        <f>IFERROR(IF($D632="","",VLOOKUP($D632,Cadastro!$C$4:$G$7,5,FALSE())),"")</f>
        <v>0.6</v>
      </c>
      <c r="J632" s="91">
        <f t="shared" si="162"/>
        <v>0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0</v>
      </c>
      <c r="I633" s="90">
        <f>IFERROR(IF($D633="","",VLOOKUP($D633,Cadastro!$C$4:$G$7,5,FALSE())),"")</f>
        <v>0.6</v>
      </c>
      <c r="J633" s="91">
        <f t="shared" si="162"/>
        <v>0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/>
      <c r="H634" s="92" t="str">
        <f>IFERROR(IF($G634="","",$G634*$S$635/$G$635/Cadastro!$E$33),"")</f>
        <v/>
      </c>
      <c r="I634" s="93">
        <f>IFERROR(IF($D634="","",VLOOKUP($D634,Cadastro!$C$4:$G$7,5,FALSE())),"")</f>
        <v>0.6</v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0" t="s">
        <v>263</v>
      </c>
      <c r="B635" s="160"/>
      <c r="C635" s="160"/>
      <c r="D635" s="160"/>
      <c r="E635" s="160"/>
      <c r="F635" s="95"/>
      <c r="G635" s="96">
        <f>SUM(G623:G634)</f>
        <v>225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945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264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0" t="s">
        <v>266</v>
      </c>
      <c r="B648" s="160"/>
      <c r="C648" s="160"/>
      <c r="D648" s="160"/>
      <c r="E648" s="160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264</v>
      </c>
      <c r="S648" s="74"/>
      <c r="T648" s="99">
        <f>IFERROR(J648,"")</f>
        <v>0</v>
      </c>
    </row>
    <row r="649" spans="1:20" ht="18" customHeight="1">
      <c r="A649" s="159" t="s">
        <v>252</v>
      </c>
      <c r="B649" s="159"/>
      <c r="C649" s="159"/>
      <c r="D649" s="159"/>
      <c r="E649" s="159"/>
      <c r="F649" s="108"/>
      <c r="G649" s="109">
        <f>G635+G648</f>
        <v>225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945</v>
      </c>
      <c r="L649" s="76"/>
      <c r="M649" s="76"/>
      <c r="N649" s="76"/>
      <c r="O649" s="135"/>
      <c r="P649" s="135"/>
      <c r="Q649" s="77">
        <f ca="1">IFERROR(Q635+Q648,"")</f>
        <v>6.944444444444442E-2</v>
      </c>
      <c r="R649" s="1" t="s">
        <v>267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0" t="s">
        <v>263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0" t="s">
        <v>266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59" t="s">
        <v>252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0" t="s">
        <v>263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0" t="s">
        <v>266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59" t="s">
        <v>252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0" t="s">
        <v>263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0" t="s">
        <v>266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59" t="s">
        <v>252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0" t="s">
        <v>263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0" t="s">
        <v>266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59" t="s">
        <v>252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0" t="s">
        <v>263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0" t="s">
        <v>266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59" t="s">
        <v>252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0" t="s">
        <v>263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0" t="s">
        <v>266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59" t="s">
        <v>252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0" t="s">
        <v>263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0" t="s">
        <v>266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59" t="s">
        <v>252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267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2026-08-24T21:59:25Z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