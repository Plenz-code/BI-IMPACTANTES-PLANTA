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593" documentId="13_ncr:1_{9DFDFEE8-78F7-4C04-B87C-99924EE6CC37}" xr6:coauthVersionLast="47" xr6:coauthVersionMax="47" xr10:uidLastSave="{BADDFF54-AD28-4605-BC20-74FA118E6BA8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<sst xmlns="http://schemas.openxmlformats.org/spreadsheetml/2006/main" count="8871" uniqueCount="2873">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</sst>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0" sqref="F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40</v>
      </c>
      <c r="G81" s="2">
        <f>SUM(G69:G80)</f>
        <v>200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429</v>
      </c>
      <c r="G82" s="1">
        <f>G68+G81</f>
        <v>2121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N69" sqref="N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 t="s">
        <v>29</v>
      </c>
      <c r="M69" s="85" t="s">
        <v>157</v>
      </c>
      <c r="N69" s="76" t="s">
        <v>100</v>
      </c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/>
      <c r="H70" s="107" t="str">
        <f>IFERROR(IF($G70="","",$G70*$S$81/$G$81/Cadastro!$E$33),"")</f>
        <v/>
      </c>
      <c r="I70" s="109">
        <f>IFERROR(IF($D70="","",VLOOKUP($D70,Cadastro!$C$4:$G$20,5,FALSE())),"")</f>
        <v>0.6</v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22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92.4</v>
      </c>
      <c r="L81" s="87"/>
      <c r="M81" s="87"/>
      <c r="N81" s="87"/>
      <c r="O81" s="87"/>
      <c r="P81" s="87"/>
      <c r="Q81" s="88">
        <f ca="1">IFERROR(SUM(Q69:Q80),"")</f>
        <v>1.3888888888888951E-2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194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814.8</v>
      </c>
      <c r="L82" s="91"/>
      <c r="M82" s="91"/>
      <c r="N82" s="91"/>
      <c r="O82" s="91"/>
      <c r="P82" s="91"/>
      <c r="Q82" s="92">
        <f ca="1">IFERROR(Q68+Q81,"")</f>
        <v>7.8472222222222388E-2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E80" sqref="E8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19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79.8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145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609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3" activePane="bottomLeft" state="frozen"/>
      <selection pane="bottomLeft" activeCell="D80" sqref="D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/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/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/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/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/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/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/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/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/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/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/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24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71.400000000000006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221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898.8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2026-09-04T01:00:36Z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