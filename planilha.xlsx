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694" documentId="8_{AF585B22-221D-4780-BB9C-493D365A6A02}" xr6:coauthVersionLast="47" xr6:coauthVersionMax="47" xr10:uidLastSave="{D9D09219-E5F4-4313-9190-067BB7316628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<sst xmlns="http://schemas.openxmlformats.org/spreadsheetml/2006/main" count="3580" uniqueCount="262">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</sst>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70" activePane="bottomLeft" state="frozen"/>
      <selection pane="bottomLeft" activeCell="F196" sqref="F19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>
        <v>14</v>
      </c>
      <c r="G191" s="34">
        <f t="shared" ref="G191:G202" si="42">IF(F191="","",IF(E191="PC 17",F191*4.2,IF(E191="PC 19",F191*5,"")))</f>
        <v>70</v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>
        <v>35</v>
      </c>
      <c r="G192" s="28">
        <f t="shared" si="42"/>
        <v>175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124</v>
      </c>
      <c r="G203" s="36">
        <f>SUM(G191:G202)</f>
        <v>620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124</v>
      </c>
      <c r="G217" s="40">
        <f>G203+G216</f>
        <v>620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70" activePane="bottomLeft" state="frozen"/>
      <selection pane="bottomLeft" activeCell="F196" sqref="F1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130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163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2</v>
      </c>
      <c r="G193" s="34">
        <f t="shared" si="42"/>
        <v>8.4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>
        <v>0</v>
      </c>
      <c r="G194" s="28">
        <f t="shared" si="42"/>
        <v>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16</v>
      </c>
      <c r="G203" s="36">
        <f>SUM(G191:G202)</f>
        <v>67.2</v>
      </c>
      <c r="H203" s="37"/>
      <c r="I203" s="37"/>
      <c r="J203" s="37"/>
      <c r="K203" s="37"/>
      <c r="L203" s="37"/>
      <c r="M203" s="38">
        <f ca="1">IFERROR(SUM(M191:M202),"")</f>
        <v>0.12152777777777785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16</v>
      </c>
      <c r="G217" s="40">
        <f>G203+G216</f>
        <v>67.2</v>
      </c>
      <c r="H217" s="41"/>
      <c r="I217" s="41"/>
      <c r="J217" s="41"/>
      <c r="K217" s="41"/>
      <c r="L217" s="41"/>
      <c r="M217" s="42">
        <f ca="1">IFERROR(M203+M216,"")</f>
        <v>0.12152777777777785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F196" sqref="F19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249</v>
      </c>
      <c r="L58" s="29">
        <v>0.54097222222222219</v>
      </c>
      <c r="M58" s="30" t="str">
        <f t="shared" ca="1" si="13"/>
        <v/>
      </c>
      <c r="N58" s="27" t="s">
        <v>250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0.24997615740721812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0.44928171296277375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0.81664282407388478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135</v>
      </c>
      <c r="J191" s="33" t="s">
        <v>122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15</v>
      </c>
      <c r="G192" s="28">
        <f t="shared" si="42"/>
        <v>63</v>
      </c>
      <c r="H192" s="26" t="s">
        <v>19</v>
      </c>
      <c r="I192" s="26" t="s">
        <v>154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15</v>
      </c>
      <c r="G193" s="34">
        <f t="shared" si="42"/>
        <v>63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>
        <v>15</v>
      </c>
      <c r="G194" s="28">
        <f t="shared" si="42"/>
        <v>63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85</v>
      </c>
      <c r="G203" s="36">
        <f>SUM(G191:G202)</f>
        <v>357</v>
      </c>
      <c r="H203" s="37"/>
      <c r="I203" s="37"/>
      <c r="J203" s="37"/>
      <c r="K203" s="61"/>
      <c r="L203" s="61"/>
      <c r="M203" s="38">
        <f ca="1">IFERROR(SUM(M191:M202),"")</f>
        <v>2.5694444444444464E-2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85</v>
      </c>
      <c r="G217" s="40">
        <f>G203+G216</f>
        <v>357</v>
      </c>
      <c r="H217" s="41"/>
      <c r="I217" s="41"/>
      <c r="J217" s="41"/>
      <c r="K217" s="63"/>
      <c r="L217" s="63"/>
      <c r="M217" s="42">
        <f ca="1">IFERROR(M203+M216,"")</f>
        <v>2.5694444444444464E-2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2026-07-08T15:59:15Z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