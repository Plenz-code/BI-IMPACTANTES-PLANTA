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759" documentId="8_{AF585B22-221D-4780-BB9C-493D365A6A02}" xr6:coauthVersionLast="47" xr6:coauthVersionMax="47" xr10:uidLastSave="{B1CD5579-038E-4C13-B8F3-F931A33F265C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<sst xmlns="http://schemas.openxmlformats.org/spreadsheetml/2006/main" count="6060" uniqueCount="314">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</sst>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F16" sqref="F1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2064210</v>
      </c>
      <c r="D17" s="11">
        <f>IFERROR('Linha 1'!O379,"")</f>
        <v>808550</v>
      </c>
      <c r="E17" s="11">
        <f>IFERROR('Linha 2'!O379,"")</f>
        <v>29130</v>
      </c>
      <c r="F17" s="11">
        <f>IFERROR('Linha 3'!O379,"")</f>
        <v>597930</v>
      </c>
      <c r="G17" s="12">
        <f t="shared" si="0"/>
        <v>1435610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41054312</v>
      </c>
      <c r="D35" s="13">
        <f>IFERROR(SUM(D4:D34),"")</f>
        <v>15234220</v>
      </c>
      <c r="E35" s="13">
        <f>IFERROR(SUM(E4:E34),"")</f>
        <v>9826580</v>
      </c>
      <c r="F35" s="13">
        <f>IFERROR(SUM(F4:F34),"")</f>
        <v>18712570</v>
      </c>
      <c r="G35" s="13">
        <f>IFERROR(SUM(G4:G34),"")</f>
        <v>43773370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64" activePane="bottomLeft" state="frozen"/>
      <selection pane="bottomLeft" activeCell="K366" sqref="K36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>
        <v>0.8125</v>
      </c>
      <c r="L366" s="29"/>
      <c r="M366" s="30">
        <f t="shared" ref="M366:M377" ca="1" si="82">IFERROR(IF(K366="","",IF(L366="",MOD(NOW()-K366,1),IF(L366&gt;=K366,L366-K366,L366+1-K366))),"")</f>
        <v>2.8049652777554002E-2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2.8049652777554002E-2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275</v>
      </c>
      <c r="G379" s="40">
        <f>G365+G378</f>
        <v>1375</v>
      </c>
      <c r="H379" s="41"/>
      <c r="I379" s="41"/>
      <c r="J379" s="41"/>
      <c r="K379" s="41"/>
      <c r="L379" s="41"/>
      <c r="M379" s="42">
        <f ca="1">IFERROR(M365+M378,"")</f>
        <v>0.11902187499977612</v>
      </c>
      <c r="N379" s="40" t="s">
        <v>222</v>
      </c>
      <c r="O379" s="48">
        <f>IFERROR(O365+O378,"")</f>
        <v>2064210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64" activePane="bottomLeft" state="frozen"/>
      <selection pane="bottomLeft" activeCell="E372" sqref="E37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87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16</v>
      </c>
      <c r="G378" s="36">
        <f>SUM(G366:G377)</f>
        <v>67.2</v>
      </c>
      <c r="H378" s="37"/>
      <c r="I378" s="37"/>
      <c r="J378" s="37"/>
      <c r="K378" s="37"/>
      <c r="L378" s="37"/>
      <c r="M378" s="38">
        <f ca="1">IFERROR(SUM(M366:M377),"")</f>
        <v>1.388888888888884E-3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174</v>
      </c>
      <c r="G379" s="40">
        <f>G365+G378</f>
        <v>730.80000000000007</v>
      </c>
      <c r="H379" s="41"/>
      <c r="I379" s="41"/>
      <c r="J379" s="41"/>
      <c r="K379" s="41"/>
      <c r="L379" s="41"/>
      <c r="M379" s="42">
        <f ca="1">IFERROR(M365+M378,"")</f>
        <v>0.11111111111111105</v>
      </c>
      <c r="N379" s="40" t="s">
        <v>222</v>
      </c>
      <c r="O379" s="84">
        <f>IFERROR(O365+O378,"")</f>
        <v>808550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58" zoomScale="50" zoomScaleNormal="50" workbookViewId="0">
      <selection activeCell="E377" sqref="E37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12</v>
      </c>
      <c r="G378" s="36">
        <f>SUM(G366:G377)</f>
        <v>50.400000000000006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21</v>
      </c>
      <c r="G379" s="40">
        <f>G365+G378</f>
        <v>88.200000000000017</v>
      </c>
      <c r="H379" s="41"/>
      <c r="I379" s="41"/>
      <c r="J379" s="41"/>
      <c r="K379" s="41"/>
      <c r="L379" s="41"/>
      <c r="M379" s="42">
        <f ca="1">IFERROR(M365+M378,"")</f>
        <v>0.43124999999999997</v>
      </c>
      <c r="N379" s="40" t="s">
        <v>222</v>
      </c>
      <c r="O379" s="48">
        <f>IFERROR(O365+O378,"")</f>
        <v>29130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58" activePane="bottomLeft" state="frozen"/>
      <selection pane="bottomLeft" activeCell="J366" sqref="J36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0.59124409722426208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0.7905496527798177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1.1579107638909287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/>
      <c r="F366" s="27">
        <v>20</v>
      </c>
      <c r="G366" s="28" t="str">
        <f t="shared" ref="G366:G377" si="81">IF(F366="","",IF(E366="PC 17",F366*4.2,IF(E366="PC 19",F366*5,"")))</f>
        <v/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/>
      <c r="M366" s="30">
        <f t="shared" ref="M366:M377" ca="1" si="82">IFERROR(IF(K366="","",IF(L366="",MOD(NOW()-K366,1),IF(L366&gt;=K366,L366-K366,L366+1-K366))),"")</f>
        <v>1.6607638899586163E-3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46</v>
      </c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46</v>
      </c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46</v>
      </c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46</v>
      </c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46</v>
      </c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46</v>
      </c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46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46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46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20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1.6607638899586163E-3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145</v>
      </c>
      <c r="G379" s="40">
        <f>G365+G378</f>
        <v>525</v>
      </c>
      <c r="H379" s="41"/>
      <c r="I379" s="41"/>
      <c r="J379" s="41"/>
      <c r="K379" s="63"/>
      <c r="L379" s="63"/>
      <c r="M379" s="42">
        <f ca="1">IFERROR(M365+M378,"")</f>
        <v>0.1065218750010698</v>
      </c>
      <c r="N379" s="40" t="s">
        <v>222</v>
      </c>
      <c r="O379" s="48">
        <f>IFERROR(O365+O378,"")</f>
        <v>597930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2026-07-15T00:10:44Z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