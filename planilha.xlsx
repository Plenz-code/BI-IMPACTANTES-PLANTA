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645" documentId="13_ncr:1_{0A10D8D4-8450-4366-8075-B53B08E6B7EA}" xr6:coauthVersionLast="47" xr6:coauthVersionMax="47" xr10:uidLastSave="{B09FEBFF-9737-438F-99D2-C9628BC30EBB}"/>
  <bookViews>
    <workbookView xWindow="-28920" yWindow="-6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6" i="6"/>
  <c r="J386" i="6" s="1"/>
  <c r="H387" i="6"/>
  <c r="J387" i="6" s="1"/>
  <c r="H388" i="6"/>
  <c r="J388" i="6" s="1"/>
  <c r="H389" i="6"/>
  <c r="J389" i="6" s="1"/>
  <c r="H390" i="6"/>
  <c r="J390" i="6" s="1"/>
  <c r="H391" i="6"/>
  <c r="J39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6" i="5"/>
  <c r="J386" i="5" s="1"/>
  <c r="H387" i="5"/>
  <c r="J387" i="5" s="1"/>
  <c r="H388" i="5"/>
  <c r="J388" i="5" s="1"/>
  <c r="H389" i="5"/>
  <c r="J389" i="5" s="1"/>
  <c r="H390" i="5"/>
  <c r="J390" i="5" s="1"/>
  <c r="H391" i="5"/>
  <c r="J39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6" i="4"/>
  <c r="J386" i="4" s="1"/>
  <c r="H387" i="4"/>
  <c r="J387" i="4" s="1"/>
  <c r="H388" i="4"/>
  <c r="J388" i="4" s="1"/>
  <c r="H389" i="4"/>
  <c r="J389" i="4" s="1"/>
  <c r="H390" i="4"/>
  <c r="J390" i="4" s="1"/>
  <c r="H391" i="4"/>
  <c r="J39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T405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85" i="6" s="1"/>
  <c r="J385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84" i="5" l="1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<sst xmlns="http://schemas.openxmlformats.org/spreadsheetml/2006/main" count="6737" uniqueCount="349">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</sst>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40" sqref="F40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16.285156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51288900</v>
      </c>
      <c r="D35" s="13">
        <f t="shared" si="2"/>
        <v>16653160</v>
      </c>
      <c r="E35" s="13">
        <f t="shared" si="2"/>
        <v>8465690</v>
      </c>
      <c r="F35" s="13">
        <f t="shared" si="2"/>
        <v>21843810</v>
      </c>
      <c r="G35" s="13">
        <f t="shared" si="2"/>
        <v>46962660</v>
      </c>
      <c r="H35" s="97">
        <f t="shared" si="2"/>
        <v>2353.6180215403101</v>
      </c>
      <c r="I35" s="97">
        <f>IFERROR(SUM(I4:I34),"")</f>
        <v>1557.8</v>
      </c>
      <c r="J35" s="130">
        <f>IFERROR(AVERAGE(J4:J34),"-")</f>
        <v>0.63436078708106625</v>
      </c>
      <c r="K35" s="157">
        <f>SUM(K4:K34)</f>
        <v>450.78</v>
      </c>
    </row>
  </sheetData>
  <sheetProtection algorithmName="SHA-512" hashValue="DtnU+LQrGD+BPOoeLpOmpXFPEIbdLh7ekyVkpmLJDrgyn+lbNSI9LzZ5/MFrI0390WqDhlu/mGfH5+hTx5yFzw==" saltValue="LYIs+5X94fEYBJVMCU/i9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63" activePane="bottomLeft" state="frozen"/>
      <selection pane="bottomLeft" activeCell="F386" sqref="F386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243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76">
        <f>SUM(E380:E391)</f>
        <v>0</v>
      </c>
      <c r="F392" s="36">
        <f>SUM(F380:F391)</f>
        <v>61</v>
      </c>
      <c r="G392" s="36">
        <f>SUM(G380:G391)</f>
        <v>320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5">
        <f>E392+E405</f>
        <v>0</v>
      </c>
      <c r="F406" s="40">
        <f>F392+F405</f>
        <v>61</v>
      </c>
      <c r="G406" s="40">
        <f>G392+G405</f>
        <v>320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248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2" t="s">
        <v>247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G386" sqref="G38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0.43534502314287238</v>
      </c>
      <c r="R53" s="46" t="s">
        <v>278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0.57423391203176122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0.65895613425398358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280</v>
      </c>
      <c r="Q96" s="30" t="str">
        <f t="shared" ref="Q96:Q107" ca="1" si="22">IFERROR(IF(O96="","",IF(P96="",MOD(NOW()-O96,1),IF(P96&gt;=O96,P96-O96,P96+1-O96))),"")</f>
        <v/>
      </c>
      <c r="R96" s="46" t="s">
        <v>281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243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279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0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90"/>
        <v>0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90"/>
        <v>0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90"/>
        <v>0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90"/>
        <v>0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0</v>
      </c>
      <c r="I385" s="135">
        <f>IFERROR(IF($D385="","",VLOOKUP($D385,Cadastro!$C$4:$G$7,5,FALSE)),"")</f>
        <v>0.6</v>
      </c>
      <c r="J385" s="136">
        <f t="shared" si="90"/>
        <v>0</v>
      </c>
      <c r="K385" s="34">
        <f t="shared" si="91"/>
        <v>67.2</v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85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357.00000000000006</v>
      </c>
      <c r="L392" s="37"/>
      <c r="M392" s="37"/>
      <c r="N392" s="37"/>
      <c r="O392" s="37"/>
      <c r="P392" s="37"/>
      <c r="Q392" s="38">
        <f ca="1">IFERROR(SUM(Q380:Q391),"")</f>
        <v>4.5833333333333282E-2</v>
      </c>
      <c r="R392" s="36" t="s">
        <v>244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85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357.00000000000006</v>
      </c>
      <c r="L406" s="41"/>
      <c r="M406" s="41"/>
      <c r="N406" s="41"/>
      <c r="O406" s="41"/>
      <c r="P406" s="41"/>
      <c r="Q406" s="42">
        <f ca="1">IFERROR(Q392+Q405,"")</f>
        <v>4.5833333333333282E-2</v>
      </c>
      <c r="R406" s="40" t="s">
        <v>248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50" activePane="bottomLeft" state="frozen"/>
      <selection pane="bottomLeft" activeCell="R384" sqref="R38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279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0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88"/>
        <v>0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88"/>
        <v>0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88"/>
        <v>0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318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0</v>
      </c>
      <c r="I385" s="135">
        <f>IFERROR(IF($D385="","",VLOOKUP($D385,Cadastro!$C$4:$G$7,5,FALSE)),"")</f>
        <v>0.6</v>
      </c>
      <c r="J385" s="136">
        <f t="shared" si="88"/>
        <v>0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42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147</v>
      </c>
      <c r="L392" s="37"/>
      <c r="M392" s="37"/>
      <c r="N392" s="37"/>
      <c r="O392" s="37"/>
      <c r="P392" s="37"/>
      <c r="Q392" s="38">
        <f ca="1">IFERROR(SUM(Q380:Q391),"")</f>
        <v>4.7222222222222276E-2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42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147</v>
      </c>
      <c r="L406" s="41"/>
      <c r="M406" s="41"/>
      <c r="N406" s="41"/>
      <c r="O406" s="41"/>
      <c r="P406" s="41"/>
      <c r="Q406" s="42">
        <f ca="1">IFERROR(Q392+Q405,"")</f>
        <v>4.7222222222222276E-2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51" activePane="bottomLeft" state="frozen"/>
      <selection pane="bottomLeft" activeCell="G386" sqref="G386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279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0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90"/>
        <v>0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90"/>
        <v>0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90"/>
        <v>0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/>
      <c r="Q383" s="35">
        <f t="shared" ca="1" si="92"/>
        <v>6.2280092242872342E-4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90"/>
        <v>0</v>
      </c>
      <c r="K384" s="28">
        <f t="shared" si="91"/>
        <v>42</v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0</v>
      </c>
      <c r="I385" s="135">
        <f>IFERROR(IF($D385="","",VLOOKUP($D385,Cadastro!$C$4:$G$7,5,FALSE)),"")</f>
        <v>0.6</v>
      </c>
      <c r="J385" s="136">
        <f t="shared" si="90"/>
        <v>0</v>
      </c>
      <c r="K385" s="34">
        <f t="shared" si="91"/>
        <v>71.400000000000006</v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88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369.6</v>
      </c>
      <c r="L392" s="37"/>
      <c r="M392" s="37"/>
      <c r="N392" s="37"/>
      <c r="O392" s="61"/>
      <c r="P392" s="61"/>
      <c r="Q392" s="38">
        <f ca="1">IFERROR(SUM(Q380:Q391),"")</f>
        <v>2.2845023144650922E-2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88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369.6</v>
      </c>
      <c r="L406" s="41"/>
      <c r="M406" s="41"/>
      <c r="N406" s="41"/>
      <c r="O406" s="63"/>
      <c r="P406" s="63"/>
      <c r="Q406" s="42">
        <f ca="1">IFERROR(Q392+Q405,"")</f>
        <v>2.2845023144650922E-2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2026-08-15T17:21:54Z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