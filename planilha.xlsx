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198" documentId="8_{AF585B22-221D-4780-BB9C-493D365A6A02}" xr6:coauthVersionLast="47" xr6:coauthVersionMax="47" xr10:uidLastSave="{6C86E581-B8E9-43BF-8B9F-F8FD0C11378A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<sst xmlns="http://schemas.openxmlformats.org/spreadsheetml/2006/main" count="9666" uniqueCount="384">
  <si>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</si>
  <si>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</si>
  <si>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</si>
  <si>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</si>
  <si>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</si>
  <si>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</si>
  <si>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</si>
  <si>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</si>
  <si>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</si>
  <si>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</si>
  <si>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</si>
  <si>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</si>
  <si>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</si>
  <si>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</si>
  <si>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</si>
  <si>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</si>
  <si>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</si>
  <si>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</si>
  <si>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</si>
  <si>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</si>
  <si>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</si>
  <si>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</si>
  <si>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</si>
  <si>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</si>
  <si>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</si>
  <si>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</si>
  <si>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</si>
  <si>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</si>
  <si>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</si>
  <si>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</si>
  <si>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</si>
  <si>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</si>
  <si>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</si>
  <si>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</si>
  <si>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</si>
  <si>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</si>
  <si>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</si>
  <si>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</si>
  <si>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</si>
  <si>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</si>
  <si>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</si>
  <si>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</si>
  <si>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</si>
  <si>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</si>
  <si>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</si>
  <si>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</si>
  <si>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</si>
  <si>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</si>
  <si>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</si>
  <si>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</si>
  <si>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</si>
  <si>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</si>
  <si>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</si>
  <si>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</si>
  <si>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</si>
  <si>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</si>
  <si>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</si>
  <si>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</si>
  <si>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</si>
  <si>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</si>
  <si>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</si>
  <si>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</si>
  <si>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</si>
  <si>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</si>
  <si>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</si>
  <si>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</si>
  <si>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</si>
  <si>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</si>
  <si>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</si>
  <si>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</si>
  <si>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</si>
  <si>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</si>
  <si>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</si>
  <si>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</si>
  <si>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</si>
  <si>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</si>
  <si>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</si>
  <si>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</si>
  <si>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</si>
  <si>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</si>
  <si>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</si>
  <si>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</si>
  <si>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</si>
  <si>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</si>
  <si>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</si>
  <si>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</si>
  <si>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</si>
  <si>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</si>
  <si>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</si>
  <si>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</si>
  <si>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</si>
  <si>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</si>
  <si>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</si>
  <si>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</si>
  <si>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</si>
  <si>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</si>
  <si>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</si>
  <si>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</si>
  <si>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</si>
  <si>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</si>
  <si>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</si>
  <si>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</si>
  <si>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</si>
  <si>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</si>
  <si>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</si>
  <si>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</si>
  <si>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</si>
  <si>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</si>
  <si>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</si>
  <si>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</si>
  <si>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</si>
  <si>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</si>
  <si>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</si>
  <si>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</si>
  <si>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</si>
  <si>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</si>
  <si>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</si>
  <si>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</si>
  <si>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</si>
  <si>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</si>
  <si>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</si>
  <si>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</si>
  <si>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</si>
  <si>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</si>
  <si>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</si>
  <si>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</si>
  <si>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</si>
  <si>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</si>
  <si>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</si>
  <si>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</si>
  <si>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</si>
  <si>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</si>
  <si>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</si>
  <si>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</si>
  <si>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</si>
  <si>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</si>
  <si>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</si>
  <si>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</si>
  <si>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</si>
  <si>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</si>
  <si>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</si>
  <si>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</si>
  <si>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</si>
  <si>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</si>
  <si>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</si>
  <si>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</si>
  <si>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</si>
  <si>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</si>
  <si>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</si>
  <si>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</si>
  <si>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</si>
  <si>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</si>
  <si>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</si>
  <si>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</si>
  <si>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</si>
  <si>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</si>
  <si>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</si>
  <si>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</si>
  <si>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</si>
  <si>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</si>
  <si>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</si>
  <si>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</si>
  <si>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</si>
  <si>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</si>
  <si>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</si>
  <si>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</si>
  <si>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</si>
  <si>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</si>
  <si>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</si>
  <si>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</si>
  <si>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</si>
  <si>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</si>
  <si>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</si>
  <si>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</si>
  <si>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</si>
  <si>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</si>
  <si>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</si>
  <si>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</si>
  <si>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</si>
  <si>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</si>
  <si>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</si>
  <si>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</si>
  <si>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</si>
  <si>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</si>
  <si>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</si>
  <si>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</si>
  <si>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</si>
  <si>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</si>
  <si>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</si>
  <si>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</si>
  <si>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</si>
  <si>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</si>
  <si>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</si>
  <si>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</si>
  <si>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</si>
  <si>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</si>
  <si>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</si>
  <si>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</si>
  <si>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</si>
  <si>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</si>
  <si>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</si>
  <si>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</si>
  <si>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</si>
  <si>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</si>
  <si>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</si>
  <si>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</si>
  <si>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</si>
  <si>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</si>
  <si>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</si>
  <si>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</si>
  <si>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</si>
  <si>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</si>
  <si>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</si>
  <si>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</si>
  <si>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</si>
  <si>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</si>
  <si>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</si>
  <si>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</si>
  <si>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</si>
  <si>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</si>
  <si>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</si>
  <si>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</si>
  <si>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</si>
  <si>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</si>
  <si>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</si>
  <si>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</si>
  <si>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</si>
  <si>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</si>
  <si>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</si>
  <si>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</si>
  <si>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</si>
  <si>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</si>
  <si>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</si>
  <si>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</si>
  <si>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</si>
  <si>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</si>
  <si>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</si>
  <si>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</si>
  <si>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</si>
  <si>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</si>
  <si>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</si>
  <si>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</si>
  <si>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</si>
  <si>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</si>
  <si>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</si>
  <si>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</si>
  <si>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</si>
  <si>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</si>
  <si>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</si>
  <si>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</si>
  <si>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</si>
  <si>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</si>
  <si>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</si>
  <si>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</si>
  <si>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</si>
  <si>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</si>
  <si>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</si>
  <si>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</si>
  <si>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</si>
  <si>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</si>
  <si>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</si>
  <si>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</si>
  <si>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</si>
  <si>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</si>
  <si>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</si>
  <si>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</si>
  <si>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</si>
  <si>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</si>
  <si>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</si>
  <si>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</si>
  <si>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</si>
  <si>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</si>
  <si>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</si>
  <si>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</si>
  <si>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</si>
  <si>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</si>
  <si>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</si>
  <si>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</si>
  <si>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</si>
  <si>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</si>
  <si>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</si>
  <si>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</si>
  <si>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</si>
  <si>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</si>
  <si>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</si>
  <si>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</si>
  <si>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</si>
  <si>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</si>
  <si>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</si>
  <si>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</si>
  <si>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</si>
  <si>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</si>
  <si>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</si>
  <si>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</si>
  <si>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</si>
  <si>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</si>
  <si>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</si>
  <si>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</si>
  <si>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</si>
  <si>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</si>
  <si>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</si>
  <si>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</si>
  <si>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</si>
  <si>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</si>
  <si>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</si>
  <si>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</si>
  <si>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</si>
  <si>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</si>
  <si>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</si>
  <si>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</si>
  <si>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</si>
  <si>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</si>
  <si>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</si>
  <si>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</si>
  <si>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</si>
  <si>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</si>
  <si>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</si>
  <si>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</si>
  <si>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</si>
  <si>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</si>
  <si>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</si>
  <si>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</si>
  <si>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</si>
  <si>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</si>
  <si>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</si>
  <si>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</si>
  <si>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</si>
  <si>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</si>
  <si>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</si>
  <si>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</si>
  <si>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</si>
  <si>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</si>
  <si>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</si>
  <si>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</si>
  <si>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</si>
  <si>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</si>
  <si>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</si>
  <si>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</si>
  <si>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</si>
  <si>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</si>
  <si>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</si>
  <si>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</si>
  <si>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</si>
  <si>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</si>
  <si>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</si>
  <si>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</si>
  <si>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</si>
  <si>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</si>
  <si>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</si>
  <si>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</si>
  <si>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</si>
  <si>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</si>
  <si>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</si>
  <si>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</si>
  <si>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</si>
  <si>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</si>
  <si>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</si>
  <si>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</si>
  <si>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</si>
  <si>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</si>
  <si>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</si>
  <si>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</si>
  <si>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</si>
  <si>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</si>
  <si>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</si>
  <si>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</si>
  <si>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</si>
  <si>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</si>
  <si>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</si>
  <si>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</si>
  <si>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</si>
  <si>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</si>
  <si>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</si>
  <si>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</si>
  <si>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</si>
  <si>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</si>
  <si>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</si>
  <si>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</si>
  <si>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</si>
  <si>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</si>
  <si>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</si>
  <si>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</si>
  <si>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</si>
  <si>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entiqueta de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</si>
</sst>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F632" sqref="F6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281</v>
      </c>
      <c r="G635" s="36">
        <f>SUM(G623:G634)</f>
        <v>1405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281</v>
      </c>
      <c r="G649" s="40">
        <f>G635+G648</f>
        <v>1405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13" activePane="bottomLeft" state="frozen"/>
      <selection pane="bottomLeft" activeCell="F631" sqref="F6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0.43587187500088476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0.59351076388977364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0.70323298611199581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0.41434409722569399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0.58517743055902738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0.73031631944791631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ref="M625:M634" ca="1" si="140">IFERROR(IF(K625="","",IF(L625="",MOD(NOW()-K625,1),IF(L625&gt;=K625,L625-K625,L625+1-K625))),"")</f>
        <v/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64</v>
      </c>
      <c r="G635" s="36">
        <f>SUM(G623:G634)</f>
        <v>268.79999999999995</v>
      </c>
      <c r="H635" s="37"/>
      <c r="I635" s="37"/>
      <c r="J635" s="37"/>
      <c r="K635" s="37"/>
      <c r="L635" s="37"/>
      <c r="M635" s="38">
        <f ca="1">IFERROR(SUM(M623:M634),"")</f>
        <v>0.95833333333333315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</v>
      </c>
      <c r="G649" s="40">
        <f>G635+G648</f>
        <v>268.79999999999995</v>
      </c>
      <c r="H649" s="41"/>
      <c r="I649" s="41"/>
      <c r="J649" s="41"/>
      <c r="K649" s="41"/>
      <c r="L649" s="41"/>
      <c r="M649" s="42">
        <f ca="1">IFERROR(M635+M648,"")</f>
        <v>0.95833333333333315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31" sqref="F6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112</v>
      </c>
      <c r="G635" s="36">
        <f>SUM(G623:G634)</f>
        <v>470.40000000000003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112</v>
      </c>
      <c r="G649" s="40">
        <f>G635+G648</f>
        <v>470.40000000000003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07" activePane="bottomLeft" state="frozen"/>
      <selection pane="bottomLeft" activeCell="I630" sqref="I6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0.42614965278335148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0.62545520833890711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0.99281631945001814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/>
      <c r="I627" s="33"/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83</v>
      </c>
      <c r="G635" s="36">
        <f>SUM(G623:G634)</f>
        <v>348.6</v>
      </c>
      <c r="H635" s="37"/>
      <c r="I635" s="37"/>
      <c r="J635" s="37"/>
      <c r="K635" s="61"/>
      <c r="L635" s="61"/>
      <c r="M635" s="38">
        <f ca="1">IFERROR(SUM(M623:M634),"")</f>
        <v>7.2916666666666796E-2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83</v>
      </c>
      <c r="G649" s="40">
        <f>G635+G648</f>
        <v>348.6</v>
      </c>
      <c r="H649" s="41"/>
      <c r="I649" s="41"/>
      <c r="J649" s="41"/>
      <c r="K649" s="63"/>
      <c r="L649" s="63"/>
      <c r="M649" s="42">
        <f ca="1">IFERROR(M635+M648,"")</f>
        <v>7.2916666666666796E-2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2026-07-24T20:14:38Z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