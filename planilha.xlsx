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35" documentId="8_{AF585B22-221D-4780-BB9C-493D365A6A02}" xr6:coauthVersionLast="47" xr6:coauthVersionMax="47" xr10:uidLastSave="{198F3287-BDE3-4FDA-AF52-1AFF4B93155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<sst xmlns="http://schemas.openxmlformats.org/spreadsheetml/2006/main" count="10966" uniqueCount="409">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</sst>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O20" sqref="O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01" activePane="bottomLeft" state="frozen"/>
      <selection pane="bottomLeft" activeCell="H723" sqref="H7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231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116</v>
      </c>
      <c r="G729" s="36">
        <f>SUM(G717:G728)</f>
        <v>580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419</v>
      </c>
      <c r="G730" s="40">
        <f>G716+G729</f>
        <v>2095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0.88167557870474411</v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1.039314467593633</v>
      </c>
      <c r="N378" s="36" t="s">
        <v>234</v>
      </c>
      <c r="O378" s="77">
        <v>511980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1.1490366898158553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0.86014780092955334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1.0309811342628867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1.1761200231517757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110</v>
      </c>
      <c r="G729" s="36">
        <f>SUM(G717:G728)</f>
        <v>465.2</v>
      </c>
      <c r="H729" s="37"/>
      <c r="I729" s="37"/>
      <c r="J729" s="37"/>
      <c r="K729" s="37"/>
      <c r="L729" s="37"/>
      <c r="M729" s="38">
        <f ca="1">IFERROR(SUM(M717:M728),"")</f>
        <v>9.2361111111111116E-2</v>
      </c>
      <c r="N729" s="36" t="s">
        <v>234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227</v>
      </c>
      <c r="G730" s="40">
        <f>G716+G729</f>
        <v>956.6</v>
      </c>
      <c r="H730" s="41"/>
      <c r="I730" s="41"/>
      <c r="J730" s="41"/>
      <c r="K730" s="41"/>
      <c r="L730" s="41"/>
      <c r="M730" s="42">
        <f ca="1">IFERROR(M716+M729,"")</f>
        <v>0.38611111111111102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F725" sqref="F7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233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233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23</v>
      </c>
      <c r="G729" s="36">
        <f>SUM(G717:G728)</f>
        <v>98.2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99</v>
      </c>
      <c r="G730" s="40">
        <f>G716+G729</f>
        <v>417.4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F725" sqref="F72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233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233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233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233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233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0.87195335648721084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1.0712589120427665</v>
      </c>
      <c r="N135" s="36" t="s">
        <v>234</v>
      </c>
      <c r="O135" s="39">
        <v>729290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1.4386200231538775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233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233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233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233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233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233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233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233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233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233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233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233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233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233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233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233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233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233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233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233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233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118</v>
      </c>
      <c r="G729" s="36">
        <f>SUM(G717:G728)</f>
        <v>498.8</v>
      </c>
      <c r="H729" s="37"/>
      <c r="I729" s="37"/>
      <c r="J729" s="37"/>
      <c r="K729" s="61"/>
      <c r="L729" s="61"/>
      <c r="M729" s="38">
        <f ca="1">IFERROR(SUM(M717:M728),"")</f>
        <v>4.8611111111110987E-2</v>
      </c>
      <c r="N729" s="36" t="s">
        <v>234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250</v>
      </c>
      <c r="G730" s="40">
        <f>G716+G729</f>
        <v>1053.2</v>
      </c>
      <c r="H730" s="41"/>
      <c r="I730" s="41"/>
      <c r="J730" s="41"/>
      <c r="K730" s="63"/>
      <c r="L730" s="63"/>
      <c r="M730" s="42">
        <f ca="1">IFERROR(M716+M729,"")</f>
        <v>0.25486111111111098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233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233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233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2026-07-28T06:54:59Z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