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17" documentId="8_{C51EB6CB-002B-4D6B-B68F-DDEBDB4460C0}" xr6:coauthVersionLast="47" xr6:coauthVersionMax="47" xr10:uidLastSave="{0C0FADD4-6166-4461-927A-496A40C2522F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<sst xmlns="http://schemas.openxmlformats.org/spreadsheetml/2006/main" count="5691" uniqueCount="340">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</sst>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N306" sqref="N30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/>
      <c r="M301" s="35">
        <f t="shared" ca="1" si="67"/>
        <v>2.6235763885779306E-2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260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422</v>
      </c>
      <c r="G311" s="90">
        <f>SUM(G299:G310)</f>
        <v>2110</v>
      </c>
      <c r="H311" s="37"/>
      <c r="I311" s="37"/>
      <c r="J311" s="37"/>
      <c r="K311" s="37"/>
      <c r="L311" s="37"/>
      <c r="M311" s="38">
        <f ca="1">IFERROR(SUM(M299:M310),"")</f>
        <v>4.1513541663557085E-2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422</v>
      </c>
      <c r="G325" s="40">
        <f>G311+G324</f>
        <v>2110</v>
      </c>
      <c r="H325" s="41"/>
      <c r="I325" s="41"/>
      <c r="J325" s="41"/>
      <c r="K325" s="41"/>
      <c r="L325" s="41"/>
      <c r="M325" s="42">
        <f ca="1">IFERROR(M311+M324,"")</f>
        <v>4.1513541663557085E-2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F309" sqref="F30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0.62206909721862758</v>
      </c>
      <c r="N53" s="46" t="s">
        <v>269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0.76095798610751642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0.84568020832973878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271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272</v>
      </c>
      <c r="M96" s="30" t="str">
        <f t="shared" ref="M96:M107" ca="1" si="22">IFERROR(IF(K96="","",IF(L96="",MOD(NOW()-K96,1),IF(L96&gt;=K96,L96-K96,L96+1-K96))),"")</f>
        <v/>
      </c>
      <c r="N96" s="46" t="s">
        <v>273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285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286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287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288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289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290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160</v>
      </c>
      <c r="G311" s="36">
        <f>SUM(G299:G310)</f>
        <v>672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160</v>
      </c>
      <c r="G325" s="40">
        <f>G311+G324</f>
        <v>672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K303" sqref="K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304</v>
      </c>
      <c r="M222" s="30" t="str">
        <f t="shared" ca="1" si="49"/>
        <v/>
      </c>
      <c r="N222" s="27" t="s">
        <v>305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270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0.54915243055438623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0.61095798610994179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0.67206909722105301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307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270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>
        <v>0.72777777777777775</v>
      </c>
      <c r="L302" s="29"/>
      <c r="M302" s="30">
        <f t="shared" ca="1" si="67"/>
        <v>1.5819097221537959E-2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111</v>
      </c>
      <c r="G311" s="36">
        <f>SUM(G299:G310)</f>
        <v>466.2</v>
      </c>
      <c r="H311" s="37"/>
      <c r="I311" s="37"/>
      <c r="J311" s="37"/>
      <c r="K311" s="37"/>
      <c r="L311" s="37"/>
      <c r="M311" s="38">
        <f ca="1">IFERROR(SUM(M299:M310),"")</f>
        <v>3.7346874999315827E-2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111</v>
      </c>
      <c r="G325" s="40">
        <f>G311+G324</f>
        <v>466.2</v>
      </c>
      <c r="H325" s="41"/>
      <c r="I325" s="41"/>
      <c r="J325" s="41"/>
      <c r="K325" s="41"/>
      <c r="L325" s="41"/>
      <c r="M325" s="42">
        <f ca="1">IFERROR(M311+M324,"")</f>
        <v>3.7346874999315827E-2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L302" sqref="L30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298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333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334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335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336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337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338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339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168</v>
      </c>
      <c r="G311" s="36">
        <f>SUM(G299:G310)</f>
        <v>705.6</v>
      </c>
      <c r="H311" s="37"/>
      <c r="I311" s="37"/>
      <c r="J311" s="37"/>
      <c r="K311" s="61"/>
      <c r="L311" s="61"/>
      <c r="M311" s="38">
        <f ca="1">IFERROR(SUM(M299:M310),"")</f>
        <v>6.8750000000000033E-2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168</v>
      </c>
      <c r="G325" s="40">
        <f>G311+G324</f>
        <v>705.6</v>
      </c>
      <c r="H325" s="41"/>
      <c r="I325" s="41"/>
      <c r="J325" s="41"/>
      <c r="K325" s="63"/>
      <c r="L325" s="63"/>
      <c r="M325" s="42">
        <f ca="1">IFERROR(M311+M324,"")</f>
        <v>6.8750000000000033E-2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2026-08-12T21:51:17Z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