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00" documentId="13_ncr:1_{0A10D8D4-8450-4366-8075-B53B08E6B7EA}" xr6:coauthVersionLast="47" xr6:coauthVersionMax="47" xr10:uidLastSave="{2D2CF91F-60C7-45A2-810C-95406A58A57A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<sst xmlns="http://schemas.openxmlformats.org/spreadsheetml/2006/main" count="7723" uniqueCount="369">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</sst>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F452" sqref="F45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 t="s">
        <v>27</v>
      </c>
      <c r="I448" s="26" t="s">
        <v>30</v>
      </c>
      <c r="J448" s="26" t="s">
        <v>141</v>
      </c>
      <c r="K448" s="29">
        <v>0.96180555555555558</v>
      </c>
      <c r="L448" s="29"/>
      <c r="M448" s="30">
        <f t="shared" ca="1" si="95"/>
        <v>4.7262847219826654E-2</v>
      </c>
      <c r="N448" s="46" t="s">
        <v>273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274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275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276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162</v>
      </c>
      <c r="G459" s="36">
        <f>SUM(G447:G458)</f>
        <v>810</v>
      </c>
      <c r="H459" s="37"/>
      <c r="I459" s="37"/>
      <c r="J459" s="37"/>
      <c r="K459" s="37"/>
      <c r="L459" s="37"/>
      <c r="M459" s="38">
        <f ca="1">IFERROR(SUM(M447:M458),"")</f>
        <v>8.5457291664271184E-2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330</v>
      </c>
      <c r="G460" s="40">
        <f>G446+G459</f>
        <v>1650</v>
      </c>
      <c r="H460" s="41"/>
      <c r="I460" s="41"/>
      <c r="J460" s="41"/>
      <c r="K460" s="41"/>
      <c r="L460" s="41"/>
      <c r="M460" s="42">
        <f ca="1">IFERROR(M446+M459,"")</f>
        <v>0.21392951388649351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1" sqref="G45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0.88754062499356223</v>
      </c>
      <c r="R53" s="46" t="s">
        <v>287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1.0264295138824511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1.1111517361046734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310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311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312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313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314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167</v>
      </c>
      <c r="N449" s="33" t="s">
        <v>34</v>
      </c>
      <c r="O449" s="29">
        <v>0.99652777777777779</v>
      </c>
      <c r="P449" s="29"/>
      <c r="Q449" s="35">
        <f t="shared" ca="1" si="112"/>
        <v>1.2540624993562233E-2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244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237.2</v>
      </c>
      <c r="L459" s="37"/>
      <c r="M459" s="37"/>
      <c r="N459" s="37"/>
      <c r="O459" s="37"/>
      <c r="P459" s="37"/>
      <c r="Q459" s="38">
        <f ca="1">IFERROR(SUM(Q447:Q458),"")</f>
        <v>1.9485069438006652E-2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166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707.6</v>
      </c>
      <c r="L460" s="41"/>
      <c r="M460" s="41"/>
      <c r="N460" s="41"/>
      <c r="O460" s="41"/>
      <c r="P460" s="41"/>
      <c r="Q460" s="42">
        <f ca="1">IFERROR(Q446+Q459,"")</f>
        <v>8.6846180549117857E-2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N455" sqref="N4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328</v>
      </c>
      <c r="Q222" s="30" t="str">
        <f t="shared" ca="1" si="49"/>
        <v/>
      </c>
      <c r="R222" s="27" t="s">
        <v>329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310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334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335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335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206</v>
      </c>
      <c r="O449" s="29">
        <v>2.0833333333333333E-3</v>
      </c>
      <c r="P449" s="29"/>
      <c r="Q449" s="35">
        <f t="shared" ca="1" si="110"/>
        <v>6.9850694417254999E-3</v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201.59999999999997</v>
      </c>
      <c r="L459" s="37"/>
      <c r="M459" s="37"/>
      <c r="N459" s="37"/>
      <c r="O459" s="37"/>
      <c r="P459" s="37"/>
      <c r="Q459" s="38">
        <f ca="1">IFERROR(SUM(Q447:Q458),"")</f>
        <v>2.0873958330614339E-2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133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558.6</v>
      </c>
      <c r="L460" s="41"/>
      <c r="M460" s="41"/>
      <c r="N460" s="41"/>
      <c r="O460" s="41"/>
      <c r="P460" s="41"/>
      <c r="Q460" s="42">
        <f ca="1">IFERROR(Q446+Q459,"")</f>
        <v>6.6012847219503235E-2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P448" sqref="P44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310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170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117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491.4</v>
      </c>
      <c r="L459" s="37"/>
      <c r="M459" s="37"/>
      <c r="N459" s="37"/>
      <c r="O459" s="61"/>
      <c r="P459" s="61"/>
      <c r="Q459" s="38">
        <f ca="1">IFERROR(SUM(Q447:Q458),"")</f>
        <v>2.430555555555558E-2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300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1260</v>
      </c>
      <c r="L460" s="41"/>
      <c r="M460" s="41"/>
      <c r="N460" s="41"/>
      <c r="O460" s="63"/>
      <c r="P460" s="63"/>
      <c r="Q460" s="42">
        <f ca="1">IFERROR(Q446+Q459,"")</f>
        <v>6.0416666666666674E-2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2026-08-18T04:13:35Z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