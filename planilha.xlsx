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101" documentId="8_{C51EB6CB-002B-4D6B-B68F-DDEBDB4460C0}" xr6:coauthVersionLast="47" xr6:coauthVersionMax="47" xr10:uidLastSave="{C2089499-4260-46BF-BDB8-6C3F73B36F08}"/>
  <bookViews>
    <workbookView xWindow="-108" yWindow="-108" windowWidth="23256" windowHeight="12456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<sst xmlns="http://schemas.openxmlformats.org/spreadsheetml/2006/main" count="4301" uniqueCount="304">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</sst>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1392300</v>
      </c>
      <c r="D11" s="11">
        <f>IFERROR('Linha 1'!O217,"")</f>
        <v>601390</v>
      </c>
      <c r="E11" s="11">
        <f>IFERROR('Linha 2'!O217,"")</f>
        <v>92510</v>
      </c>
      <c r="F11" s="11">
        <f>IFERROR('Linha 3'!O217,"")</f>
        <v>790070</v>
      </c>
      <c r="G11" s="12">
        <f t="shared" si="0"/>
        <v>1483970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25428585</v>
      </c>
      <c r="D35" s="13">
        <f>IFERROR(SUM(D4:D34),"")</f>
        <v>7714120</v>
      </c>
      <c r="E35" s="13">
        <f>IFERROR(SUM(E4:E34),"")</f>
        <v>3728860</v>
      </c>
      <c r="F35" s="13">
        <f>IFERROR(SUM(F4:F34),"")</f>
        <v>10241570</v>
      </c>
      <c r="G35" s="13">
        <f>IFERROR(SUM(G4:G34),"")</f>
        <v>21684550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89" activePane="bottomLeft" state="frozen"/>
      <selection pane="bottomLeft" activeCell="F206" sqref="F20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7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58</v>
      </c>
      <c r="G216" s="36">
        <f>SUM(G204:G215)</f>
        <v>290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309</v>
      </c>
      <c r="G217" s="40">
        <f>G203+G216</f>
        <v>1545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1392300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77" activePane="bottomLeft" state="frozen"/>
      <selection pane="bottomLeft" activeCell="F206" sqref="F20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0.75010821758769453</v>
      </c>
      <c r="N53" s="46" t="s">
        <v>259</v>
      </c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0.88899710647658337</v>
      </c>
      <c r="N54" s="36" t="s">
        <v>235</v>
      </c>
      <c r="O54" s="84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0.97371932869880573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261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262</v>
      </c>
      <c r="M96" s="30" t="str">
        <f t="shared" ref="M96:M107" ca="1" si="22">IFERROR(IF(K96="","",IF(L96="",MOD(NOW()-K96,1),IF(L96&gt;=K96,L96-K96,L96+1-K96))),"")</f>
        <v/>
      </c>
      <c r="N96" s="46" t="s">
        <v>263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27</v>
      </c>
      <c r="G216" s="36">
        <f>SUM(G204:G215)</f>
        <v>113.4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160</v>
      </c>
      <c r="G217" s="40">
        <f>G203+G216</f>
        <v>672</v>
      </c>
      <c r="H217" s="41"/>
      <c r="I217" s="41"/>
      <c r="J217" s="41"/>
      <c r="K217" s="41"/>
      <c r="L217" s="41"/>
      <c r="M217" s="42">
        <f ca="1">IFERROR(M203+M216,"")</f>
        <v>0.14027777777777767</v>
      </c>
      <c r="N217" s="40" t="s">
        <v>239</v>
      </c>
      <c r="O217" s="83">
        <f>IFERROR(O203+O216,"")</f>
        <v>601390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176" zoomScale="50" zoomScaleNormal="50" workbookViewId="0">
      <selection activeCell="F206" sqref="F20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283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284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285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8</v>
      </c>
      <c r="G216" s="36">
        <f>SUM(G204:G215)</f>
        <v>33.6</v>
      </c>
      <c r="H216" s="37"/>
      <c r="I216" s="37"/>
      <c r="J216" s="37"/>
      <c r="K216" s="37"/>
      <c r="L216" s="37"/>
      <c r="M216" s="38">
        <f ca="1">IFERROR(SUM(M204:M215),"")</f>
        <v>5.555555555555558E-2</v>
      </c>
      <c r="N216" s="36" t="s">
        <v>235</v>
      </c>
      <c r="O216" s="39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23</v>
      </c>
      <c r="G217" s="40">
        <f>G203+G216</f>
        <v>96.600000000000009</v>
      </c>
      <c r="H217" s="41"/>
      <c r="I217" s="41"/>
      <c r="J217" s="41"/>
      <c r="K217" s="41"/>
      <c r="L217" s="41"/>
      <c r="M217" s="42">
        <f ca="1">IFERROR(M203+M216,"")</f>
        <v>0.21736111111111106</v>
      </c>
      <c r="N217" s="40" t="s">
        <v>239</v>
      </c>
      <c r="O217" s="48">
        <f>IFERROR(O203+O216,"")</f>
        <v>92510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73" activePane="bottomLeft" state="frozen"/>
      <selection pane="bottomLeft" activeCell="F205" sqref="F20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4" t="s">
        <v>234</v>
      </c>
      <c r="B41" s="105"/>
      <c r="C41" s="105"/>
      <c r="D41" s="105"/>
      <c r="E41" s="106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295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296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297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299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300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301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/>
      <c r="M204" s="30">
        <f t="shared" ref="M204:M215" ca="1" si="46">IFERROR(IF(K204="","",IF(L204="",MOD(NOW()-K204,1),IF(L204&gt;=K204,L204-K204,L204+1-K204))),"")</f>
        <v>5.9135995368706062E-2</v>
      </c>
      <c r="N204" s="27" t="s">
        <v>302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/>
      <c r="G205" s="34" t="str">
        <f t="shared" si="45"/>
        <v/>
      </c>
      <c r="H205" s="33" t="s">
        <v>20</v>
      </c>
      <c r="I205" s="57" t="s">
        <v>303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/>
      <c r="G210" s="28"/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14</v>
      </c>
      <c r="G216" s="36">
        <f>SUM(G204:G215)</f>
        <v>58.800000000000004</v>
      </c>
      <c r="H216" s="37"/>
      <c r="I216" s="37"/>
      <c r="J216" s="37"/>
      <c r="K216" s="61"/>
      <c r="L216" s="61"/>
      <c r="M216" s="38">
        <f ca="1">IFERROR(SUM(M204:M215),"")</f>
        <v>6.5385995368706151E-2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175</v>
      </c>
      <c r="G217" s="40">
        <f>G203+G216</f>
        <v>735</v>
      </c>
      <c r="H217" s="41"/>
      <c r="I217" s="41"/>
      <c r="J217" s="41"/>
      <c r="K217" s="63"/>
      <c r="L217" s="63"/>
      <c r="M217" s="42">
        <f ca="1">IFERROR(M203+M216,"")</f>
        <v>0.13344155092426185</v>
      </c>
      <c r="N217" s="40" t="s">
        <v>239</v>
      </c>
      <c r="O217" s="48">
        <f>IFERROR(O203+O216,"")</f>
        <v>790070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4" t="s">
        <v>234</v>
      </c>
      <c r="B338" s="105"/>
      <c r="C338" s="105"/>
      <c r="D338" s="105"/>
      <c r="E338" s="106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2026-08-09T00:55:35Z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