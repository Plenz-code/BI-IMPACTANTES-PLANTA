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05" documentId="8_{AF585B22-221D-4780-BB9C-493D365A6A02}" xr6:coauthVersionLast="47" xr6:coauthVersionMax="47" xr10:uidLastSave="{F95C4750-6DE5-4CCC-B36C-B034851B38E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<sst xmlns="http://schemas.openxmlformats.org/spreadsheetml/2006/main" count="9124" uniqueCount="377">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</sst>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228</v>
      </c>
      <c r="E2" s="59" t="s">
        <v>229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230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232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232</v>
      </c>
      <c r="O27" s="39">
        <v>1183060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235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236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232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232</v>
      </c>
      <c r="O54" s="39">
        <v>959290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235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232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237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232</v>
      </c>
      <c r="O81" s="39">
        <v>878050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235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232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1700000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235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232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232</v>
      </c>
      <c r="O135" s="39">
        <v>862330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232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232</v>
      </c>
      <c r="O162" s="44">
        <v>1546080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235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232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>
        <v>2355810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235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232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232</v>
      </c>
      <c r="O216" s="45">
        <v>2013260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235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232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229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229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229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229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229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229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229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229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229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232</v>
      </c>
      <c r="O243" s="39">
        <v>1545480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235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229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229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229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229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229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229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229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229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229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229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229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229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232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229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229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229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229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229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229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229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229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229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229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229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>
        <v>1182690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235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229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229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229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229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229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229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229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229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229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229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229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229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232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229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242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229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229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229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229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243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229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243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229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243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229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243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229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243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229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243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229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243</v>
      </c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232</v>
      </c>
      <c r="O297" s="39">
        <v>1843460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235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244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229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229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245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229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229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229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229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229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229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229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232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229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246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246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246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229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246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>
        <v>1940000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235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229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229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229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229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229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229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229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229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229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229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232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229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229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229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229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229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229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229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229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229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229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229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229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232</v>
      </c>
      <c r="O351" s="39">
        <v>701874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235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248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229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229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229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229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229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229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229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229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229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229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229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232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229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229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229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229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229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229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229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229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229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229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229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232</v>
      </c>
      <c r="O378" s="39">
        <v>1088710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235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229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229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249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229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250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229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229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229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229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229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229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229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229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232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229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229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251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229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229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229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229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229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229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229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229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229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232</v>
      </c>
      <c r="O405" s="39">
        <v>1202270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235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229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252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229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229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253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229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229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229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229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229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254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254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229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232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229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229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229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229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229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229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229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229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229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229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229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>
        <v>1801910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235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229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229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229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229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229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229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229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229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229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232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256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256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256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256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256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256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256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256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256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256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256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256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232</v>
      </c>
      <c r="O459" s="39">
        <v>2675000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235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>
        <v>2310070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229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229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229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229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229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232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229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229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229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229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229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229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229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229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229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229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>
        <v>1298429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235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257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229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229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229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229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229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229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229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229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229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229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229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232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229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229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258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229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229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229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229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229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229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229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229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229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232</v>
      </c>
      <c r="O540" s="39">
        <v>1240140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235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229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229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229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229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229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229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229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229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229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232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229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229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229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229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229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229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229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229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229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229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229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229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232</v>
      </c>
      <c r="O567" s="39">
        <v>1482110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235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229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229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229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229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229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229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232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229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18</v>
      </c>
      <c r="G583" s="34">
        <f t="shared" si="129"/>
        <v>90</v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229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229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229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229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229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229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229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229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229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92</v>
      </c>
      <c r="G594" s="36">
        <f>SUM(G582:G593)</f>
        <v>460</v>
      </c>
      <c r="H594" s="37"/>
      <c r="I594" s="37"/>
      <c r="J594" s="37"/>
      <c r="K594" s="37"/>
      <c r="L594" s="37"/>
      <c r="M594" s="38">
        <f ca="1">IFERROR(SUM(M582:M593),"")</f>
        <v>1.388888888888884E-2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278</v>
      </c>
      <c r="G595" s="40">
        <f>G581+G594</f>
        <v>1390</v>
      </c>
      <c r="H595" s="41"/>
      <c r="I595" s="41"/>
      <c r="J595" s="41"/>
      <c r="K595" s="41"/>
      <c r="L595" s="41"/>
      <c r="M595" s="42">
        <f ca="1">IFERROR(M581+M594,"")</f>
        <v>7.2222222222222132E-2</v>
      </c>
      <c r="N595" s="40" t="s">
        <v>235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59" t="s">
        <v>229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J583" sqref="J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232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232</v>
      </c>
      <c r="O27" s="77">
        <v>393200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235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232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84">
        <v>276360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235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232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232</v>
      </c>
      <c r="O81" s="54">
        <v>787860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235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232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232</v>
      </c>
      <c r="O108" s="54">
        <v>1087080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235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232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247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232</v>
      </c>
      <c r="O135" s="54">
        <v>794480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235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232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232</v>
      </c>
      <c r="O162" s="54">
        <v>882280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235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232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232</v>
      </c>
      <c r="O189" s="77"/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235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232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232</v>
      </c>
      <c r="O216" s="77">
        <v>648410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235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231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232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232</v>
      </c>
      <c r="O243" s="77">
        <v>849060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235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232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229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232</v>
      </c>
      <c r="O270" s="77">
        <v>625070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235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232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232</v>
      </c>
      <c r="O297" s="77">
        <v>761660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235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232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232</v>
      </c>
      <c r="O324" s="77">
        <v>524410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235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229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232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232</v>
      </c>
      <c r="O351" s="77">
        <v>598420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235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232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0.83140057870332384</v>
      </c>
      <c r="N377" s="46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0.98903946759221273</v>
      </c>
      <c r="N378" s="36" t="s">
        <v>232</v>
      </c>
      <c r="O378" s="77">
        <v>511980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1.098761689814435</v>
      </c>
      <c r="N379" s="40" t="s">
        <v>235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232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247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232</v>
      </c>
      <c r="O405" s="77">
        <v>552440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235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229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232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0.80987280092813307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0.98070613426146647</v>
      </c>
      <c r="N432" s="36" t="s">
        <v>232</v>
      </c>
      <c r="O432" s="77">
        <v>484540</v>
      </c>
    </row>
    <row r="433" spans="1:15" ht="18" customHeight="1">
      <c r="A433" s="93" t="s">
        <v>234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1.1258450231503554</v>
      </c>
      <c r="N433" s="40" t="s">
        <v>235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232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232</v>
      </c>
      <c r="O459" s="77">
        <v>631190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235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232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232</v>
      </c>
      <c r="O486" s="77">
        <v>969510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235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256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232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232</v>
      </c>
      <c r="O513" s="77">
        <v>556040</v>
      </c>
    </row>
    <row r="514" spans="1:15" ht="18" customHeight="1">
      <c r="A514" s="93" t="s">
        <v>234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235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232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232</v>
      </c>
      <c r="O540" s="77">
        <v>548610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235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232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232</v>
      </c>
      <c r="O567" s="77">
        <v>722660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235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232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/>
      <c r="M583" s="35">
        <f t="shared" ca="1" si="130"/>
        <v>1.5394675938296132E-3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78</v>
      </c>
      <c r="G594" s="36">
        <f>SUM(G582:G593)</f>
        <v>336.4</v>
      </c>
      <c r="H594" s="37"/>
      <c r="I594" s="37"/>
      <c r="J594" s="37"/>
      <c r="K594" s="37"/>
      <c r="L594" s="37"/>
      <c r="M594" s="38">
        <f ca="1">IFERROR(SUM(M582:M593),"")</f>
        <v>9.1783564827184749E-3</v>
      </c>
      <c r="N594" s="36" t="s">
        <v>232</v>
      </c>
      <c r="O594" s="77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308</v>
      </c>
      <c r="G595" s="40">
        <f>G581+G594</f>
        <v>1302.4000000000001</v>
      </c>
      <c r="H595" s="41"/>
      <c r="I595" s="41"/>
      <c r="J595" s="41"/>
      <c r="K595" s="41"/>
      <c r="L595" s="41"/>
      <c r="M595" s="42">
        <f ca="1">IFERROR(M581+M594,"")</f>
        <v>3.2095023149385171E-2</v>
      </c>
      <c r="N595" s="40" t="s">
        <v>235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8" sqref="F5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232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232</v>
      </c>
      <c r="O27" s="39">
        <v>308500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235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232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232</v>
      </c>
      <c r="O54" s="39">
        <v>124290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235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232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232</v>
      </c>
      <c r="O81" s="39">
        <v>396340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235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232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232</v>
      </c>
      <c r="O108" s="39">
        <v>41230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235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232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232</v>
      </c>
      <c r="O135" s="39">
        <v>381250</v>
      </c>
    </row>
    <row r="136" spans="1:15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235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273</v>
      </c>
      <c r="K141" s="29">
        <v>0.71597222222222223</v>
      </c>
      <c r="L141" s="29" t="s">
        <v>312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232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232</v>
      </c>
      <c r="O162" s="39">
        <v>337120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235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314</v>
      </c>
      <c r="N166" s="27" t="s">
        <v>315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232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232</v>
      </c>
      <c r="O189" s="39">
        <v>747210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235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232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232</v>
      </c>
      <c r="O216" s="39">
        <v>468430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235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232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232</v>
      </c>
      <c r="O243" s="39">
        <v>575930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235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232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232</v>
      </c>
      <c r="O270" s="39">
        <v>483510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235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232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232</v>
      </c>
      <c r="O297" s="39">
        <v>487980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235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229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232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232</v>
      </c>
      <c r="O324" s="39">
        <v>609460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235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229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231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232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232</v>
      </c>
      <c r="O351" s="39">
        <v>437940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235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231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232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232</v>
      </c>
      <c r="O378" s="39">
        <v>473310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235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232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232</v>
      </c>
      <c r="O405" s="39">
        <v>507450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235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229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229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232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229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232</v>
      </c>
      <c r="O432" s="39">
        <v>229150</v>
      </c>
    </row>
    <row r="433" spans="1:15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235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232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229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232</v>
      </c>
      <c r="O459" s="39">
        <v>409980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235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229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229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229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229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232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232</v>
      </c>
      <c r="O486" s="39">
        <v>341550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235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229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229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229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229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256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256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256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256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256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256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232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232</v>
      </c>
      <c r="O513" s="39">
        <v>276610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235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232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232</v>
      </c>
      <c r="O540" s="39">
        <v>194990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235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232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256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256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256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256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256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256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256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256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232</v>
      </c>
      <c r="O567" s="39">
        <v>315860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235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232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229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256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256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256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44</v>
      </c>
      <c r="G594" s="36">
        <f>SUM(G582:G593)</f>
        <v>188.8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97</v>
      </c>
      <c r="G595" s="40">
        <f>G581+G594</f>
        <v>411.40000000000003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235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F588" sqref="F58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231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232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233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232</v>
      </c>
      <c r="O27" s="39">
        <v>202230</v>
      </c>
    </row>
    <row r="28" spans="1:15" ht="18" customHeight="1">
      <c r="A28" s="102" t="s">
        <v>234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235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231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232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233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232</v>
      </c>
      <c r="O54" s="39">
        <v>473910</v>
      </c>
    </row>
    <row r="55" spans="1:15" ht="18" customHeight="1">
      <c r="A55" s="102" t="s">
        <v>234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235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337</v>
      </c>
      <c r="L58" s="29">
        <v>0.54097222222222219</v>
      </c>
      <c r="M58" s="30" t="str">
        <f t="shared" ca="1" si="13"/>
        <v/>
      </c>
      <c r="N58" s="27" t="s">
        <v>338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231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232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233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232</v>
      </c>
      <c r="O81" s="39">
        <v>565120</v>
      </c>
    </row>
    <row r="82" spans="1:15" ht="18" customHeight="1">
      <c r="A82" s="102" t="s">
        <v>234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235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231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232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233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232</v>
      </c>
      <c r="O108" s="39">
        <v>558590</v>
      </c>
    </row>
    <row r="109" spans="1:15" ht="18" customHeight="1">
      <c r="A109" s="102" t="s">
        <v>234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235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231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232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229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229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0.82167835648579057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233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1.0209839120413462</v>
      </c>
      <c r="N135" s="36" t="s">
        <v>232</v>
      </c>
      <c r="O135" s="39">
        <v>729290</v>
      </c>
    </row>
    <row r="136" spans="1:18" ht="18" customHeight="1">
      <c r="A136" s="102" t="s">
        <v>234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1.3883450231524572</v>
      </c>
      <c r="N136" s="40" t="s">
        <v>235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229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231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232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233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232</v>
      </c>
      <c r="O162" s="39">
        <v>697320</v>
      </c>
    </row>
    <row r="163" spans="1:15" ht="18" customHeight="1">
      <c r="A163" s="102" t="s">
        <v>234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235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231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232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233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232</v>
      </c>
      <c r="O189" s="39">
        <v>973580</v>
      </c>
    </row>
    <row r="190" spans="1:15" ht="18" customHeight="1">
      <c r="A190" s="102" t="s">
        <v>234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235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231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232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233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232</v>
      </c>
      <c r="O216" s="45">
        <v>1060630</v>
      </c>
    </row>
    <row r="217" spans="1:15" ht="18" customHeight="1">
      <c r="A217" s="102" t="s">
        <v>234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235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231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232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229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229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229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233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232</v>
      </c>
      <c r="O243" s="39">
        <v>982340</v>
      </c>
    </row>
    <row r="244" spans="1:15" ht="18" customHeight="1">
      <c r="A244" s="102" t="s">
        <v>234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235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231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232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233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232</v>
      </c>
      <c r="O270" s="39">
        <v>1208450</v>
      </c>
    </row>
    <row r="271" spans="1:15" ht="18" customHeight="1">
      <c r="A271" s="102" t="s">
        <v>234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235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231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232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229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233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232</v>
      </c>
      <c r="O297" s="39">
        <v>1049090</v>
      </c>
    </row>
    <row r="298" spans="1:15" ht="18" customHeight="1">
      <c r="A298" s="102" t="s">
        <v>234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235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231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232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229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229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233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232</v>
      </c>
      <c r="O324" s="39">
        <v>1063720</v>
      </c>
    </row>
    <row r="325" spans="1:15" ht="18" customHeight="1">
      <c r="A325" s="102" t="s">
        <v>234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235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229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231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232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233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232</v>
      </c>
      <c r="O351" s="39">
        <v>696140</v>
      </c>
    </row>
    <row r="352" spans="1:15" ht="18" customHeight="1">
      <c r="A352" s="102" t="s">
        <v>234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235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232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233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232</v>
      </c>
      <c r="O378" s="39">
        <v>704750</v>
      </c>
    </row>
    <row r="379" spans="1:15" ht="18" customHeight="1">
      <c r="A379" s="102" t="s">
        <v>234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235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231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232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229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233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232</v>
      </c>
      <c r="O405" s="39">
        <v>958130</v>
      </c>
    </row>
    <row r="406" spans="1:15" ht="18" customHeight="1">
      <c r="A406" s="102" t="s">
        <v>234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235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229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229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231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232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256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256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256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256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256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256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256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256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256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256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256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256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233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232</v>
      </c>
      <c r="O432" s="39">
        <v>605220</v>
      </c>
    </row>
    <row r="433" spans="1:17" ht="18" customHeight="1">
      <c r="A433" s="102" t="s">
        <v>234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235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256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256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256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256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256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256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256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256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256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256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256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256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231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232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229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229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229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229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229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229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229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229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229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229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229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233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232</v>
      </c>
      <c r="O459" s="39">
        <v>615330</v>
      </c>
    </row>
    <row r="460" spans="1:15" ht="18" customHeight="1">
      <c r="A460" s="102" t="s">
        <v>234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235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229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229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229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229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229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229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229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229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229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229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229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229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231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232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229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229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229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229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229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229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229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229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229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229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229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229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233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232</v>
      </c>
      <c r="O486" s="39">
        <v>1120830</v>
      </c>
    </row>
    <row r="487" spans="1:15" ht="18" customHeight="1">
      <c r="A487" s="102" t="s">
        <v>234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235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229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229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229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229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229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229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256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256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256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256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256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256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231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232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256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229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256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256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256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256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256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256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256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256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256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256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233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232</v>
      </c>
      <c r="O513" s="39">
        <v>416720</v>
      </c>
    </row>
    <row r="514" spans="1:15" ht="18" customHeight="1">
      <c r="A514" s="102" t="s">
        <v>234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235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256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256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256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256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256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256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256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256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256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256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256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256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231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232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256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256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256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256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256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256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256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256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256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256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256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256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233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232</v>
      </c>
      <c r="O540" s="39">
        <v>404370</v>
      </c>
    </row>
    <row r="541" spans="1:15" ht="18" customHeight="1">
      <c r="A541" s="102" t="s">
        <v>234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235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256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256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256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256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256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256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256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256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256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256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256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256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231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232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256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256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256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256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256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256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256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256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256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256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256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256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233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232</v>
      </c>
      <c r="O567" s="39">
        <v>499820</v>
      </c>
    </row>
    <row r="568" spans="1:15" ht="18" customHeight="1">
      <c r="A568" s="102" t="s">
        <v>234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235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256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256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256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256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256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256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256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256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256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256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256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256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231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232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256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256</v>
      </c>
      <c r="F583" s="27">
        <v>5</v>
      </c>
      <c r="G583" s="34">
        <f t="shared" si="129"/>
        <v>21</v>
      </c>
      <c r="H583" s="33"/>
      <c r="I583" s="33"/>
      <c r="J583" s="33"/>
      <c r="K583" s="29"/>
      <c r="L583" s="29"/>
      <c r="M583" s="35" t="str">
        <f t="shared" ref="M582:M593" ca="1" si="131">IFERROR(IF(K583="","",IF(L583="",MOD(NOW()-K583,1),IF(L583&gt;=K583,L583-K583,L583+1-K583))),"")</f>
        <v/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256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256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256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256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256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256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256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256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256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256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233</v>
      </c>
      <c r="B594" s="100"/>
      <c r="C594" s="100"/>
      <c r="D594" s="100"/>
      <c r="E594" s="101">
        <f>SUM(E582:E593)</f>
        <v>0</v>
      </c>
      <c r="F594" s="36">
        <f>SUM(F582:F593)</f>
        <v>74</v>
      </c>
      <c r="G594" s="36">
        <f>SUM(G582:G593)</f>
        <v>310.8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2" t="s">
        <v>234</v>
      </c>
      <c r="B595" s="103"/>
      <c r="C595" s="103"/>
      <c r="D595" s="103"/>
      <c r="E595" s="104">
        <f>E581+E594</f>
        <v>0</v>
      </c>
      <c r="F595" s="40">
        <f>F581+F594</f>
        <v>74</v>
      </c>
      <c r="G595" s="40">
        <f>G581+G594</f>
        <v>310.8</v>
      </c>
      <c r="H595" s="41"/>
      <c r="I595" s="41"/>
      <c r="J595" s="41"/>
      <c r="K595" s="63"/>
      <c r="L595" s="63"/>
      <c r="M595" s="42">
        <f ca="1">IFERROR(M581+M594,"")</f>
        <v>0.49999999999999994</v>
      </c>
      <c r="N595" s="40" t="s">
        <v>235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231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233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2" t="s">
        <v>234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231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233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2" t="s">
        <v>234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231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233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2" t="s">
        <v>234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231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233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2" t="s">
        <v>234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231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233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2" t="s">
        <v>234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231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233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2" t="s">
        <v>234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231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233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2" t="s">
        <v>234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231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233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2" t="s">
        <v>234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2026-07-23T05:42:29Z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