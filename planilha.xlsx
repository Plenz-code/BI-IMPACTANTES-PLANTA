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02" documentId="13_ncr:1_{9DFDFEE8-78F7-4C04-B87C-99924EE6CC37}" xr6:coauthVersionLast="47" xr6:coauthVersionMax="47" xr10:uidLastSave="{8E9EEBD7-9C66-4002-8B35-1ABF68B80003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<sst xmlns="http://schemas.openxmlformats.org/spreadsheetml/2006/main" count="8913" uniqueCount="2874">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</sst>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O73" sqref="O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/>
      <c r="M69" s="86">
        <f t="shared" ref="M69:M80" ca="1" si="16">IFERROR(IF(K69="","",IF(L69="",MOD(NOW()-K69,1),IF(L69&gt;=K69,L69-K69,L69+1-K69))),"")</f>
        <v>1.9175925925082993E-2</v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1.9175925925082993E-2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2.3342592591749645E-2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G75" sqref="G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106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445.2</v>
      </c>
      <c r="L81" s="87"/>
      <c r="M81" s="87"/>
      <c r="N81" s="87"/>
      <c r="O81" s="87"/>
      <c r="P81" s="87"/>
      <c r="Q81" s="88">
        <f ca="1">IFERROR(SUM(Q69:Q80),"")</f>
        <v>6.5972222222222363E-2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278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1167.5999999999999</v>
      </c>
      <c r="L82" s="91"/>
      <c r="M82" s="91"/>
      <c r="N82" s="91"/>
      <c r="O82" s="91"/>
      <c r="P82" s="91"/>
      <c r="Q82" s="92">
        <f ca="1">IFERROR(Q68+Q81,"")</f>
        <v>0.13055555555555581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9.1398148142616265E-2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0.10875925925372731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0.13792592592039399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G75" sqref="G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112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470.40000000000003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309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1297.8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2026-09-04T05:12:03Z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