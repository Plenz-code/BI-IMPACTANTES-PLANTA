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187" documentId="8_{AF585B22-221D-4780-BB9C-493D365A6A02}" xr6:coauthVersionLast="47" xr6:coauthVersionMax="47" xr10:uidLastSave="{10A25E31-56B9-4E9D-9E50-572A2650C78D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<sst xmlns="http://schemas.openxmlformats.org/spreadsheetml/2006/main" count="8799" uniqueCount="373">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</sst>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64593351</v>
      </c>
      <c r="D35" s="13">
        <f>IFERROR(SUM(D4:D34),"")</f>
        <v>25494250</v>
      </c>
      <c r="E35" s="13">
        <f>IFERROR(SUM(E4:E34),"")</f>
        <v>14327890</v>
      </c>
      <c r="F35" s="13">
        <f>IFERROR(SUM(F4:F34),"")</f>
        <v>28724440</v>
      </c>
      <c r="G35" s="13">
        <f>IFERROR(SUM(G4:G34),"")</f>
        <v>68546580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30" activePane="bottomLeft" state="frozen"/>
      <selection pane="bottomLeft" activeCell="O568" sqref="O56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85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2" t="s">
        <v>230</v>
      </c>
      <c r="B14" s="103"/>
      <c r="C14" s="103"/>
      <c r="D14" s="103"/>
      <c r="E14" s="10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2" t="s">
        <v>232</v>
      </c>
      <c r="B27" s="103"/>
      <c r="C27" s="103"/>
      <c r="D27" s="103"/>
      <c r="E27" s="10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99" t="s">
        <v>233</v>
      </c>
      <c r="B28" s="100"/>
      <c r="C28" s="100"/>
      <c r="D28" s="100"/>
      <c r="E28" s="10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230</v>
      </c>
      <c r="B41" s="103"/>
      <c r="C41" s="103"/>
      <c r="D41" s="103"/>
      <c r="E41" s="10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232</v>
      </c>
      <c r="B54" s="103"/>
      <c r="C54" s="103"/>
      <c r="D54" s="103"/>
      <c r="E54" s="10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99" t="s">
        <v>233</v>
      </c>
      <c r="B55" s="100"/>
      <c r="C55" s="100"/>
      <c r="D55" s="100"/>
      <c r="E55" s="10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230</v>
      </c>
      <c r="B68" s="103"/>
      <c r="C68" s="103"/>
      <c r="D68" s="103"/>
      <c r="E68" s="10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232</v>
      </c>
      <c r="B81" s="103"/>
      <c r="C81" s="103"/>
      <c r="D81" s="103"/>
      <c r="E81" s="10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99" t="s">
        <v>233</v>
      </c>
      <c r="B82" s="100"/>
      <c r="C82" s="100"/>
      <c r="D82" s="100"/>
      <c r="E82" s="10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230</v>
      </c>
      <c r="B95" s="103"/>
      <c r="C95" s="103"/>
      <c r="D95" s="103"/>
      <c r="E95" s="10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232</v>
      </c>
      <c r="B108" s="103"/>
      <c r="C108" s="103"/>
      <c r="D108" s="103"/>
      <c r="E108" s="10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99" t="s">
        <v>233</v>
      </c>
      <c r="B109" s="100"/>
      <c r="C109" s="100"/>
      <c r="D109" s="100"/>
      <c r="E109" s="10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230</v>
      </c>
      <c r="B122" s="103"/>
      <c r="C122" s="103"/>
      <c r="D122" s="103"/>
      <c r="E122" s="10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232</v>
      </c>
      <c r="B135" s="103"/>
      <c r="C135" s="103"/>
      <c r="D135" s="103"/>
      <c r="E135" s="10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99" t="s">
        <v>233</v>
      </c>
      <c r="B136" s="100"/>
      <c r="C136" s="100"/>
      <c r="D136" s="100"/>
      <c r="E136" s="101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230</v>
      </c>
      <c r="B149" s="103"/>
      <c r="C149" s="103"/>
      <c r="D149" s="103"/>
      <c r="E149" s="10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232</v>
      </c>
      <c r="B162" s="103"/>
      <c r="C162" s="103"/>
      <c r="D162" s="103"/>
      <c r="E162" s="10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99" t="s">
        <v>233</v>
      </c>
      <c r="B163" s="100"/>
      <c r="C163" s="100"/>
      <c r="D163" s="100"/>
      <c r="E163" s="101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230</v>
      </c>
      <c r="B176" s="103"/>
      <c r="C176" s="103"/>
      <c r="D176" s="103"/>
      <c r="E176" s="10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232</v>
      </c>
      <c r="B189" s="103"/>
      <c r="C189" s="103"/>
      <c r="D189" s="103"/>
      <c r="E189" s="10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99" t="s">
        <v>233</v>
      </c>
      <c r="B190" s="100"/>
      <c r="C190" s="100"/>
      <c r="D190" s="100"/>
      <c r="E190" s="101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230</v>
      </c>
      <c r="B203" s="103"/>
      <c r="C203" s="103"/>
      <c r="D203" s="103"/>
      <c r="E203" s="10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232</v>
      </c>
      <c r="B216" s="103"/>
      <c r="C216" s="103"/>
      <c r="D216" s="103"/>
      <c r="E216" s="10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99" t="s">
        <v>233</v>
      </c>
      <c r="B217" s="100"/>
      <c r="C217" s="100"/>
      <c r="D217" s="100"/>
      <c r="E217" s="101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2" t="s">
        <v>230</v>
      </c>
      <c r="B230" s="103"/>
      <c r="C230" s="103"/>
      <c r="D230" s="103"/>
      <c r="E230" s="10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232</v>
      </c>
      <c r="B243" s="103"/>
      <c r="C243" s="103"/>
      <c r="D243" s="103"/>
      <c r="E243" s="10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99" t="s">
        <v>233</v>
      </c>
      <c r="B244" s="100"/>
      <c r="C244" s="100"/>
      <c r="D244" s="100"/>
      <c r="E244" s="101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230</v>
      </c>
      <c r="B257" s="103"/>
      <c r="C257" s="103"/>
      <c r="D257" s="103"/>
      <c r="E257" s="10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232</v>
      </c>
      <c r="B270" s="103"/>
      <c r="C270" s="103"/>
      <c r="D270" s="103"/>
      <c r="E270" s="10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99" t="s">
        <v>233</v>
      </c>
      <c r="B271" s="100"/>
      <c r="C271" s="100"/>
      <c r="D271" s="100"/>
      <c r="E271" s="101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230</v>
      </c>
      <c r="B284" s="103"/>
      <c r="C284" s="103"/>
      <c r="D284" s="103"/>
      <c r="E284" s="10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102" t="s">
        <v>232</v>
      </c>
      <c r="B297" s="103"/>
      <c r="C297" s="103"/>
      <c r="D297" s="103"/>
      <c r="E297" s="10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99" t="s">
        <v>233</v>
      </c>
      <c r="B298" s="100"/>
      <c r="C298" s="100"/>
      <c r="D298" s="100"/>
      <c r="E298" s="101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230</v>
      </c>
      <c r="B311" s="103"/>
      <c r="C311" s="103"/>
      <c r="D311" s="103"/>
      <c r="E311" s="104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232</v>
      </c>
      <c r="B324" s="103"/>
      <c r="C324" s="103"/>
      <c r="D324" s="103"/>
      <c r="E324" s="10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99" t="s">
        <v>233</v>
      </c>
      <c r="B325" s="100"/>
      <c r="C325" s="100"/>
      <c r="D325" s="100"/>
      <c r="E325" s="101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230</v>
      </c>
      <c r="B338" s="103"/>
      <c r="C338" s="103"/>
      <c r="D338" s="103"/>
      <c r="E338" s="10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232</v>
      </c>
      <c r="B351" s="103"/>
      <c r="C351" s="103"/>
      <c r="D351" s="103"/>
      <c r="E351" s="10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99" t="s">
        <v>233</v>
      </c>
      <c r="B352" s="100"/>
      <c r="C352" s="100"/>
      <c r="D352" s="100"/>
      <c r="E352" s="101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230</v>
      </c>
      <c r="B365" s="103"/>
      <c r="C365" s="103"/>
      <c r="D365" s="103"/>
      <c r="E365" s="10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2" t="s">
        <v>232</v>
      </c>
      <c r="B378" s="103"/>
      <c r="C378" s="103"/>
      <c r="D378" s="103"/>
      <c r="E378" s="104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99" t="s">
        <v>233</v>
      </c>
      <c r="B379" s="100"/>
      <c r="C379" s="100"/>
      <c r="D379" s="100"/>
      <c r="E379" s="101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230</v>
      </c>
      <c r="B392" s="103"/>
      <c r="C392" s="103"/>
      <c r="D392" s="103"/>
      <c r="E392" s="104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232</v>
      </c>
      <c r="B405" s="103"/>
      <c r="C405" s="103"/>
      <c r="D405" s="103"/>
      <c r="E405" s="104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99" t="s">
        <v>233</v>
      </c>
      <c r="B406" s="100"/>
      <c r="C406" s="100"/>
      <c r="D406" s="100"/>
      <c r="E406" s="101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230</v>
      </c>
      <c r="B419" s="103"/>
      <c r="C419" s="103"/>
      <c r="D419" s="103"/>
      <c r="E419" s="104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2" t="s">
        <v>232</v>
      </c>
      <c r="B432" s="103"/>
      <c r="C432" s="103"/>
      <c r="D432" s="103"/>
      <c r="E432" s="104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99" t="s">
        <v>233</v>
      </c>
      <c r="B433" s="100"/>
      <c r="C433" s="100"/>
      <c r="D433" s="100"/>
      <c r="E433" s="101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230</v>
      </c>
      <c r="B446" s="103"/>
      <c r="C446" s="103"/>
      <c r="D446" s="103"/>
      <c r="E446" s="104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232</v>
      </c>
      <c r="B459" s="103"/>
      <c r="C459" s="103"/>
      <c r="D459" s="103"/>
      <c r="E459" s="104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99" t="s">
        <v>233</v>
      </c>
      <c r="B460" s="100"/>
      <c r="C460" s="100"/>
      <c r="D460" s="100"/>
      <c r="E460" s="101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230</v>
      </c>
      <c r="B473" s="103"/>
      <c r="C473" s="103"/>
      <c r="D473" s="103"/>
      <c r="E473" s="104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232</v>
      </c>
      <c r="B486" s="103"/>
      <c r="C486" s="103"/>
      <c r="D486" s="103"/>
      <c r="E486" s="104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99" t="s">
        <v>233</v>
      </c>
      <c r="B487" s="100"/>
      <c r="C487" s="100"/>
      <c r="D487" s="100"/>
      <c r="E487" s="101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230</v>
      </c>
      <c r="B500" s="103"/>
      <c r="C500" s="103"/>
      <c r="D500" s="103"/>
      <c r="E500" s="104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2" t="s">
        <v>232</v>
      </c>
      <c r="B513" s="103"/>
      <c r="C513" s="103"/>
      <c r="D513" s="103"/>
      <c r="E513" s="104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99" t="s">
        <v>233</v>
      </c>
      <c r="B514" s="100"/>
      <c r="C514" s="100"/>
      <c r="D514" s="100"/>
      <c r="E514" s="101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230</v>
      </c>
      <c r="B527" s="103"/>
      <c r="C527" s="103"/>
      <c r="D527" s="103"/>
      <c r="E527" s="104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257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2" t="s">
        <v>232</v>
      </c>
      <c r="B540" s="103"/>
      <c r="C540" s="103"/>
      <c r="D540" s="103"/>
      <c r="E540" s="104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231</v>
      </c>
      <c r="O540" s="39">
        <v>1240140</v>
      </c>
    </row>
    <row r="541" spans="1:15" ht="18" customHeight="1">
      <c r="A541" s="99" t="s">
        <v>233</v>
      </c>
      <c r="B541" s="100"/>
      <c r="C541" s="100"/>
      <c r="D541" s="100"/>
      <c r="E541" s="101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234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228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206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258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228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228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228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228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228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228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228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228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230</v>
      </c>
      <c r="B554" s="103"/>
      <c r="C554" s="103"/>
      <c r="D554" s="103"/>
      <c r="E554" s="104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231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228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228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228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228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228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228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228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228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228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228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228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228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232</v>
      </c>
      <c r="B567" s="103"/>
      <c r="C567" s="103"/>
      <c r="D567" s="103"/>
      <c r="E567" s="104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231</v>
      </c>
      <c r="O567" s="39">
        <v>1482110</v>
      </c>
    </row>
    <row r="568" spans="1:15" ht="18" customHeight="1">
      <c r="A568" s="99" t="s">
        <v>233</v>
      </c>
      <c r="B568" s="100"/>
      <c r="C568" s="100"/>
      <c r="D568" s="100"/>
      <c r="E568" s="101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234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230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232</v>
      </c>
      <c r="B594" s="103"/>
      <c r="C594" s="103"/>
      <c r="D594" s="103"/>
      <c r="E594" s="10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99" t="s">
        <v>233</v>
      </c>
      <c r="B595" s="100"/>
      <c r="C595" s="100"/>
      <c r="D595" s="100"/>
      <c r="E595" s="10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230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232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99" t="s">
        <v>233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230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232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99" t="s">
        <v>233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230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232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99" t="s">
        <v>233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230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232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99" t="s">
        <v>233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230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232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99" t="s">
        <v>233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230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232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99" t="s">
        <v>233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230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232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99" t="s">
        <v>233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230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2" t="s">
        <v>232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31" activePane="bottomLeft" state="frozen"/>
      <selection pane="bottomLeft" activeCell="O568" sqref="O56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2" t="s">
        <v>230</v>
      </c>
      <c r="B14" s="103"/>
      <c r="C14" s="103"/>
      <c r="D14" s="103"/>
      <c r="E14" s="10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2" t="s">
        <v>232</v>
      </c>
      <c r="B27" s="103"/>
      <c r="C27" s="103"/>
      <c r="D27" s="103"/>
      <c r="E27" s="10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99" t="s">
        <v>233</v>
      </c>
      <c r="B28" s="100"/>
      <c r="C28" s="100"/>
      <c r="D28" s="100"/>
      <c r="E28" s="10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2" t="s">
        <v>230</v>
      </c>
      <c r="B41" s="103"/>
      <c r="C41" s="103"/>
      <c r="D41" s="103"/>
      <c r="E41" s="10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2" t="s">
        <v>232</v>
      </c>
      <c r="B54" s="103"/>
      <c r="C54" s="103"/>
      <c r="D54" s="103"/>
      <c r="E54" s="10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99" t="s">
        <v>233</v>
      </c>
      <c r="B55" s="100"/>
      <c r="C55" s="100"/>
      <c r="D55" s="100"/>
      <c r="E55" s="10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2" t="s">
        <v>230</v>
      </c>
      <c r="B68" s="103"/>
      <c r="C68" s="103"/>
      <c r="D68" s="103"/>
      <c r="E68" s="10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2" t="s">
        <v>232</v>
      </c>
      <c r="B81" s="103"/>
      <c r="C81" s="103"/>
      <c r="D81" s="103"/>
      <c r="E81" s="10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99" t="s">
        <v>233</v>
      </c>
      <c r="B82" s="100"/>
      <c r="C82" s="100"/>
      <c r="D82" s="100"/>
      <c r="E82" s="10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2" t="s">
        <v>230</v>
      </c>
      <c r="B95" s="103"/>
      <c r="C95" s="103"/>
      <c r="D95" s="103"/>
      <c r="E95" s="10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2" t="s">
        <v>232</v>
      </c>
      <c r="B108" s="103"/>
      <c r="C108" s="103"/>
      <c r="D108" s="103"/>
      <c r="E108" s="10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99" t="s">
        <v>233</v>
      </c>
      <c r="B109" s="100"/>
      <c r="C109" s="100"/>
      <c r="D109" s="100"/>
      <c r="E109" s="10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2" t="s">
        <v>230</v>
      </c>
      <c r="B122" s="103"/>
      <c r="C122" s="103"/>
      <c r="D122" s="103"/>
      <c r="E122" s="10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2" t="s">
        <v>232</v>
      </c>
      <c r="B135" s="103"/>
      <c r="C135" s="103"/>
      <c r="D135" s="103"/>
      <c r="E135" s="10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99" t="s">
        <v>233</v>
      </c>
      <c r="B136" s="100"/>
      <c r="C136" s="100"/>
      <c r="D136" s="100"/>
      <c r="E136" s="101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2" t="s">
        <v>230</v>
      </c>
      <c r="B149" s="103"/>
      <c r="C149" s="103"/>
      <c r="D149" s="103"/>
      <c r="E149" s="10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2" t="s">
        <v>232</v>
      </c>
      <c r="B162" s="103"/>
      <c r="C162" s="103"/>
      <c r="D162" s="103"/>
      <c r="E162" s="10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99" t="s">
        <v>233</v>
      </c>
      <c r="B163" s="100"/>
      <c r="C163" s="100"/>
      <c r="D163" s="100"/>
      <c r="E163" s="101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2" t="s">
        <v>230</v>
      </c>
      <c r="B176" s="103"/>
      <c r="C176" s="103"/>
      <c r="D176" s="103"/>
      <c r="E176" s="10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2" t="s">
        <v>232</v>
      </c>
      <c r="B189" s="103"/>
      <c r="C189" s="103"/>
      <c r="D189" s="103"/>
      <c r="E189" s="10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99" t="s">
        <v>233</v>
      </c>
      <c r="B190" s="100"/>
      <c r="C190" s="100"/>
      <c r="D190" s="100"/>
      <c r="E190" s="10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2" t="s">
        <v>230</v>
      </c>
      <c r="B203" s="103"/>
      <c r="C203" s="103"/>
      <c r="D203" s="103"/>
      <c r="E203" s="10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232</v>
      </c>
      <c r="B216" s="103"/>
      <c r="C216" s="103"/>
      <c r="D216" s="103"/>
      <c r="E216" s="10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99" t="s">
        <v>233</v>
      </c>
      <c r="B217" s="100"/>
      <c r="C217" s="100"/>
      <c r="D217" s="100"/>
      <c r="E217" s="101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232</v>
      </c>
      <c r="B243" s="103"/>
      <c r="C243" s="103"/>
      <c r="D243" s="103"/>
      <c r="E243" s="10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99" t="s">
        <v>233</v>
      </c>
      <c r="B244" s="100"/>
      <c r="C244" s="100"/>
      <c r="D244" s="100"/>
      <c r="E244" s="101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230</v>
      </c>
      <c r="B257" s="103"/>
      <c r="C257" s="103"/>
      <c r="D257" s="103"/>
      <c r="E257" s="10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232</v>
      </c>
      <c r="B270" s="103"/>
      <c r="C270" s="103"/>
      <c r="D270" s="103"/>
      <c r="E270" s="10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99" t="s">
        <v>233</v>
      </c>
      <c r="B271" s="100"/>
      <c r="C271" s="100"/>
      <c r="D271" s="100"/>
      <c r="E271" s="101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230</v>
      </c>
      <c r="B284" s="103"/>
      <c r="C284" s="103"/>
      <c r="D284" s="103"/>
      <c r="E284" s="10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2" t="s">
        <v>232</v>
      </c>
      <c r="B297" s="103"/>
      <c r="C297" s="103"/>
      <c r="D297" s="103"/>
      <c r="E297" s="10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99" t="s">
        <v>233</v>
      </c>
      <c r="B298" s="100"/>
      <c r="C298" s="100"/>
      <c r="D298" s="100"/>
      <c r="E298" s="101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230</v>
      </c>
      <c r="B311" s="103"/>
      <c r="C311" s="103"/>
      <c r="D311" s="103"/>
      <c r="E311" s="10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232</v>
      </c>
      <c r="B324" s="103"/>
      <c r="C324" s="103"/>
      <c r="D324" s="103"/>
      <c r="E324" s="10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99" t="s">
        <v>233</v>
      </c>
      <c r="B325" s="100"/>
      <c r="C325" s="100"/>
      <c r="D325" s="100"/>
      <c r="E325" s="101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230</v>
      </c>
      <c r="B338" s="103"/>
      <c r="C338" s="103"/>
      <c r="D338" s="103"/>
      <c r="E338" s="10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232</v>
      </c>
      <c r="B351" s="103"/>
      <c r="C351" s="103"/>
      <c r="D351" s="103"/>
      <c r="E351" s="10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99" t="s">
        <v>233</v>
      </c>
      <c r="B352" s="100"/>
      <c r="C352" s="100"/>
      <c r="D352" s="100"/>
      <c r="E352" s="101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230</v>
      </c>
      <c r="B365" s="103"/>
      <c r="C365" s="103"/>
      <c r="D365" s="103"/>
      <c r="E365" s="10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4.1259027777414303E-2</v>
      </c>
      <c r="N377" s="46"/>
      <c r="O377" s="47"/>
    </row>
    <row r="378" spans="1:15" ht="15.75" customHeight="1">
      <c r="A378" s="102" t="s">
        <v>232</v>
      </c>
      <c r="B378" s="103"/>
      <c r="C378" s="103"/>
      <c r="D378" s="103"/>
      <c r="E378" s="104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0.19889791666630319</v>
      </c>
      <c r="N378" s="36" t="s">
        <v>231</v>
      </c>
      <c r="O378" s="77">
        <v>511980</v>
      </c>
    </row>
    <row r="379" spans="1:15" ht="18" customHeight="1">
      <c r="A379" s="99" t="s">
        <v>233</v>
      </c>
      <c r="B379" s="100"/>
      <c r="C379" s="100"/>
      <c r="D379" s="100"/>
      <c r="E379" s="101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0.30862013888852535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230</v>
      </c>
      <c r="B392" s="103"/>
      <c r="C392" s="103"/>
      <c r="D392" s="103"/>
      <c r="E392" s="104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232</v>
      </c>
      <c r="B405" s="103"/>
      <c r="C405" s="103"/>
      <c r="D405" s="103"/>
      <c r="E405" s="104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99" t="s">
        <v>233</v>
      </c>
      <c r="B406" s="100"/>
      <c r="C406" s="100"/>
      <c r="D406" s="100"/>
      <c r="E406" s="101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230</v>
      </c>
      <c r="B419" s="103"/>
      <c r="C419" s="103"/>
      <c r="D419" s="103"/>
      <c r="E419" s="104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1.9731250002223533E-2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0.1905645833355569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0.33570347222444574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230</v>
      </c>
      <c r="B446" s="103"/>
      <c r="C446" s="103"/>
      <c r="D446" s="103"/>
      <c r="E446" s="104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232</v>
      </c>
      <c r="B459" s="103"/>
      <c r="C459" s="103"/>
      <c r="D459" s="103"/>
      <c r="E459" s="104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99" t="s">
        <v>233</v>
      </c>
      <c r="B460" s="100"/>
      <c r="C460" s="100"/>
      <c r="D460" s="100"/>
      <c r="E460" s="101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230</v>
      </c>
      <c r="B473" s="103"/>
      <c r="C473" s="103"/>
      <c r="D473" s="103"/>
      <c r="E473" s="104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232</v>
      </c>
      <c r="B486" s="103"/>
      <c r="C486" s="103"/>
      <c r="D486" s="103"/>
      <c r="E486" s="104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99" t="s">
        <v>233</v>
      </c>
      <c r="B487" s="100"/>
      <c r="C487" s="100"/>
      <c r="D487" s="100"/>
      <c r="E487" s="101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230</v>
      </c>
      <c r="B500" s="103"/>
      <c r="C500" s="103"/>
      <c r="D500" s="103"/>
      <c r="E500" s="104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230</v>
      </c>
      <c r="B527" s="103"/>
      <c r="C527" s="103"/>
      <c r="D527" s="103"/>
      <c r="E527" s="104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2" t="s">
        <v>232</v>
      </c>
      <c r="B540" s="103"/>
      <c r="C540" s="103"/>
      <c r="D540" s="103"/>
      <c r="E540" s="104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231</v>
      </c>
      <c r="O540" s="77">
        <v>548610</v>
      </c>
    </row>
    <row r="541" spans="1:15" ht="18" customHeight="1">
      <c r="A541" s="99" t="s">
        <v>233</v>
      </c>
      <c r="B541" s="100"/>
      <c r="C541" s="100"/>
      <c r="D541" s="100"/>
      <c r="E541" s="101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234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230</v>
      </c>
      <c r="B554" s="103"/>
      <c r="C554" s="103"/>
      <c r="D554" s="103"/>
      <c r="E554" s="104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231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232</v>
      </c>
      <c r="B567" s="103"/>
      <c r="C567" s="103"/>
      <c r="D567" s="103"/>
      <c r="E567" s="104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231</v>
      </c>
      <c r="O567" s="77">
        <v>722660</v>
      </c>
    </row>
    <row r="568" spans="1:15" ht="18" customHeight="1">
      <c r="A568" s="99" t="s">
        <v>233</v>
      </c>
      <c r="B568" s="100"/>
      <c r="C568" s="100"/>
      <c r="D568" s="100"/>
      <c r="E568" s="101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234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230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232</v>
      </c>
      <c r="B594" s="103"/>
      <c r="C594" s="103"/>
      <c r="D594" s="103"/>
      <c r="E594" s="10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99" t="s">
        <v>233</v>
      </c>
      <c r="B595" s="100"/>
      <c r="C595" s="100"/>
      <c r="D595" s="100"/>
      <c r="E595" s="10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230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232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99" t="s">
        <v>233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230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232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99" t="s">
        <v>233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230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232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99" t="s">
        <v>233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230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232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99" t="s">
        <v>233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230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232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99" t="s">
        <v>233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230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232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99" t="s">
        <v>233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230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232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99" t="s">
        <v>233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230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2" t="s">
        <v>232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99" t="s">
        <v>233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30" zoomScale="50" zoomScaleNormal="50" workbookViewId="0">
      <selection activeCell="O568" sqref="O56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304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305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2" t="s">
        <v>230</v>
      </c>
      <c r="B14" s="103"/>
      <c r="C14" s="103"/>
      <c r="D14" s="103"/>
      <c r="E14" s="10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2" t="s">
        <v>232</v>
      </c>
      <c r="B27" s="103"/>
      <c r="C27" s="103"/>
      <c r="D27" s="103"/>
      <c r="E27" s="10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99" t="s">
        <v>233</v>
      </c>
      <c r="B28" s="100"/>
      <c r="C28" s="100"/>
      <c r="D28" s="100"/>
      <c r="E28" s="10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230</v>
      </c>
      <c r="B41" s="103"/>
      <c r="C41" s="103"/>
      <c r="D41" s="103"/>
      <c r="E41" s="10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232</v>
      </c>
      <c r="B54" s="103"/>
      <c r="C54" s="103"/>
      <c r="D54" s="103"/>
      <c r="E54" s="10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99" t="s">
        <v>233</v>
      </c>
      <c r="B55" s="100"/>
      <c r="C55" s="100"/>
      <c r="D55" s="100"/>
      <c r="E55" s="10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307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230</v>
      </c>
      <c r="B68" s="103"/>
      <c r="C68" s="103"/>
      <c r="D68" s="103"/>
      <c r="E68" s="10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232</v>
      </c>
      <c r="B81" s="103"/>
      <c r="C81" s="103"/>
      <c r="D81" s="103"/>
      <c r="E81" s="10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99" t="s">
        <v>233</v>
      </c>
      <c r="B82" s="100"/>
      <c r="C82" s="100"/>
      <c r="D82" s="100"/>
      <c r="E82" s="10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308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230</v>
      </c>
      <c r="B95" s="103"/>
      <c r="C95" s="103"/>
      <c r="D95" s="103"/>
      <c r="E95" s="10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232</v>
      </c>
      <c r="B108" s="103"/>
      <c r="C108" s="103"/>
      <c r="D108" s="103"/>
      <c r="E108" s="10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99" t="s">
        <v>233</v>
      </c>
      <c r="B109" s="100"/>
      <c r="C109" s="100"/>
      <c r="D109" s="100"/>
      <c r="E109" s="10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230</v>
      </c>
      <c r="B122" s="103"/>
      <c r="C122" s="103"/>
      <c r="D122" s="103"/>
      <c r="E122" s="10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232</v>
      </c>
      <c r="B135" s="103"/>
      <c r="C135" s="103"/>
      <c r="D135" s="103"/>
      <c r="E135" s="10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99" t="s">
        <v>233</v>
      </c>
      <c r="B136" s="100"/>
      <c r="C136" s="100"/>
      <c r="D136" s="100"/>
      <c r="E136" s="101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272</v>
      </c>
      <c r="K141" s="29">
        <v>0.71597222222222223</v>
      </c>
      <c r="L141" s="29" t="s">
        <v>310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230</v>
      </c>
      <c r="B149" s="103"/>
      <c r="C149" s="103"/>
      <c r="D149" s="103"/>
      <c r="E149" s="10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232</v>
      </c>
      <c r="B162" s="103"/>
      <c r="C162" s="103"/>
      <c r="D162" s="103"/>
      <c r="E162" s="10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99" t="s">
        <v>233</v>
      </c>
      <c r="B163" s="100"/>
      <c r="C163" s="100"/>
      <c r="D163" s="100"/>
      <c r="E163" s="101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312</v>
      </c>
      <c r="N166" s="27" t="s">
        <v>313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230</v>
      </c>
      <c r="B176" s="103"/>
      <c r="C176" s="103"/>
      <c r="D176" s="103"/>
      <c r="E176" s="10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232</v>
      </c>
      <c r="B189" s="103"/>
      <c r="C189" s="103"/>
      <c r="D189" s="103"/>
      <c r="E189" s="10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99" t="s">
        <v>233</v>
      </c>
      <c r="B190" s="100"/>
      <c r="C190" s="100"/>
      <c r="D190" s="100"/>
      <c r="E190" s="101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314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230</v>
      </c>
      <c r="B203" s="103"/>
      <c r="C203" s="103"/>
      <c r="D203" s="103"/>
      <c r="E203" s="10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2" t="s">
        <v>232</v>
      </c>
      <c r="B216" s="103"/>
      <c r="C216" s="103"/>
      <c r="D216" s="103"/>
      <c r="E216" s="10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99" t="s">
        <v>233</v>
      </c>
      <c r="B217" s="100"/>
      <c r="C217" s="100"/>
      <c r="D217" s="100"/>
      <c r="E217" s="101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2" t="s">
        <v>230</v>
      </c>
      <c r="B230" s="103"/>
      <c r="C230" s="103"/>
      <c r="D230" s="103"/>
      <c r="E230" s="10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2" t="s">
        <v>232</v>
      </c>
      <c r="B243" s="103"/>
      <c r="C243" s="103"/>
      <c r="D243" s="103"/>
      <c r="E243" s="10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99" t="s">
        <v>233</v>
      </c>
      <c r="B244" s="100"/>
      <c r="C244" s="100"/>
      <c r="D244" s="100"/>
      <c r="E244" s="101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2" t="s">
        <v>230</v>
      </c>
      <c r="B257" s="103"/>
      <c r="C257" s="103"/>
      <c r="D257" s="103"/>
      <c r="E257" s="10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315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316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2" t="s">
        <v>232</v>
      </c>
      <c r="B270" s="103"/>
      <c r="C270" s="103"/>
      <c r="D270" s="103"/>
      <c r="E270" s="10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99" t="s">
        <v>233</v>
      </c>
      <c r="B271" s="100"/>
      <c r="C271" s="100"/>
      <c r="D271" s="100"/>
      <c r="E271" s="101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2" t="s">
        <v>230</v>
      </c>
      <c r="B284" s="103"/>
      <c r="C284" s="103"/>
      <c r="D284" s="103"/>
      <c r="E284" s="10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2" t="s">
        <v>232</v>
      </c>
      <c r="B297" s="103"/>
      <c r="C297" s="103"/>
      <c r="D297" s="103"/>
      <c r="E297" s="10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99" t="s">
        <v>233</v>
      </c>
      <c r="B298" s="100"/>
      <c r="C298" s="100"/>
      <c r="D298" s="100"/>
      <c r="E298" s="101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2" t="s">
        <v>230</v>
      </c>
      <c r="B311" s="103"/>
      <c r="C311" s="103"/>
      <c r="D311" s="103"/>
      <c r="E311" s="10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320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2" t="s">
        <v>232</v>
      </c>
      <c r="B324" s="103"/>
      <c r="C324" s="103"/>
      <c r="D324" s="103"/>
      <c r="E324" s="10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99" t="s">
        <v>233</v>
      </c>
      <c r="B325" s="100"/>
      <c r="C325" s="100"/>
      <c r="D325" s="100"/>
      <c r="E325" s="101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2" t="s">
        <v>230</v>
      </c>
      <c r="B338" s="103"/>
      <c r="C338" s="103"/>
      <c r="D338" s="103"/>
      <c r="E338" s="10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2" t="s">
        <v>232</v>
      </c>
      <c r="B351" s="103"/>
      <c r="C351" s="103"/>
      <c r="D351" s="103"/>
      <c r="E351" s="10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99" t="s">
        <v>233</v>
      </c>
      <c r="B352" s="100"/>
      <c r="C352" s="100"/>
      <c r="D352" s="100"/>
      <c r="E352" s="101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2" t="s">
        <v>230</v>
      </c>
      <c r="B365" s="103"/>
      <c r="C365" s="103"/>
      <c r="D365" s="103"/>
      <c r="E365" s="10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2" t="s">
        <v>232</v>
      </c>
      <c r="B378" s="103"/>
      <c r="C378" s="103"/>
      <c r="D378" s="103"/>
      <c r="E378" s="104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99" t="s">
        <v>233</v>
      </c>
      <c r="B379" s="100"/>
      <c r="C379" s="100"/>
      <c r="D379" s="100"/>
      <c r="E379" s="101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2" t="s">
        <v>230</v>
      </c>
      <c r="B392" s="103"/>
      <c r="C392" s="103"/>
      <c r="D392" s="103"/>
      <c r="E392" s="104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2" t="s">
        <v>232</v>
      </c>
      <c r="B405" s="103"/>
      <c r="C405" s="103"/>
      <c r="D405" s="103"/>
      <c r="E405" s="104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99" t="s">
        <v>233</v>
      </c>
      <c r="B406" s="100"/>
      <c r="C406" s="100"/>
      <c r="D406" s="100"/>
      <c r="E406" s="101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2" t="s">
        <v>230</v>
      </c>
      <c r="B419" s="103"/>
      <c r="C419" s="103"/>
      <c r="D419" s="103"/>
      <c r="E419" s="104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2" t="s">
        <v>232</v>
      </c>
      <c r="B432" s="103"/>
      <c r="C432" s="103"/>
      <c r="D432" s="103"/>
      <c r="E432" s="104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99" t="s">
        <v>233</v>
      </c>
      <c r="B433" s="100"/>
      <c r="C433" s="100"/>
      <c r="D433" s="100"/>
      <c r="E433" s="101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2" t="s">
        <v>230</v>
      </c>
      <c r="B446" s="103"/>
      <c r="C446" s="103"/>
      <c r="D446" s="103"/>
      <c r="E446" s="104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2" t="s">
        <v>232</v>
      </c>
      <c r="B459" s="103"/>
      <c r="C459" s="103"/>
      <c r="D459" s="103"/>
      <c r="E459" s="104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99" t="s">
        <v>233</v>
      </c>
      <c r="B460" s="100"/>
      <c r="C460" s="100"/>
      <c r="D460" s="100"/>
      <c r="E460" s="101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2" t="s">
        <v>230</v>
      </c>
      <c r="B473" s="103"/>
      <c r="C473" s="103"/>
      <c r="D473" s="103"/>
      <c r="E473" s="104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2" t="s">
        <v>232</v>
      </c>
      <c r="B486" s="103"/>
      <c r="C486" s="103"/>
      <c r="D486" s="103"/>
      <c r="E486" s="104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99" t="s">
        <v>233</v>
      </c>
      <c r="B487" s="100"/>
      <c r="C487" s="100"/>
      <c r="D487" s="100"/>
      <c r="E487" s="101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324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2" t="s">
        <v>230</v>
      </c>
      <c r="B500" s="103"/>
      <c r="C500" s="103"/>
      <c r="D500" s="103"/>
      <c r="E500" s="104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2" t="s">
        <v>232</v>
      </c>
      <c r="B513" s="103"/>
      <c r="C513" s="103"/>
      <c r="D513" s="103"/>
      <c r="E513" s="104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99" t="s">
        <v>233</v>
      </c>
      <c r="B514" s="100"/>
      <c r="C514" s="100"/>
      <c r="D514" s="100"/>
      <c r="E514" s="101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2" t="s">
        <v>230</v>
      </c>
      <c r="B527" s="103"/>
      <c r="C527" s="103"/>
      <c r="D527" s="103"/>
      <c r="E527" s="104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325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326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327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2" t="s">
        <v>232</v>
      </c>
      <c r="B540" s="103"/>
      <c r="C540" s="103"/>
      <c r="D540" s="103"/>
      <c r="E540" s="104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231</v>
      </c>
      <c r="O540" s="39">
        <v>194990</v>
      </c>
    </row>
    <row r="541" spans="1:15" ht="18" customHeight="1">
      <c r="A541" s="99" t="s">
        <v>233</v>
      </c>
      <c r="B541" s="100"/>
      <c r="C541" s="100"/>
      <c r="D541" s="100"/>
      <c r="E541" s="101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234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328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2" t="s">
        <v>230</v>
      </c>
      <c r="B554" s="103"/>
      <c r="C554" s="103"/>
      <c r="D554" s="103"/>
      <c r="E554" s="104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231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329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2" t="s">
        <v>232</v>
      </c>
      <c r="B567" s="103"/>
      <c r="C567" s="103"/>
      <c r="D567" s="103"/>
      <c r="E567" s="104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231</v>
      </c>
      <c r="O567" s="39">
        <v>315860</v>
      </c>
    </row>
    <row r="568" spans="1:15" ht="18" customHeight="1">
      <c r="A568" s="99" t="s">
        <v>233</v>
      </c>
      <c r="B568" s="100"/>
      <c r="C568" s="100"/>
      <c r="D568" s="100"/>
      <c r="E568" s="101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234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2" t="s">
        <v>230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2" t="s">
        <v>232</v>
      </c>
      <c r="B594" s="103"/>
      <c r="C594" s="103"/>
      <c r="D594" s="103"/>
      <c r="E594" s="10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99" t="s">
        <v>233</v>
      </c>
      <c r="B595" s="100"/>
      <c r="C595" s="100"/>
      <c r="D595" s="100"/>
      <c r="E595" s="10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2" t="s">
        <v>230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2" t="s">
        <v>232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99" t="s">
        <v>233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2" t="s">
        <v>230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2" t="s">
        <v>232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99" t="s">
        <v>233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2" t="s">
        <v>230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2" t="s">
        <v>232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99" t="s">
        <v>233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2" t="s">
        <v>230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2" t="s">
        <v>232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99" t="s">
        <v>233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2" t="s">
        <v>230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2" t="s">
        <v>232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99" t="s">
        <v>233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2" t="s">
        <v>230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2" t="s">
        <v>232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99" t="s">
        <v>233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2" t="s">
        <v>230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2" t="s">
        <v>232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99" t="s">
        <v>233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2" t="s">
        <v>230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2" t="s">
        <v>232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99" t="s">
        <v>233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530" activePane="bottomLeft" state="frozen"/>
      <selection pane="bottomLeft" activeCell="O568" sqref="O56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2" t="s">
        <v>230</v>
      </c>
      <c r="B14" s="103"/>
      <c r="C14" s="103"/>
      <c r="D14" s="103"/>
      <c r="E14" s="10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2" t="s">
        <v>232</v>
      </c>
      <c r="B27" s="103"/>
      <c r="C27" s="103"/>
      <c r="D27" s="103"/>
      <c r="E27" s="10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99" t="s">
        <v>233</v>
      </c>
      <c r="B28" s="100"/>
      <c r="C28" s="100"/>
      <c r="D28" s="100"/>
      <c r="E28" s="10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2" t="s">
        <v>230</v>
      </c>
      <c r="B41" s="103"/>
      <c r="C41" s="103"/>
      <c r="D41" s="103"/>
      <c r="E41" s="10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2" t="s">
        <v>232</v>
      </c>
      <c r="B54" s="103"/>
      <c r="C54" s="103"/>
      <c r="D54" s="103"/>
      <c r="E54" s="10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99" t="s">
        <v>233</v>
      </c>
      <c r="B55" s="100"/>
      <c r="C55" s="100"/>
      <c r="D55" s="100"/>
      <c r="E55" s="10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334</v>
      </c>
      <c r="L58" s="29">
        <v>0.54097222222222219</v>
      </c>
      <c r="M58" s="30" t="str">
        <f t="shared" ca="1" si="13"/>
        <v/>
      </c>
      <c r="N58" s="27" t="s">
        <v>335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2" t="s">
        <v>230</v>
      </c>
      <c r="B68" s="103"/>
      <c r="C68" s="103"/>
      <c r="D68" s="103"/>
      <c r="E68" s="10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304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2" t="s">
        <v>232</v>
      </c>
      <c r="B81" s="103"/>
      <c r="C81" s="103"/>
      <c r="D81" s="103"/>
      <c r="E81" s="10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99" t="s">
        <v>233</v>
      </c>
      <c r="B82" s="100"/>
      <c r="C82" s="100"/>
      <c r="D82" s="100"/>
      <c r="E82" s="10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2" t="s">
        <v>230</v>
      </c>
      <c r="B95" s="103"/>
      <c r="C95" s="103"/>
      <c r="D95" s="103"/>
      <c r="E95" s="10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2" t="s">
        <v>232</v>
      </c>
      <c r="B108" s="103"/>
      <c r="C108" s="103"/>
      <c r="D108" s="103"/>
      <c r="E108" s="10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99" t="s">
        <v>233</v>
      </c>
      <c r="B109" s="100"/>
      <c r="C109" s="100"/>
      <c r="D109" s="100"/>
      <c r="E109" s="10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2" t="s">
        <v>230</v>
      </c>
      <c r="B122" s="103"/>
      <c r="C122" s="103"/>
      <c r="D122" s="103"/>
      <c r="E122" s="10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3.1536805559881032E-2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2" t="s">
        <v>232</v>
      </c>
      <c r="B135" s="103"/>
      <c r="C135" s="103"/>
      <c r="D135" s="103"/>
      <c r="E135" s="10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0.23084236111543666</v>
      </c>
      <c r="N135" s="36" t="s">
        <v>231</v>
      </c>
      <c r="O135" s="39">
        <v>729290</v>
      </c>
    </row>
    <row r="136" spans="1:18" ht="18" customHeight="1">
      <c r="A136" s="99" t="s">
        <v>233</v>
      </c>
      <c r="B136" s="100"/>
      <c r="C136" s="100"/>
      <c r="D136" s="100"/>
      <c r="E136" s="101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0.59820347222654768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230</v>
      </c>
      <c r="B149" s="103"/>
      <c r="C149" s="103"/>
      <c r="D149" s="103"/>
      <c r="E149" s="10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232</v>
      </c>
      <c r="B162" s="103"/>
      <c r="C162" s="103"/>
      <c r="D162" s="103"/>
      <c r="E162" s="10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99" t="s">
        <v>233</v>
      </c>
      <c r="B163" s="100"/>
      <c r="C163" s="100"/>
      <c r="D163" s="100"/>
      <c r="E163" s="101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230</v>
      </c>
      <c r="B176" s="103"/>
      <c r="C176" s="103"/>
      <c r="D176" s="103"/>
      <c r="E176" s="10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232</v>
      </c>
      <c r="B189" s="103"/>
      <c r="C189" s="103"/>
      <c r="D189" s="103"/>
      <c r="E189" s="10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99" t="s">
        <v>233</v>
      </c>
      <c r="B190" s="100"/>
      <c r="C190" s="100"/>
      <c r="D190" s="100"/>
      <c r="E190" s="101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230</v>
      </c>
      <c r="B203" s="103"/>
      <c r="C203" s="103"/>
      <c r="D203" s="103"/>
      <c r="E203" s="10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2" t="s">
        <v>232</v>
      </c>
      <c r="B216" s="103"/>
      <c r="C216" s="103"/>
      <c r="D216" s="103"/>
      <c r="E216" s="10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99" t="s">
        <v>233</v>
      </c>
      <c r="B217" s="100"/>
      <c r="C217" s="100"/>
      <c r="D217" s="100"/>
      <c r="E217" s="101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2" t="s">
        <v>230</v>
      </c>
      <c r="B230" s="103"/>
      <c r="C230" s="103"/>
      <c r="D230" s="103"/>
      <c r="E230" s="10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2" t="s">
        <v>232</v>
      </c>
      <c r="B243" s="103"/>
      <c r="C243" s="103"/>
      <c r="D243" s="103"/>
      <c r="E243" s="10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99" t="s">
        <v>233</v>
      </c>
      <c r="B244" s="100"/>
      <c r="C244" s="100"/>
      <c r="D244" s="100"/>
      <c r="E244" s="101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2" t="s">
        <v>230</v>
      </c>
      <c r="B257" s="103"/>
      <c r="C257" s="103"/>
      <c r="D257" s="103"/>
      <c r="E257" s="10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2" t="s">
        <v>232</v>
      </c>
      <c r="B270" s="103"/>
      <c r="C270" s="103"/>
      <c r="D270" s="103"/>
      <c r="E270" s="10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99" t="s">
        <v>233</v>
      </c>
      <c r="B271" s="100"/>
      <c r="C271" s="100"/>
      <c r="D271" s="100"/>
      <c r="E271" s="101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2" t="s">
        <v>230</v>
      </c>
      <c r="B284" s="103"/>
      <c r="C284" s="103"/>
      <c r="D284" s="103"/>
      <c r="E284" s="10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2" t="s">
        <v>232</v>
      </c>
      <c r="B297" s="103"/>
      <c r="C297" s="103"/>
      <c r="D297" s="103"/>
      <c r="E297" s="10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99" t="s">
        <v>233</v>
      </c>
      <c r="B298" s="100"/>
      <c r="C298" s="100"/>
      <c r="D298" s="100"/>
      <c r="E298" s="101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2" t="s">
        <v>230</v>
      </c>
      <c r="B311" s="103"/>
      <c r="C311" s="103"/>
      <c r="D311" s="103"/>
      <c r="E311" s="10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2" t="s">
        <v>232</v>
      </c>
      <c r="B324" s="103"/>
      <c r="C324" s="103"/>
      <c r="D324" s="103"/>
      <c r="E324" s="10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99" t="s">
        <v>233</v>
      </c>
      <c r="B325" s="100"/>
      <c r="C325" s="100"/>
      <c r="D325" s="100"/>
      <c r="E325" s="101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2" t="s">
        <v>230</v>
      </c>
      <c r="B338" s="103"/>
      <c r="C338" s="103"/>
      <c r="D338" s="103"/>
      <c r="E338" s="10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2" t="s">
        <v>232</v>
      </c>
      <c r="B351" s="103"/>
      <c r="C351" s="103"/>
      <c r="D351" s="103"/>
      <c r="E351" s="10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99" t="s">
        <v>233</v>
      </c>
      <c r="B352" s="100"/>
      <c r="C352" s="100"/>
      <c r="D352" s="100"/>
      <c r="E352" s="101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2" t="s">
        <v>232</v>
      </c>
      <c r="B378" s="103"/>
      <c r="C378" s="103"/>
      <c r="D378" s="103"/>
      <c r="E378" s="104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99" t="s">
        <v>233</v>
      </c>
      <c r="B379" s="100"/>
      <c r="C379" s="100"/>
      <c r="D379" s="100"/>
      <c r="E379" s="101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2" t="s">
        <v>230</v>
      </c>
      <c r="B392" s="103"/>
      <c r="C392" s="103"/>
      <c r="D392" s="103"/>
      <c r="E392" s="104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2" t="s">
        <v>232</v>
      </c>
      <c r="B405" s="103"/>
      <c r="C405" s="103"/>
      <c r="D405" s="103"/>
      <c r="E405" s="104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99" t="s">
        <v>233</v>
      </c>
      <c r="B406" s="100"/>
      <c r="C406" s="100"/>
      <c r="D406" s="100"/>
      <c r="E406" s="101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2" t="s">
        <v>230</v>
      </c>
      <c r="B419" s="103"/>
      <c r="C419" s="103"/>
      <c r="D419" s="103"/>
      <c r="E419" s="104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2" t="s">
        <v>232</v>
      </c>
      <c r="B432" s="103"/>
      <c r="C432" s="103"/>
      <c r="D432" s="103"/>
      <c r="E432" s="104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99" t="s">
        <v>233</v>
      </c>
      <c r="B433" s="100"/>
      <c r="C433" s="100"/>
      <c r="D433" s="100"/>
      <c r="E433" s="101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2" t="s">
        <v>230</v>
      </c>
      <c r="B446" s="103"/>
      <c r="C446" s="103"/>
      <c r="D446" s="103"/>
      <c r="E446" s="104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363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2" t="s">
        <v>232</v>
      </c>
      <c r="B459" s="103"/>
      <c r="C459" s="103"/>
      <c r="D459" s="103"/>
      <c r="E459" s="104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99" t="s">
        <v>233</v>
      </c>
      <c r="B460" s="100"/>
      <c r="C460" s="100"/>
      <c r="D460" s="100"/>
      <c r="E460" s="101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364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365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2" t="s">
        <v>230</v>
      </c>
      <c r="B473" s="103"/>
      <c r="C473" s="103"/>
      <c r="D473" s="103"/>
      <c r="E473" s="104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2" t="s">
        <v>232</v>
      </c>
      <c r="B486" s="103"/>
      <c r="C486" s="103"/>
      <c r="D486" s="103"/>
      <c r="E486" s="104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99" t="s">
        <v>233</v>
      </c>
      <c r="B487" s="100"/>
      <c r="C487" s="100"/>
      <c r="D487" s="100"/>
      <c r="E487" s="101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2" t="s">
        <v>230</v>
      </c>
      <c r="B500" s="103"/>
      <c r="C500" s="103"/>
      <c r="D500" s="103"/>
      <c r="E500" s="104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366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2" t="s">
        <v>232</v>
      </c>
      <c r="B513" s="103"/>
      <c r="C513" s="103"/>
      <c r="D513" s="103"/>
      <c r="E513" s="104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99" t="s">
        <v>233</v>
      </c>
      <c r="B514" s="100"/>
      <c r="C514" s="100"/>
      <c r="D514" s="100"/>
      <c r="E514" s="101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367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368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2" t="s">
        <v>230</v>
      </c>
      <c r="B527" s="103"/>
      <c r="C527" s="103"/>
      <c r="D527" s="103"/>
      <c r="E527" s="104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2" t="s">
        <v>232</v>
      </c>
      <c r="B540" s="103"/>
      <c r="C540" s="103"/>
      <c r="D540" s="103"/>
      <c r="E540" s="104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231</v>
      </c>
      <c r="O540" s="39">
        <v>404370</v>
      </c>
    </row>
    <row r="541" spans="1:15" ht="18" customHeight="1">
      <c r="A541" s="99" t="s">
        <v>233</v>
      </c>
      <c r="B541" s="100"/>
      <c r="C541" s="100"/>
      <c r="D541" s="100"/>
      <c r="E541" s="101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234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369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370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371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2" t="s">
        <v>230</v>
      </c>
      <c r="B554" s="103"/>
      <c r="C554" s="103"/>
      <c r="D554" s="103"/>
      <c r="E554" s="104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231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255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/>
      <c r="M557" s="35">
        <f t="shared" ca="1" si="125"/>
        <v>0.15584236111317296</v>
      </c>
      <c r="N557" s="27" t="s">
        <v>372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255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255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255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255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255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255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255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255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255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2" t="s">
        <v>232</v>
      </c>
      <c r="B567" s="103"/>
      <c r="C567" s="103"/>
      <c r="D567" s="103"/>
      <c r="E567" s="104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0.19542569444650637</v>
      </c>
      <c r="N567" s="36" t="s">
        <v>231</v>
      </c>
      <c r="O567" s="39">
        <v>499820</v>
      </c>
    </row>
    <row r="568" spans="1:15" ht="18" customHeight="1">
      <c r="A568" s="99" t="s">
        <v>233</v>
      </c>
      <c r="B568" s="100"/>
      <c r="C568" s="100"/>
      <c r="D568" s="100"/>
      <c r="E568" s="101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0.37459236111317296</v>
      </c>
      <c r="N568" s="40" t="s">
        <v>234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2" t="s">
        <v>230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2" t="s">
        <v>232</v>
      </c>
      <c r="B594" s="103"/>
      <c r="C594" s="103"/>
      <c r="D594" s="103"/>
      <c r="E594" s="10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99" t="s">
        <v>233</v>
      </c>
      <c r="B595" s="100"/>
      <c r="C595" s="100"/>
      <c r="D595" s="100"/>
      <c r="E595" s="10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2" t="s">
        <v>230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2" t="s">
        <v>232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99" t="s">
        <v>233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2" t="s">
        <v>230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2" t="s">
        <v>232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99" t="s">
        <v>233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2" t="s">
        <v>230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2" t="s">
        <v>232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99" t="s">
        <v>233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2" t="s">
        <v>230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2" t="s">
        <v>232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99" t="s">
        <v>233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2" t="s">
        <v>230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2" t="s">
        <v>232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99" t="s">
        <v>233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2" t="s">
        <v>230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2" t="s">
        <v>232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99" t="s">
        <v>233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2" t="s">
        <v>230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2" t="s">
        <v>232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99" t="s">
        <v>233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2" t="s">
        <v>230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2" t="s">
        <v>232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99" t="s">
        <v>233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2026-07-22T10:44:59Z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