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37" documentId="8_{AF585B22-221D-4780-BB9C-493D365A6A02}" xr6:coauthVersionLast="47" xr6:coauthVersionMax="47" xr10:uidLastSave="{946C276E-4414-41FB-91DA-DF00F10B319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<sst xmlns="http://schemas.openxmlformats.org/spreadsheetml/2006/main" count="4165" uniqueCount="279">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</sst>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03" activePane="bottomLeft" state="frozen"/>
      <selection pane="bottomLeft" activeCell="F235" sqref="F2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109</v>
      </c>
      <c r="G243" s="36">
        <f>SUM(G231:G242)</f>
        <v>545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347</v>
      </c>
      <c r="G244" s="40">
        <f>G230+G243</f>
        <v>1735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09" activePane="bottomLeft" state="frozen"/>
      <selection pane="bottomLeft" activeCell="N235" sqref="N2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47</v>
      </c>
      <c r="G243" s="36">
        <f>SUM(G231:G242)</f>
        <v>197.40000000000003</v>
      </c>
      <c r="H243" s="37"/>
      <c r="I243" s="37"/>
      <c r="J243" s="37"/>
      <c r="K243" s="37"/>
      <c r="L243" s="37"/>
      <c r="M243" s="38">
        <f ca="1">IFERROR(SUM(M231:M242),"")</f>
        <v>0.1319444444444445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162</v>
      </c>
      <c r="G244" s="40">
        <f>G230+G243</f>
        <v>680.40000000000009</v>
      </c>
      <c r="H244" s="41"/>
      <c r="I244" s="41"/>
      <c r="J244" s="41"/>
      <c r="K244" s="41"/>
      <c r="L244" s="41"/>
      <c r="M244" s="42">
        <f ca="1">IFERROR(M230+M243,"")</f>
        <v>0.46250000000000002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6" sqref="F2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53</v>
      </c>
      <c r="G243" s="36">
        <f>SUM(G231:G242)</f>
        <v>222.60000000000002</v>
      </c>
      <c r="H243" s="37"/>
      <c r="I243" s="37"/>
      <c r="J243" s="37"/>
      <c r="K243" s="37"/>
      <c r="L243" s="37"/>
      <c r="M243" s="38">
        <f ca="1">IFERROR(SUM(M231:M242),"")</f>
        <v>2.8472222222222232E-2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155</v>
      </c>
      <c r="G244" s="40">
        <f>G230+G243</f>
        <v>651</v>
      </c>
      <c r="H244" s="41"/>
      <c r="I244" s="41"/>
      <c r="J244" s="41"/>
      <c r="K244" s="41"/>
      <c r="L244" s="41"/>
      <c r="M244" s="42">
        <f ca="1">IFERROR(M230+M243,"")</f>
        <v>6.3888888888888995E-2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L235" sqref="L2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0.79045601851976244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0.98976157407531806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1.3571226851864291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</v>
      </c>
      <c r="H243" s="37"/>
      <c r="I243" s="37"/>
      <c r="J243" s="37"/>
      <c r="K243" s="61"/>
      <c r="L243" s="61"/>
      <c r="M243" s="38">
        <f ca="1">IFERROR(SUM(M231:M242),"")</f>
        <v>0.12152777777777768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183</v>
      </c>
      <c r="G244" s="40">
        <f>G230+G243</f>
        <v>768.6</v>
      </c>
      <c r="H244" s="41"/>
      <c r="I244" s="41"/>
      <c r="J244" s="41"/>
      <c r="K244" s="63"/>
      <c r="L244" s="63"/>
      <c r="M244" s="42">
        <f ca="1">IFERROR(M230+M243,"")</f>
        <v>0.31805555555555565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2026-07-10T04:57:32Z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