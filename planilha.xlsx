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76" documentId="8_{C51EB6CB-002B-4D6B-B68F-DDEBDB4460C0}" xr6:coauthVersionLast="47" xr6:coauthVersionMax="47" xr10:uidLastSave="{8839BDEA-6C68-4921-8597-7EFAEF272A95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<sst xmlns="http://schemas.openxmlformats.org/spreadsheetml/2006/main" count="1425" uniqueCount="243">
  <si>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</si>
  <si>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</si>
  <si>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</si>
  <si>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</si>
  <si>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</si>
  <si>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</si>
  <si>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</si>
  <si>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</si>
  <si>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</si>
  <si>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</si>
  <si>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</si>
  <si>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</si>
  <si>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</si>
  <si>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</si>
  <si>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</si>
  <si>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</si>
  <si>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</si>
  <si>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</si>
  <si>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</si>
  <si>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</si>
  <si>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</si>
  <si>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</si>
  <si>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</si>
  <si>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</si>
  <si>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</si>
  <si>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</si>
  <si>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</si>
  <si>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</si>
  <si>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</si>
  <si>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</si>
  <si>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</si>
  <si>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</si>
  <si>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</si>
  <si>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</si>
  <si>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</si>
  <si>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</si>
  <si>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</si>
  <si>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</si>
  <si>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</si>
  <si>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</si>
  <si>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</si>
  <si>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</si>
  <si>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</si>
  <si>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</si>
  <si>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</si>
  <si>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</si>
  <si>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</si>
  <si>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</si>
  <si>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</si>
  <si>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</si>
  <si>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</si>
  <si>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</si>
  <si>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</si>
  <si>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</si>
  <si>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</si>
  <si>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</si>
  <si>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</si>
  <si>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</si>
  <si>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</si>
  <si>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</si>
  <si>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</si>
  <si>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</si>
  <si>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</si>
  <si>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</si>
  <si>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</si>
  <si>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</si>
  <si>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</si>
  <si>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</si>
  <si>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</si>
  <si>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</si>
  <si>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</si>
  <si>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</si>
  <si>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</si>
  <si>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</si>
  <si>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</si>
  <si>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</si>
  <si>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</si>
  <si>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</si>
  <si>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</si>
  <si>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</si>
  <si>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</si>
  <si>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</si>
  <si>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</si>
  <si>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</si>
  <si>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</si>
  <si>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</si>
  <si>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</si>
  <si>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</si>
  <si>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</si>
  <si>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</si>
  <si>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</si>
  <si>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</si>
  <si>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</si>
  <si>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</si>
  <si>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</si>
  <si>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</si>
  <si>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</si>
  <si>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</si>
  <si>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</si>
  <si>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</si>
  <si>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</si>
  <si>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</si>
  <si>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</si>
  <si>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</si>
  <si>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</si>
  <si>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</si>
  <si>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</si>
  <si>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</si>
  <si>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</si>
  <si>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</si>
  <si>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</si>
  <si>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</si>
  <si>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</si>
  <si>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</si>
  <si>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</si>
  <si>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</si>
  <si>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</si>
  <si>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</si>
  <si>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</si>
  <si>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</si>
  <si>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</si>
  <si>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</si>
  <si>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</si>
  <si>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</si>
  <si>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</si>
  <si>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</si>
  <si>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</si>
  <si>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</si>
  <si>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</si>
  <si>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</si>
  <si>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</si>
  <si>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</si>
  <si>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</si>
  <si>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</si>
  <si>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</si>
  <si>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</si>
  <si>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</si>
  <si>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</si>
  <si>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</si>
  <si>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</si>
  <si>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</si>
  <si>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</si>
  <si>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</si>
  <si>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</si>
  <si>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</si>
  <si>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</si>
  <si>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</si>
  <si>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</si>
  <si>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</si>
  <si>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</si>
  <si>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</si>
  <si>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</si>
  <si>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</si>
  <si>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</si>
  <si>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</si>
  <si>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</si>
  <si>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</si>
  <si>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</si>
  <si>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</si>
  <si>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</si>
  <si>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</si>
  <si>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</si>
  <si>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</si>
  <si>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</si>
  <si>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</si>
  <si>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</si>
  <si>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</si>
  <si>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</si>
  <si>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</si>
  <si>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</si>
  <si>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</si>
  <si>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</si>
  <si>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</si>
  <si>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</si>
  <si>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</si>
  <si>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</si>
  <si>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</si>
  <si>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</si>
  <si>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</si>
  <si>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</si>
  <si>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</si>
  <si>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</si>
  <si>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</si>
  <si>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</si>
  <si>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</si>
  <si>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</si>
  <si>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</si>
  <si>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</si>
  <si>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</si>
  <si>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</si>
  <si>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</si>
  <si>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</si>
  <si>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</si>
  <si>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</si>
  <si>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</si>
  <si>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</si>
  <si>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</si>
  <si>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</si>
  <si>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</si>
  <si>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</si>
  <si>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</si>
  <si>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</si>
  <si>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</si>
  <si>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</si>
  <si>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</si>
  <si>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</si>
  <si>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</si>
  <si>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</si>
  <si>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</si>
  <si>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</si>
  <si>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</si>
  <si>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</si>
  <si>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</si>
  <si>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</si>
  <si>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</si>
  <si>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</si>
  <si>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</si>
  <si>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</si>
  <si>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</si>
  <si>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</si>
  <si>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</si>
  <si>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</si>
  <si>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</si>
  <si>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</si>
  <si>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</si>
  <si>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</si>
  <si>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</si>
  <si>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</si>
  <si>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</si>
  <si>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</si>
  <si>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</si>
  <si>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</si>
  <si>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</si>
  <si>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</si>
  <si>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</si>
  <si>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</si>
  <si>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</si>
  <si>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</si>
  <si>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solda no queixo</t>
  </si>
  <si>
    <t>sem material no estoque</t>
  </si>
  <si>
    <t>colocar chapa na bica</t>
  </si>
  <si>
    <t>martelo soltou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</si>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</sst>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L15" sqref="L1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/>
      <c r="M15" s="35">
        <f t="shared" ref="M15:M26" ca="1" si="4">IFERROR(IF(K15="","",IF(L15="",MOD(NOW()-K15,1),IF(L15&gt;=K15,L15-K15,L15+1-K15))),"")</f>
        <v>6.2867013890354428E-2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134</v>
      </c>
      <c r="G27" s="36">
        <f>SUM(G15:G26)</f>
        <v>670</v>
      </c>
      <c r="H27" s="37"/>
      <c r="I27" s="37"/>
      <c r="J27" s="37"/>
      <c r="K27" s="37"/>
      <c r="L27" s="37"/>
      <c r="M27" s="38">
        <f ca="1">IFERROR(SUM(M15:M26),"")</f>
        <v>6.2867013890354428E-2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330</v>
      </c>
      <c r="G28" s="40">
        <f>G14+G27</f>
        <v>1650</v>
      </c>
      <c r="H28" s="41"/>
      <c r="I28" s="41"/>
      <c r="J28" s="41"/>
      <c r="K28" s="41"/>
      <c r="L28" s="41"/>
      <c r="M28" s="42">
        <f ca="1">IFERROR(M14+M27,"")</f>
        <v>0.12883923611257664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N20" sqref="N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14</v>
      </c>
      <c r="G20" s="34">
        <f t="shared" si="3"/>
        <v>58.800000000000004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76</v>
      </c>
      <c r="G27" s="36">
        <f>SUM(G15:G26)</f>
        <v>319.2</v>
      </c>
      <c r="H27" s="37"/>
      <c r="I27" s="37"/>
      <c r="J27" s="37"/>
      <c r="K27" s="37"/>
      <c r="L27" s="37"/>
      <c r="M27" s="38">
        <f ca="1">IFERROR(SUM(M15:M26),"")</f>
        <v>2.1527777777777729E-2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188</v>
      </c>
      <c r="G28" s="40">
        <f>G14+G27</f>
        <v>789.6</v>
      </c>
      <c r="H28" s="41"/>
      <c r="I28" s="41"/>
      <c r="J28" s="41"/>
      <c r="K28" s="41"/>
      <c r="L28" s="41"/>
      <c r="M28" s="42">
        <f ca="1">IFERROR(M14+M27,"")</f>
        <v>0.22222222222222207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zoomScale="50" zoomScaleNormal="50" workbookViewId="0">
      <selection activeCell="L20" sqref="L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239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51</v>
      </c>
      <c r="G27" s="36">
        <f>SUM(G15:G26)</f>
        <v>214.2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132</v>
      </c>
      <c r="G28" s="40">
        <f>G14+G27</f>
        <v>554.40000000000009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J21" sqref="J2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/>
      <c r="M21" s="35">
        <f t="shared" ca="1" si="4"/>
        <v>1.981145833269693E-2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93</v>
      </c>
      <c r="G27" s="36">
        <f>SUM(G15:G26)</f>
        <v>390.6</v>
      </c>
      <c r="H27" s="37"/>
      <c r="I27" s="37"/>
      <c r="J27" s="37"/>
      <c r="K27" s="61"/>
      <c r="L27" s="61"/>
      <c r="M27" s="38">
        <f ca="1">IFERROR(SUM(M15:M26),"")</f>
        <v>9.272812499936367E-2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223</v>
      </c>
      <c r="G28" s="40">
        <f>G14+G27</f>
        <v>936.60000000000014</v>
      </c>
      <c r="H28" s="41"/>
      <c r="I28" s="41"/>
      <c r="J28" s="41"/>
      <c r="K28" s="63"/>
      <c r="L28" s="63"/>
      <c r="M28" s="42">
        <f ca="1">IFERROR(M14+M27,"")</f>
        <v>0.13161701388825259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2026-08-02T07:13:03Z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