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236" documentId="8_{C51EB6CB-002B-4D6B-B68F-DDEBDB4460C0}" xr6:coauthVersionLast="47" xr6:coauthVersionMax="47" xr10:uidLastSave="{1C95CC82-006E-4731-A05F-D866BF1A85A1}"/>
  <bookViews>
    <workbookView xWindow="-108" yWindow="-108" windowWidth="23256" windowHeight="12456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57" i="5" l="1"/>
  <c r="F176" i="6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M263" i="5"/>
  <c r="M262" i="5"/>
  <c r="G262" i="5"/>
  <c r="M261" i="5"/>
  <c r="G261" i="5"/>
  <c r="M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71" i="5"/>
  <c r="E271" i="5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<sst xmlns="http://schemas.openxmlformats.org/spreadsheetml/2006/main" count="5143" uniqueCount="326">
  <si>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</si>
  <si>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</si>
  <si>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</si>
  <si>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</si>
  <si>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</si>
  <si>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</si>
  <si>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</si>
  <si>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</si>
  <si>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</si>
  <si>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</si>
  <si>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</si>
  <si>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</si>
  <si>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</si>
  <si>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</si>
  <si>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</si>
  <si>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</si>
  <si>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</si>
  <si>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</si>
  <si>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</si>
  <si>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</si>
  <si>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</si>
  <si>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</si>
  <si>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</si>
  <si>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</si>
  <si>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</si>
  <si>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</si>
  <si>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</si>
  <si>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</si>
  <si>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</si>
  <si>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</si>
  <si>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</si>
  <si>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</si>
  <si>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</si>
  <si>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</si>
  <si>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</si>
  <si>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</si>
  <si>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</si>
  <si>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</si>
  <si>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</si>
  <si>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</si>
  <si>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</si>
  <si>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</si>
  <si>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</si>
  <si>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</si>
  <si>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</si>
  <si>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</si>
  <si>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</si>
  <si>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</si>
  <si>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</si>
  <si>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</si>
  <si>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</si>
  <si>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</si>
  <si>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</si>
  <si>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</si>
  <si>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</si>
  <si>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</si>
  <si>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</si>
  <si>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</si>
  <si>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</si>
  <si>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</si>
  <si>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</si>
  <si>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</si>
  <si>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</si>
  <si>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</si>
  <si>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</si>
  <si>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</si>
  <si>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</si>
  <si>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</si>
  <si>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</si>
  <si>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</si>
  <si>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</si>
  <si>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</si>
  <si>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</si>
  <si>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</si>
  <si>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</si>
  <si>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</si>
  <si>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</si>
  <si>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</si>
  <si>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</si>
  <si>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</si>
  <si>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</si>
  <si>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</si>
  <si>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</si>
  <si>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</si>
  <si>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</si>
  <si>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</si>
  <si>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</si>
  <si>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</si>
  <si>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</si>
  <si>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</si>
  <si>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</si>
  <si>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</si>
  <si>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</si>
  <si>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</si>
  <si>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</si>
  <si>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</si>
  <si>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</si>
  <si>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</si>
  <si>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</si>
  <si>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</si>
  <si>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</si>
  <si>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</si>
  <si>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</si>
  <si>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</si>
  <si>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</si>
  <si>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</si>
  <si>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</si>
  <si>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</si>
  <si>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</si>
  <si>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</si>
  <si>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</si>
  <si>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</si>
  <si>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</si>
  <si>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</si>
  <si>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</si>
  <si>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</si>
  <si>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</si>
  <si>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</si>
  <si>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</si>
  <si>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</si>
  <si>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</si>
  <si>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</si>
  <si>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</si>
  <si>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</si>
  <si>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</si>
  <si>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</si>
  <si>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</si>
  <si>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</si>
  <si>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</si>
  <si>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</si>
  <si>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</si>
  <si>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</si>
  <si>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</si>
  <si>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</si>
  <si>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</si>
  <si>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</si>
  <si>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</si>
  <si>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</si>
  <si>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</si>
  <si>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</si>
  <si>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</si>
  <si>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</si>
  <si>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</si>
  <si>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</si>
  <si>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</si>
  <si>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</si>
  <si>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</si>
  <si>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</si>
  <si>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</si>
  <si>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</si>
  <si>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</si>
  <si>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</si>
  <si>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</si>
  <si>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</si>
  <si>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</si>
  <si>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</si>
  <si>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</si>
  <si>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</si>
  <si>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</si>
  <si>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</si>
  <si>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</si>
  <si>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</si>
  <si>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</si>
  <si>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</si>
  <si>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</si>
  <si>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</si>
  <si>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</si>
  <si>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</si>
  <si>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</si>
  <si>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</si>
  <si>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</si>
  <si>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</si>
  <si>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</si>
  <si>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</si>
  <si>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</si>
  <si>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</si>
  <si>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</si>
  <si>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</si>
  <si>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</si>
  <si>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</si>
  <si>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</si>
  <si>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</si>
  <si>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</si>
  <si>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</si>
  <si>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</si>
  <si>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</si>
  <si>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</si>
  <si>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</si>
  <si>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</si>
  <si>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</si>
  <si>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</si>
  <si>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</si>
  <si>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</si>
  <si>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</si>
  <si>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</si>
  <si>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</si>
  <si>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</si>
  <si>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</si>
  <si>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</si>
  <si>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</si>
  <si>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</si>
  <si>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</si>
  <si>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</si>
  <si>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</si>
  <si>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</si>
  <si>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</si>
  <si>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</si>
  <si>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</si>
  <si>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</si>
  <si>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</si>
  <si>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</si>
  <si>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</si>
  <si>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</si>
  <si>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</si>
  <si>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</si>
  <si>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</si>
  <si>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</si>
  <si>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</si>
  <si>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</si>
  <si>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</si>
  <si>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</si>
  <si>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</si>
  <si>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</si>
  <si>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</si>
  <si>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</si>
  <si>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</si>
  <si>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</si>
  <si>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</si>
  <si>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</si>
  <si>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</si>
  <si>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</si>
  <si>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</si>
  <si>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</si>
  <si>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</si>
  <si>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</si>
  <si>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</si>
  <si>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</si>
  <si>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</si>
  <si>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</si>
  <si>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</si>
  <si>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</si>
  <si>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</si>
  <si>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</si>
  <si>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</si>
  <si>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</si>
  <si>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</si>
  <si>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</si>
  <si>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</si>
  <si>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</si>
  <si>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</si>
  <si>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</si>
  <si>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</si>
  <si>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</si>
  <si>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</si>
  <si>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facas quebrou</t>
  </si>
  <si>
    <t>12 viagens com caminhão</t>
  </si>
  <si>
    <t>troca de pino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</si>
  <si>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</si>
  <si>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</si>
  <si>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</si>
  <si>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</si>
  <si>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</si>
  <si>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</si>
  <si>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</si>
  <si>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</si>
  <si>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</si>
  <si>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</si>
  <si>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</si>
  <si>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</si>
  <si>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</si>
  <si>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</si>
  <si>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</si>
  <si>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</si>
  <si>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</si>
  <si>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</si>
  <si>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</si>
  <si>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</si>
  <si>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</si>
  <si>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</si>
  <si>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</si>
  <si>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</si>
  <si>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</si>
  <si>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</si>
  <si>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</si>
  <si>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</si>
  <si>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</si>
  <si>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</si>
  <si>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</si>
  <si>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</si>
  <si>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</si>
  <si>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</si>
  <si>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</si>
  <si>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</si>
  <si>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</si>
  <si>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</si>
  <si>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</si>
  <si>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</si>
  <si>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</si>
  <si>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</si>
  <si>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</si>
  <si>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</si>
  <si>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</si>
  <si>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</si>
  <si>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</si>
  <si>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</si>
  <si>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</si>
  <si>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</si>
  <si>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</si>
  <si>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</si>
  <si>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</si>
  <si>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</si>
  <si>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</si>
  <si>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</si>
  <si>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</si>
  <si>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</si>
  <si>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</si>
  <si>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</si>
  <si>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</si>
  <si>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</si>
  <si>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</si>
  <si>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</si>
  <si>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</si>
  <si>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</si>
  <si>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solda na grelha,ajuste no queixo</t>
  </si>
  <si>
    <t>foi feito um sevico de solda no moinho 4</t>
  </si>
  <si>
    <t xml:space="preserve">e troca de martelo 4/5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</si>
</sst>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2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24" fillId="3" borderId="2" xfId="0" applyFont="1" applyFill="1" applyBorder="1" applyAlignment="1">
      <alignment horizontal="center" vertical="center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3244595</v>
      </c>
      <c r="D11" s="11">
        <f>IFERROR('Linha 1'!O217,"")</f>
        <v>1211130</v>
      </c>
      <c r="E11" s="11">
        <f>IFERROR('Linha 2'!O217,"")</f>
        <v>241230</v>
      </c>
      <c r="F11" s="11">
        <f>IFERROR('Linha 3'!O217,"")</f>
        <v>1397250</v>
      </c>
      <c r="G11" s="12">
        <f t="shared" si="0"/>
        <v>2849610</v>
      </c>
    </row>
    <row r="12" spans="1:7" ht="15.75" customHeight="1">
      <c r="A12" s="7">
        <v>9</v>
      </c>
      <c r="B12" s="72">
        <v>46243</v>
      </c>
      <c r="C12" s="8">
        <f>IFERROR(Britador!O244,"")</f>
        <v>3156630</v>
      </c>
      <c r="D12" s="8">
        <f>IFERROR('Linha 1'!O244,"")</f>
        <v>1329240</v>
      </c>
      <c r="E12" s="8">
        <f>IFERROR('Linha 2'!O244,"")</f>
        <v>682360</v>
      </c>
      <c r="F12" s="8">
        <f>IFERROR('Linha 3'!O244,"")</f>
        <v>1550470</v>
      </c>
      <c r="G12" s="9">
        <f t="shared" si="0"/>
        <v>3562070</v>
      </c>
    </row>
    <row r="13" spans="1:7" ht="15.75" customHeight="1">
      <c r="A13" s="10">
        <v>10</v>
      </c>
      <c r="B13" s="73">
        <v>46244</v>
      </c>
      <c r="C13" s="11">
        <f>IFERROR(Britador!O271,"")</f>
        <v>3274380</v>
      </c>
      <c r="D13" s="11">
        <f>IFERROR('Linha 1'!O271,"")</f>
        <v>1630320</v>
      </c>
      <c r="E13" s="11">
        <f>IFERROR('Linha 2'!O271,"")</f>
        <v>877340</v>
      </c>
      <c r="F13" s="11">
        <f>IFERROR('Linha 3'!O271,"")</f>
        <v>1454220</v>
      </c>
      <c r="G13" s="12">
        <f t="shared" si="0"/>
        <v>3961880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33711890</v>
      </c>
      <c r="D35" s="13">
        <f>IFERROR(SUM(D4:D34),"")</f>
        <v>11283420</v>
      </c>
      <c r="E35" s="13">
        <f>IFERROR(SUM(E4:E34),"")</f>
        <v>5437280</v>
      </c>
      <c r="F35" s="13">
        <f>IFERROR(SUM(F4:F34),"")</f>
        <v>13853440</v>
      </c>
      <c r="G35" s="13">
        <f>IFERROR(SUM(G4:G34),"")</f>
        <v>30574140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3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3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3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3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3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3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3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3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3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3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3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3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3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3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3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3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3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3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3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3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3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3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3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3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3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3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3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207</v>
      </c>
    </row>
    <row r="58" spans="1:13" ht="15" customHeight="1">
      <c r="H58" s="113"/>
      <c r="I58" s="16"/>
      <c r="J58" s="16"/>
      <c r="K58" s="16" t="s">
        <v>208</v>
      </c>
      <c r="L58" s="16"/>
      <c r="M58" s="16"/>
    </row>
    <row r="59" spans="1:13" ht="15" customHeight="1">
      <c r="H59" s="113"/>
      <c r="I59" s="17"/>
      <c r="J59" s="17"/>
      <c r="K59" s="17" t="s">
        <v>209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210</v>
      </c>
      <c r="L61" s="17"/>
      <c r="M61" s="17"/>
    </row>
    <row r="62" spans="1:13" ht="15" customHeight="1">
      <c r="H62" s="113"/>
      <c r="I62" s="16"/>
      <c r="J62" s="16"/>
      <c r="K62" s="16" t="s">
        <v>211</v>
      </c>
      <c r="L62" s="16"/>
      <c r="M62" s="16"/>
    </row>
    <row r="63" spans="1:13" ht="15" customHeight="1">
      <c r="H63" s="113"/>
      <c r="I63" s="17"/>
      <c r="J63" s="17"/>
      <c r="K63" s="17" t="s">
        <v>212</v>
      </c>
      <c r="L63" s="17"/>
      <c r="M63" s="17"/>
    </row>
    <row r="64" spans="1:13" ht="15" customHeight="1">
      <c r="H64" s="113"/>
      <c r="I64" s="16"/>
      <c r="J64" s="16"/>
      <c r="K64" s="16" t="s">
        <v>213</v>
      </c>
      <c r="L64" s="16"/>
      <c r="M64" s="16"/>
    </row>
    <row r="65" spans="8:13" ht="15" customHeight="1">
      <c r="H65" s="113"/>
      <c r="I65" s="17"/>
      <c r="J65" s="17"/>
      <c r="K65" s="17" t="s">
        <v>214</v>
      </c>
      <c r="L65" s="17"/>
      <c r="M65" s="17"/>
    </row>
    <row r="66" spans="8:13" ht="15" customHeight="1">
      <c r="H66" s="113"/>
      <c r="I66" s="16"/>
      <c r="J66" s="16"/>
      <c r="K66" s="16" t="s">
        <v>215</v>
      </c>
      <c r="L66" s="16"/>
      <c r="M66" s="16"/>
    </row>
    <row r="67" spans="8:13" ht="15" customHeight="1">
      <c r="H67" s="113"/>
      <c r="I67" s="17"/>
      <c r="J67" s="17"/>
      <c r="K67" s="17" t="s">
        <v>216</v>
      </c>
      <c r="L67" s="17"/>
      <c r="M67" s="17"/>
    </row>
    <row r="68" spans="8:13" ht="15" customHeight="1">
      <c r="H68" s="113"/>
      <c r="I68" s="16"/>
      <c r="J68" s="16"/>
      <c r="K68" s="16" t="s">
        <v>217</v>
      </c>
      <c r="L68" s="16"/>
      <c r="M68" s="16"/>
    </row>
    <row r="69" spans="8:13" ht="15" customHeight="1">
      <c r="H69" s="113"/>
      <c r="I69" s="17"/>
      <c r="J69" s="17"/>
      <c r="K69" s="17" t="s">
        <v>218</v>
      </c>
      <c r="L69" s="17"/>
      <c r="M69" s="17"/>
    </row>
    <row r="70" spans="8:13" ht="15" customHeight="1">
      <c r="H70" s="113"/>
      <c r="I70" s="16"/>
      <c r="J70" s="16"/>
      <c r="K70" s="16" t="s">
        <v>219</v>
      </c>
      <c r="L70" s="16"/>
      <c r="M70" s="16"/>
    </row>
    <row r="71" spans="8:13" ht="15" customHeight="1">
      <c r="H71" s="113"/>
      <c r="I71" s="17"/>
      <c r="J71" s="17"/>
      <c r="K71" s="17" t="s">
        <v>220</v>
      </c>
      <c r="L71" s="17"/>
      <c r="M71" s="17"/>
    </row>
    <row r="72" spans="8:13" ht="15" customHeight="1">
      <c r="H72" s="113"/>
      <c r="I72" s="16"/>
      <c r="J72" s="16"/>
      <c r="K72" s="16" t="s">
        <v>221</v>
      </c>
      <c r="L72" s="16"/>
      <c r="M72" s="16"/>
    </row>
    <row r="73" spans="8:13" ht="15" customHeight="1">
      <c r="H73" s="113"/>
      <c r="I73" s="17"/>
      <c r="J73" s="17"/>
      <c r="K73" s="17" t="s">
        <v>222</v>
      </c>
      <c r="L73" s="17"/>
      <c r="M73" s="17"/>
    </row>
    <row r="74" spans="8:13" ht="15" customHeight="1">
      <c r="H74" s="113"/>
      <c r="I74" s="16"/>
      <c r="J74" s="16"/>
      <c r="K74" s="16" t="s">
        <v>223</v>
      </c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60" zoomScaleNormal="60" workbookViewId="0">
      <pane ySplit="1" topLeftCell="A260" activePane="bottomLeft" state="frozen"/>
      <selection pane="bottomLeft" activeCell="D280" sqref="D280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3.57031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234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234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234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234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234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234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234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234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234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234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234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234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236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234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234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234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237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234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234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234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234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234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234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234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234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236</v>
      </c>
      <c r="O27" s="39">
        <v>997910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240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234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234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241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234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237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234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234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234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234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234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234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236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234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234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234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234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234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234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234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234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234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236</v>
      </c>
      <c r="O54" s="39">
        <v>981310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240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234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234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234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234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234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234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234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234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234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234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234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234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236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234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234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243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234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234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234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234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234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234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234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234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234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236</v>
      </c>
      <c r="O81" s="39">
        <v>1547910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240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234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234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234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244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234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234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234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234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234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234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234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234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234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236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234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234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234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234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234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234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245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234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234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234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234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234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234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236</v>
      </c>
      <c r="O108" s="39">
        <v>3156240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240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234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234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234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234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234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234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234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234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234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234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234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234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236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234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234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234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234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234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234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234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234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234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234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234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234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236</v>
      </c>
      <c r="O135" s="39">
        <v>2875180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240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234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234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234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234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234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234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234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234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234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234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234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234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236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234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234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234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234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234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234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234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234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234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234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234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234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236</v>
      </c>
      <c r="O162" s="44">
        <v>842000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240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234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223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248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234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234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234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234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234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234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234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234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234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234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234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236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234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249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234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234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234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234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234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234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234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234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234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234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236</v>
      </c>
      <c r="O189" s="39">
        <v>1901630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240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234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234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234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251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234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234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234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234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234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234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234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234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234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236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234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234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234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234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234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234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234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234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234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234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234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234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236</v>
      </c>
      <c r="O216" s="45">
        <v>1852295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240</v>
      </c>
      <c r="O217" s="48">
        <f>IFERROR(O203+O216,"")</f>
        <v>3244595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234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18</v>
      </c>
      <c r="I218" s="26" t="s">
        <v>23</v>
      </c>
      <c r="J218" s="26" t="s">
        <v>166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234</v>
      </c>
      <c r="F219" s="27">
        <v>45</v>
      </c>
      <c r="G219" s="34">
        <f t="shared" si="48"/>
        <v>225</v>
      </c>
      <c r="H219" s="33" t="s">
        <v>20</v>
      </c>
      <c r="I219" s="33" t="s">
        <v>23</v>
      </c>
      <c r="J219" s="33" t="s">
        <v>44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234</v>
      </c>
      <c r="F220" s="27">
        <v>30</v>
      </c>
      <c r="G220" s="28">
        <f t="shared" si="48"/>
        <v>150</v>
      </c>
      <c r="H220" s="26" t="s">
        <v>20</v>
      </c>
      <c r="I220" s="26" t="s">
        <v>23</v>
      </c>
      <c r="J220" s="26" t="s">
        <v>202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252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234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234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234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234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234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234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234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234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15" t="s">
        <v>235</v>
      </c>
      <c r="B230" s="116"/>
      <c r="C230" s="116"/>
      <c r="D230" s="116"/>
      <c r="E230" s="117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236</v>
      </c>
      <c r="O230" s="39">
        <v>2165620</v>
      </c>
    </row>
    <row r="231" spans="1:21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234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20</v>
      </c>
      <c r="I231" s="33" t="s">
        <v>23</v>
      </c>
      <c r="J231" s="33" t="s">
        <v>202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37</v>
      </c>
      <c r="G232" s="28">
        <f t="shared" si="51"/>
        <v>185</v>
      </c>
      <c r="H232" s="26" t="s">
        <v>20</v>
      </c>
      <c r="I232" s="26" t="s">
        <v>23</v>
      </c>
      <c r="J232" s="26" t="s">
        <v>145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234</v>
      </c>
      <c r="F233" s="27">
        <v>16</v>
      </c>
      <c r="G233" s="34">
        <f t="shared" si="51"/>
        <v>80</v>
      </c>
      <c r="H233" s="33" t="s">
        <v>20</v>
      </c>
      <c r="I233" s="33" t="s">
        <v>23</v>
      </c>
      <c r="J233" s="33" t="s">
        <v>145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253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253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253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253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253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253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253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253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253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236</v>
      </c>
      <c r="O243" s="39">
        <v>991010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240</v>
      </c>
      <c r="O244" s="48">
        <f>IFERROR(O230+O243,"")</f>
        <v>3156630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</v>
      </c>
      <c r="G245" s="28">
        <f t="shared" ref="G245:G256" si="54">IF(F245="","",IF(E245="PC 17",F245*4.2,IF(E245="PC 19",F245*5,IF(E245="CB",F245*35,""))))</f>
        <v>5</v>
      </c>
      <c r="H245" s="33" t="s">
        <v>20</v>
      </c>
      <c r="I245" s="33" t="s">
        <v>23</v>
      </c>
      <c r="J245" s="33" t="s">
        <v>207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2</v>
      </c>
      <c r="G246" s="34">
        <f t="shared" si="54"/>
        <v>10</v>
      </c>
      <c r="H246" s="33" t="s">
        <v>20</v>
      </c>
      <c r="I246" s="26" t="s">
        <v>23</v>
      </c>
      <c r="J246" s="33" t="s">
        <v>68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3</v>
      </c>
      <c r="G247" s="28">
        <f t="shared" si="54"/>
        <v>15</v>
      </c>
      <c r="H247" s="33" t="s">
        <v>19</v>
      </c>
      <c r="I247" s="33" t="s">
        <v>23</v>
      </c>
      <c r="J247" s="33" t="s">
        <v>67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 t="s">
        <v>254</v>
      </c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22</v>
      </c>
      <c r="E248" s="59" t="s">
        <v>234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22</v>
      </c>
      <c r="E249" s="59" t="s">
        <v>234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255</v>
      </c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234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234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234</v>
      </c>
      <c r="F252" s="27">
        <v>37</v>
      </c>
      <c r="G252" s="34">
        <f t="shared" si="54"/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234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234</v>
      </c>
      <c r="F254" s="27">
        <v>49</v>
      </c>
      <c r="G254" s="34">
        <f t="shared" si="54"/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27">
        <v>40</v>
      </c>
      <c r="G255" s="28">
        <f t="shared" si="54"/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27">
        <v>0</v>
      </c>
      <c r="G256" s="34">
        <f t="shared" si="54"/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236</v>
      </c>
      <c r="O257" s="39">
        <v>2149680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234</v>
      </c>
      <c r="F258" s="27">
        <v>0</v>
      </c>
      <c r="G258" s="34">
        <f t="shared" ref="G258:G269" si="57">IF(F258="","",IF(E258="PC 17",F258*4.2,IF(E258="PC 19",F258*5,IF(E258="CB",F258*35,""))))</f>
        <v>0</v>
      </c>
      <c r="H258" s="26" t="s">
        <v>19</v>
      </c>
      <c r="I258" s="26" t="s">
        <v>23</v>
      </c>
      <c r="J258" s="26" t="s">
        <v>89</v>
      </c>
      <c r="K258" s="29">
        <v>0.79652777777777772</v>
      </c>
      <c r="L258" s="29">
        <v>0.84652777777777777</v>
      </c>
      <c r="M258" s="30">
        <f t="shared" ref="M258:M269" ca="1" si="58">IFERROR(IF(K258="","",IF(L258="",MOD(NOW()-K258,1),IF(L258&gt;=K258,L258-K258,L258+1-K258))),"")</f>
        <v>5.0000000000000044E-2</v>
      </c>
      <c r="N258" s="46" t="s">
        <v>256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234</v>
      </c>
      <c r="F259" s="27">
        <v>15</v>
      </c>
      <c r="G259" s="28">
        <f t="shared" si="57"/>
        <v>75</v>
      </c>
      <c r="H259" s="50" t="s">
        <v>20</v>
      </c>
      <c r="I259" s="50" t="s">
        <v>23</v>
      </c>
      <c r="J259" s="50" t="s">
        <v>134</v>
      </c>
      <c r="K259" s="29">
        <v>0.20416666666666666</v>
      </c>
      <c r="L259" s="29">
        <v>0.23958333333333334</v>
      </c>
      <c r="M259" s="35">
        <f t="shared" ca="1" si="58"/>
        <v>3.541666666666668E-2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234</v>
      </c>
      <c r="F260" s="27">
        <v>10</v>
      </c>
      <c r="G260" s="34">
        <f t="shared" si="57"/>
        <v>50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234</v>
      </c>
      <c r="F261" s="27">
        <v>10</v>
      </c>
      <c r="G261" s="28">
        <f t="shared" si="57"/>
        <v>50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234</v>
      </c>
      <c r="F262" s="27">
        <v>20</v>
      </c>
      <c r="G262" s="34">
        <f t="shared" si="57"/>
        <v>100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234</v>
      </c>
      <c r="F263" s="27">
        <v>15</v>
      </c>
      <c r="G263" s="28">
        <f t="shared" si="57"/>
        <v>75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234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234</v>
      </c>
      <c r="F265" s="27">
        <v>27</v>
      </c>
      <c r="G265" s="28">
        <f t="shared" si="57"/>
        <v>135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234</v>
      </c>
      <c r="F266" s="27">
        <v>37</v>
      </c>
      <c r="G266" s="34">
        <f t="shared" si="57"/>
        <v>185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234</v>
      </c>
      <c r="F267" s="27">
        <v>29</v>
      </c>
      <c r="G267" s="28">
        <f t="shared" si="57"/>
        <v>145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234</v>
      </c>
      <c r="F268" s="27">
        <v>15</v>
      </c>
      <c r="G268" s="34">
        <f t="shared" si="57"/>
        <v>75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234</v>
      </c>
      <c r="F269" s="27">
        <v>27</v>
      </c>
      <c r="G269" s="28">
        <f t="shared" si="57"/>
        <v>135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236</v>
      </c>
      <c r="O270" s="39">
        <v>1124700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240</v>
      </c>
      <c r="O271" s="48">
        <f>IFERROR(O257+O270,"")</f>
        <v>3274380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18" t="s">
        <v>239</v>
      </c>
      <c r="B811" s="119"/>
      <c r="C811" s="119"/>
      <c r="D811" s="119"/>
      <c r="E811" s="120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D57:D229 D231:D900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255" activePane="bottomLeft" state="frozen"/>
      <selection pane="bottomLeft" activeCell="D272" sqref="D2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257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258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259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236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250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250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250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250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260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250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261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250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250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250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250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250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250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236</v>
      </c>
      <c r="O27" s="77">
        <v>549860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240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236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250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250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250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250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262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250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263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250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250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264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250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0.1696515046278364</v>
      </c>
      <c r="N53" s="46" t="s">
        <v>265</v>
      </c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0.3085403935167253</v>
      </c>
      <c r="N54" s="36" t="s">
        <v>236</v>
      </c>
      <c r="O54" s="84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0.39326261573894761</v>
      </c>
      <c r="N55" s="40" t="s">
        <v>240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257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236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250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250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250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250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250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266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250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250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250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236</v>
      </c>
      <c r="O81" s="54">
        <v>634210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240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267</v>
      </c>
      <c r="E83" s="59" t="s">
        <v>250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210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236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268</v>
      </c>
      <c r="M96" s="30" t="str">
        <f t="shared" ref="M96:M107" ca="1" si="22">IFERROR(IF(K96="","",IF(L96="",MOD(NOW()-K96,1),IF(L96&gt;=K96,L96-K96,L96+1-K96))),"")</f>
        <v/>
      </c>
      <c r="N96" s="46" t="s">
        <v>269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237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270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271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237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236</v>
      </c>
      <c r="O108" s="54">
        <v>456830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240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272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236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236</v>
      </c>
      <c r="O135" s="54">
        <v>756720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240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250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273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250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250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274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250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250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250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250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275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250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250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236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236</v>
      </c>
      <c r="O162" s="54">
        <v>501750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240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250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250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250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250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250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250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250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250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250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250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236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250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250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277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250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274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278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250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250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236</v>
      </c>
      <c r="O189" s="77">
        <v>362530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240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279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272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236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 t="s">
        <v>20</v>
      </c>
      <c r="I204" s="26"/>
      <c r="J204" s="26" t="s">
        <v>74</v>
      </c>
      <c r="K204" s="29">
        <v>0.88680555555555551</v>
      </c>
      <c r="L204" s="29">
        <v>0.89930555555555558</v>
      </c>
      <c r="M204" s="30">
        <f t="shared" ref="M204:M215" ca="1" si="46">IFERROR(IF(K204="","",IF(L204="",MOD(NOW()-K204,1),IF(L204&gt;=K204,L204-K204,L204+1-K204))),"")</f>
        <v>1.2500000000000067E-2</v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11</v>
      </c>
      <c r="G205" s="34">
        <f t="shared" si="45"/>
        <v>46.2</v>
      </c>
      <c r="H205" s="33" t="s">
        <v>19</v>
      </c>
      <c r="I205" s="33" t="s">
        <v>159</v>
      </c>
      <c r="J205" s="33" t="s">
        <v>27</v>
      </c>
      <c r="K205" s="29">
        <v>0.93263888888888891</v>
      </c>
      <c r="L205" s="29">
        <v>0.96666666666666667</v>
      </c>
      <c r="M205" s="35">
        <f t="shared" ca="1" si="46"/>
        <v>3.4027777777777768E-2</v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10</v>
      </c>
      <c r="G206" s="28">
        <f t="shared" si="45"/>
        <v>42</v>
      </c>
      <c r="H206" s="26" t="s">
        <v>19</v>
      </c>
      <c r="I206" s="26" t="s">
        <v>159</v>
      </c>
      <c r="J206" s="26" t="s">
        <v>27</v>
      </c>
      <c r="K206" s="29">
        <v>0.22708333333333333</v>
      </c>
      <c r="L206" s="29">
        <v>0.25</v>
      </c>
      <c r="M206" s="30">
        <f t="shared" ca="1" si="46"/>
        <v>2.2916666666666669E-2</v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8</v>
      </c>
      <c r="G207" s="34">
        <f t="shared" si="45"/>
        <v>33.6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17</v>
      </c>
      <c r="G208" s="28">
        <f t="shared" si="45"/>
        <v>71.400000000000006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12</v>
      </c>
      <c r="G209" s="34">
        <f t="shared" si="45"/>
        <v>50.400000000000006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12</v>
      </c>
      <c r="G210" s="28">
        <f t="shared" si="45"/>
        <v>50.400000000000006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15</v>
      </c>
      <c r="G211" s="34">
        <f t="shared" si="45"/>
        <v>63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15</v>
      </c>
      <c r="G213" s="34">
        <f t="shared" si="45"/>
        <v>63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0</v>
      </c>
      <c r="G214" s="28">
        <f t="shared" si="45"/>
        <v>0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9</v>
      </c>
      <c r="G215" s="34">
        <f t="shared" si="45"/>
        <v>37.800000000000004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141</v>
      </c>
      <c r="G216" s="36">
        <f>SUM(G204:G215)</f>
        <v>592.19999999999982</v>
      </c>
      <c r="H216" s="37"/>
      <c r="I216" s="37"/>
      <c r="J216" s="37"/>
      <c r="K216" s="37"/>
      <c r="L216" s="37"/>
      <c r="M216" s="38">
        <f ca="1">IFERROR(SUM(M204:M215),"")</f>
        <v>6.9444444444444503E-2</v>
      </c>
      <c r="N216" s="36" t="s">
        <v>236</v>
      </c>
      <c r="O216" s="77">
        <v>609740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274</v>
      </c>
      <c r="G217" s="40">
        <f>G203+G216</f>
        <v>1150.7999999999997</v>
      </c>
      <c r="H217" s="41"/>
      <c r="I217" s="41"/>
      <c r="J217" s="41"/>
      <c r="K217" s="41"/>
      <c r="L217" s="41"/>
      <c r="M217" s="42">
        <f ca="1">IFERROR(M203+M216,"")</f>
        <v>0.20972222222222217</v>
      </c>
      <c r="N217" s="40" t="s">
        <v>240</v>
      </c>
      <c r="O217" s="83">
        <f>IFERROR(O203+O216,"")</f>
        <v>1211130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18</v>
      </c>
      <c r="G218" s="28">
        <f t="shared" ref="G218:G229" si="48">IF(F218="","",IF(E218="PC 17",F218*4.2,IF(E218="PC 19",F218*5,IF(E218="CB",F218*24,""))))</f>
        <v>75.600000000000009</v>
      </c>
      <c r="H218" s="26" t="s">
        <v>18</v>
      </c>
      <c r="I218" s="26" t="s">
        <v>31</v>
      </c>
      <c r="J218" s="33" t="s">
        <v>171</v>
      </c>
      <c r="K218" s="29">
        <v>0.29166666666666669</v>
      </c>
      <c r="L218" s="29">
        <v>0.32291666666666669</v>
      </c>
      <c r="M218" s="30">
        <f t="shared" ref="M218:M229" ca="1" si="49">IFERROR(IF(K218="","",IF(L218="",MOD(NOW()-K218,1),IF(L218&gt;=K218,L218-K218,L218+1-K218))),"")</f>
        <v>3.125E-2</v>
      </c>
      <c r="N218" s="46" t="s">
        <v>266</v>
      </c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8</v>
      </c>
      <c r="G219" s="34">
        <f t="shared" si="48"/>
        <v>33.6</v>
      </c>
      <c r="H219" s="33" t="s">
        <v>19</v>
      </c>
      <c r="I219" s="33" t="s">
        <v>31</v>
      </c>
      <c r="J219" s="33" t="s">
        <v>35</v>
      </c>
      <c r="K219" s="29">
        <v>0.32291666666666669</v>
      </c>
      <c r="L219" s="29">
        <v>0.3611111111111111</v>
      </c>
      <c r="M219" s="35">
        <f t="shared" ca="1" si="49"/>
        <v>3.819444444444442E-2</v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7</v>
      </c>
      <c r="G220" s="28">
        <f t="shared" si="48"/>
        <v>29.400000000000002</v>
      </c>
      <c r="H220" s="26" t="s">
        <v>19</v>
      </c>
      <c r="I220" s="26" t="s">
        <v>31</v>
      </c>
      <c r="J220" s="26" t="s">
        <v>50</v>
      </c>
      <c r="K220" s="29">
        <v>0.5083333333333333</v>
      </c>
      <c r="L220" s="29">
        <v>0.52083333333333337</v>
      </c>
      <c r="M220" s="30">
        <f t="shared" ca="1" si="49"/>
        <v>1.2500000000000067E-2</v>
      </c>
      <c r="N220" s="46" t="s">
        <v>237</v>
      </c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17</v>
      </c>
      <c r="G221" s="34">
        <f t="shared" si="48"/>
        <v>71.400000000000006</v>
      </c>
      <c r="H221" s="33" t="s">
        <v>19</v>
      </c>
      <c r="I221" s="33" t="s">
        <v>31</v>
      </c>
      <c r="J221" s="33" t="s">
        <v>78</v>
      </c>
      <c r="K221" s="29">
        <v>0.52083333333333337</v>
      </c>
      <c r="L221" s="29">
        <v>0.55486111111111114</v>
      </c>
      <c r="M221" s="35">
        <f t="shared" ca="1" si="49"/>
        <v>3.4027777777777768E-2</v>
      </c>
      <c r="N221" s="46" t="s">
        <v>280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19</v>
      </c>
      <c r="I222" s="26" t="s">
        <v>39</v>
      </c>
      <c r="J222" s="26" t="s">
        <v>27</v>
      </c>
      <c r="K222" s="29">
        <v>0.6381944444444444</v>
      </c>
      <c r="L222" s="29">
        <v>0.65277777777777779</v>
      </c>
      <c r="M222" s="30">
        <f t="shared" ca="1" si="49"/>
        <v>1.4583333333333393E-2</v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13</v>
      </c>
      <c r="G223" s="34">
        <f t="shared" si="48"/>
        <v>54.6</v>
      </c>
      <c r="H223" s="33" t="s">
        <v>18</v>
      </c>
      <c r="I223" s="33" t="s">
        <v>135</v>
      </c>
      <c r="J223" s="33"/>
      <c r="K223" s="29">
        <v>0.67777777777777781</v>
      </c>
      <c r="L223" s="29">
        <v>0.68472222222222223</v>
      </c>
      <c r="M223" s="35">
        <f t="shared" ca="1" si="49"/>
        <v>6.9444444444444198E-3</v>
      </c>
      <c r="N223" s="46" t="s">
        <v>281</v>
      </c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 t="s">
        <v>18</v>
      </c>
      <c r="I224" s="26" t="s">
        <v>135</v>
      </c>
      <c r="J224" s="26" t="s">
        <v>61</v>
      </c>
      <c r="K224" s="29">
        <v>0.69930555555555551</v>
      </c>
      <c r="L224" s="29">
        <v>0.71111111111111114</v>
      </c>
      <c r="M224" s="30">
        <f t="shared" ca="1" si="49"/>
        <v>1.1805555555555625E-2</v>
      </c>
      <c r="N224" s="46" t="s">
        <v>282</v>
      </c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12</v>
      </c>
      <c r="G226" s="28">
        <f t="shared" si="48"/>
        <v>50.400000000000006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10</v>
      </c>
      <c r="G227" s="34">
        <f t="shared" si="48"/>
        <v>42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235</v>
      </c>
      <c r="B230" s="116"/>
      <c r="C230" s="116"/>
      <c r="D230" s="116"/>
      <c r="E230" s="117">
        <f>SUM(E218:E229)</f>
        <v>0</v>
      </c>
      <c r="F230" s="36">
        <f>SUM(F218:F229)</f>
        <v>134</v>
      </c>
      <c r="G230" s="36">
        <f>SUM(G218:G229)</f>
        <v>566.80000000000007</v>
      </c>
      <c r="H230" s="37"/>
      <c r="I230" s="37"/>
      <c r="J230" s="37"/>
      <c r="K230" s="37"/>
      <c r="L230" s="37"/>
      <c r="M230" s="38">
        <f ca="1">IFERROR(SUM(M218:M229),"")</f>
        <v>0.14930555555555569</v>
      </c>
      <c r="N230" s="36" t="s">
        <v>236</v>
      </c>
      <c r="O230" s="77">
        <v>503310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15</v>
      </c>
      <c r="G231" s="34">
        <f t="shared" ref="G231:G242" si="51">IF(F231="","",IF(E231="PC 17",F231*4.2,IF(E231="PC 19",F231*5,IF(E231="CB",F231*24,""))))</f>
        <v>63</v>
      </c>
      <c r="H231" s="33" t="s">
        <v>20</v>
      </c>
      <c r="I231" s="33" t="s">
        <v>39</v>
      </c>
      <c r="J231" s="33" t="s">
        <v>36</v>
      </c>
      <c r="K231" s="29">
        <v>0.81111111111111112</v>
      </c>
      <c r="L231" s="29">
        <v>0.83680555555555558</v>
      </c>
      <c r="M231" s="35">
        <f t="shared" ref="M231:M242" ca="1" si="52">IFERROR(IF(K231="","",IF(L231="",MOD(NOW()-K231,1),IF(L231&gt;=K231,L231-K231,L231+1-K231))),"")</f>
        <v>2.5694444444444464E-2</v>
      </c>
      <c r="N231" s="46" t="s">
        <v>237</v>
      </c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11</v>
      </c>
      <c r="G232" s="28">
        <f t="shared" si="51"/>
        <v>55</v>
      </c>
      <c r="H232" s="26" t="s">
        <v>19</v>
      </c>
      <c r="I232" s="26" t="s">
        <v>159</v>
      </c>
      <c r="J232" s="26" t="s">
        <v>27</v>
      </c>
      <c r="K232" s="29">
        <v>0.94722222222222219</v>
      </c>
      <c r="L232" s="29">
        <v>0.96805555555555556</v>
      </c>
      <c r="M232" s="30">
        <f t="shared" ca="1" si="52"/>
        <v>2.083333333333337E-2</v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13</v>
      </c>
      <c r="G233" s="34">
        <f t="shared" si="51"/>
        <v>54.6</v>
      </c>
      <c r="H233" s="33" t="s">
        <v>20</v>
      </c>
      <c r="I233" s="33" t="s">
        <v>39</v>
      </c>
      <c r="J233" s="33" t="s">
        <v>36</v>
      </c>
      <c r="K233" s="29">
        <v>0.16111111111111112</v>
      </c>
      <c r="L233" s="29">
        <v>0.1701388888888889</v>
      </c>
      <c r="M233" s="35">
        <f t="shared" ca="1" si="52"/>
        <v>9.0277777777777735E-3</v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8</v>
      </c>
      <c r="G234" s="28">
        <f t="shared" si="51"/>
        <v>40</v>
      </c>
      <c r="H234" s="26" t="s">
        <v>19</v>
      </c>
      <c r="I234" s="26" t="s">
        <v>159</v>
      </c>
      <c r="J234" s="26" t="s">
        <v>27</v>
      </c>
      <c r="K234" s="29">
        <v>0.22083333333333333</v>
      </c>
      <c r="L234" s="29">
        <v>0.2361111111111111</v>
      </c>
      <c r="M234" s="30">
        <f t="shared" ca="1" si="52"/>
        <v>1.5277777777777779E-2</v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10</v>
      </c>
      <c r="G235" s="34">
        <f t="shared" si="51"/>
        <v>50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16</v>
      </c>
      <c r="G237" s="34">
        <f t="shared" si="51"/>
        <v>80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18</v>
      </c>
      <c r="G238" s="28">
        <f t="shared" si="51"/>
        <v>90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14</v>
      </c>
      <c r="G239" s="34">
        <f t="shared" si="51"/>
        <v>70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6</v>
      </c>
      <c r="G241" s="34">
        <f t="shared" si="51"/>
        <v>30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3</v>
      </c>
      <c r="G242" s="28">
        <f t="shared" si="51"/>
        <v>15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662.6</v>
      </c>
      <c r="H243" s="37"/>
      <c r="I243" s="37"/>
      <c r="J243" s="37"/>
      <c r="K243" s="37"/>
      <c r="L243" s="37"/>
      <c r="M243" s="38">
        <f ca="1">IFERROR(SUM(M231:M242),"")</f>
        <v>7.0833333333333387E-2</v>
      </c>
      <c r="N243" s="36" t="s">
        <v>236</v>
      </c>
      <c r="O243" s="77">
        <v>825930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271</v>
      </c>
      <c r="G244" s="40">
        <f>G230+G243</f>
        <v>1229.4000000000001</v>
      </c>
      <c r="H244" s="41"/>
      <c r="I244" s="41"/>
      <c r="J244" s="41"/>
      <c r="K244" s="41"/>
      <c r="L244" s="41"/>
      <c r="M244" s="42">
        <f ca="1">IFERROR(M230+M243,"")</f>
        <v>0.22013888888888908</v>
      </c>
      <c r="N244" s="40" t="s">
        <v>240</v>
      </c>
      <c r="O244" s="83">
        <f>IFERROR(O230+O243,"")</f>
        <v>1329240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23</v>
      </c>
      <c r="G245" s="28">
        <f t="shared" ref="G245:G256" si="54">IF(F245="","",IF(E245="PC 17",F245*4.2,IF(E245="PC 19",F245*5,IF(E245="CB",F245*24,""))))</f>
        <v>115</v>
      </c>
      <c r="H245" s="33" t="s">
        <v>18</v>
      </c>
      <c r="I245" s="33" t="s">
        <v>31</v>
      </c>
      <c r="J245" s="33" t="s">
        <v>166</v>
      </c>
      <c r="K245" s="29">
        <v>0.45624999999999999</v>
      </c>
      <c r="L245" s="29">
        <v>0.45833333333333331</v>
      </c>
      <c r="M245" s="35">
        <f t="shared" ref="M245:M256" ca="1" si="55">IFERROR(IF(K245="","",IF(L245="",MOD(NOW()-K245,1),IF(L245&gt;=K245,L245-K245,L245+1-K245))),"")</f>
        <v>2.0833333333333259E-3</v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18</v>
      </c>
      <c r="G246" s="34">
        <f t="shared" si="54"/>
        <v>90</v>
      </c>
      <c r="H246" s="33" t="s">
        <v>19</v>
      </c>
      <c r="I246" s="26" t="s">
        <v>39</v>
      </c>
      <c r="J246" s="33" t="s">
        <v>27</v>
      </c>
      <c r="K246" s="29">
        <v>0.45624999999999999</v>
      </c>
      <c r="L246" s="29">
        <v>0.46388888888888891</v>
      </c>
      <c r="M246" s="30">
        <f t="shared" ca="1" si="55"/>
        <v>7.6388888888889173E-3</v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16</v>
      </c>
      <c r="G247" s="28">
        <f t="shared" si="54"/>
        <v>80</v>
      </c>
      <c r="H247" s="33" t="s">
        <v>19</v>
      </c>
      <c r="I247" s="33" t="s">
        <v>39</v>
      </c>
      <c r="J247" s="33" t="s">
        <v>27</v>
      </c>
      <c r="K247" s="29">
        <v>0.56458333333333333</v>
      </c>
      <c r="L247" s="29">
        <v>0.5756944444444444</v>
      </c>
      <c r="M247" s="35">
        <f t="shared" ca="1" si="55"/>
        <v>1.1111111111111072E-2</v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14</v>
      </c>
      <c r="G248" s="34">
        <f t="shared" si="54"/>
        <v>70</v>
      </c>
      <c r="H248" s="26" t="s">
        <v>19</v>
      </c>
      <c r="I248" s="26" t="s">
        <v>31</v>
      </c>
      <c r="J248" s="26" t="s">
        <v>27</v>
      </c>
      <c r="K248" s="29">
        <v>0.5756944444444444</v>
      </c>
      <c r="L248" s="29">
        <v>0.58194444444444449</v>
      </c>
      <c r="M248" s="30">
        <f t="shared" ca="1" si="55"/>
        <v>6.2500000000000888E-3</v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12</v>
      </c>
      <c r="G249" s="28">
        <f t="shared" si="54"/>
        <v>50.400000000000006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22</v>
      </c>
      <c r="E250" s="59" t="s">
        <v>250</v>
      </c>
      <c r="F250" s="27">
        <v>12</v>
      </c>
      <c r="G250" s="34">
        <f t="shared" si="54"/>
        <v>50.400000000000006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27">
        <v>7</v>
      </c>
      <c r="G251" s="28">
        <f t="shared" si="54"/>
        <v>29.400000000000002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20</v>
      </c>
      <c r="G255" s="28">
        <f t="shared" si="54"/>
        <v>84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13</v>
      </c>
      <c r="G256" s="34">
        <f t="shared" si="54"/>
        <v>54.6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183</v>
      </c>
      <c r="G257" s="36">
        <f>SUM(G245:G256)</f>
        <v>825.4</v>
      </c>
      <c r="H257" s="37"/>
      <c r="I257" s="37"/>
      <c r="J257" s="37"/>
      <c r="K257" s="37"/>
      <c r="L257" s="37"/>
      <c r="M257" s="38">
        <f ca="1">IFERROR(SUM(M245:M256),"")</f>
        <v>2.7083333333333404E-2</v>
      </c>
      <c r="N257" s="36" t="s">
        <v>236</v>
      </c>
      <c r="O257" s="77">
        <v>898190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14</v>
      </c>
      <c r="G258" s="34">
        <f t="shared" ref="G258:G269" si="57">IF(F258="","",IF(E258="PC 17",F258*4.2,IF(E258="PC 19",F258*5,IF(E258="CB",F258*24,""))))</f>
        <v>58.800000000000004</v>
      </c>
      <c r="H258" s="26" t="s">
        <v>20</v>
      </c>
      <c r="I258" s="26"/>
      <c r="J258" s="26" t="s">
        <v>131</v>
      </c>
      <c r="K258" s="29">
        <v>0.82291666666666663</v>
      </c>
      <c r="L258" s="29">
        <v>0.82708333333333328</v>
      </c>
      <c r="M258" s="30">
        <f t="shared" ref="M258:M269" ca="1" si="58">IFERROR(IF(K258="","",IF(L258="",MOD(NOW()-K258,1),IF(L258&gt;=K258,L258-K258,L258+1-K258))),"")</f>
        <v>4.1666666666666519E-3</v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15</v>
      </c>
      <c r="G259" s="28">
        <f t="shared" si="57"/>
        <v>63</v>
      </c>
      <c r="H259" s="50" t="s">
        <v>19</v>
      </c>
      <c r="I259" s="50" t="s">
        <v>159</v>
      </c>
      <c r="J259" s="50" t="s">
        <v>27</v>
      </c>
      <c r="K259" s="29">
        <v>0.90347222222222223</v>
      </c>
      <c r="L259" s="29">
        <v>0.92986111111111114</v>
      </c>
      <c r="M259" s="35">
        <f t="shared" ca="1" si="58"/>
        <v>2.6388888888888906E-2</v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7</v>
      </c>
      <c r="G260" s="34">
        <f t="shared" si="57"/>
        <v>29.400000000000002</v>
      </c>
      <c r="H260" s="33" t="s">
        <v>20</v>
      </c>
      <c r="I260" s="26" t="s">
        <v>138</v>
      </c>
      <c r="J260" s="33" t="s">
        <v>74</v>
      </c>
      <c r="K260" s="29">
        <v>9.7222222222222224E-2</v>
      </c>
      <c r="L260" s="29">
        <v>0.125</v>
      </c>
      <c r="M260" s="30">
        <f t="shared" ca="1" si="58"/>
        <v>2.7777777777777776E-2</v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13</v>
      </c>
      <c r="G261" s="28">
        <f t="shared" si="57"/>
        <v>54.6</v>
      </c>
      <c r="H261" s="33" t="s">
        <v>19</v>
      </c>
      <c r="I261" s="33" t="s">
        <v>159</v>
      </c>
      <c r="J261" s="33" t="s">
        <v>27</v>
      </c>
      <c r="K261" s="29">
        <v>0.25</v>
      </c>
      <c r="L261" s="29">
        <v>0.27083333333333331</v>
      </c>
      <c r="M261" s="35">
        <f t="shared" ca="1" si="58"/>
        <v>2.0833333333333315E-2</v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24</v>
      </c>
      <c r="G262" s="34">
        <f t="shared" si="57"/>
        <v>100.80000000000001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12</v>
      </c>
      <c r="G263" s="28">
        <f t="shared" si="57"/>
        <v>50.400000000000006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22</v>
      </c>
      <c r="G264" s="34">
        <f t="shared" si="57"/>
        <v>92.4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23</v>
      </c>
      <c r="G266" s="34">
        <f t="shared" si="57"/>
        <v>96.600000000000009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13</v>
      </c>
      <c r="G267" s="28">
        <f t="shared" si="57"/>
        <v>54.6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17</v>
      </c>
      <c r="G268" s="34">
        <f t="shared" si="57"/>
        <v>71.400000000000006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4</v>
      </c>
      <c r="G269" s="28">
        <f t="shared" si="57"/>
        <v>16.8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164</v>
      </c>
      <c r="G270" s="36">
        <f>SUM(G258:G269)</f>
        <v>688.8</v>
      </c>
      <c r="H270" s="37"/>
      <c r="I270" s="37"/>
      <c r="J270" s="37"/>
      <c r="K270" s="37"/>
      <c r="L270" s="37"/>
      <c r="M270" s="38">
        <f ca="1">IFERROR(SUM(M258:M269),"")</f>
        <v>7.9166666666666649E-2</v>
      </c>
      <c r="N270" s="36" t="s">
        <v>236</v>
      </c>
      <c r="O270" s="77">
        <v>732130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347</v>
      </c>
      <c r="G271" s="40">
        <f>G257+G270</f>
        <v>1514.1999999999998</v>
      </c>
      <c r="H271" s="41"/>
      <c r="I271" s="41"/>
      <c r="J271" s="41"/>
      <c r="K271" s="41"/>
      <c r="L271" s="41"/>
      <c r="M271" s="42">
        <f ca="1">IFERROR(M257+M270,"")</f>
        <v>0.10625000000000005</v>
      </c>
      <c r="N271" s="40" t="s">
        <v>240</v>
      </c>
      <c r="O271" s="83">
        <f>IFERROR(O257+O270,"")</f>
        <v>1630320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 t="s">
        <v>22</v>
      </c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>
        <v>0.29166666666666669</v>
      </c>
      <c r="L272" s="29"/>
      <c r="M272" s="30">
        <f t="shared" ref="M272:M283" ca="1" si="61">IFERROR(IF(K272="","",IF(L272="",MOD(NOW()-K272,1),IF(L272&gt;=K272,L272-K272,L272+1-K272))),"")</f>
        <v>0.99951261574460659</v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0.99951261574460659</v>
      </c>
      <c r="N284" s="36" t="s">
        <v>236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77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0.99951261574460659</v>
      </c>
      <c r="N298" s="40" t="s">
        <v>240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77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77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77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77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238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77"/>
    </row>
    <row r="433" spans="1:15" ht="18" customHeight="1">
      <c r="A433" s="92" t="s">
        <v>239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77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77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238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77"/>
    </row>
    <row r="514" spans="1:15" ht="18" customHeight="1">
      <c r="A514" s="92" t="s">
        <v>239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77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77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77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77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77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77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77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77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84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254" zoomScale="50" zoomScaleNormal="50" workbookViewId="0">
      <selection activeCell="E280" sqref="E280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236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250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283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250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250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260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250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284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250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250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250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250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250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250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6" t="s">
        <v>238</v>
      </c>
      <c r="B27" s="107"/>
      <c r="C27" s="107"/>
      <c r="D27" s="107"/>
      <c r="E27" s="108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236</v>
      </c>
      <c r="O27" s="39">
        <v>358000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240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250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250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250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250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250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250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250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250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250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250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250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6" t="s">
        <v>235</v>
      </c>
      <c r="B41" s="107"/>
      <c r="C41" s="107"/>
      <c r="D41" s="107"/>
      <c r="E41" s="108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236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283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283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236</v>
      </c>
      <c r="O54" s="39">
        <v>279980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240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250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250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250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250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250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285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250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250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250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250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250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236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286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236</v>
      </c>
      <c r="O81" s="39">
        <v>185920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240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287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288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236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289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236</v>
      </c>
      <c r="O108" s="39">
        <v>434370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240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236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290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236</v>
      </c>
      <c r="O135" s="39">
        <v>416350</v>
      </c>
    </row>
    <row r="136" spans="1:15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240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291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275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6" t="s">
        <v>235</v>
      </c>
      <c r="B149" s="107"/>
      <c r="C149" s="107"/>
      <c r="D149" s="107"/>
      <c r="E149" s="108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236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266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236</v>
      </c>
      <c r="O162" s="39">
        <v>169760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240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292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236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293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278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236</v>
      </c>
      <c r="O189" s="39">
        <v>72220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240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236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294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1</v>
      </c>
      <c r="G206" s="28">
        <f t="shared" si="45"/>
        <v>4.2</v>
      </c>
      <c r="H206" s="26" t="s">
        <v>20</v>
      </c>
      <c r="I206" s="26"/>
      <c r="J206" s="26" t="s">
        <v>74</v>
      </c>
      <c r="K206" s="29">
        <v>0.88680555555555551</v>
      </c>
      <c r="L206" s="29">
        <v>0.89930555555555558</v>
      </c>
      <c r="M206" s="30">
        <f t="shared" ca="1" si="46"/>
        <v>1.2500000000000067E-2</v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5</v>
      </c>
      <c r="G207" s="34">
        <f t="shared" si="45"/>
        <v>21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7</v>
      </c>
      <c r="G209" s="34">
        <f t="shared" si="45"/>
        <v>29.400000000000002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4</v>
      </c>
      <c r="G210" s="28">
        <f t="shared" si="45"/>
        <v>16.8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5</v>
      </c>
      <c r="G211" s="34">
        <f t="shared" si="45"/>
        <v>21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3</v>
      </c>
      <c r="G213" s="34">
        <f t="shared" si="45"/>
        <v>12.600000000000001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3</v>
      </c>
      <c r="G214" s="28">
        <f t="shared" si="45"/>
        <v>12.600000000000001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3</v>
      </c>
      <c r="G215" s="34">
        <f t="shared" si="45"/>
        <v>12.600000000000001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46</v>
      </c>
      <c r="G216" s="36">
        <f>SUM(G204:G215)</f>
        <v>193.2</v>
      </c>
      <c r="H216" s="37"/>
      <c r="I216" s="37"/>
      <c r="J216" s="37"/>
      <c r="K216" s="37"/>
      <c r="L216" s="37"/>
      <c r="M216" s="38">
        <f ca="1">IFERROR(SUM(M204:M215),"")</f>
        <v>6.8055555555555647E-2</v>
      </c>
      <c r="N216" s="36" t="s">
        <v>236</v>
      </c>
      <c r="O216" s="39">
        <v>148720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61</v>
      </c>
      <c r="G217" s="40">
        <f>G203+G216</f>
        <v>256.2</v>
      </c>
      <c r="H217" s="41"/>
      <c r="I217" s="41"/>
      <c r="J217" s="41"/>
      <c r="K217" s="41"/>
      <c r="L217" s="41"/>
      <c r="M217" s="42">
        <f ca="1">IFERROR(M203+M216,"")</f>
        <v>0.22986111111111113</v>
      </c>
      <c r="N217" s="40" t="s">
        <v>240</v>
      </c>
      <c r="O217" s="48">
        <f>IFERROR(O203+O216,"")</f>
        <v>241230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0</v>
      </c>
      <c r="G218" s="28">
        <f t="shared" ref="G218:G229" si="48">IF(F218="","",IF(E218="PC 17",F218*4.2,IF(E218="PC 19",F218*5,IF(E218="CB",F218*24,""))))</f>
        <v>0</v>
      </c>
      <c r="H218" s="26" t="s">
        <v>19</v>
      </c>
      <c r="I218" s="26" t="s">
        <v>135</v>
      </c>
      <c r="J218" s="26" t="s">
        <v>61</v>
      </c>
      <c r="K218" s="29">
        <v>0.4375</v>
      </c>
      <c r="L218" s="29">
        <v>0.46944444444444444</v>
      </c>
      <c r="M218" s="30">
        <f t="shared" ref="M218:M229" ca="1" si="49">IFERROR(IF(K218="","",IF(L218="",MOD(NOW()-K218,1),IF(L218&gt;=K218,L218-K218,L218+1-K218))),"")</f>
        <v>3.1944444444444442E-2</v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12</v>
      </c>
      <c r="G219" s="34">
        <f t="shared" si="48"/>
        <v>50.400000000000006</v>
      </c>
      <c r="H219" s="33" t="s">
        <v>20</v>
      </c>
      <c r="I219" s="33" t="s">
        <v>47</v>
      </c>
      <c r="J219" s="33" t="s">
        <v>36</v>
      </c>
      <c r="K219" s="29">
        <v>0.50694444444444442</v>
      </c>
      <c r="L219" s="29">
        <v>0.52152777777777781</v>
      </c>
      <c r="M219" s="35">
        <f t="shared" ca="1" si="49"/>
        <v>1.4583333333333393E-2</v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10</v>
      </c>
      <c r="G220" s="28">
        <f t="shared" si="48"/>
        <v>42</v>
      </c>
      <c r="H220" s="26" t="s">
        <v>20</v>
      </c>
      <c r="I220" s="26" t="s">
        <v>157</v>
      </c>
      <c r="J220" s="26" t="s">
        <v>74</v>
      </c>
      <c r="K220" s="29">
        <v>0.62847222222222221</v>
      </c>
      <c r="L220" s="29">
        <v>0.6333333333333333</v>
      </c>
      <c r="M220" s="30">
        <f t="shared" ca="1" si="49"/>
        <v>4.8611111111110938E-3</v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18</v>
      </c>
      <c r="I221" s="33" t="s">
        <v>135</v>
      </c>
      <c r="J221" s="33" t="s">
        <v>100</v>
      </c>
      <c r="K221" s="29">
        <v>0.67777777777777781</v>
      </c>
      <c r="L221" s="29">
        <v>0.68472222222222223</v>
      </c>
      <c r="M221" s="35">
        <f t="shared" ca="1" si="49"/>
        <v>6.9444444444444198E-3</v>
      </c>
      <c r="N221" s="27" t="s">
        <v>295</v>
      </c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5</v>
      </c>
      <c r="G222" s="28">
        <f t="shared" si="48"/>
        <v>25</v>
      </c>
      <c r="H222" s="26" t="s">
        <v>18</v>
      </c>
      <c r="I222" s="26" t="s">
        <v>135</v>
      </c>
      <c r="J222" s="26" t="s">
        <v>61</v>
      </c>
      <c r="K222" s="29">
        <v>0.69930555555555551</v>
      </c>
      <c r="L222" s="29" t="s">
        <v>296</v>
      </c>
      <c r="M222" s="30" t="str">
        <f t="shared" ca="1" si="49"/>
        <v/>
      </c>
      <c r="N222" s="27" t="s">
        <v>297</v>
      </c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7</v>
      </c>
      <c r="G223" s="34">
        <f t="shared" si="48"/>
        <v>29.400000000000002</v>
      </c>
      <c r="H223" s="33" t="s">
        <v>19</v>
      </c>
      <c r="I223" s="33" t="s">
        <v>47</v>
      </c>
      <c r="J223" s="33" t="s">
        <v>27</v>
      </c>
      <c r="K223" s="29">
        <v>0.72430555555555554</v>
      </c>
      <c r="L223" s="29">
        <v>0.79166666666666663</v>
      </c>
      <c r="M223" s="35">
        <f t="shared" ca="1" si="49"/>
        <v>6.7361111111111094E-2</v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5</v>
      </c>
      <c r="G224" s="28">
        <f t="shared" si="48"/>
        <v>21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14</v>
      </c>
      <c r="G225" s="34">
        <f t="shared" si="48"/>
        <v>58.800000000000004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3</v>
      </c>
      <c r="G226" s="28">
        <f t="shared" si="48"/>
        <v>12.600000000000001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2</v>
      </c>
      <c r="G227" s="34">
        <f t="shared" si="48"/>
        <v>8.4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2</v>
      </c>
      <c r="G228" s="28">
        <f t="shared" si="48"/>
        <v>8.4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77</v>
      </c>
      <c r="G230" s="36">
        <f>SUM(G218:G229)</f>
        <v>327.39999999999998</v>
      </c>
      <c r="H230" s="37"/>
      <c r="I230" s="37"/>
      <c r="J230" s="37"/>
      <c r="K230" s="37"/>
      <c r="L230" s="37"/>
      <c r="M230" s="38">
        <f ca="1">IFERROR(SUM(M218:M229),"")</f>
        <v>0.12569444444444444</v>
      </c>
      <c r="N230" s="36" t="s">
        <v>236</v>
      </c>
      <c r="O230" s="39">
        <v>329640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9</v>
      </c>
      <c r="G231" s="34">
        <f t="shared" ref="G231:G242" si="51">IF(F231="","",IF(E231="PC 17",F231*4.2,IF(E231="PC 19",F231*5,IF(E231="CB",F231*24,""))))</f>
        <v>37.800000000000004</v>
      </c>
      <c r="H231" s="33" t="s">
        <v>19</v>
      </c>
      <c r="I231" s="33" t="s">
        <v>47</v>
      </c>
      <c r="J231" s="33" t="s">
        <v>27</v>
      </c>
      <c r="K231" s="29">
        <v>0.23749999999999999</v>
      </c>
      <c r="L231" s="29">
        <v>0.28749999999999998</v>
      </c>
      <c r="M231" s="35">
        <f t="shared" ref="M231:M242" ca="1" si="52">IFERROR(IF(K231="","",IF(L231="",MOD(NOW()-K231,1),IF(L231&gt;=K231,L231-K231,L231+1-K231))),"")</f>
        <v>4.9999999999999989E-2</v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7</v>
      </c>
      <c r="G232" s="28">
        <f t="shared" si="51"/>
        <v>35</v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2</v>
      </c>
      <c r="G233" s="34">
        <f t="shared" si="51"/>
        <v>8.4</v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</v>
      </c>
      <c r="G234" s="28">
        <f t="shared" si="51"/>
        <v>5</v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7</v>
      </c>
      <c r="G235" s="34">
        <f t="shared" si="51"/>
        <v>35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11</v>
      </c>
      <c r="G236" s="28">
        <f t="shared" si="51"/>
        <v>55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3</v>
      </c>
      <c r="G238" s="28">
        <f t="shared" si="51"/>
        <v>15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7</v>
      </c>
      <c r="G239" s="34">
        <f t="shared" si="51"/>
        <v>35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11</v>
      </c>
      <c r="G240" s="28">
        <f t="shared" si="51"/>
        <v>55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3</v>
      </c>
      <c r="G241" s="34">
        <f t="shared" si="51"/>
        <v>15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73</v>
      </c>
      <c r="G243" s="36">
        <f>SUM(G231:G242)</f>
        <v>356.20000000000005</v>
      </c>
      <c r="H243" s="37"/>
      <c r="I243" s="37"/>
      <c r="J243" s="37"/>
      <c r="K243" s="37"/>
      <c r="L243" s="37"/>
      <c r="M243" s="38">
        <f ca="1">IFERROR(SUM(M231:M242),"")</f>
        <v>4.9999999999999989E-2</v>
      </c>
      <c r="N243" s="36" t="s">
        <v>236</v>
      </c>
      <c r="O243" s="39">
        <v>352720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150</v>
      </c>
      <c r="G244" s="40">
        <f>G230+G243</f>
        <v>683.6</v>
      </c>
      <c r="H244" s="41"/>
      <c r="I244" s="41"/>
      <c r="J244" s="41"/>
      <c r="K244" s="41"/>
      <c r="L244" s="41"/>
      <c r="M244" s="42">
        <f ca="1">IFERROR(M230+M243,"")</f>
        <v>0.17569444444444443</v>
      </c>
      <c r="N244" s="40" t="s">
        <v>240</v>
      </c>
      <c r="O244" s="48">
        <f>IFERROR(O230+O243,"")</f>
        <v>682360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102">
        <v>7</v>
      </c>
      <c r="G245" s="28">
        <f t="shared" ref="G245:G256" si="54">IF(F245="","",IF(E245="PC 17",F245*4.2,IF(E245="PC 19",F245*5,IF(E245="CB",F245*24,""))))</f>
        <v>35</v>
      </c>
      <c r="H245" s="33" t="s">
        <v>19</v>
      </c>
      <c r="I245" s="33" t="s">
        <v>47</v>
      </c>
      <c r="J245" s="33" t="s">
        <v>27</v>
      </c>
      <c r="K245" s="29">
        <v>0.30208333333333331</v>
      </c>
      <c r="L245" s="29">
        <v>0.31944444444444442</v>
      </c>
      <c r="M245" s="35">
        <f t="shared" ref="M245:M256" ca="1" si="55">IFERROR(IF(K245="","",IF(L245="",MOD(NOW()-K245,1),IF(L245&gt;=K245,L245-K245,L245+1-K245))),"")</f>
        <v>1.7361111111111105E-2</v>
      </c>
      <c r="N245" s="27" t="s">
        <v>298</v>
      </c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102">
        <v>2</v>
      </c>
      <c r="G246" s="34">
        <f t="shared" si="54"/>
        <v>10</v>
      </c>
      <c r="H246" s="33" t="s">
        <v>20</v>
      </c>
      <c r="I246" s="26" t="s">
        <v>47</v>
      </c>
      <c r="J246" s="33" t="s">
        <v>51</v>
      </c>
      <c r="K246" s="29">
        <v>0.3298611111111111</v>
      </c>
      <c r="L246" s="29">
        <v>0.33263888888888887</v>
      </c>
      <c r="M246" s="30">
        <f t="shared" ca="1" si="55"/>
        <v>2.7777777777777679E-3</v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102">
        <v>10</v>
      </c>
      <c r="G247" s="28">
        <f t="shared" si="54"/>
        <v>50</v>
      </c>
      <c r="H247" s="33" t="s">
        <v>20</v>
      </c>
      <c r="I247" s="33" t="s">
        <v>47</v>
      </c>
      <c r="J247" s="33" t="s">
        <v>36</v>
      </c>
      <c r="K247" s="29">
        <v>0.34236111111111112</v>
      </c>
      <c r="L247" s="29">
        <v>0.36805555555555558</v>
      </c>
      <c r="M247" s="35">
        <f t="shared" ca="1" si="55"/>
        <v>2.5694444444444464E-2</v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102">
        <v>13</v>
      </c>
      <c r="G248" s="34">
        <f t="shared" si="54"/>
        <v>65</v>
      </c>
      <c r="H248" s="26" t="s">
        <v>20</v>
      </c>
      <c r="I248" s="26" t="s">
        <v>47</v>
      </c>
      <c r="J248" s="26" t="s">
        <v>28</v>
      </c>
      <c r="K248" s="29">
        <v>0.71180555555555558</v>
      </c>
      <c r="L248" s="29">
        <v>0.71527777777777779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102">
        <v>11</v>
      </c>
      <c r="G249" s="28">
        <f t="shared" si="54"/>
        <v>46.2</v>
      </c>
      <c r="H249" s="33" t="s">
        <v>19</v>
      </c>
      <c r="I249" s="33" t="s">
        <v>47</v>
      </c>
      <c r="J249" s="33" t="s">
        <v>27</v>
      </c>
      <c r="K249" s="29">
        <v>0.72777777777777775</v>
      </c>
      <c r="L249" s="29">
        <v>0.73958333333333337</v>
      </c>
      <c r="M249" s="35">
        <f t="shared" ca="1" si="55"/>
        <v>1.1805555555555625E-2</v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102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22</v>
      </c>
      <c r="E251" s="59" t="s">
        <v>250</v>
      </c>
      <c r="F251" s="102">
        <v>10</v>
      </c>
      <c r="G251" s="28">
        <f t="shared" si="54"/>
        <v>42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102">
        <v>13</v>
      </c>
      <c r="G252" s="34">
        <f t="shared" si="54"/>
        <v>54.6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102">
        <v>15</v>
      </c>
      <c r="G253" s="28">
        <f t="shared" si="54"/>
        <v>63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102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234</v>
      </c>
      <c r="F255" s="102">
        <v>8</v>
      </c>
      <c r="G255" s="28">
        <f t="shared" si="54"/>
        <v>40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234</v>
      </c>
      <c r="F256" s="102">
        <v>7</v>
      </c>
      <c r="G256" s="34">
        <f t="shared" si="54"/>
        <v>35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6" t="s">
        <v>235</v>
      </c>
      <c r="B257" s="107"/>
      <c r="C257" s="107"/>
      <c r="D257" s="107"/>
      <c r="E257" s="108"/>
      <c r="F257" s="101">
        <f>SUM(F245:F256)</f>
        <v>113</v>
      </c>
      <c r="G257" s="36">
        <f>SUM(G245:G256)</f>
        <v>512.20000000000005</v>
      </c>
      <c r="H257" s="37"/>
      <c r="I257" s="37"/>
      <c r="J257" s="37"/>
      <c r="K257" s="37"/>
      <c r="L257" s="37"/>
      <c r="M257" s="38">
        <f ca="1">IFERROR(SUM(M245:M256),"")</f>
        <v>6.1111111111111172E-2</v>
      </c>
      <c r="N257" s="36" t="s">
        <v>236</v>
      </c>
      <c r="O257" s="39">
        <v>549440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20" t="s">
        <v>250</v>
      </c>
      <c r="F258" s="102">
        <v>9</v>
      </c>
      <c r="G258" s="34">
        <f t="shared" ref="G258:G269" si="57">IF(F258="","",IF(E258="PC 17",F258*4.2,IF(E258="PC 19",F258*5,IF(E258="CB",F258*24,""))))</f>
        <v>37.800000000000004</v>
      </c>
      <c r="H258" s="26" t="s">
        <v>20</v>
      </c>
      <c r="I258" s="26" t="s">
        <v>138</v>
      </c>
      <c r="J258" s="26" t="s">
        <v>74</v>
      </c>
      <c r="K258" s="29">
        <v>9.7222222222222224E-2</v>
      </c>
      <c r="L258" s="29">
        <v>0.15902777777777777</v>
      </c>
      <c r="M258" s="30">
        <f t="shared" ref="M258:M269" ca="1" si="58">IFERROR(IF(K258="","",IF(L258="",MOD(NOW()-K258,1),IF(L258&gt;=K258,L258-K258,L258+1-K258))),"")</f>
        <v>6.1805555555555544E-2</v>
      </c>
      <c r="N258" s="27" t="s">
        <v>266</v>
      </c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20" t="s">
        <v>250</v>
      </c>
      <c r="F259" s="102">
        <v>15</v>
      </c>
      <c r="G259" s="28">
        <f>IF(F259="","",IF(E260="PC 17",F259*4.2,IF(E260="PC 19",F259*5,IF(E260="CB",F259*24,""))))</f>
        <v>63</v>
      </c>
      <c r="H259" s="50" t="s">
        <v>18</v>
      </c>
      <c r="I259" s="50" t="s">
        <v>135</v>
      </c>
      <c r="J259" s="50" t="s">
        <v>118</v>
      </c>
      <c r="K259" s="29">
        <v>0.19444444444444445</v>
      </c>
      <c r="L259" s="29"/>
      <c r="M259" s="35">
        <f t="shared" ca="1" si="58"/>
        <v>9.6734837963595055E-2</v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102">
        <v>7</v>
      </c>
      <c r="G260" s="34">
        <v>30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6</v>
      </c>
      <c r="G261" s="28">
        <f t="shared" si="57"/>
        <v>25.200000000000003</v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20" t="s">
        <v>250</v>
      </c>
      <c r="F262" s="27">
        <v>10</v>
      </c>
      <c r="G262" s="34">
        <f>IF(F262="","",IF(E263="PC 17",F262*4.2,IF(E263="PC 19",F262*5,IF(E263="CB",F262*24,""))))</f>
        <v>42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8</v>
      </c>
      <c r="G263" s="28">
        <v>30</v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3</v>
      </c>
      <c r="G264" s="34">
        <v>10</v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0</v>
      </c>
      <c r="G265" s="28">
        <f t="shared" si="57"/>
        <v>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0</v>
      </c>
      <c r="G266" s="34">
        <f t="shared" si="57"/>
        <v>0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0</v>
      </c>
      <c r="G267" s="28">
        <f t="shared" si="57"/>
        <v>0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0</v>
      </c>
      <c r="G268" s="34">
        <f t="shared" si="57"/>
        <v>0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58</v>
      </c>
      <c r="G270" s="36">
        <f>SUM(G258:G269)</f>
        <v>238</v>
      </c>
      <c r="H270" s="37"/>
      <c r="I270" s="37"/>
      <c r="J270" s="37"/>
      <c r="K270" s="37"/>
      <c r="L270" s="37"/>
      <c r="M270" s="38">
        <f ca="1">IFERROR(SUM(M258:M269),"")</f>
        <v>0.15854039351915061</v>
      </c>
      <c r="N270" s="36" t="s">
        <v>236</v>
      </c>
      <c r="O270" s="39">
        <v>327900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171</v>
      </c>
      <c r="G271" s="40">
        <f>G257+G270</f>
        <v>750.2</v>
      </c>
      <c r="H271" s="41"/>
      <c r="I271" s="41"/>
      <c r="J271" s="41"/>
      <c r="K271" s="41"/>
      <c r="L271" s="41"/>
      <c r="M271" s="42">
        <f ca="1">IFERROR(M257+M270,"")</f>
        <v>0.21965150463026178</v>
      </c>
      <c r="N271" s="40" t="s">
        <v>240</v>
      </c>
      <c r="O271" s="48">
        <f>IFERROR(O257+O270,"")</f>
        <v>877340</v>
      </c>
    </row>
    <row r="272" spans="1:15" ht="15" customHeight="1">
      <c r="A272" s="68">
        <v>46245</v>
      </c>
      <c r="B272" s="25">
        <v>0.33333333333333298</v>
      </c>
      <c r="C272" s="26" t="s">
        <v>29</v>
      </c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 t="s">
        <v>29</v>
      </c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 t="s">
        <v>29</v>
      </c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 t="s">
        <v>29</v>
      </c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 t="s">
        <v>29</v>
      </c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 t="s">
        <v>29</v>
      </c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 t="s">
        <v>29</v>
      </c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 t="s">
        <v>29</v>
      </c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 t="s">
        <v>29</v>
      </c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 t="s">
        <v>29</v>
      </c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 t="s">
        <v>29</v>
      </c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 t="s">
        <v>29</v>
      </c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6" t="s">
        <v>235</v>
      </c>
      <c r="B338" s="107"/>
      <c r="C338" s="107"/>
      <c r="D338" s="107"/>
      <c r="E338" s="10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6" t="s">
        <v>235</v>
      </c>
      <c r="B365" s="107"/>
      <c r="C365" s="107"/>
      <c r="D365" s="107"/>
      <c r="E365" s="10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236</v>
      </c>
      <c r="O432" s="39"/>
    </row>
    <row r="433" spans="1:15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236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240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63:E380 E29:E256 E260:E261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D29:D256 D258:D294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234" activePane="bottomLeft" state="frozen"/>
      <selection pane="bottomLeft" activeCell="O271" sqref="O27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2.28515625" style="57" customWidth="1"/>
    <col min="11" max="11" width="18.42578125" style="57" customWidth="1"/>
    <col min="12" max="12" width="14" style="58" customWidth="1"/>
    <col min="13" max="13" width="14" style="57" customWidth="1"/>
    <col min="14" max="14" width="64.855468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224</v>
      </c>
      <c r="C1" s="23" t="s">
        <v>12</v>
      </c>
      <c r="D1" s="22" t="s">
        <v>13</v>
      </c>
      <c r="E1" s="22" t="s">
        <v>225</v>
      </c>
      <c r="F1" s="23" t="s">
        <v>226</v>
      </c>
      <c r="G1" s="23" t="s">
        <v>227</v>
      </c>
      <c r="H1" s="23" t="s">
        <v>14</v>
      </c>
      <c r="I1" s="23" t="s">
        <v>15</v>
      </c>
      <c r="J1" s="23" t="s">
        <v>228</v>
      </c>
      <c r="K1" s="23" t="s">
        <v>229</v>
      </c>
      <c r="L1" s="23" t="s">
        <v>230</v>
      </c>
      <c r="M1" s="24" t="s">
        <v>231</v>
      </c>
      <c r="N1" s="23" t="s">
        <v>232</v>
      </c>
      <c r="O1" s="23" t="s">
        <v>233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250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250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250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250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250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250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250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250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250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250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250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250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6" t="s">
        <v>235</v>
      </c>
      <c r="B14" s="107"/>
      <c r="C14" s="107"/>
      <c r="D14" s="107"/>
      <c r="E14" s="108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236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250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250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299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250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263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250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283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250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300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250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250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250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301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250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250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250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250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6" t="s">
        <v>238</v>
      </c>
      <c r="B27" s="107"/>
      <c r="C27" s="107"/>
      <c r="D27" s="107"/>
      <c r="E27" s="108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236</v>
      </c>
      <c r="O27" s="39">
        <v>491520</v>
      </c>
    </row>
    <row r="28" spans="1:15" ht="18" customHeight="1">
      <c r="A28" s="103" t="s">
        <v>239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240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250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250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250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250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250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250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250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250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250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250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250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250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6" t="s">
        <v>235</v>
      </c>
      <c r="B41" s="107"/>
      <c r="C41" s="107"/>
      <c r="D41" s="107"/>
      <c r="E41" s="108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236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250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250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250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250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302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250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250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250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250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250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250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250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250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6" t="s">
        <v>238</v>
      </c>
      <c r="B54" s="107"/>
      <c r="C54" s="107"/>
      <c r="D54" s="107"/>
      <c r="E54" s="108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236</v>
      </c>
      <c r="O54" s="39">
        <v>352430</v>
      </c>
    </row>
    <row r="55" spans="1:15" ht="18" customHeight="1">
      <c r="A55" s="103" t="s">
        <v>239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240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250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250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250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250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303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250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304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250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250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250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250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250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250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250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6" t="s">
        <v>235</v>
      </c>
      <c r="B68" s="107"/>
      <c r="C68" s="107"/>
      <c r="D68" s="107"/>
      <c r="E68" s="108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236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250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217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305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250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250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250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283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250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250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250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250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250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250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250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6" t="s">
        <v>238</v>
      </c>
      <c r="B81" s="107"/>
      <c r="C81" s="107"/>
      <c r="D81" s="107"/>
      <c r="E81" s="108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236</v>
      </c>
      <c r="O81" s="39">
        <v>612410</v>
      </c>
    </row>
    <row r="82" spans="1:15" ht="18" customHeight="1">
      <c r="A82" s="103" t="s">
        <v>239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240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250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250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250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250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250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250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250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250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250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250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250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250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6" t="s">
        <v>235</v>
      </c>
      <c r="B95" s="107"/>
      <c r="C95" s="107"/>
      <c r="D95" s="107"/>
      <c r="E95" s="108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236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250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250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283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250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250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250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250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250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250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250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250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250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250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6" t="s">
        <v>238</v>
      </c>
      <c r="B108" s="107"/>
      <c r="C108" s="107"/>
      <c r="D108" s="107"/>
      <c r="E108" s="108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236</v>
      </c>
      <c r="O108" s="39">
        <v>956070</v>
      </c>
    </row>
    <row r="109" spans="1:15" ht="18" customHeight="1">
      <c r="A109" s="103" t="s">
        <v>239</v>
      </c>
      <c r="B109" s="104"/>
      <c r="C109" s="104"/>
      <c r="D109" s="104"/>
      <c r="E109" s="105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240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250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250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217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250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222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250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222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250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306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250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250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250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250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250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250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250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6" t="s">
        <v>235</v>
      </c>
      <c r="B122" s="107"/>
      <c r="C122" s="107"/>
      <c r="D122" s="107"/>
      <c r="E122" s="108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236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250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250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307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250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250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250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266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250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250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283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250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250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250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250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250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6" t="s">
        <v>238</v>
      </c>
      <c r="B135" s="107"/>
      <c r="C135" s="107"/>
      <c r="D135" s="107"/>
      <c r="E135" s="108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236</v>
      </c>
      <c r="O135" s="39">
        <v>912240</v>
      </c>
    </row>
    <row r="136" spans="1:18" ht="18" customHeight="1">
      <c r="A136" s="103" t="s">
        <v>239</v>
      </c>
      <c r="B136" s="104"/>
      <c r="C136" s="104"/>
      <c r="D136" s="104"/>
      <c r="E136" s="105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240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250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250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308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250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309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250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250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250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250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250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250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250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275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250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250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235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236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250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310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250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311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250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250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250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250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250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250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250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250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250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250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6" t="s">
        <v>238</v>
      </c>
      <c r="B162" s="107"/>
      <c r="C162" s="107"/>
      <c r="D162" s="107"/>
      <c r="E162" s="108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236</v>
      </c>
      <c r="O162" s="39">
        <v>573230</v>
      </c>
    </row>
    <row r="163" spans="1:15" ht="18" customHeight="1">
      <c r="A163" s="103" t="s">
        <v>239</v>
      </c>
      <c r="B163" s="104"/>
      <c r="C163" s="104"/>
      <c r="D163" s="104"/>
      <c r="E163" s="105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240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250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250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250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250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250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250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250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312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250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250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250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250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250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6" t="s">
        <v>235</v>
      </c>
      <c r="B176" s="107"/>
      <c r="C176" s="107"/>
      <c r="D176" s="107"/>
      <c r="E176" s="108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236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250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313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250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250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250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250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250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250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250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250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250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250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250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6" t="s">
        <v>238</v>
      </c>
      <c r="B189" s="107"/>
      <c r="C189" s="107"/>
      <c r="D189" s="107"/>
      <c r="E189" s="108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236</v>
      </c>
      <c r="O189" s="39">
        <v>692750</v>
      </c>
    </row>
    <row r="190" spans="1:15" ht="18" customHeight="1">
      <c r="A190" s="103" t="s">
        <v>239</v>
      </c>
      <c r="B190" s="104"/>
      <c r="C190" s="104"/>
      <c r="D190" s="104"/>
      <c r="E190" s="105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240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250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250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314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250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250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250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250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250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250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250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250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250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250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6" t="s">
        <v>235</v>
      </c>
      <c r="B203" s="107"/>
      <c r="C203" s="107"/>
      <c r="D203" s="107"/>
      <c r="E203" s="108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236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250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>
        <v>2.7777777777777779E-3</v>
      </c>
      <c r="M204" s="30">
        <f t="shared" ref="M204:M215" ca="1" si="46">IFERROR(IF(K204="","",IF(L204="",MOD(NOW()-K204,1),IF(L204&gt;=K204,L204-K204,L204+1-K204))),"")</f>
        <v>0.19027777777777777</v>
      </c>
      <c r="N204" s="27" t="s">
        <v>315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250</v>
      </c>
      <c r="F205" s="27">
        <v>6</v>
      </c>
      <c r="G205" s="34">
        <f t="shared" si="45"/>
        <v>25.200000000000003</v>
      </c>
      <c r="H205" s="33" t="s">
        <v>20</v>
      </c>
      <c r="I205" s="57" t="s">
        <v>316</v>
      </c>
      <c r="J205" s="33" t="s">
        <v>28</v>
      </c>
      <c r="K205" s="29">
        <v>0.85833333333333328</v>
      </c>
      <c r="L205" s="29">
        <v>0.86458333333333337</v>
      </c>
      <c r="M205" s="35">
        <f t="shared" ca="1" si="46"/>
        <v>6.2500000000000888E-3</v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250</v>
      </c>
      <c r="F206" s="27">
        <v>0</v>
      </c>
      <c r="G206" s="28">
        <f t="shared" si="45"/>
        <v>0</v>
      </c>
      <c r="H206" s="26" t="s">
        <v>20</v>
      </c>
      <c r="I206" s="26" t="s">
        <v>52</v>
      </c>
      <c r="J206" s="26" t="s">
        <v>36</v>
      </c>
      <c r="K206" s="29">
        <v>0.87708333333333333</v>
      </c>
      <c r="L206" s="29">
        <v>2.7777777777777779E-3</v>
      </c>
      <c r="M206" s="30">
        <f t="shared" ca="1" si="46"/>
        <v>0.12569444444444444</v>
      </c>
      <c r="N206" s="27" t="s">
        <v>317</v>
      </c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250</v>
      </c>
      <c r="F207" s="27">
        <v>0</v>
      </c>
      <c r="G207" s="34">
        <f t="shared" si="45"/>
        <v>0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250</v>
      </c>
      <c r="F208" s="27">
        <v>0</v>
      </c>
      <c r="G208" s="28">
        <f t="shared" si="45"/>
        <v>0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250</v>
      </c>
      <c r="F209" s="27">
        <v>20</v>
      </c>
      <c r="G209" s="34">
        <f t="shared" si="45"/>
        <v>84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250</v>
      </c>
      <c r="F210" s="27">
        <v>19</v>
      </c>
      <c r="G210" s="28">
        <v>77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250</v>
      </c>
      <c r="F211" s="27">
        <v>19</v>
      </c>
      <c r="G211" s="34">
        <f t="shared" si="45"/>
        <v>79.8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250</v>
      </c>
      <c r="F212" s="27">
        <v>16</v>
      </c>
      <c r="G212" s="28">
        <f t="shared" si="45"/>
        <v>67.2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250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250</v>
      </c>
      <c r="F214" s="27">
        <v>17</v>
      </c>
      <c r="G214" s="28">
        <f t="shared" si="45"/>
        <v>71.400000000000006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250</v>
      </c>
      <c r="F215" s="27">
        <v>12</v>
      </c>
      <c r="G215" s="34">
        <f t="shared" si="45"/>
        <v>50.400000000000006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6" t="s">
        <v>238</v>
      </c>
      <c r="B216" s="107"/>
      <c r="C216" s="107"/>
      <c r="D216" s="107"/>
      <c r="E216" s="108">
        <f>SUM(E204:E215)</f>
        <v>0</v>
      </c>
      <c r="F216" s="36">
        <f>SUM(F204:F215)</f>
        <v>136</v>
      </c>
      <c r="G216" s="36">
        <f>SUM(G204:G215)</f>
        <v>568.4</v>
      </c>
      <c r="H216" s="37"/>
      <c r="I216" s="37"/>
      <c r="J216" s="37"/>
      <c r="K216" s="61"/>
      <c r="L216" s="61"/>
      <c r="M216" s="38">
        <f ca="1">IFERROR(SUM(M204:M215),"")</f>
        <v>0.3222222222222223</v>
      </c>
      <c r="N216" s="36" t="s">
        <v>236</v>
      </c>
      <c r="O216" s="45">
        <v>607180</v>
      </c>
    </row>
    <row r="217" spans="1:15" ht="18" customHeight="1">
      <c r="A217" s="103" t="s">
        <v>239</v>
      </c>
      <c r="B217" s="104"/>
      <c r="C217" s="104"/>
      <c r="D217" s="104"/>
      <c r="E217" s="105">
        <f>E203+E216</f>
        <v>0</v>
      </c>
      <c r="F217" s="40">
        <f>F203+F216</f>
        <v>297</v>
      </c>
      <c r="G217" s="40">
        <f>G203+G216</f>
        <v>1244.5999999999999</v>
      </c>
      <c r="H217" s="41"/>
      <c r="I217" s="41"/>
      <c r="J217" s="41"/>
      <c r="K217" s="63"/>
      <c r="L217" s="63"/>
      <c r="M217" s="42">
        <f ca="1">IFERROR(M203+M216,"")</f>
        <v>0.390277777777778</v>
      </c>
      <c r="N217" s="40" t="s">
        <v>240</v>
      </c>
      <c r="O217" s="48">
        <f>IFERROR(O203+O216,"")</f>
        <v>1397250</v>
      </c>
    </row>
    <row r="218" spans="1:15" ht="15" customHeight="1">
      <c r="A218" s="68">
        <v>46243</v>
      </c>
      <c r="B218" s="25">
        <v>0.33333333333333298</v>
      </c>
      <c r="C218" s="26" t="s">
        <v>29</v>
      </c>
      <c r="D218" s="59" t="s">
        <v>30</v>
      </c>
      <c r="E218" s="59" t="s">
        <v>250</v>
      </c>
      <c r="F218" s="27">
        <v>15</v>
      </c>
      <c r="G218" s="28">
        <f t="shared" ref="G218:G229" si="48">IF(F218="","",IF(E218="PC 17",F218*4.2,IF(E218="PC 19",F218*5,IF(E218="CB",F218*24,""))))</f>
        <v>63</v>
      </c>
      <c r="H218" s="26" t="s">
        <v>19</v>
      </c>
      <c r="I218" s="26" t="s">
        <v>57</v>
      </c>
      <c r="J218" s="26" t="s">
        <v>27</v>
      </c>
      <c r="K218" s="29">
        <v>0.41805555555555557</v>
      </c>
      <c r="L218" s="29">
        <v>0.42708333333333331</v>
      </c>
      <c r="M218" s="30">
        <f t="shared" ref="M218:M229" ca="1" si="49">IFERROR(IF(K218="","",IF(L218="",MOD(NOW()-K218,1),IF(L218&gt;=K218,L218-K218,L218+1-K218))),"")</f>
        <v>9.0277777777777457E-3</v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250</v>
      </c>
      <c r="F219" s="27">
        <v>22</v>
      </c>
      <c r="G219" s="34">
        <f t="shared" si="48"/>
        <v>92.4</v>
      </c>
      <c r="H219" s="33" t="s">
        <v>19</v>
      </c>
      <c r="I219" s="33" t="s">
        <v>52</v>
      </c>
      <c r="J219" s="33" t="s">
        <v>27</v>
      </c>
      <c r="K219" s="29">
        <v>0.42708333333333331</v>
      </c>
      <c r="L219" s="29">
        <v>0.43680555555555556</v>
      </c>
      <c r="M219" s="35">
        <f t="shared" ca="1" si="49"/>
        <v>9.7222222222222432E-3</v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250</v>
      </c>
      <c r="F220" s="27">
        <v>14</v>
      </c>
      <c r="G220" s="28">
        <f t="shared" si="48"/>
        <v>58.800000000000004</v>
      </c>
      <c r="H220" s="26" t="s">
        <v>20</v>
      </c>
      <c r="I220" s="26" t="s">
        <v>52</v>
      </c>
      <c r="J220" s="26" t="s">
        <v>56</v>
      </c>
      <c r="K220" s="29">
        <v>0.5756944444444444</v>
      </c>
      <c r="L220" s="29">
        <v>0.59722222222222221</v>
      </c>
      <c r="M220" s="30">
        <f t="shared" ca="1" si="49"/>
        <v>2.1527777777777812E-2</v>
      </c>
      <c r="N220" s="27" t="s">
        <v>318</v>
      </c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250</v>
      </c>
      <c r="F221" s="27">
        <v>7</v>
      </c>
      <c r="G221" s="34">
        <f t="shared" si="48"/>
        <v>29.400000000000002</v>
      </c>
      <c r="H221" s="33" t="s">
        <v>19</v>
      </c>
      <c r="I221" s="33" t="s">
        <v>57</v>
      </c>
      <c r="J221" s="33" t="s">
        <v>78</v>
      </c>
      <c r="K221" s="29">
        <v>0.59722222222222221</v>
      </c>
      <c r="L221" s="29">
        <v>0.61111111111111116</v>
      </c>
      <c r="M221" s="35">
        <f t="shared" ca="1" si="49"/>
        <v>1.3888888888888951E-2</v>
      </c>
      <c r="N221" s="27" t="s">
        <v>319</v>
      </c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234</v>
      </c>
      <c r="F222" s="27">
        <v>20</v>
      </c>
      <c r="G222" s="28">
        <f t="shared" si="48"/>
        <v>100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250</v>
      </c>
      <c r="F223" s="27">
        <v>20</v>
      </c>
      <c r="G223" s="34">
        <f t="shared" si="48"/>
        <v>84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250</v>
      </c>
      <c r="F224" s="27">
        <v>10</v>
      </c>
      <c r="G224" s="28">
        <f t="shared" si="48"/>
        <v>42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250</v>
      </c>
      <c r="F225" s="27">
        <v>3</v>
      </c>
      <c r="G225" s="34">
        <f t="shared" si="48"/>
        <v>12.600000000000001</v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250</v>
      </c>
      <c r="F226" s="27">
        <v>16</v>
      </c>
      <c r="G226" s="28">
        <f t="shared" si="48"/>
        <v>67.2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250</v>
      </c>
      <c r="F227" s="27">
        <v>15</v>
      </c>
      <c r="G227" s="34">
        <f t="shared" si="48"/>
        <v>63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250</v>
      </c>
      <c r="F228" s="27">
        <v>17</v>
      </c>
      <c r="G228" s="28">
        <f t="shared" si="48"/>
        <v>71.400000000000006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250</v>
      </c>
      <c r="F229" s="27">
        <v>10</v>
      </c>
      <c r="G229" s="34">
        <f t="shared" si="48"/>
        <v>42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6" t="s">
        <v>235</v>
      </c>
      <c r="B230" s="107"/>
      <c r="C230" s="107"/>
      <c r="D230" s="107"/>
      <c r="E230" s="108">
        <f>SUM(E218:E229)</f>
        <v>0</v>
      </c>
      <c r="F230" s="36">
        <f>SUM(F218:F229)</f>
        <v>169</v>
      </c>
      <c r="G230" s="36">
        <f>SUM(G218:G229)</f>
        <v>725.80000000000007</v>
      </c>
      <c r="H230" s="37"/>
      <c r="I230" s="37"/>
      <c r="J230" s="37"/>
      <c r="K230" s="61"/>
      <c r="L230" s="61"/>
      <c r="M230" s="38">
        <f ca="1">IFERROR(SUM(M218:M229),"")</f>
        <v>5.4166666666666752E-2</v>
      </c>
      <c r="N230" s="36" t="s">
        <v>236</v>
      </c>
      <c r="O230" s="39">
        <v>755220</v>
      </c>
    </row>
    <row r="231" spans="1:15" ht="15" customHeight="1">
      <c r="A231" s="69">
        <v>46243</v>
      </c>
      <c r="B231" s="32">
        <v>0.83333333333333304</v>
      </c>
      <c r="C231" s="33" t="s">
        <v>45</v>
      </c>
      <c r="D231" s="62" t="s">
        <v>30</v>
      </c>
      <c r="E231" s="62" t="s">
        <v>250</v>
      </c>
      <c r="F231" s="27">
        <v>18</v>
      </c>
      <c r="G231" s="34">
        <f t="shared" ref="G231:G242" si="51">IF(F231="","",IF(E231="PC 17",F231*4.2,IF(E231="PC 19",F231*5,IF(E231="CB",F231*24,""))))</f>
        <v>75.600000000000009</v>
      </c>
      <c r="H231" s="33" t="s">
        <v>20</v>
      </c>
      <c r="I231" s="33" t="s">
        <v>57</v>
      </c>
      <c r="J231" s="33" t="s">
        <v>36</v>
      </c>
      <c r="K231" s="29">
        <v>0.81458333333333333</v>
      </c>
      <c r="L231" s="29">
        <v>0.85624999999999996</v>
      </c>
      <c r="M231" s="35">
        <f t="shared" ref="M231:M242" ca="1" si="52">IFERROR(IF(K231="","",IF(L231="",MOD(NOW()-K231,1),IF(L231&gt;=K231,L231-K231,L231+1-K231))),"")</f>
        <v>4.166666666666663E-2</v>
      </c>
      <c r="N231" s="27" t="s">
        <v>320</v>
      </c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 t="s">
        <v>45</v>
      </c>
      <c r="D232" s="62" t="s">
        <v>30</v>
      </c>
      <c r="E232" s="62" t="s">
        <v>234</v>
      </c>
      <c r="F232" s="27">
        <v>5</v>
      </c>
      <c r="G232" s="28">
        <f t="shared" si="51"/>
        <v>25</v>
      </c>
      <c r="H232" s="26" t="s">
        <v>20</v>
      </c>
      <c r="I232" s="26" t="s">
        <v>57</v>
      </c>
      <c r="J232" s="26" t="s">
        <v>56</v>
      </c>
      <c r="K232" s="29">
        <v>0.88749999999999996</v>
      </c>
      <c r="L232" s="29">
        <v>0.90347222222222223</v>
      </c>
      <c r="M232" s="30">
        <f t="shared" ca="1" si="52"/>
        <v>1.5972222222222276E-2</v>
      </c>
      <c r="N232" s="27" t="s">
        <v>321</v>
      </c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 t="s">
        <v>45</v>
      </c>
      <c r="D233" s="62" t="s">
        <v>30</v>
      </c>
      <c r="E233" s="62" t="s">
        <v>250</v>
      </c>
      <c r="F233" s="27">
        <v>7</v>
      </c>
      <c r="G233" s="34">
        <f t="shared" si="51"/>
        <v>29.400000000000002</v>
      </c>
      <c r="H233" s="33" t="s">
        <v>18</v>
      </c>
      <c r="I233" s="33" t="s">
        <v>152</v>
      </c>
      <c r="J233" s="33" t="s">
        <v>130</v>
      </c>
      <c r="K233" s="29">
        <v>3.5416666666666666E-2</v>
      </c>
      <c r="L233" s="29">
        <v>6.7361111111111108E-2</v>
      </c>
      <c r="M233" s="35">
        <f t="shared" ca="1" si="52"/>
        <v>3.1944444444444442E-2</v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 t="s">
        <v>45</v>
      </c>
      <c r="D234" s="62" t="s">
        <v>30</v>
      </c>
      <c r="E234" s="62" t="s">
        <v>234</v>
      </c>
      <c r="F234" s="27">
        <v>11</v>
      </c>
      <c r="G234" s="28">
        <f t="shared" si="51"/>
        <v>55</v>
      </c>
      <c r="H234" s="26" t="s">
        <v>19</v>
      </c>
      <c r="I234" s="26" t="s">
        <v>52</v>
      </c>
      <c r="J234" s="26" t="s">
        <v>27</v>
      </c>
      <c r="K234" s="29">
        <v>0.26041666666666669</v>
      </c>
      <c r="L234" s="29">
        <v>0.28749999999999998</v>
      </c>
      <c r="M234" s="30">
        <f t="shared" ca="1" si="52"/>
        <v>2.7083333333333293E-2</v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 t="s">
        <v>45</v>
      </c>
      <c r="D235" s="62" t="s">
        <v>30</v>
      </c>
      <c r="E235" s="62" t="s">
        <v>234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 t="s">
        <v>45</v>
      </c>
      <c r="D236" s="62" t="s">
        <v>30</v>
      </c>
      <c r="E236" s="62" t="s">
        <v>234</v>
      </c>
      <c r="F236" s="27">
        <v>12</v>
      </c>
      <c r="G236" s="28">
        <f t="shared" si="51"/>
        <v>60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 t="s">
        <v>45</v>
      </c>
      <c r="D237" s="62" t="s">
        <v>30</v>
      </c>
      <c r="E237" s="62" t="s">
        <v>234</v>
      </c>
      <c r="F237" s="27">
        <v>12</v>
      </c>
      <c r="G237" s="34">
        <f t="shared" si="51"/>
        <v>60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 t="s">
        <v>45</v>
      </c>
      <c r="D238" s="62" t="s">
        <v>30</v>
      </c>
      <c r="E238" s="62" t="s">
        <v>234</v>
      </c>
      <c r="F238" s="27">
        <v>17</v>
      </c>
      <c r="G238" s="28">
        <f t="shared" si="51"/>
        <v>85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 t="s">
        <v>45</v>
      </c>
      <c r="D239" s="62" t="s">
        <v>30</v>
      </c>
      <c r="E239" s="62" t="s">
        <v>234</v>
      </c>
      <c r="F239" s="27">
        <v>11</v>
      </c>
      <c r="G239" s="34">
        <f t="shared" si="51"/>
        <v>55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 t="s">
        <v>45</v>
      </c>
      <c r="D240" s="62" t="s">
        <v>30</v>
      </c>
      <c r="E240" s="62" t="s">
        <v>234</v>
      </c>
      <c r="F240" s="27">
        <v>14</v>
      </c>
      <c r="G240" s="28">
        <f t="shared" si="51"/>
        <v>70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 t="s">
        <v>45</v>
      </c>
      <c r="D241" s="62" t="s">
        <v>30</v>
      </c>
      <c r="E241" s="62" t="s">
        <v>234</v>
      </c>
      <c r="F241" s="27">
        <v>15</v>
      </c>
      <c r="G241" s="34">
        <f t="shared" si="51"/>
        <v>75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 t="s">
        <v>45</v>
      </c>
      <c r="D242" s="62" t="s">
        <v>30</v>
      </c>
      <c r="E242" s="62" t="s">
        <v>234</v>
      </c>
      <c r="F242" s="27">
        <v>0</v>
      </c>
      <c r="G242" s="28">
        <f t="shared" si="51"/>
        <v>0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6" t="s">
        <v>238</v>
      </c>
      <c r="B243" s="107"/>
      <c r="C243" s="107"/>
      <c r="D243" s="107"/>
      <c r="E243" s="108">
        <f>SUM(E231:E242)</f>
        <v>0</v>
      </c>
      <c r="F243" s="36">
        <f>SUM(F231:F242)</f>
        <v>137</v>
      </c>
      <c r="G243" s="36">
        <f>SUM(G231:G242)</f>
        <v>665</v>
      </c>
      <c r="H243" s="37"/>
      <c r="I243" s="37"/>
      <c r="J243" s="37"/>
      <c r="K243" s="61"/>
      <c r="L243" s="61"/>
      <c r="M243" s="38">
        <f ca="1">IFERROR(SUM(M231:M242),"")</f>
        <v>0.11666666666666664</v>
      </c>
      <c r="N243" s="36" t="s">
        <v>236</v>
      </c>
      <c r="O243" s="39">
        <v>795250</v>
      </c>
    </row>
    <row r="244" spans="1:15" ht="18" customHeight="1">
      <c r="A244" s="103" t="s">
        <v>239</v>
      </c>
      <c r="B244" s="104"/>
      <c r="C244" s="104"/>
      <c r="D244" s="104"/>
      <c r="E244" s="105">
        <f>E230+E243</f>
        <v>0</v>
      </c>
      <c r="F244" s="40">
        <f>F230+F243</f>
        <v>306</v>
      </c>
      <c r="G244" s="40">
        <f>G230+G243</f>
        <v>1390.8000000000002</v>
      </c>
      <c r="H244" s="41"/>
      <c r="I244" s="41"/>
      <c r="J244" s="41"/>
      <c r="K244" s="63"/>
      <c r="L244" s="63"/>
      <c r="M244" s="42">
        <f ca="1">IFERROR(M230+M243,"")</f>
        <v>0.17083333333333339</v>
      </c>
      <c r="N244" s="40" t="s">
        <v>240</v>
      </c>
      <c r="O244" s="48">
        <f>IFERROR(O230+O243,"")</f>
        <v>1550470</v>
      </c>
    </row>
    <row r="245" spans="1:15" ht="15" customHeight="1">
      <c r="A245" s="68">
        <v>46244</v>
      </c>
      <c r="B245" s="25">
        <v>0.33333333333333298</v>
      </c>
      <c r="C245" s="26" t="s">
        <v>29</v>
      </c>
      <c r="D245" s="59" t="s">
        <v>30</v>
      </c>
      <c r="E245" s="59" t="s">
        <v>234</v>
      </c>
      <c r="F245" s="27">
        <v>15</v>
      </c>
      <c r="G245" s="28">
        <f t="shared" ref="G245:G256" si="54">IF(F245="","",IF(E245="PC 17",F245*4.2,IF(E245="PC 19",F245*5,IF(E245="CB",F245*24,""))))</f>
        <v>75</v>
      </c>
      <c r="H245" s="33" t="s">
        <v>18</v>
      </c>
      <c r="I245" s="33" t="s">
        <v>52</v>
      </c>
      <c r="J245" s="33" t="s">
        <v>166</v>
      </c>
      <c r="K245" s="29">
        <v>0.32222222222222224</v>
      </c>
      <c r="L245" s="29">
        <v>0.3263888888888889</v>
      </c>
      <c r="M245" s="30">
        <f t="shared" ref="M245:M256" ca="1" si="55">IFERROR(IF(K245="","",IF(L245="",MOD(NOW()-K245,1),IF(L245&gt;=K245,L245-K245,L245+1-K245))),"")</f>
        <v>4.1666666666666519E-3</v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 t="s">
        <v>29</v>
      </c>
      <c r="D246" s="59" t="s">
        <v>30</v>
      </c>
      <c r="E246" s="59" t="s">
        <v>234</v>
      </c>
      <c r="F246" s="27">
        <v>15</v>
      </c>
      <c r="G246" s="34">
        <f t="shared" si="54"/>
        <v>75</v>
      </c>
      <c r="H246" s="33" t="s">
        <v>20</v>
      </c>
      <c r="I246" s="26" t="s">
        <v>57</v>
      </c>
      <c r="J246" s="33" t="s">
        <v>28</v>
      </c>
      <c r="K246" s="29">
        <v>0.34861111111111109</v>
      </c>
      <c r="L246" s="29">
        <v>0.36249999999999999</v>
      </c>
      <c r="M246" s="35">
        <f t="shared" ca="1" si="55"/>
        <v>1.3888888888888895E-2</v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 t="s">
        <v>29</v>
      </c>
      <c r="D247" s="59" t="s">
        <v>30</v>
      </c>
      <c r="E247" s="59" t="s">
        <v>234</v>
      </c>
      <c r="F247" s="27">
        <v>19</v>
      </c>
      <c r="G247" s="28">
        <f t="shared" si="54"/>
        <v>95</v>
      </c>
      <c r="H247" s="33" t="s">
        <v>20</v>
      </c>
      <c r="I247" s="33" t="s">
        <v>52</v>
      </c>
      <c r="J247" s="33" t="s">
        <v>62</v>
      </c>
      <c r="K247" s="29">
        <v>0.50069444444444444</v>
      </c>
      <c r="L247" s="29">
        <v>0.50208333333333333</v>
      </c>
      <c r="M247" s="30">
        <f t="shared" ca="1" si="55"/>
        <v>1.388888888888884E-3</v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 t="s">
        <v>29</v>
      </c>
      <c r="D248" s="59" t="s">
        <v>30</v>
      </c>
      <c r="E248" s="59" t="s">
        <v>234</v>
      </c>
      <c r="F248" s="27">
        <v>24</v>
      </c>
      <c r="G248" s="34">
        <f t="shared" si="54"/>
        <v>120</v>
      </c>
      <c r="H248" s="26" t="s">
        <v>19</v>
      </c>
      <c r="I248" s="26" t="s">
        <v>57</v>
      </c>
      <c r="J248" s="26" t="s">
        <v>27</v>
      </c>
      <c r="K248" s="29">
        <v>0.52430555555555558</v>
      </c>
      <c r="L248" s="29">
        <v>0.54027777777777775</v>
      </c>
      <c r="M248" s="35">
        <f t="shared" ca="1" si="55"/>
        <v>1.5972222222222165E-2</v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 t="s">
        <v>29</v>
      </c>
      <c r="D249" s="59" t="s">
        <v>30</v>
      </c>
      <c r="E249" s="59" t="s">
        <v>250</v>
      </c>
      <c r="F249" s="27">
        <v>10</v>
      </c>
      <c r="G249" s="28">
        <f t="shared" si="54"/>
        <v>42</v>
      </c>
      <c r="H249" s="33" t="s">
        <v>18</v>
      </c>
      <c r="I249" s="33" t="s">
        <v>152</v>
      </c>
      <c r="J249" s="33" t="s">
        <v>130</v>
      </c>
      <c r="K249" s="29">
        <v>0.55555555555555558</v>
      </c>
      <c r="L249" s="29">
        <v>0.56180555555555556</v>
      </c>
      <c r="M249" s="30">
        <f t="shared" ca="1" si="55"/>
        <v>6.2499999999999778E-3</v>
      </c>
      <c r="N249" s="27" t="s">
        <v>322</v>
      </c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 t="s">
        <v>29</v>
      </c>
      <c r="D250" s="59" t="s">
        <v>30</v>
      </c>
      <c r="E250" s="59" t="s">
        <v>250</v>
      </c>
      <c r="F250" s="27">
        <v>16</v>
      </c>
      <c r="G250" s="34">
        <f t="shared" si="54"/>
        <v>67.2</v>
      </c>
      <c r="H250" s="26" t="s">
        <v>19</v>
      </c>
      <c r="I250" s="26" t="s">
        <v>52</v>
      </c>
      <c r="J250" s="26" t="s">
        <v>27</v>
      </c>
      <c r="K250" s="29">
        <v>0.54027777777777775</v>
      </c>
      <c r="L250" s="29">
        <v>0.55555555555555558</v>
      </c>
      <c r="M250" s="35">
        <f t="shared" ca="1" si="55"/>
        <v>1.5277777777777835E-2</v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 t="s">
        <v>29</v>
      </c>
      <c r="D251" s="59" t="s">
        <v>30</v>
      </c>
      <c r="E251" s="59" t="s">
        <v>250</v>
      </c>
      <c r="F251" s="27">
        <v>0</v>
      </c>
      <c r="G251" s="28">
        <f t="shared" si="54"/>
        <v>0</v>
      </c>
      <c r="H251" s="33" t="s">
        <v>20</v>
      </c>
      <c r="I251" s="33" t="s">
        <v>52</v>
      </c>
      <c r="J251" s="33" t="s">
        <v>51</v>
      </c>
      <c r="K251" s="29">
        <v>0.60763888888888884</v>
      </c>
      <c r="L251" s="29">
        <v>0.6166666666666667</v>
      </c>
      <c r="M251" s="30">
        <f t="shared" ca="1" si="55"/>
        <v>9.0277777777778567E-3</v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 t="s">
        <v>29</v>
      </c>
      <c r="D252" s="59" t="s">
        <v>22</v>
      </c>
      <c r="E252" s="59" t="s">
        <v>250</v>
      </c>
      <c r="F252" s="27">
        <v>18</v>
      </c>
      <c r="G252" s="34">
        <f t="shared" si="54"/>
        <v>75.600000000000009</v>
      </c>
      <c r="H252" s="26" t="s">
        <v>20</v>
      </c>
      <c r="I252" s="26" t="s">
        <v>52</v>
      </c>
      <c r="J252" s="26" t="s">
        <v>56</v>
      </c>
      <c r="K252" s="29">
        <v>0.64027777777777772</v>
      </c>
      <c r="L252" s="29">
        <v>0.65625</v>
      </c>
      <c r="M252" s="35">
        <f t="shared" ca="1" si="55"/>
        <v>1.5972222222222276E-2</v>
      </c>
      <c r="N252" s="27" t="s">
        <v>323</v>
      </c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 t="s">
        <v>29</v>
      </c>
      <c r="D253" s="59" t="s">
        <v>22</v>
      </c>
      <c r="E253" s="59" t="s">
        <v>250</v>
      </c>
      <c r="F253" s="27">
        <v>15</v>
      </c>
      <c r="G253" s="28">
        <f t="shared" si="54"/>
        <v>63</v>
      </c>
      <c r="H253" s="33" t="s">
        <v>18</v>
      </c>
      <c r="I253" s="33" t="s">
        <v>52</v>
      </c>
      <c r="J253" s="33" t="s">
        <v>130</v>
      </c>
      <c r="K253" s="29">
        <v>0.75</v>
      </c>
      <c r="L253" s="29">
        <v>0.75972222222222219</v>
      </c>
      <c r="M253" s="30">
        <f t="shared" ca="1" si="55"/>
        <v>9.7222222222221877E-3</v>
      </c>
      <c r="N253" s="27" t="s">
        <v>290</v>
      </c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 t="s">
        <v>29</v>
      </c>
      <c r="D254" s="59" t="s">
        <v>22</v>
      </c>
      <c r="E254" s="59" t="s">
        <v>250</v>
      </c>
      <c r="F254" s="27">
        <v>18</v>
      </c>
      <c r="G254" s="34">
        <f t="shared" si="54"/>
        <v>75.600000000000009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 t="s">
        <v>29</v>
      </c>
      <c r="D255" s="59" t="s">
        <v>22</v>
      </c>
      <c r="E255" s="59" t="s">
        <v>250</v>
      </c>
      <c r="F255" s="27">
        <v>11</v>
      </c>
      <c r="G255" s="28">
        <f t="shared" si="54"/>
        <v>46.2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 t="s">
        <v>29</v>
      </c>
      <c r="D256" s="59" t="s">
        <v>22</v>
      </c>
      <c r="E256" s="59" t="s">
        <v>250</v>
      </c>
      <c r="F256" s="27">
        <v>21</v>
      </c>
      <c r="G256" s="34">
        <f t="shared" si="54"/>
        <v>88.2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6" t="s">
        <v>235</v>
      </c>
      <c r="B257" s="107"/>
      <c r="C257" s="107"/>
      <c r="D257" s="107"/>
      <c r="E257" s="108">
        <f>SUM(E245:E256)</f>
        <v>0</v>
      </c>
      <c r="F257" s="36">
        <f>SUM(F245:F256)</f>
        <v>182</v>
      </c>
      <c r="G257" s="36">
        <f>SUM(G245:G256)</f>
        <v>822.80000000000007</v>
      </c>
      <c r="H257" s="37"/>
      <c r="I257" s="37"/>
      <c r="J257" s="37"/>
      <c r="K257" s="61"/>
      <c r="L257" s="61"/>
      <c r="M257" s="38">
        <f ca="1">IFERROR(SUM(M245:M256),"")</f>
        <v>9.166666666666673E-2</v>
      </c>
      <c r="N257" s="36" t="s">
        <v>236</v>
      </c>
      <c r="O257" s="39">
        <v>803560</v>
      </c>
    </row>
    <row r="258" spans="1:15" ht="15" customHeight="1">
      <c r="A258" s="69">
        <v>46244</v>
      </c>
      <c r="B258" s="32">
        <v>0.83333333333333304</v>
      </c>
      <c r="C258" s="33" t="s">
        <v>45</v>
      </c>
      <c r="D258" s="62" t="s">
        <v>22</v>
      </c>
      <c r="E258" s="62" t="s">
        <v>250</v>
      </c>
      <c r="F258" s="27">
        <v>1</v>
      </c>
      <c r="G258" s="34">
        <f t="shared" ref="G258:G269" si="57">IF(F258="","",IF(E258="PC 17",F258*4.2,IF(E258="PC 19",F258*5,IF(E258="CB",F258*24,""))))</f>
        <v>4.2</v>
      </c>
      <c r="H258" s="26" t="s">
        <v>19</v>
      </c>
      <c r="I258" s="26" t="s">
        <v>162</v>
      </c>
      <c r="J258" s="26" t="s">
        <v>27</v>
      </c>
      <c r="K258" s="29">
        <v>0.79722222222222228</v>
      </c>
      <c r="L258" s="29">
        <v>0.84166666666666667</v>
      </c>
      <c r="M258" s="35">
        <f t="shared" ref="M258:M269" ca="1" si="58">IFERROR(IF(K258="","",IF(L258="",MOD(NOW()-K258,1),IF(L258&gt;=K258,L258-K258,L258+1-K258))),"")</f>
        <v>4.4444444444444398E-2</v>
      </c>
      <c r="N258" s="27" t="s">
        <v>324</v>
      </c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 t="s">
        <v>45</v>
      </c>
      <c r="D259" s="62" t="s">
        <v>22</v>
      </c>
      <c r="E259" s="62" t="s">
        <v>250</v>
      </c>
      <c r="F259" s="27">
        <v>20</v>
      </c>
      <c r="G259" s="28">
        <f t="shared" si="57"/>
        <v>84</v>
      </c>
      <c r="H259" s="50" t="s">
        <v>20</v>
      </c>
      <c r="I259" s="50" t="s">
        <v>57</v>
      </c>
      <c r="J259" s="50" t="s">
        <v>200</v>
      </c>
      <c r="K259" s="29">
        <v>3.3333333333333333E-2</v>
      </c>
      <c r="L259" s="29">
        <v>9.0972222222222218E-2</v>
      </c>
      <c r="M259" s="30">
        <f t="shared" ca="1" si="58"/>
        <v>5.7638888888888885E-2</v>
      </c>
      <c r="N259" s="27" t="s">
        <v>325</v>
      </c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 t="s">
        <v>45</v>
      </c>
      <c r="D260" s="62" t="s">
        <v>22</v>
      </c>
      <c r="E260" s="62" t="s">
        <v>250</v>
      </c>
      <c r="F260" s="27">
        <v>15</v>
      </c>
      <c r="G260" s="34">
        <f t="shared" si="57"/>
        <v>63</v>
      </c>
      <c r="H260" s="33" t="s">
        <v>20</v>
      </c>
      <c r="I260" s="26" t="s">
        <v>52</v>
      </c>
      <c r="J260" s="33" t="s">
        <v>28</v>
      </c>
      <c r="K260" s="29">
        <v>0.26458333333333334</v>
      </c>
      <c r="L260" s="29">
        <v>0.27083333333333331</v>
      </c>
      <c r="M260" s="35">
        <f t="shared" ca="1" si="58"/>
        <v>6.2499999999999778E-3</v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 t="s">
        <v>45</v>
      </c>
      <c r="D261" s="62" t="s">
        <v>22</v>
      </c>
      <c r="E261" s="62" t="s">
        <v>250</v>
      </c>
      <c r="F261" s="27">
        <v>27</v>
      </c>
      <c r="G261" s="28">
        <f t="shared" si="57"/>
        <v>113.4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 t="s">
        <v>45</v>
      </c>
      <c r="D262" s="62" t="s">
        <v>22</v>
      </c>
      <c r="E262" s="62" t="s">
        <v>250</v>
      </c>
      <c r="F262" s="27">
        <v>19</v>
      </c>
      <c r="G262" s="34">
        <f t="shared" si="57"/>
        <v>79.8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 t="s">
        <v>45</v>
      </c>
      <c r="D263" s="62" t="s">
        <v>22</v>
      </c>
      <c r="E263" s="62" t="s">
        <v>250</v>
      </c>
      <c r="F263" s="27">
        <v>16</v>
      </c>
      <c r="G263" s="28">
        <f t="shared" si="57"/>
        <v>67.2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 t="s">
        <v>45</v>
      </c>
      <c r="D264" s="62" t="s">
        <v>22</v>
      </c>
      <c r="E264" s="62" t="s">
        <v>250</v>
      </c>
      <c r="F264" s="27">
        <v>2</v>
      </c>
      <c r="G264" s="34">
        <f t="shared" si="57"/>
        <v>8.4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 t="s">
        <v>45</v>
      </c>
      <c r="D265" s="62" t="s">
        <v>22</v>
      </c>
      <c r="E265" s="62" t="s">
        <v>250</v>
      </c>
      <c r="F265" s="27">
        <v>16</v>
      </c>
      <c r="G265" s="28">
        <f t="shared" si="57"/>
        <v>67.2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 t="s">
        <v>45</v>
      </c>
      <c r="D266" s="62" t="s">
        <v>22</v>
      </c>
      <c r="E266" s="62" t="s">
        <v>250</v>
      </c>
      <c r="F266" s="27">
        <v>14</v>
      </c>
      <c r="G266" s="34">
        <f t="shared" si="57"/>
        <v>58.800000000000004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 t="s">
        <v>45</v>
      </c>
      <c r="D267" s="62" t="s">
        <v>22</v>
      </c>
      <c r="E267" s="62" t="s">
        <v>250</v>
      </c>
      <c r="F267" s="27">
        <v>21</v>
      </c>
      <c r="G267" s="28">
        <f t="shared" si="57"/>
        <v>88.2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 t="s">
        <v>45</v>
      </c>
      <c r="D268" s="62" t="s">
        <v>22</v>
      </c>
      <c r="E268" s="62" t="s">
        <v>250</v>
      </c>
      <c r="F268" s="27">
        <v>20</v>
      </c>
      <c r="G268" s="34">
        <f t="shared" si="57"/>
        <v>84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 t="s">
        <v>45</v>
      </c>
      <c r="D269" s="62" t="s">
        <v>22</v>
      </c>
      <c r="E269" s="62" t="s">
        <v>250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6" t="s">
        <v>238</v>
      </c>
      <c r="B270" s="107"/>
      <c r="C270" s="107"/>
      <c r="D270" s="107"/>
      <c r="E270" s="108">
        <f>SUM(E258:E269)</f>
        <v>0</v>
      </c>
      <c r="F270" s="36">
        <f>SUM(F258:F269)</f>
        <v>180</v>
      </c>
      <c r="G270" s="36">
        <f>SUM(G258:G269)</f>
        <v>756</v>
      </c>
      <c r="H270" s="37"/>
      <c r="I270" s="37"/>
      <c r="J270" s="37"/>
      <c r="K270" s="61"/>
      <c r="L270" s="61"/>
      <c r="M270" s="38">
        <f ca="1">IFERROR(SUM(M258:M269),"")</f>
        <v>0.10833333333333325</v>
      </c>
      <c r="N270" s="36" t="s">
        <v>236</v>
      </c>
      <c r="O270" s="39">
        <v>650660</v>
      </c>
    </row>
    <row r="271" spans="1:15" ht="18" customHeight="1">
      <c r="A271" s="103" t="s">
        <v>239</v>
      </c>
      <c r="B271" s="104"/>
      <c r="C271" s="104"/>
      <c r="D271" s="104"/>
      <c r="E271" s="105">
        <f>E257+E270</f>
        <v>0</v>
      </c>
      <c r="F271" s="40">
        <f>F257+F270</f>
        <v>362</v>
      </c>
      <c r="G271" s="40">
        <f>G257+G270</f>
        <v>1578.8000000000002</v>
      </c>
      <c r="H271" s="41"/>
      <c r="I271" s="41"/>
      <c r="J271" s="41"/>
      <c r="K271" s="63"/>
      <c r="L271" s="63"/>
      <c r="M271" s="42">
        <f ca="1">IFERROR(M257+M270,"")</f>
        <v>0.19999999999999998</v>
      </c>
      <c r="N271" s="40" t="s">
        <v>240</v>
      </c>
      <c r="O271" s="48">
        <f>IFERROR(O257+O270,"")</f>
        <v>1454220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6" t="s">
        <v>235</v>
      </c>
      <c r="B284" s="107"/>
      <c r="C284" s="107"/>
      <c r="D284" s="107"/>
      <c r="E284" s="10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236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6" t="s">
        <v>238</v>
      </c>
      <c r="B297" s="107"/>
      <c r="C297" s="107"/>
      <c r="D297" s="107"/>
      <c r="E297" s="10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236</v>
      </c>
      <c r="O297" s="39"/>
    </row>
    <row r="298" spans="1:15" ht="18" customHeight="1">
      <c r="A298" s="103" t="s">
        <v>239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240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6" t="s">
        <v>235</v>
      </c>
      <c r="B311" s="107"/>
      <c r="C311" s="107"/>
      <c r="D311" s="107"/>
      <c r="E311" s="10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236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6" t="s">
        <v>238</v>
      </c>
      <c r="B324" s="107"/>
      <c r="C324" s="107"/>
      <c r="D324" s="107"/>
      <c r="E324" s="10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236</v>
      </c>
      <c r="O324" s="39"/>
    </row>
    <row r="325" spans="1:15" ht="18" customHeight="1">
      <c r="A325" s="103" t="s">
        <v>239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240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6" t="s">
        <v>235</v>
      </c>
      <c r="B338" s="107"/>
      <c r="C338" s="107"/>
      <c r="D338" s="107"/>
      <c r="E338" s="108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236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6" t="s">
        <v>238</v>
      </c>
      <c r="B351" s="107"/>
      <c r="C351" s="107"/>
      <c r="D351" s="107"/>
      <c r="E351" s="10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236</v>
      </c>
      <c r="O351" s="39"/>
    </row>
    <row r="352" spans="1:15" ht="18" customHeight="1">
      <c r="A352" s="103" t="s">
        <v>239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240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235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236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6" t="s">
        <v>238</v>
      </c>
      <c r="B378" s="107"/>
      <c r="C378" s="107"/>
      <c r="D378" s="107"/>
      <c r="E378" s="10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236</v>
      </c>
      <c r="O378" s="39"/>
    </row>
    <row r="379" spans="1:15" ht="18" customHeight="1">
      <c r="A379" s="103" t="s">
        <v>239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240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6" t="s">
        <v>235</v>
      </c>
      <c r="B392" s="107"/>
      <c r="C392" s="107"/>
      <c r="D392" s="107"/>
      <c r="E392" s="10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236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6" t="s">
        <v>238</v>
      </c>
      <c r="B405" s="107"/>
      <c r="C405" s="107"/>
      <c r="D405" s="107"/>
      <c r="E405" s="10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236</v>
      </c>
      <c r="O405" s="39"/>
    </row>
    <row r="406" spans="1:15" ht="18" customHeight="1">
      <c r="A406" s="103" t="s">
        <v>239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240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6" t="s">
        <v>235</v>
      </c>
      <c r="B419" s="107"/>
      <c r="C419" s="107"/>
      <c r="D419" s="107"/>
      <c r="E419" s="10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236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6" t="s">
        <v>238</v>
      </c>
      <c r="B432" s="107"/>
      <c r="C432" s="107"/>
      <c r="D432" s="107"/>
      <c r="E432" s="10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236</v>
      </c>
      <c r="O432" s="39"/>
    </row>
    <row r="433" spans="1:17" ht="18" customHeight="1">
      <c r="A433" s="103" t="s">
        <v>239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240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6" t="s">
        <v>235</v>
      </c>
      <c r="B446" s="107"/>
      <c r="C446" s="107"/>
      <c r="D446" s="107"/>
      <c r="E446" s="10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236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6" t="s">
        <v>238</v>
      </c>
      <c r="B459" s="107"/>
      <c r="C459" s="107"/>
      <c r="D459" s="107"/>
      <c r="E459" s="10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236</v>
      </c>
      <c r="O459" s="39"/>
    </row>
    <row r="460" spans="1:15" ht="18" customHeight="1">
      <c r="A460" s="103" t="s">
        <v>239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240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6" t="s">
        <v>235</v>
      </c>
      <c r="B473" s="107"/>
      <c r="C473" s="107"/>
      <c r="D473" s="107"/>
      <c r="E473" s="10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236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6" t="s">
        <v>238</v>
      </c>
      <c r="B486" s="107"/>
      <c r="C486" s="107"/>
      <c r="D486" s="107"/>
      <c r="E486" s="10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236</v>
      </c>
      <c r="O486" s="39"/>
    </row>
    <row r="487" spans="1:15" ht="18" customHeight="1">
      <c r="A487" s="103" t="s">
        <v>239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240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6" t="s">
        <v>235</v>
      </c>
      <c r="B500" s="107"/>
      <c r="C500" s="107"/>
      <c r="D500" s="107"/>
      <c r="E500" s="10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236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6" t="s">
        <v>238</v>
      </c>
      <c r="B513" s="107"/>
      <c r="C513" s="107"/>
      <c r="D513" s="107"/>
      <c r="E513" s="10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236</v>
      </c>
      <c r="O513" s="39"/>
    </row>
    <row r="514" spans="1:15" ht="18" customHeight="1">
      <c r="A514" s="103" t="s">
        <v>239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240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6" t="s">
        <v>235</v>
      </c>
      <c r="B527" s="107"/>
      <c r="C527" s="107"/>
      <c r="D527" s="107"/>
      <c r="E527" s="10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236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6" t="s">
        <v>238</v>
      </c>
      <c r="B540" s="107"/>
      <c r="C540" s="107"/>
      <c r="D540" s="107"/>
      <c r="E540" s="10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236</v>
      </c>
      <c r="O540" s="39"/>
    </row>
    <row r="541" spans="1:15" ht="18" customHeight="1">
      <c r="A541" s="103" t="s">
        <v>239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240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6" t="s">
        <v>235</v>
      </c>
      <c r="B554" s="107"/>
      <c r="C554" s="107"/>
      <c r="D554" s="107"/>
      <c r="E554" s="10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236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6" t="s">
        <v>238</v>
      </c>
      <c r="B567" s="107"/>
      <c r="C567" s="107"/>
      <c r="D567" s="107"/>
      <c r="E567" s="10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236</v>
      </c>
      <c r="O567" s="39"/>
    </row>
    <row r="568" spans="1:15" ht="18" customHeight="1">
      <c r="A568" s="103" t="s">
        <v>239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240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6" t="s">
        <v>235</v>
      </c>
      <c r="B581" s="107"/>
      <c r="C581" s="107"/>
      <c r="D581" s="107"/>
      <c r="E581" s="10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236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6" t="s">
        <v>238</v>
      </c>
      <c r="B594" s="107"/>
      <c r="C594" s="107"/>
      <c r="D594" s="107"/>
      <c r="E594" s="10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236</v>
      </c>
      <c r="O594" s="39"/>
    </row>
    <row r="595" spans="1:15" ht="18" customHeight="1">
      <c r="A595" s="103" t="s">
        <v>239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240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6" t="s">
        <v>235</v>
      </c>
      <c r="B608" s="107"/>
      <c r="C608" s="107"/>
      <c r="D608" s="107"/>
      <c r="E608" s="10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236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6" t="s">
        <v>238</v>
      </c>
      <c r="B621" s="107"/>
      <c r="C621" s="107"/>
      <c r="D621" s="107"/>
      <c r="E621" s="10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236</v>
      </c>
      <c r="O621" s="39"/>
    </row>
    <row r="622" spans="1:15" ht="18" customHeight="1">
      <c r="A622" s="103" t="s">
        <v>239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240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6" t="s">
        <v>235</v>
      </c>
      <c r="B635" s="107"/>
      <c r="C635" s="107"/>
      <c r="D635" s="107"/>
      <c r="E635" s="10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236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6" t="s">
        <v>238</v>
      </c>
      <c r="B648" s="107"/>
      <c r="C648" s="107"/>
      <c r="D648" s="107"/>
      <c r="E648" s="10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236</v>
      </c>
      <c r="O648" s="39"/>
    </row>
    <row r="649" spans="1:15" ht="18" customHeight="1">
      <c r="A649" s="103" t="s">
        <v>239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240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6" t="s">
        <v>235</v>
      </c>
      <c r="B662" s="107"/>
      <c r="C662" s="107"/>
      <c r="D662" s="107"/>
      <c r="E662" s="10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236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6" t="s">
        <v>238</v>
      </c>
      <c r="B675" s="107"/>
      <c r="C675" s="107"/>
      <c r="D675" s="107"/>
      <c r="E675" s="10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236</v>
      </c>
      <c r="O675" s="39"/>
    </row>
    <row r="676" spans="1:15" ht="18" customHeight="1">
      <c r="A676" s="103" t="s">
        <v>239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240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6" t="s">
        <v>235</v>
      </c>
      <c r="B689" s="107"/>
      <c r="C689" s="107"/>
      <c r="D689" s="107"/>
      <c r="E689" s="10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236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6" t="s">
        <v>238</v>
      </c>
      <c r="B702" s="107"/>
      <c r="C702" s="107"/>
      <c r="D702" s="107"/>
      <c r="E702" s="10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236</v>
      </c>
      <c r="O702" s="39"/>
    </row>
    <row r="703" spans="1:15" ht="18" customHeight="1">
      <c r="A703" s="103" t="s">
        <v>239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240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6" t="s">
        <v>235</v>
      </c>
      <c r="B716" s="107"/>
      <c r="C716" s="107"/>
      <c r="D716" s="107"/>
      <c r="E716" s="10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236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6" t="s">
        <v>238</v>
      </c>
      <c r="B729" s="107"/>
      <c r="C729" s="107"/>
      <c r="D729" s="107"/>
      <c r="E729" s="10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236</v>
      </c>
      <c r="O729" s="39"/>
    </row>
    <row r="730" spans="1:15" ht="18" customHeight="1">
      <c r="A730" s="103" t="s">
        <v>239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240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6" t="s">
        <v>235</v>
      </c>
      <c r="B743" s="107"/>
      <c r="C743" s="107"/>
      <c r="D743" s="107"/>
      <c r="E743" s="10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236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6" t="s">
        <v>238</v>
      </c>
      <c r="B756" s="107"/>
      <c r="C756" s="107"/>
      <c r="D756" s="107"/>
      <c r="E756" s="10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236</v>
      </c>
      <c r="O756" s="39"/>
    </row>
    <row r="757" spans="1:15" ht="18" customHeight="1">
      <c r="A757" s="103" t="s">
        <v>239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240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6" t="s">
        <v>235</v>
      </c>
      <c r="B770" s="107"/>
      <c r="C770" s="107"/>
      <c r="D770" s="107"/>
      <c r="E770" s="10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236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6" t="s">
        <v>238</v>
      </c>
      <c r="B783" s="107"/>
      <c r="C783" s="107"/>
      <c r="D783" s="107"/>
      <c r="E783" s="10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236</v>
      </c>
      <c r="O783" s="39"/>
    </row>
    <row r="784" spans="1:15" ht="18" customHeight="1">
      <c r="A784" s="103" t="s">
        <v>239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240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6" t="s">
        <v>235</v>
      </c>
      <c r="B797" s="107"/>
      <c r="C797" s="107"/>
      <c r="D797" s="107"/>
      <c r="E797" s="10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236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6" t="s">
        <v>238</v>
      </c>
      <c r="B810" s="107"/>
      <c r="C810" s="107"/>
      <c r="D810" s="107"/>
      <c r="E810" s="10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236</v>
      </c>
      <c r="O810" s="39"/>
    </row>
    <row r="811" spans="1:15" ht="18" customHeight="1">
      <c r="A811" s="103" t="s">
        <v>239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240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6" t="s">
        <v>235</v>
      </c>
      <c r="B824" s="107"/>
      <c r="C824" s="107"/>
      <c r="D824" s="107"/>
      <c r="E824" s="108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236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6" t="s">
        <v>238</v>
      </c>
      <c r="B837" s="107"/>
      <c r="C837" s="107"/>
      <c r="D837" s="107"/>
      <c r="E837" s="108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236</v>
      </c>
      <c r="O837" s="39"/>
    </row>
    <row r="838" spans="1:15" ht="18" customHeight="1">
      <c r="A838" s="103" t="s">
        <v>239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240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2026-08-11T10:59:20Z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