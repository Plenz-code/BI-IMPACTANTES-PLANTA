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27" documentId="8_{AF585B22-221D-4780-BB9C-493D365A6A02}" xr6:coauthVersionLast="47" xr6:coauthVersionMax="47" xr10:uidLastSave="{7D908970-BAC7-40F3-85CB-7BC0048CC11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<sst xmlns="http://schemas.openxmlformats.org/spreadsheetml/2006/main" count="12203" uniqueCount="439">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</sst>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1461860</v>
      </c>
      <c r="E33" s="11">
        <f>IFERROR('Linha 2'!O811,"")</f>
        <v>711440</v>
      </c>
      <c r="F33" s="11">
        <f>IFERROR('Linha 3'!O811,"")</f>
        <v>873880</v>
      </c>
      <c r="G33" s="12">
        <f t="shared" si="0"/>
        <v>3047180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37554680</v>
      </c>
      <c r="E35" s="13">
        <f>IFERROR(SUM(E4:E34),"")</f>
        <v>20853980</v>
      </c>
      <c r="F35" s="13">
        <f>IFERROR(SUM(F4:F34),"")</f>
        <v>37663880</v>
      </c>
      <c r="G35" s="13">
        <f>IFERROR(SUM(G4:G34),"")</f>
        <v>96072540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10" sqref="F8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7" activePane="bottomLeft" state="frozen"/>
      <selection pane="bottomLeft"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3.2430092593131121E-2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0.19006898148202001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0.29979120370424217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1.0902314817940351E-2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0.18173564815127372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0.32687453704016256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171</v>
      </c>
      <c r="G810" s="36">
        <f>SUM(G798:G809)</f>
        <v>718.20000000000016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813830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325</v>
      </c>
      <c r="G811" s="40">
        <f>G797+G810</f>
        <v>1370.6000000000001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1461860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F810" sqref="F8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2.2707870375597849E-2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0.22201342593115347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0.5893745370422645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774840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873880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2026-07-31T10:31:46Z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