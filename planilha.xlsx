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60" documentId="8_{AF585B22-221D-4780-BB9C-493D365A6A02}" xr6:coauthVersionLast="47" xr6:coauthVersionMax="47" xr10:uidLastSave="{8950F347-13EA-4541-84CB-DB6ED0E7B40E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3" i="4" l="1"/>
  <c r="M44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<sst xmlns="http://schemas.openxmlformats.org/spreadsheetml/2006/main" count="1681" uniqueCount="210">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</sst>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7" activePane="bottomLeft" state="frozen"/>
      <selection pane="bottomLeft" activeCell="F51" sqref="F5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126</v>
      </c>
      <c r="G54" s="36">
        <f>SUM(G42:G53)</f>
        <v>630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147</v>
      </c>
      <c r="G55" s="40">
        <f>G41+G54</f>
        <v>735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" activePane="bottomLeft" state="frozen"/>
      <selection pane="bottomLeft" activeCell="J43" sqref="J4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0.97083333333333333</v>
      </c>
      <c r="M42" s="30">
        <f ca="1">IFERROR(IF(K42="","",IF(L42="",MOD(NOW()-K42,1),IF(L42&gt;=K42,L42-K42,L42+1-K42))),"")</f>
        <v>4.3749999999999956E-2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4.1666666666666664E-2</v>
      </c>
      <c r="M43" s="30">
        <f t="shared" ref="M43:M53" ca="1" si="11">IFERROR(IF(K43="","",IF(L43="",MOD(NOW()-K43,1),IF(L43&gt;=K43,L43-K43,L43+1-K43))),"")</f>
        <v>1.0416666666666664E-2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/>
      <c r="I44" s="26"/>
      <c r="J44" s="26"/>
      <c r="K44" s="29"/>
      <c r="L44" s="29"/>
      <c r="M44" s="30" t="str">
        <f t="shared" ca="1" si="11"/>
        <v/>
      </c>
      <c r="N44" s="46"/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51</v>
      </c>
      <c r="G54" s="36">
        <f>SUM(G42:G53)</f>
        <v>214.19999999999996</v>
      </c>
      <c r="H54" s="37"/>
      <c r="I54" s="37"/>
      <c r="J54" s="37"/>
      <c r="K54" s="37"/>
      <c r="L54" s="37"/>
      <c r="M54" s="38">
        <f ca="1">IFERROR(SUM(M42:M53),"")</f>
        <v>5.416666666666662E-2</v>
      </c>
      <c r="N54" s="36" t="s">
        <v>194</v>
      </c>
      <c r="O54" s="54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139</v>
      </c>
      <c r="G55" s="40">
        <f>G41+G54</f>
        <v>583.79999999999995</v>
      </c>
      <c r="H55" s="41"/>
      <c r="I55" s="41"/>
      <c r="J55" s="41"/>
      <c r="K55" s="41"/>
      <c r="L55" s="41"/>
      <c r="M55" s="42">
        <f ca="1">IFERROR(M41+M54,"")</f>
        <v>0.13402777777777772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9" activePane="bottomLeft" state="frozen"/>
      <selection pane="bottomLeft" activeCell="F51" sqref="F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>
        <v>0</v>
      </c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22</v>
      </c>
      <c r="G54" s="36">
        <f>SUM(G42:G53)</f>
        <v>92.4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93</v>
      </c>
      <c r="G55" s="40">
        <f>G41+G54</f>
        <v>390.6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0" activePane="bottomLeft" state="frozen"/>
      <selection pane="bottomLeft" activeCell="J43" sqref="J4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/>
      <c r="M43" s="35">
        <f t="shared" ca="1" si="10"/>
        <v>3.5130787000525743E-3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120</v>
      </c>
      <c r="G54" s="36">
        <f>SUM(G42:G53)</f>
        <v>504.00000000000011</v>
      </c>
      <c r="H54" s="37"/>
      <c r="I54" s="37"/>
      <c r="J54" s="37"/>
      <c r="K54" s="61"/>
      <c r="L54" s="61"/>
      <c r="M54" s="38">
        <f ca="1">IFERROR(SUM(M42:M53),"")</f>
        <v>5.5596412033385945E-2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205</v>
      </c>
      <c r="G55" s="40">
        <f>G41+G54</f>
        <v>861.00000000000011</v>
      </c>
      <c r="H55" s="41"/>
      <c r="I55" s="41"/>
      <c r="J55" s="41"/>
      <c r="K55" s="63"/>
      <c r="L55" s="63"/>
      <c r="M55" s="42">
        <f ca="1">IFERROR(M41+M54,"")</f>
        <v>0.27990196758894159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2026-07-03T08:30:32Z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