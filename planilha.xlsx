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353" documentId="8_{AF585B22-221D-4780-BB9C-493D365A6A02}" xr6:coauthVersionLast="47" xr6:coauthVersionMax="47" xr10:uidLastSave="{DBF6756B-FCE9-4412-9A82-F5BC8EA0578C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86" i="6" l="1"/>
  <c r="G686" i="5"/>
  <c r="E689" i="4"/>
  <c r="I680" i="4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<sst xmlns="http://schemas.openxmlformats.org/spreadsheetml/2006/main" count="10677" uniqueCount="402">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</sst>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L32" sqref="L32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79529218</v>
      </c>
      <c r="D35" s="13">
        <f>IFERROR(SUM(D4:D34),"")</f>
        <v>32089210</v>
      </c>
      <c r="E35" s="13">
        <f>IFERROR(SUM(E4:E34),"")</f>
        <v>18769260</v>
      </c>
      <c r="F35" s="13">
        <f>IFERROR(SUM(F4:F34),"")</f>
        <v>33356480</v>
      </c>
      <c r="G35" s="13">
        <f>IFERROR(SUM(G4:G34),"")</f>
        <v>84214950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688" activePane="bottomLeft" state="frozen"/>
      <selection pane="bottomLeft" activeCell="E712" sqref="E71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95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264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233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230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153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266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131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230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230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230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230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230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230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230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230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230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233</v>
      </c>
      <c r="O702" s="39">
        <v>1620480</v>
      </c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236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230</v>
      </c>
      <c r="F704" s="27"/>
      <c r="G704" s="28" t="str">
        <f t="shared" ref="G704:G715" si="156">IF(F704="","",IF(E704="PC 17",F704*4.2,IF(E704="PC 19",F704*5,"")))</f>
        <v/>
      </c>
      <c r="H704" s="26" t="s">
        <v>20</v>
      </c>
      <c r="I704" s="26" t="s">
        <v>23</v>
      </c>
      <c r="J704" s="26" t="s">
        <v>131</v>
      </c>
      <c r="K704" s="29">
        <v>0.29166666666666669</v>
      </c>
      <c r="L704" s="29"/>
      <c r="M704" s="30">
        <f t="shared" ref="M704:M715" ca="1" si="157">IFERROR(IF(K704="","",IF(L704="",MOD(NOW()-K704,1),IF(L704&gt;=K704,L704-K704,L704+1-K704))),"")</f>
        <v>1.5659722266718745E-3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230</v>
      </c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230</v>
      </c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230</v>
      </c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230</v>
      </c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230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230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230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230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1.5659722266718745E-3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1.5659722266718745E-3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84" activePane="bottomLeft" state="frozen"/>
      <selection pane="bottomLeft" activeCell="K705" sqref="K70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5.3649305555154569E-2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0.21128819444404345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0.32101041666626562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3.2121527779963799E-2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0.20295486111329716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0.34809375000218601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135</v>
      </c>
      <c r="J677" s="33" t="s">
        <v>206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</v>
      </c>
      <c r="G678" s="28">
        <f t="shared" si="150"/>
        <v>8.4</v>
      </c>
      <c r="H678" s="26" t="s">
        <v>19</v>
      </c>
      <c r="I678" s="26" t="s">
        <v>156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319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135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3"/>
      <c r="F680" s="104"/>
      <c r="G680" s="104"/>
      <c r="H680" s="104"/>
      <c r="I680" s="105">
        <f>SUM(I668:I679)</f>
        <v>0</v>
      </c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156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11</v>
      </c>
      <c r="G683" s="34">
        <f t="shared" si="150"/>
        <v>46.2</v>
      </c>
      <c r="H683" s="33" t="s">
        <v>20</v>
      </c>
      <c r="I683" s="33" t="s">
        <v>156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10</v>
      </c>
      <c r="G684" s="28">
        <f t="shared" si="150"/>
        <v>42</v>
      </c>
      <c r="H684" s="26" t="s">
        <v>19</v>
      </c>
      <c r="I684" s="26" t="s">
        <v>156</v>
      </c>
      <c r="J684" s="26" t="s">
        <v>27</v>
      </c>
      <c r="K684" s="29">
        <v>0.73958333333333337</v>
      </c>
      <c r="L684" s="29"/>
      <c r="M684" s="30">
        <f t="shared" ca="1" si="151"/>
        <v>0.55364930555515457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/>
      <c r="B689" s="104"/>
      <c r="C689" s="104"/>
      <c r="D689" s="104"/>
      <c r="E689" s="10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10.672399305555155</v>
      </c>
      <c r="N689" s="36" t="s">
        <v>233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153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233</v>
      </c>
      <c r="O702" s="77">
        <v>813880</v>
      </c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10.757121527777377</v>
      </c>
      <c r="N703" s="40" t="s">
        <v>236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>
        <v>0.29166666666666669</v>
      </c>
      <c r="L704" s="29"/>
      <c r="M704" s="30">
        <f t="shared" ref="M704:M715" ca="1" si="157">IFERROR(IF(K704="","",IF(L704="",MOD(NOW()-K704,1),IF(L704&gt;=K704,L704-K704,L704+1-K704))),"")</f>
        <v>1.5659722266718745E-3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1.5659722266718745E-3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1.5659722266718745E-3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6">
    <mergeCell ref="E680:I680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679 I680 E681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G680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H680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I2:I679 I681:I900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H407:H679 H681:H900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02" zoomScale="50" zoomScaleNormal="50" workbookViewId="0">
      <selection activeCell="D704" sqref="D704:D71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323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325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326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280</v>
      </c>
      <c r="K141" s="29">
        <v>0.71597222222222223</v>
      </c>
      <c r="L141" s="29" t="s">
        <v>328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329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330</v>
      </c>
      <c r="N166" s="27" t="s">
        <v>331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332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333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334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338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327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342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343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344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345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346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347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348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319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350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319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351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233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233</v>
      </c>
      <c r="O702" s="39">
        <v>349730</v>
      </c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236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96" activePane="bottomLeft" state="frozen"/>
      <selection pane="bottomLeft" activeCell="K705" sqref="K70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352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353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354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355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356</v>
      </c>
      <c r="L58" s="29">
        <v>0.54097222222222219</v>
      </c>
      <c r="M58" s="30" t="str">
        <f t="shared" ca="1" si="13"/>
        <v/>
      </c>
      <c r="N58" s="27" t="s">
        <v>357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358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359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360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361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362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363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364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365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4.3927083337621298E-2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0.24323263889317692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0.61059375000428795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366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368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369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370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371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372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373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375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376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377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378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379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327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380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381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368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382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383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384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385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386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361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361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387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388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389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390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391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392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393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394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395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396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397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398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399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20</v>
      </c>
      <c r="G678" s="28">
        <f t="shared" si="150"/>
        <v>84</v>
      </c>
      <c r="H678" s="26" t="s">
        <v>18</v>
      </c>
      <c r="I678" s="26" t="s">
        <v>159</v>
      </c>
      <c r="J678" s="26" t="s">
        <v>121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257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159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17</v>
      </c>
      <c r="G682" s="28"/>
      <c r="H682" s="26" t="s">
        <v>18</v>
      </c>
      <c r="I682" s="26" t="s">
        <v>52</v>
      </c>
      <c r="J682" s="26" t="s">
        <v>121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233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400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401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233</v>
      </c>
      <c r="O702" s="39">
        <v>988790</v>
      </c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236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>
        <v>0.29166666666666669</v>
      </c>
      <c r="L704" s="29"/>
      <c r="M704" s="30">
        <f t="shared" ref="M704:M715" ca="1" si="157">IFERROR(IF(K704="","",IF(L704="",MOD(NOW()-K704,1),IF(L704&gt;=K704,L704-K704,L704+1-K704))),"")</f>
        <v>1.5659722266718745E-3</v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1.5659722266718745E-3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1.5659722266718745E-3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2026-07-27T11:02:17Z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