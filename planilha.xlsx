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256" documentId="8_{AF585B22-221D-4780-BB9C-493D365A6A02}" xr6:coauthVersionLast="47" xr6:coauthVersionMax="47" xr10:uidLastSave="{197268B0-FC7C-4D30-B2E3-35B3D7BACE6D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<sst xmlns="http://schemas.openxmlformats.org/spreadsheetml/2006/main" count="6393" uniqueCount="325">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</sst>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C21" sqref="C21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1576070</v>
      </c>
      <c r="D18" s="8">
        <f>IFERROR('Linha 1'!O406,"")</f>
        <v>281950</v>
      </c>
      <c r="E18" s="8">
        <f>IFERROR('Linha 2'!O406,"")</f>
        <v>399940</v>
      </c>
      <c r="F18" s="8">
        <f>IFERROR('Linha 3'!O406,"")</f>
        <v>565570</v>
      </c>
      <c r="G18" s="9">
        <f t="shared" si="0"/>
        <v>1247460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43719092</v>
      </c>
      <c r="D35" s="13">
        <f>IFERROR(SUM(D4:D34),"")</f>
        <v>16028150</v>
      </c>
      <c r="E35" s="13">
        <f>IFERROR(SUM(E4:E34),"")</f>
        <v>10699830</v>
      </c>
      <c r="F35" s="13">
        <f>IFERROR(SUM(F4:F34),"")</f>
        <v>19982890</v>
      </c>
      <c r="G35" s="13">
        <f>IFERROR(SUM(G4:G34),"")</f>
        <v>46710870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0" zoomScale="85" zoomScaleNormal="85" workbookViewId="0">
      <selection activeCell="M55" sqref="M5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4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4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4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4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4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4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4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4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4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4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4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4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4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4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4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4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4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4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4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165</v>
      </c>
      <c r="L38" s="16"/>
      <c r="M38" s="16" t="s">
        <v>166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167</v>
      </c>
      <c r="L39" s="17"/>
      <c r="M39" s="17" t="s">
        <v>168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169</v>
      </c>
      <c r="L40" s="16"/>
      <c r="M40" s="16" t="s">
        <v>170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171</v>
      </c>
      <c r="L41" s="17"/>
      <c r="M41" s="17" t="s">
        <v>172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173</v>
      </c>
      <c r="L42" s="16"/>
      <c r="M42" s="16" t="s">
        <v>174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175</v>
      </c>
      <c r="L43" s="17"/>
      <c r="M43" s="17" t="s">
        <v>176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177</v>
      </c>
      <c r="L44" s="16"/>
      <c r="M44" s="16" t="s">
        <v>178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179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180</v>
      </c>
      <c r="L46" s="16"/>
      <c r="M46" s="16" t="s">
        <v>181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182</v>
      </c>
      <c r="L47" s="17"/>
      <c r="M47" s="17" t="s">
        <v>183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184</v>
      </c>
      <c r="L48" s="16"/>
      <c r="M48" s="16" t="s">
        <v>185</v>
      </c>
    </row>
    <row r="49" spans="1:13" ht="18" customHeight="1">
      <c r="H49" s="104"/>
      <c r="I49" s="17"/>
      <c r="J49" s="17"/>
      <c r="K49" s="17" t="s">
        <v>186</v>
      </c>
      <c r="L49" s="17"/>
      <c r="M49" s="17" t="s">
        <v>187</v>
      </c>
    </row>
    <row r="50" spans="1:13" ht="21" customHeight="1">
      <c r="A50" s="19" t="s">
        <v>188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189</v>
      </c>
      <c r="L50" s="16"/>
      <c r="M50" s="16" t="s">
        <v>190</v>
      </c>
    </row>
    <row r="51" spans="1:13" ht="24" customHeight="1">
      <c r="H51" s="104"/>
      <c r="I51" s="17"/>
      <c r="J51" s="17"/>
      <c r="K51" s="17" t="s">
        <v>191</v>
      </c>
      <c r="L51" s="17"/>
      <c r="M51" s="17" t="s">
        <v>192</v>
      </c>
    </row>
    <row r="52" spans="1:13" ht="24" customHeight="1">
      <c r="H52" s="104"/>
      <c r="I52" s="16"/>
      <c r="J52" s="16"/>
      <c r="K52" s="16" t="s">
        <v>193</v>
      </c>
      <c r="L52" s="16"/>
      <c r="M52" s="16" t="s">
        <v>194</v>
      </c>
    </row>
    <row r="53" spans="1:13" ht="36" customHeight="1">
      <c r="H53" s="104"/>
      <c r="I53" s="17"/>
      <c r="J53" s="17"/>
      <c r="K53" s="17" t="s">
        <v>195</v>
      </c>
      <c r="L53" s="17"/>
      <c r="M53" s="17" t="s">
        <v>196</v>
      </c>
    </row>
    <row r="54" spans="1:13" ht="15" customHeight="1">
      <c r="H54" s="104"/>
      <c r="I54" s="16"/>
      <c r="J54" s="16"/>
      <c r="K54" s="16" t="s">
        <v>197</v>
      </c>
      <c r="L54" s="16"/>
      <c r="M54" s="16" t="s">
        <v>198</v>
      </c>
    </row>
    <row r="55" spans="1:13" ht="15" customHeight="1">
      <c r="H55" s="104"/>
      <c r="I55" s="17"/>
      <c r="J55" s="17"/>
      <c r="K55" s="17" t="s">
        <v>199</v>
      </c>
      <c r="L55" s="17"/>
      <c r="M55" s="17"/>
    </row>
    <row r="56" spans="1:13" ht="15" customHeight="1">
      <c r="H56" s="104"/>
      <c r="I56" s="16"/>
      <c r="J56" s="16"/>
      <c r="K56" s="16" t="s">
        <v>200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201</v>
      </c>
      <c r="L58" s="16"/>
      <c r="M58" s="16"/>
    </row>
    <row r="59" spans="1:13" ht="15" customHeight="1">
      <c r="H59" s="104"/>
      <c r="I59" s="17"/>
      <c r="J59" s="17"/>
      <c r="K59" s="17" t="s">
        <v>202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203</v>
      </c>
      <c r="L61" s="17"/>
      <c r="M61" s="17"/>
    </row>
    <row r="62" spans="1:13" ht="15" customHeight="1">
      <c r="H62" s="104"/>
      <c r="I62" s="16"/>
      <c r="J62" s="16"/>
      <c r="K62" s="16" t="s">
        <v>204</v>
      </c>
      <c r="L62" s="16"/>
      <c r="M62" s="16"/>
    </row>
    <row r="63" spans="1:13" ht="15" customHeight="1">
      <c r="H63" s="104"/>
      <c r="I63" s="17"/>
      <c r="J63" s="17"/>
      <c r="K63" s="17" t="s">
        <v>205</v>
      </c>
      <c r="L63" s="17"/>
      <c r="M63" s="17"/>
    </row>
    <row r="64" spans="1:13" ht="15" customHeight="1">
      <c r="H64" s="104"/>
      <c r="I64" s="16"/>
      <c r="J64" s="16"/>
      <c r="K64" s="16" t="s">
        <v>206</v>
      </c>
      <c r="L64" s="16"/>
      <c r="M64" s="16"/>
    </row>
    <row r="65" spans="8:13" ht="15" customHeight="1">
      <c r="H65" s="104"/>
      <c r="I65" s="17"/>
      <c r="J65" s="17"/>
      <c r="K65" s="17" t="s">
        <v>207</v>
      </c>
      <c r="L65" s="17"/>
      <c r="M65" s="17"/>
    </row>
    <row r="66" spans="8:13" ht="15" customHeight="1">
      <c r="H66" s="104"/>
      <c r="I66" s="16"/>
      <c r="J66" s="16"/>
      <c r="K66" s="16" t="s">
        <v>208</v>
      </c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391" activePane="bottomLeft" state="frozen"/>
      <selection pane="bottomLeft" activeCell="E430" sqref="E43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219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223</v>
      </c>
      <c r="O27" s="39">
        <v>1183060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182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223</v>
      </c>
      <c r="O54" s="39">
        <v>959290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179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223</v>
      </c>
      <c r="O81" s="39">
        <v>878050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165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223</v>
      </c>
      <c r="O108" s="39">
        <v>1700000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199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185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187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223</v>
      </c>
      <c r="O135" s="39">
        <v>862330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185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223</v>
      </c>
      <c r="O162" s="44">
        <v>1546080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223</v>
      </c>
      <c r="O189" s="39">
        <v>2355810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223</v>
      </c>
      <c r="O216" s="45">
        <v>2013260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185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223</v>
      </c>
      <c r="O243" s="39">
        <v>1545480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226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223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223</v>
      </c>
      <c r="O270" s="39">
        <v>1182690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226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223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233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234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234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234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234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234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234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234</v>
      </c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223</v>
      </c>
      <c r="O297" s="39">
        <v>1843460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226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235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236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223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237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237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237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237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237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237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223</v>
      </c>
      <c r="O324" s="39">
        <v>1940000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226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223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175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175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223</v>
      </c>
      <c r="O351" s="39">
        <v>701874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226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179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239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185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223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185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185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223</v>
      </c>
      <c r="O378" s="39">
        <v>1088710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226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207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240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241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198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223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223</v>
      </c>
      <c r="O405" s="39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260</v>
      </c>
      <c r="G406" s="40">
        <f>G392+G405</f>
        <v>1300</v>
      </c>
      <c r="H406" s="41"/>
      <c r="I406" s="41"/>
      <c r="J406" s="41"/>
      <c r="K406" s="41"/>
      <c r="L406" s="41"/>
      <c r="M406" s="42">
        <f ca="1">IFERROR(M392+M405,"")</f>
        <v>0.11527777777777776</v>
      </c>
      <c r="N406" s="40" t="s">
        <v>226</v>
      </c>
      <c r="O406" s="48">
        <f>IFERROR(O392+O405,"")</f>
        <v>1576070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59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87" activePane="bottomLeft" state="frozen"/>
      <selection pane="bottomLeft" activeCell="C393" sqref="C393:C40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242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223</v>
      </c>
      <c r="O27" s="78">
        <v>393200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244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242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85">
        <v>276360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242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223</v>
      </c>
      <c r="O81" s="54">
        <v>787860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183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223</v>
      </c>
      <c r="O108" s="54">
        <v>1087080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253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190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197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254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197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223</v>
      </c>
      <c r="O135" s="54">
        <v>794480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197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255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256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202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223</v>
      </c>
      <c r="O162" s="54">
        <v>882280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223</v>
      </c>
      <c r="O189" s="78"/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223</v>
      </c>
      <c r="O216" s="78">
        <v>648410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202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242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178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242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178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257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242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242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242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242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242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242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242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223</v>
      </c>
      <c r="O243" s="78">
        <v>849060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226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242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264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242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242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242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242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242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242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242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242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242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223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242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242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242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242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242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242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242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242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242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242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223</v>
      </c>
      <c r="O270" s="78">
        <v>625070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226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242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265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242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266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242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242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242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242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242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242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242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242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242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223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242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242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242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242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242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242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242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242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242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242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223</v>
      </c>
      <c r="O297" s="78">
        <v>761660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226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242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242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268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242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268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242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242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242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242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242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223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242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242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269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242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270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242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242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242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242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242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242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242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223</v>
      </c>
      <c r="O324" s="78">
        <v>524410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226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242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242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242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242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242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242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242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242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242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242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242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223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242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242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272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242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242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273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242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242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242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223</v>
      </c>
      <c r="O351" s="78">
        <v>598420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226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242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242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242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242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242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242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242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242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242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242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223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242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242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242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242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242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242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242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242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0.55130879629723495</v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0.70894768518612383</v>
      </c>
      <c r="N378" s="36" t="s">
        <v>223</v>
      </c>
      <c r="O378" s="78">
        <v>511980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0.818669907408346</v>
      </c>
      <c r="N379" s="40" t="s">
        <v>226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242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242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208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242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192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242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257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242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274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242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242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242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242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242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242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223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223</v>
      </c>
      <c r="O405" s="78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74</v>
      </c>
      <c r="G406" s="40">
        <f>G392+G405</f>
        <v>310.8</v>
      </c>
      <c r="H406" s="41"/>
      <c r="I406" s="41"/>
      <c r="J406" s="41"/>
      <c r="K406" s="41"/>
      <c r="L406" s="41"/>
      <c r="M406" s="42">
        <f ca="1">IFERROR(M392+M405,"")</f>
        <v>0.34027777777777773</v>
      </c>
      <c r="N406" s="40" t="s">
        <v>226</v>
      </c>
      <c r="O406" s="84">
        <f>IFERROR(O392+O405,"")</f>
        <v>281950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78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78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78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78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78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78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78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78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78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78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78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78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64" zoomScale="50" zoomScaleNormal="50" workbookViewId="0">
      <selection activeCell="O393" sqref="O39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275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276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223</v>
      </c>
      <c r="O27" s="39">
        <v>308500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277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39">
        <v>124290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278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279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223</v>
      </c>
      <c r="O81" s="39">
        <v>396340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280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223</v>
      </c>
      <c r="O108" s="39">
        <v>41230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190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223</v>
      </c>
      <c r="O135" s="39">
        <v>381250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281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256</v>
      </c>
      <c r="K141" s="29">
        <v>0.71597222222222223</v>
      </c>
      <c r="L141" s="29" t="s">
        <v>282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283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223</v>
      </c>
      <c r="O162" s="39">
        <v>337120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284</v>
      </c>
      <c r="N166" s="27" t="s">
        <v>285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223</v>
      </c>
      <c r="O189" s="39">
        <v>747210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168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286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223</v>
      </c>
      <c r="O216" s="39">
        <v>468430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178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242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242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242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242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242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242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242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242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223</v>
      </c>
      <c r="O243" s="39">
        <v>575930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226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242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204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242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242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242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242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242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242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242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242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223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242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242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194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287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242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242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242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242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288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242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242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242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242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242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242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223</v>
      </c>
      <c r="O270" s="39">
        <v>483510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226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242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242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242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242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242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242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242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242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242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242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242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223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242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289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242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242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242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290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242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242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242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242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242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242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223</v>
      </c>
      <c r="O297" s="39">
        <v>487980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226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242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242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291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242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242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242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242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223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242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292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242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242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242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293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242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242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242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242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242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242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223</v>
      </c>
      <c r="O324" s="39">
        <v>609460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226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242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294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242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242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242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196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279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242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281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242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242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242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242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242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223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242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242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242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242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242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242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223</v>
      </c>
      <c r="O351" s="39">
        <v>437940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226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242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242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242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242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242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242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242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242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242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242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223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242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242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242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242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242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242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242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242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242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242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242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223</v>
      </c>
      <c r="O378" s="39">
        <v>473310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226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242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242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242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242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242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242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242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242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242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242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242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242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223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223</v>
      </c>
      <c r="O405" s="39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95</v>
      </c>
      <c r="G406" s="40">
        <f>G392+G405</f>
        <v>399.00000000000006</v>
      </c>
      <c r="H406" s="41"/>
      <c r="I406" s="41"/>
      <c r="J406" s="41"/>
      <c r="K406" s="41"/>
      <c r="L406" s="41"/>
      <c r="M406" s="42">
        <f ca="1">IFERROR(M392+M405,"")</f>
        <v>2.9861111111111061E-2</v>
      </c>
      <c r="N406" s="40" t="s">
        <v>226</v>
      </c>
      <c r="O406" s="48">
        <f>IFERROR(O392+O405,"")</f>
        <v>399940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388" activePane="bottomLeft" state="frozen"/>
      <selection pane="bottomLeft" activeCell="C393" sqref="C39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295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242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279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296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223</v>
      </c>
      <c r="O27" s="39">
        <v>202230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193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297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298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242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178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242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223</v>
      </c>
      <c r="O54" s="39">
        <v>473910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299</v>
      </c>
      <c r="L58" s="29">
        <v>0.54097222222222219</v>
      </c>
      <c r="M58" s="30" t="str">
        <f t="shared" ca="1" si="13"/>
        <v/>
      </c>
      <c r="N58" s="27" t="s">
        <v>300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275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242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195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301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302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303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304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242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181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223</v>
      </c>
      <c r="O81" s="39">
        <v>565120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305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197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223</v>
      </c>
      <c r="O108" s="39">
        <v>558590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197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306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307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200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308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190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0.54158657407970168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254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0.7408921296352573</v>
      </c>
      <c r="N135" s="36" t="s">
        <v>223</v>
      </c>
      <c r="O135" s="39">
        <v>729290</v>
      </c>
    </row>
    <row r="136" spans="1:18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1.1082532407463683</v>
      </c>
      <c r="N136" s="40" t="s">
        <v>226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309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256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281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310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223</v>
      </c>
      <c r="O162" s="39">
        <v>697320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242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242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311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242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242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223</v>
      </c>
      <c r="O189" s="39">
        <v>973580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242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242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312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242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313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314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223</v>
      </c>
      <c r="O216" s="45">
        <v>1060630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315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316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242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242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181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317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318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242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242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242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242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242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223</v>
      </c>
      <c r="O243" s="39">
        <v>982340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226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242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319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242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203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242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242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242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242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242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242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242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242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242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223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242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242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242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242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242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242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242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242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242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242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242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223</v>
      </c>
      <c r="O270" s="39">
        <v>1208450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226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242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242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242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242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242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242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242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242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242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242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223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242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242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242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242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242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242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242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242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242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242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223</v>
      </c>
      <c r="O297" s="39">
        <v>1049090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226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320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242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205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242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206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242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242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242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242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242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242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242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223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242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168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242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242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242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242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242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251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242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242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242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242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223</v>
      </c>
      <c r="O324" s="39">
        <v>1063720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226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242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242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279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242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242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242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242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242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242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242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242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242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222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223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242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242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242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242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242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242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321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242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242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242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322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242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242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223</v>
      </c>
      <c r="O351" s="39">
        <v>696140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226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242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242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281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242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242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242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242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242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242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242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242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222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223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242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242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242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323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242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242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242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242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242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242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242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242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242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223</v>
      </c>
      <c r="O378" s="39">
        <v>704750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226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242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324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242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242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311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242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242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242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242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242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242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242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242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242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223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223</v>
      </c>
      <c r="O405" s="39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143</v>
      </c>
      <c r="G406" s="40">
        <f>G392+G405</f>
        <v>600.6</v>
      </c>
      <c r="H406" s="41"/>
      <c r="I406" s="41"/>
      <c r="J406" s="41"/>
      <c r="K406" s="63"/>
      <c r="L406" s="63"/>
      <c r="M406" s="42">
        <f ca="1">IFERROR(M392+M405,"")</f>
        <v>0.18263888888888896</v>
      </c>
      <c r="N406" s="40" t="s">
        <v>226</v>
      </c>
      <c r="O406" s="48">
        <f>IFERROR(O392+O405,"")</f>
        <v>565570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223</v>
      </c>
      <c r="O432" s="39"/>
    </row>
    <row r="433" spans="1:17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2026-07-15T22:58:58Z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