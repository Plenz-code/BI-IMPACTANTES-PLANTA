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854" documentId="8_{AF585B22-221D-4780-BB9C-493D365A6A02}" xr6:coauthVersionLast="47" xr6:coauthVersionMax="47" xr10:uidLastSave="{961493DD-0879-443C-843E-B7CEA8437A3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<sst xmlns="http://schemas.openxmlformats.org/spreadsheetml/2006/main" count="8606" uniqueCount="371">
  <si>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</si>
  <si>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</si>
  <si>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</si>
  <si>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</si>
  <si>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</si>
  <si>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</si>
  <si>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</si>
  <si>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</si>
  <si>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</si>
  <si>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</si>
  <si>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</si>
  <si>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</si>
  <si>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</si>
  <si>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</si>
  <si>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</si>
  <si>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</si>
  <si>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</si>
  <si>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</si>
  <si>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</si>
  <si>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</si>
  <si>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</si>
  <si>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</si>
  <si>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</si>
  <si>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</si>
  <si>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</si>
  <si>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</si>
  <si>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</si>
  <si>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</si>
  <si>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</si>
  <si>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</si>
  <si>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</si>
  <si>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</si>
  <si>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</si>
  <si>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</si>
  <si>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</si>
  <si>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</si>
  <si>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</si>
  <si>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</si>
  <si>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</si>
  <si>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</si>
  <si>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</si>
  <si>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</si>
  <si>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</si>
  <si>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</si>
  <si>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</si>
  <si>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</si>
  <si>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</si>
  <si>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</si>
  <si>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</si>
  <si>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</si>
  <si>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</si>
  <si>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</si>
  <si>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</si>
  <si>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</si>
  <si>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</si>
  <si>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</si>
  <si>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</si>
  <si>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</si>
  <si>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</si>
  <si>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</si>
  <si>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</si>
  <si>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</si>
  <si>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</si>
  <si>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</si>
  <si>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</si>
  <si>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</si>
  <si>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</si>
  <si>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</si>
  <si>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</si>
  <si>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</si>
  <si>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</si>
  <si>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</si>
  <si>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</si>
  <si>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</si>
  <si>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</si>
  <si>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</si>
  <si>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</si>
  <si>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</si>
  <si>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</si>
  <si>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</si>
  <si>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</si>
  <si>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</si>
  <si>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</si>
  <si>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</si>
  <si>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</si>
  <si>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</si>
  <si>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</si>
  <si>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</si>
  <si>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</si>
  <si>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</si>
  <si>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</si>
  <si>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</si>
  <si>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</si>
  <si>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</si>
  <si>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</si>
  <si>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</si>
  <si>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</si>
  <si>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</si>
  <si>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</si>
  <si>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</si>
  <si>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</si>
  <si>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</si>
  <si>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</si>
  <si>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</si>
  <si>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</si>
  <si>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</si>
  <si>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</si>
  <si>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</si>
  <si>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</si>
  <si>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</si>
  <si>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</si>
  <si>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</si>
  <si>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</si>
  <si>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</si>
  <si>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</si>
  <si>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</si>
  <si>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</si>
  <si>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</si>
  <si>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</si>
  <si>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</si>
  <si>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</si>
  <si>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</si>
  <si>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</si>
  <si>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</si>
  <si>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</si>
  <si>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</si>
  <si>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</si>
  <si>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</si>
  <si>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</si>
  <si>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</si>
  <si>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</si>
  <si>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</si>
  <si>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</si>
  <si>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</si>
  <si>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</si>
  <si>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</si>
  <si>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</si>
  <si>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</si>
  <si>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</si>
  <si>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</si>
  <si>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</si>
  <si>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</si>
  <si>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</si>
  <si>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</si>
  <si>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</si>
  <si>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</si>
  <si>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</si>
  <si>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</si>
  <si>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</si>
  <si>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</si>
  <si>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</si>
  <si>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</si>
  <si>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</si>
  <si>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</si>
  <si>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</si>
  <si>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</si>
  <si>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</si>
  <si>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</si>
  <si>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</si>
  <si>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</si>
  <si>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</si>
  <si>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</si>
  <si>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</si>
  <si>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</si>
  <si>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</si>
  <si>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</si>
  <si>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</si>
  <si>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</si>
  <si>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</si>
  <si>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</si>
  <si>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</si>
  <si>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</si>
  <si>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</si>
  <si>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</si>
  <si>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</si>
  <si>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</si>
  <si>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</si>
  <si>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</si>
  <si>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</si>
  <si>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</si>
  <si>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</si>
  <si>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</si>
  <si>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</si>
  <si>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</si>
  <si>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</si>
  <si>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</si>
  <si>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</si>
  <si>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</si>
  <si>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</si>
  <si>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</si>
  <si>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</si>
  <si>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</si>
  <si>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</si>
  <si>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</si>
  <si>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</si>
  <si>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</si>
  <si>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</si>
  <si>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</si>
  <si>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</si>
  <si>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</si>
  <si>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</si>
  <si>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</si>
  <si>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</si>
  <si>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</si>
  <si>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</si>
  <si>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</si>
  <si>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</si>
  <si>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</si>
  <si>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</si>
  <si>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</si>
  <si>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</si>
  <si>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</si>
  <si>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</si>
  <si>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</si>
  <si>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</si>
  <si>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</si>
  <si>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</si>
  <si>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</si>
  <si>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</si>
  <si>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</si>
  <si>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</si>
  <si>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</si>
  <si>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</si>
  <si>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</si>
  <si>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</si>
  <si>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</si>
  <si>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</si>
  <si>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</si>
  <si>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</si>
  <si>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</si>
  <si>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</si>
  <si>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</si>
  <si>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</si>
  <si>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</si>
  <si>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</si>
  <si>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</si>
  <si>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</si>
  <si>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</si>
  <si>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</si>
  <si>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</si>
  <si>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</si>
  <si>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</si>
  <si>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</si>
  <si>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</si>
  <si>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</si>
  <si>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</si>
  <si>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</si>
  <si>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</si>
  <si>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</si>
  <si>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</si>
  <si>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</si>
  <si>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</si>
  <si>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</si>
  <si>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</si>
  <si>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</si>
  <si>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</si>
  <si>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</si>
  <si>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</si>
  <si>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</si>
  <si>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</si>
  <si>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</si>
  <si>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</si>
  <si>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</si>
  <si>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</si>
  <si>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</si>
  <si>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</si>
  <si>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</si>
  <si>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</si>
  <si>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</si>
  <si>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</si>
  <si>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</si>
  <si>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</si>
  <si>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</si>
  <si>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</si>
  <si>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</si>
  <si>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</si>
  <si>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</si>
  <si>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</si>
  <si>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</si>
  <si>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</si>
  <si>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</si>
  <si>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</si>
  <si>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</si>
  <si>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</si>
  <si>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</si>
  <si>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</si>
  <si>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</si>
  <si>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</si>
  <si>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</si>
  <si>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</si>
  <si>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</si>
  <si>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</si>
  <si>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</si>
  <si>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</si>
  <si>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</si>
  <si>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</si>
  <si>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</si>
  <si>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</si>
  <si>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</si>
  <si>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</si>
  <si>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</si>
  <si>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</si>
  <si>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</si>
  <si>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15;35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</si>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</sst>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F549" sqref="F54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85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15</v>
      </c>
      <c r="G554" s="36">
        <f>SUM(G542:G553)</f>
        <v>75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15</v>
      </c>
      <c r="G568" s="40">
        <f>G554+G567</f>
        <v>75</v>
      </c>
      <c r="H568" s="41"/>
      <c r="I568" s="41"/>
      <c r="J568" s="41"/>
      <c r="K568" s="41"/>
      <c r="L568" s="41"/>
      <c r="M568" s="42">
        <f ca="1">IFERROR(M554+M567,"")</f>
        <v>0.32291666666666669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526" activePane="bottomLeft" state="frozen"/>
      <selection pane="bottomLeft" activeCell="K562" sqref="K5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0.42550578703230713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0.58314467592119601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0.69286689814341818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0.40397800925711636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0.57481134259044975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0.71995023147933868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28</v>
      </c>
      <c r="K545" s="29" t="s">
        <v>303</v>
      </c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12</v>
      </c>
      <c r="G546" s="28">
        <f t="shared" si="120"/>
        <v>50.400000000000006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183</v>
      </c>
      <c r="G554" s="36">
        <f>SUM(G542:G553)</f>
        <v>768.60000000000014</v>
      </c>
      <c r="H554" s="37"/>
      <c r="I554" s="37"/>
      <c r="J554" s="37"/>
      <c r="K554" s="37"/>
      <c r="L554" s="37"/>
      <c r="M554" s="38">
        <f ca="1">IFERROR(SUM(M542:M553),"")</f>
        <v>3.819444444444442E-2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183</v>
      </c>
      <c r="G568" s="40">
        <f>G554+G567</f>
        <v>768.60000000000014</v>
      </c>
      <c r="H568" s="41"/>
      <c r="I568" s="41"/>
      <c r="J568" s="41"/>
      <c r="K568" s="41"/>
      <c r="L568" s="41"/>
      <c r="M568" s="42">
        <f ca="1">IFERROR(M554+M567,"")</f>
        <v>3.819444444444442E-2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50" sqref="F55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272</v>
      </c>
      <c r="K141" s="29">
        <v>0.71597222222222223</v>
      </c>
      <c r="L141" s="29" t="s">
        <v>310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312</v>
      </c>
      <c r="N166" s="27" t="s">
        <v>313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328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20</v>
      </c>
      <c r="G554" s="36">
        <f>SUM(G542:G553)</f>
        <v>84</v>
      </c>
      <c r="H554" s="37"/>
      <c r="I554" s="37"/>
      <c r="J554" s="37"/>
      <c r="K554" s="37"/>
      <c r="L554" s="37"/>
      <c r="M554" s="38">
        <f ca="1">IFERROR(SUM(M542:M553),"")</f>
        <v>3.472222222222221E-2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20</v>
      </c>
      <c r="G568" s="40">
        <f>G554+G567</f>
        <v>84</v>
      </c>
      <c r="H568" s="41"/>
      <c r="I568" s="41"/>
      <c r="J568" s="41"/>
      <c r="K568" s="41"/>
      <c r="L568" s="41"/>
      <c r="M568" s="42">
        <f ca="1">IFERROR(M554+M567,"")</f>
        <v>3.472222222222221E-2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24" activePane="bottomLeft" state="frozen"/>
      <selection pane="bottomLeft" activeCell="F550" sqref="F55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333</v>
      </c>
      <c r="L58" s="29">
        <v>0.54097222222222219</v>
      </c>
      <c r="M58" s="30" t="str">
        <f t="shared" ca="1" si="13"/>
        <v/>
      </c>
      <c r="N58" s="27" t="s">
        <v>334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0.41578356481477385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0.61508912037032948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0.98245023148144051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369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>
        <v>12</v>
      </c>
      <c r="G545" s="34">
        <f t="shared" si="120"/>
        <v>50.400000000000006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255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255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255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546</v>
      </c>
      <c r="H554" s="37"/>
      <c r="I554" s="37"/>
      <c r="J554" s="37"/>
      <c r="K554" s="61"/>
      <c r="L554" s="61"/>
      <c r="M554" s="38">
        <f ca="1">IFERROR(SUM(M542:M553),"")</f>
        <v>6.25E-2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130</v>
      </c>
      <c r="G568" s="40">
        <f>G554+G567</f>
        <v>546</v>
      </c>
      <c r="H568" s="41"/>
      <c r="I568" s="41"/>
      <c r="J568" s="41"/>
      <c r="K568" s="63"/>
      <c r="L568" s="63"/>
      <c r="M568" s="42">
        <f ca="1">IFERROR(M554+M567,"")</f>
        <v>6.25E-2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2026-07-21T19:58:18Z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