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770" documentId="13_ncr:1_{A6DBCFB4-28D9-4249-9038-216934055CA6}" xr6:coauthVersionLast="47" xr6:coauthVersionMax="47" xr10:uidLastSave="{9ED5FE91-BA37-4997-80FF-8118B7C5FF2F}"/>
  <bookViews>
    <workbookView xWindow="-120" yWindow="-120" windowWidth="29040" windowHeight="15720" tabRatio="500" firstSheet="4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608" i="3" l="1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C10" i="1"/>
  <c r="J9" i="1"/>
  <c r="F9" i="1"/>
  <c r="E9" i="1"/>
  <c r="C9" i="1"/>
  <c r="J8" i="1"/>
  <c r="F8" i="1"/>
  <c r="E8" i="1"/>
  <c r="C8" i="1"/>
  <c r="J7" i="1"/>
  <c r="F7" i="1"/>
  <c r="C7" i="1"/>
  <c r="J6" i="1"/>
  <c r="F6" i="1"/>
  <c r="E6" i="1"/>
  <c r="C6" i="1"/>
  <c r="J5" i="1"/>
  <c r="F5" i="1"/>
  <c r="E5" i="1"/>
  <c r="C5" i="1"/>
  <c r="J4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676" i="5" s="1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595" i="5" l="1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<sst xmlns="http://schemas.openxmlformats.org/spreadsheetml/2006/main" count="10675" uniqueCount="438">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</sst>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S26" sqref="S26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</row>
    <row r="2" spans="1:12" ht="30" customHeight="1">
      <c r="A2" s="162"/>
      <c r="B2" s="16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21"/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2774540</v>
      </c>
      <c r="D27" s="26">
        <f>IFERROR('Linha 1'!S649,"")</f>
        <v>631780</v>
      </c>
      <c r="E27" s="26">
        <f>IFERROR('Linha 2'!S649,"")</f>
        <v>290880</v>
      </c>
      <c r="F27" s="26">
        <f>IFERROR('Linha 3'!S649,"")</f>
        <v>1044100</v>
      </c>
      <c r="G27" s="27">
        <f t="shared" si="0"/>
        <v>1966760</v>
      </c>
      <c r="H27" s="21">
        <f>IFERROR('Linha 1'!T649+'Linha 2'!T649+'Linha 3'!T649,0)</f>
        <v>413.01960000000003</v>
      </c>
      <c r="I27" s="21"/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3" t="s">
        <v>16</v>
      </c>
      <c r="B35" s="163"/>
      <c r="C35" s="30">
        <f t="shared" ref="C35:I35" si="2">IFERROR(SUM(C4:C34),"")</f>
        <v>86096650</v>
      </c>
      <c r="D35" s="30">
        <f t="shared" si="2"/>
        <v>27232230</v>
      </c>
      <c r="E35" s="30">
        <f t="shared" si="2"/>
        <v>15615500</v>
      </c>
      <c r="F35" s="30">
        <f t="shared" si="2"/>
        <v>36884050</v>
      </c>
      <c r="G35" s="30">
        <f t="shared" si="2"/>
        <v>79731780</v>
      </c>
      <c r="H35" s="31">
        <f t="shared" si="2"/>
        <v>8322.4582946384144</v>
      </c>
      <c r="I35" s="31">
        <f t="shared" si="2"/>
        <v>4967.05</v>
      </c>
      <c r="J35" s="32">
        <f>I35/H35</f>
        <v>0.59682485921256312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4" t="s">
        <v>17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5"/>
      <c r="N1" s="166" t="s">
        <v>18</v>
      </c>
      <c r="O1" s="166"/>
      <c r="P1" s="166"/>
      <c r="Q1" s="166"/>
      <c r="R1" s="166"/>
    </row>
    <row r="2" spans="1:18" ht="4.5" customHeight="1">
      <c r="M2" s="16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5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5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5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5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5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5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5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5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5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5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5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5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5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5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5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5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5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5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5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5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5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5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5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5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5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5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5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5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5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5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5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 t="s">
        <v>183</v>
      </c>
      <c r="M39" s="165"/>
      <c r="N39" s="40"/>
      <c r="O39" s="40"/>
      <c r="P39" s="40" t="s">
        <v>184</v>
      </c>
      <c r="Q39" s="40"/>
      <c r="R39" s="40" t="s">
        <v>185</v>
      </c>
    </row>
    <row r="40" spans="1:18" ht="15.75" customHeight="1">
      <c r="A40" s="37"/>
      <c r="C40" s="37"/>
      <c r="J40" s="37"/>
      <c r="L40" s="37"/>
      <c r="M40" s="165"/>
      <c r="N40" s="37"/>
      <c r="O40" s="37"/>
      <c r="P40" s="37" t="s">
        <v>186</v>
      </c>
      <c r="Q40" s="37"/>
      <c r="R40" s="37" t="s">
        <v>187</v>
      </c>
    </row>
    <row r="41" spans="1:18" ht="15.75" customHeight="1">
      <c r="A41" s="40"/>
      <c r="C41" s="40"/>
      <c r="J41" s="40"/>
      <c r="L41" s="40"/>
      <c r="M41" s="165"/>
      <c r="N41" s="40"/>
      <c r="O41" s="40"/>
      <c r="P41" s="40" t="s">
        <v>188</v>
      </c>
      <c r="Q41" s="40"/>
      <c r="R41" s="40" t="s">
        <v>189</v>
      </c>
    </row>
    <row r="42" spans="1:18" ht="15.75" customHeight="1">
      <c r="A42" s="37"/>
      <c r="C42" s="37"/>
      <c r="J42" s="37"/>
      <c r="L42" s="37"/>
      <c r="M42" s="165"/>
      <c r="N42" s="37"/>
      <c r="O42" s="37"/>
      <c r="P42" s="37" t="s">
        <v>190</v>
      </c>
      <c r="Q42" s="37"/>
      <c r="R42" s="37" t="s">
        <v>191</v>
      </c>
    </row>
    <row r="43" spans="1:18" ht="15.75" customHeight="1">
      <c r="A43" s="40"/>
      <c r="C43" s="40"/>
      <c r="J43" s="40"/>
      <c r="L43" s="40"/>
      <c r="M43" s="165"/>
      <c r="N43" s="40"/>
      <c r="O43" s="40"/>
      <c r="P43" s="40" t="s">
        <v>192</v>
      </c>
      <c r="Q43" s="40"/>
      <c r="R43" s="40" t="s">
        <v>193</v>
      </c>
    </row>
    <row r="44" spans="1:18" ht="15.75" customHeight="1">
      <c r="A44" s="37"/>
      <c r="C44" s="37"/>
      <c r="J44" s="37"/>
      <c r="L44" s="37"/>
      <c r="M44" s="165"/>
      <c r="N44" s="37"/>
      <c r="O44" s="37"/>
      <c r="P44" s="37" t="s">
        <v>194</v>
      </c>
      <c r="Q44" s="37"/>
      <c r="R44" s="37" t="s">
        <v>195</v>
      </c>
    </row>
    <row r="45" spans="1:18" ht="15.75" customHeight="1">
      <c r="A45" s="40"/>
      <c r="C45" s="40"/>
      <c r="J45" s="40"/>
      <c r="L45" s="40"/>
      <c r="M45" s="165"/>
      <c r="N45" s="40"/>
      <c r="O45" s="40"/>
      <c r="P45" s="40" t="s">
        <v>196</v>
      </c>
      <c r="Q45" s="40"/>
      <c r="R45" s="40" t="s">
        <v>197</v>
      </c>
    </row>
    <row r="46" spans="1:18" ht="15.75" customHeight="1">
      <c r="A46" s="37"/>
      <c r="C46" s="37"/>
      <c r="J46" s="37"/>
      <c r="L46" s="37"/>
      <c r="M46" s="165"/>
      <c r="N46" s="37"/>
      <c r="O46" s="37"/>
      <c r="P46" s="37" t="s">
        <v>198</v>
      </c>
      <c r="Q46" s="37"/>
      <c r="R46" s="37" t="s">
        <v>199</v>
      </c>
    </row>
    <row r="47" spans="1:18" ht="15.75" customHeight="1">
      <c r="A47" s="40"/>
      <c r="C47" s="40"/>
      <c r="J47" s="40"/>
      <c r="L47" s="40"/>
      <c r="M47" s="165"/>
      <c r="N47" s="40"/>
      <c r="O47" s="40"/>
      <c r="P47" s="40" t="s">
        <v>200</v>
      </c>
      <c r="Q47" s="40"/>
      <c r="R47" s="40" t="s">
        <v>201</v>
      </c>
    </row>
    <row r="48" spans="1:18" ht="15.75" customHeight="1">
      <c r="A48" s="37"/>
      <c r="C48" s="37"/>
      <c r="J48" s="37"/>
      <c r="L48" s="37"/>
      <c r="M48" s="165"/>
      <c r="N48" s="37"/>
      <c r="O48" s="37"/>
      <c r="P48" s="37" t="s">
        <v>202</v>
      </c>
      <c r="Q48" s="37"/>
      <c r="R48" s="37" t="s">
        <v>203</v>
      </c>
    </row>
    <row r="49" spans="1:18" ht="18" customHeight="1">
      <c r="M49" s="165"/>
      <c r="N49" s="40"/>
      <c r="O49" s="40"/>
      <c r="P49" s="40" t="s">
        <v>204</v>
      </c>
      <c r="Q49" s="40"/>
      <c r="R49" s="40" t="s">
        <v>205</v>
      </c>
    </row>
    <row r="50" spans="1:18" ht="21" customHeight="1">
      <c r="A50" s="52" t="s">
        <v>206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5"/>
      <c r="N50" s="37"/>
      <c r="O50" s="37"/>
      <c r="P50" s="37" t="s">
        <v>207</v>
      </c>
      <c r="Q50" s="37"/>
      <c r="R50" s="37" t="s">
        <v>208</v>
      </c>
    </row>
    <row r="51" spans="1:18" ht="24" customHeight="1">
      <c r="M51" s="165"/>
      <c r="N51" s="40"/>
      <c r="O51" s="40"/>
      <c r="P51" s="40" t="s">
        <v>209</v>
      </c>
      <c r="Q51" s="40"/>
      <c r="R51" s="40" t="s">
        <v>210</v>
      </c>
    </row>
    <row r="52" spans="1:18" ht="24" customHeight="1">
      <c r="M52" s="165"/>
      <c r="N52" s="37"/>
      <c r="O52" s="37"/>
      <c r="P52" s="37" t="s">
        <v>211</v>
      </c>
      <c r="Q52" s="37"/>
      <c r="R52" s="37" t="s">
        <v>212</v>
      </c>
    </row>
    <row r="53" spans="1:18" ht="36" customHeight="1">
      <c r="M53" s="165"/>
      <c r="N53" s="40"/>
      <c r="O53" s="40"/>
      <c r="P53" s="40" t="s">
        <v>213</v>
      </c>
      <c r="Q53" s="40"/>
      <c r="R53" s="40" t="s">
        <v>214</v>
      </c>
    </row>
    <row r="54" spans="1:18" ht="15" customHeight="1">
      <c r="M54" s="165"/>
      <c r="N54" s="37"/>
      <c r="O54" s="37"/>
      <c r="P54" s="37" t="s">
        <v>215</v>
      </c>
      <c r="Q54" s="37"/>
      <c r="R54" s="37" t="s">
        <v>216</v>
      </c>
    </row>
    <row r="55" spans="1:18" ht="15" customHeight="1">
      <c r="M55" s="165"/>
      <c r="N55" s="40"/>
      <c r="O55" s="40"/>
      <c r="P55" s="40" t="s">
        <v>217</v>
      </c>
      <c r="Q55" s="40"/>
      <c r="R55" s="40" t="s">
        <v>218</v>
      </c>
    </row>
    <row r="56" spans="1:18" ht="15" customHeight="1">
      <c r="M56" s="165"/>
      <c r="N56" s="37"/>
      <c r="O56" s="37"/>
      <c r="P56" s="37" t="s">
        <v>219</v>
      </c>
      <c r="Q56" s="37"/>
      <c r="R56" s="37" t="s">
        <v>220</v>
      </c>
    </row>
    <row r="57" spans="1:18" ht="15" customHeight="1">
      <c r="M57" s="165"/>
      <c r="N57" s="40"/>
      <c r="O57" s="40"/>
      <c r="P57" s="40" t="s">
        <v>59</v>
      </c>
      <c r="Q57" s="40"/>
      <c r="R57" s="40" t="s">
        <v>221</v>
      </c>
    </row>
    <row r="58" spans="1:18" ht="15" customHeight="1">
      <c r="M58" s="165"/>
      <c r="N58" s="37"/>
      <c r="O58" s="37"/>
      <c r="P58" s="37" t="s">
        <v>222</v>
      </c>
      <c r="Q58" s="37"/>
      <c r="R58" s="37" t="s">
        <v>223</v>
      </c>
    </row>
    <row r="59" spans="1:18" ht="15" customHeight="1">
      <c r="M59" s="165"/>
      <c r="N59" s="40"/>
      <c r="O59" s="40"/>
      <c r="P59" s="40" t="s">
        <v>224</v>
      </c>
      <c r="Q59" s="40"/>
      <c r="R59" s="40" t="s">
        <v>225</v>
      </c>
    </row>
    <row r="60" spans="1:18" ht="15" customHeight="1">
      <c r="M60" s="165"/>
      <c r="N60" s="37"/>
      <c r="O60" s="37"/>
      <c r="P60" s="53" t="s">
        <v>114</v>
      </c>
      <c r="Q60" s="37"/>
      <c r="R60" s="37"/>
    </row>
    <row r="61" spans="1:18" ht="15" customHeight="1">
      <c r="M61" s="165"/>
      <c r="N61" s="40"/>
      <c r="O61" s="40"/>
      <c r="P61" s="40" t="s">
        <v>226</v>
      </c>
      <c r="Q61" s="40"/>
      <c r="R61" s="40"/>
    </row>
    <row r="62" spans="1:18" ht="15" customHeight="1">
      <c r="M62" s="165"/>
      <c r="N62" s="37"/>
      <c r="O62" s="37"/>
      <c r="P62" s="37" t="s">
        <v>227</v>
      </c>
      <c r="Q62" s="37"/>
      <c r="R62" s="37"/>
    </row>
    <row r="63" spans="1:18" ht="15" customHeight="1">
      <c r="M63" s="165"/>
      <c r="N63" s="40"/>
      <c r="O63" s="40"/>
      <c r="P63" s="40" t="s">
        <v>228</v>
      </c>
      <c r="Q63" s="40"/>
      <c r="R63" s="40"/>
    </row>
    <row r="64" spans="1:18" ht="15" customHeight="1">
      <c r="M64" s="165"/>
      <c r="N64" s="37"/>
      <c r="O64" s="37"/>
      <c r="P64" s="37" t="s">
        <v>229</v>
      </c>
      <c r="Q64" s="37"/>
      <c r="R64" s="37"/>
    </row>
    <row r="65" spans="13:18" ht="15" customHeight="1">
      <c r="M65" s="165"/>
      <c r="N65" s="40"/>
      <c r="O65" s="40"/>
      <c r="P65" s="40" t="s">
        <v>230</v>
      </c>
      <c r="Q65" s="40"/>
      <c r="R65" s="40"/>
    </row>
    <row r="66" spans="13:18" ht="15" customHeight="1">
      <c r="M66" s="165"/>
      <c r="N66" s="37"/>
      <c r="O66" s="37"/>
      <c r="P66" s="37" t="s">
        <v>231</v>
      </c>
      <c r="Q66" s="37"/>
      <c r="R66" s="37"/>
    </row>
    <row r="67" spans="13:18" ht="15" customHeight="1">
      <c r="M67" s="165"/>
      <c r="N67" s="40"/>
      <c r="O67" s="40"/>
      <c r="P67" s="40" t="s">
        <v>232</v>
      </c>
      <c r="Q67" s="40"/>
      <c r="R67" s="40"/>
    </row>
    <row r="68" spans="13:18" ht="15" customHeight="1">
      <c r="M68" s="165"/>
      <c r="N68" s="37"/>
      <c r="O68" s="37"/>
      <c r="P68" s="37" t="s">
        <v>233</v>
      </c>
      <c r="Q68" s="37"/>
      <c r="R68" s="37"/>
    </row>
    <row r="69" spans="13:18" ht="15" customHeight="1">
      <c r="M69" s="165"/>
      <c r="N69" s="40"/>
      <c r="O69" s="40"/>
      <c r="P69" s="40" t="s">
        <v>234</v>
      </c>
      <c r="Q69" s="40"/>
      <c r="R69" s="40"/>
    </row>
    <row r="70" spans="13:18" ht="15" customHeight="1">
      <c r="M70" s="165"/>
      <c r="N70" s="37"/>
      <c r="O70" s="37"/>
      <c r="P70" s="37" t="s">
        <v>235</v>
      </c>
      <c r="Q70" s="37"/>
      <c r="R70" s="37"/>
    </row>
    <row r="71" spans="13:18" ht="15" customHeight="1">
      <c r="M71" s="165"/>
      <c r="N71" s="40"/>
      <c r="O71" s="40"/>
      <c r="P71" s="40" t="s">
        <v>236</v>
      </c>
      <c r="Q71" s="40"/>
      <c r="R71" s="40"/>
    </row>
    <row r="72" spans="13:18" ht="15" customHeight="1">
      <c r="M72" s="165"/>
      <c r="N72" s="37"/>
      <c r="O72" s="37"/>
      <c r="P72" s="37" t="s">
        <v>237</v>
      </c>
      <c r="Q72" s="37"/>
      <c r="R72" s="37"/>
    </row>
    <row r="73" spans="13:18" ht="15" customHeight="1">
      <c r="M73" s="165"/>
      <c r="N73" s="40"/>
      <c r="O73" s="40"/>
      <c r="P73" s="40" t="s">
        <v>238</v>
      </c>
      <c r="Q73" s="40"/>
      <c r="R73" s="40"/>
    </row>
    <row r="74" spans="13:18" ht="15" customHeight="1">
      <c r="M74" s="165"/>
      <c r="N74" s="37"/>
      <c r="O74" s="37"/>
      <c r="P74" s="37" t="s">
        <v>239</v>
      </c>
      <c r="Q74" s="37"/>
      <c r="R74" s="37"/>
    </row>
    <row r="75" spans="13:18" ht="15" customHeight="1">
      <c r="M75" s="165"/>
      <c r="N75" s="40"/>
      <c r="O75" s="40"/>
      <c r="P75" s="40" t="s">
        <v>240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241</v>
      </c>
      <c r="C1" s="138" t="s">
        <v>242</v>
      </c>
      <c r="D1" s="138" t="s">
        <v>19</v>
      </c>
      <c r="E1" s="138" t="s">
        <v>243</v>
      </c>
      <c r="F1" s="138" t="s">
        <v>244</v>
      </c>
      <c r="G1" s="138" t="s">
        <v>245</v>
      </c>
      <c r="H1" s="138" t="s">
        <v>246</v>
      </c>
      <c r="I1" s="138" t="s">
        <v>247</v>
      </c>
      <c r="J1" s="138" t="s">
        <v>248</v>
      </c>
      <c r="K1" s="138" t="s">
        <v>249</v>
      </c>
    </row>
    <row r="2" spans="1:11" ht="15.75" customHeight="1">
      <c r="A2" s="139">
        <v>46235</v>
      </c>
      <c r="B2" s="140" t="s">
        <v>250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251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7" t="s">
        <v>252</v>
      </c>
      <c r="B4" s="167"/>
      <c r="C4" s="167"/>
      <c r="D4" s="167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250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251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7" t="s">
        <v>252</v>
      </c>
      <c r="B7" s="167"/>
      <c r="C7" s="167"/>
      <c r="D7" s="167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250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251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7" t="s">
        <v>252</v>
      </c>
      <c r="B10" s="167"/>
      <c r="C10" s="167"/>
      <c r="D10" s="167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250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251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7" t="s">
        <v>252</v>
      </c>
      <c r="B13" s="167"/>
      <c r="C13" s="167"/>
      <c r="D13" s="167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250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251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7" t="s">
        <v>252</v>
      </c>
      <c r="B16" s="167"/>
      <c r="C16" s="167"/>
      <c r="D16" s="167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250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251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7" t="s">
        <v>252</v>
      </c>
      <c r="B19" s="167"/>
      <c r="C19" s="167"/>
      <c r="D19" s="167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250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251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7" t="s">
        <v>252</v>
      </c>
      <c r="B22" s="167"/>
      <c r="C22" s="167"/>
      <c r="D22" s="167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250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251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7" t="s">
        <v>252</v>
      </c>
      <c r="B25" s="167"/>
      <c r="C25" s="167"/>
      <c r="D25" s="167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250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251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7" t="s">
        <v>252</v>
      </c>
      <c r="B28" s="167"/>
      <c r="C28" s="167"/>
      <c r="D28" s="167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250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251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7" t="s">
        <v>252</v>
      </c>
      <c r="B31" s="167"/>
      <c r="C31" s="167"/>
      <c r="D31" s="167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250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251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7" t="s">
        <v>252</v>
      </c>
      <c r="B34" s="167"/>
      <c r="C34" s="167"/>
      <c r="D34" s="167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250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251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7" t="s">
        <v>252</v>
      </c>
      <c r="B37" s="167"/>
      <c r="C37" s="167"/>
      <c r="D37" s="167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250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251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7" t="s">
        <v>252</v>
      </c>
      <c r="B40" s="167"/>
      <c r="C40" s="167"/>
      <c r="D40" s="167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250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251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7" t="s">
        <v>252</v>
      </c>
      <c r="B43" s="167"/>
      <c r="C43" s="167"/>
      <c r="D43" s="167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250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251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7" t="s">
        <v>252</v>
      </c>
      <c r="B46" s="167"/>
      <c r="C46" s="167"/>
      <c r="D46" s="167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250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251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7" t="s">
        <v>252</v>
      </c>
      <c r="B49" s="167"/>
      <c r="C49" s="167"/>
      <c r="D49" s="167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250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251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7" t="s">
        <v>252</v>
      </c>
      <c r="B52" s="167"/>
      <c r="C52" s="167"/>
      <c r="D52" s="167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250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251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7" t="s">
        <v>252</v>
      </c>
      <c r="B55" s="167"/>
      <c r="C55" s="167"/>
      <c r="D55" s="167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250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251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7" t="s">
        <v>252</v>
      </c>
      <c r="B58" s="167"/>
      <c r="C58" s="167"/>
      <c r="D58" s="167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250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251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7" t="s">
        <v>252</v>
      </c>
      <c r="B61" s="167"/>
      <c r="C61" s="167"/>
      <c r="D61" s="167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250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251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7" t="s">
        <v>252</v>
      </c>
      <c r="B64" s="167"/>
      <c r="C64" s="167"/>
      <c r="D64" s="167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250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>
        <v>12</v>
      </c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251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>
        <v>12</v>
      </c>
      <c r="I66" s="148" t="str">
        <f>IFERROR(IF(G66="","",F66/G66),"")</f>
        <v/>
      </c>
      <c r="J66" s="145"/>
      <c r="K66" s="145"/>
    </row>
    <row r="67" spans="1:11" ht="18" customHeight="1">
      <c r="A67" s="167" t="s">
        <v>252</v>
      </c>
      <c r="B67" s="167"/>
      <c r="C67" s="167"/>
      <c r="D67" s="167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24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250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>
        <v>12</v>
      </c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251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>
        <v>12</v>
      </c>
      <c r="I69" s="148" t="str">
        <f>IFERROR(IF(G69="","",F69/G69),"")</f>
        <v/>
      </c>
      <c r="J69" s="145"/>
      <c r="K69" s="145"/>
    </row>
    <row r="70" spans="1:11" ht="18" customHeight="1">
      <c r="A70" s="167" t="s">
        <v>252</v>
      </c>
      <c r="B70" s="167"/>
      <c r="C70" s="167"/>
      <c r="D70" s="167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24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250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251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7" t="s">
        <v>252</v>
      </c>
      <c r="B73" s="167"/>
      <c r="C73" s="167"/>
      <c r="D73" s="167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250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251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7" t="s">
        <v>252</v>
      </c>
      <c r="B76" s="167"/>
      <c r="C76" s="167"/>
      <c r="D76" s="167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250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251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7" t="s">
        <v>252</v>
      </c>
      <c r="B79" s="167"/>
      <c r="C79" s="167"/>
      <c r="D79" s="167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250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251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7" t="s">
        <v>252</v>
      </c>
      <c r="B82" s="167"/>
      <c r="C82" s="167"/>
      <c r="D82" s="167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250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251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7" t="s">
        <v>252</v>
      </c>
      <c r="B85" s="167"/>
      <c r="C85" s="167"/>
      <c r="D85" s="167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250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251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7" t="s">
        <v>252</v>
      </c>
      <c r="B88" s="167"/>
      <c r="C88" s="167"/>
      <c r="D88" s="167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250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251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7" t="s">
        <v>252</v>
      </c>
      <c r="B91" s="167"/>
      <c r="C91" s="167"/>
      <c r="D91" s="167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250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251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7" t="s">
        <v>252</v>
      </c>
      <c r="B94" s="167"/>
      <c r="C94" s="167"/>
      <c r="D94" s="167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12" activePane="bottomLeft" state="frozen"/>
      <selection pane="bottomLeft" activeCell="F644" sqref="F644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57" t="s">
        <v>255</v>
      </c>
      <c r="G1" s="57" t="s">
        <v>256</v>
      </c>
      <c r="H1" s="57" t="s">
        <v>23</v>
      </c>
      <c r="I1" s="57" t="s">
        <v>24</v>
      </c>
      <c r="J1" s="57" t="s">
        <v>257</v>
      </c>
      <c r="K1" s="57" t="s">
        <v>258</v>
      </c>
      <c r="L1" s="57" t="s">
        <v>259</v>
      </c>
      <c r="M1" s="58" t="s">
        <v>260</v>
      </c>
      <c r="N1" s="57" t="s">
        <v>249</v>
      </c>
      <c r="O1" s="57" t="s">
        <v>261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262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262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262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262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262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262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262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262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262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262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262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262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8" t="s">
        <v>263</v>
      </c>
      <c r="B14" s="168"/>
      <c r="C14" s="168"/>
      <c r="D14" s="168"/>
      <c r="E14" s="168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264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262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262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262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265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262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262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262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262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262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262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262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262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262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8" t="s">
        <v>266</v>
      </c>
      <c r="B27" s="168"/>
      <c r="C27" s="168"/>
      <c r="D27" s="168"/>
      <c r="E27" s="168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264</v>
      </c>
      <c r="O27" s="74">
        <v>997910</v>
      </c>
    </row>
    <row r="28" spans="1:15" ht="18" customHeight="1">
      <c r="A28" s="169" t="s">
        <v>252</v>
      </c>
      <c r="B28" s="169"/>
      <c r="C28" s="169"/>
      <c r="D28" s="169"/>
      <c r="E28" s="169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267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262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262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268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262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265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262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262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262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262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262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262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262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262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262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8" t="s">
        <v>263</v>
      </c>
      <c r="B41" s="168"/>
      <c r="C41" s="168"/>
      <c r="D41" s="168"/>
      <c r="E41" s="168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264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262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269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262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262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262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262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262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262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262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262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262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262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8" t="s">
        <v>266</v>
      </c>
      <c r="B54" s="168"/>
      <c r="C54" s="168"/>
      <c r="D54" s="168"/>
      <c r="E54" s="168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264</v>
      </c>
      <c r="O54" s="74">
        <v>981310</v>
      </c>
    </row>
    <row r="55" spans="1:15" ht="18" customHeight="1">
      <c r="A55" s="169" t="s">
        <v>252</v>
      </c>
      <c r="B55" s="169"/>
      <c r="C55" s="169"/>
      <c r="D55" s="169"/>
      <c r="E55" s="169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267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262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262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262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262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262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262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262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262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262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262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262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262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8" t="s">
        <v>263</v>
      </c>
      <c r="B68" s="168"/>
      <c r="C68" s="168"/>
      <c r="D68" s="168"/>
      <c r="E68" s="168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264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262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262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270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262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262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262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262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262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262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262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262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262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262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8" t="s">
        <v>266</v>
      </c>
      <c r="B81" s="168"/>
      <c r="C81" s="168"/>
      <c r="D81" s="168"/>
      <c r="E81" s="168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264</v>
      </c>
      <c r="O81" s="74">
        <v>1547910</v>
      </c>
    </row>
    <row r="82" spans="1:15" ht="18" customHeight="1">
      <c r="A82" s="169" t="s">
        <v>252</v>
      </c>
      <c r="B82" s="169"/>
      <c r="C82" s="169"/>
      <c r="D82" s="169"/>
      <c r="E82" s="169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267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262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262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262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271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262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262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262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262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262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262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262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262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262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8" t="s">
        <v>263</v>
      </c>
      <c r="B95" s="168"/>
      <c r="C95" s="168"/>
      <c r="D95" s="168"/>
      <c r="E95" s="168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264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262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262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262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262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262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262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272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262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262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262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262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262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262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8" t="s">
        <v>266</v>
      </c>
      <c r="B108" s="168"/>
      <c r="C108" s="168"/>
      <c r="D108" s="168"/>
      <c r="E108" s="168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264</v>
      </c>
      <c r="O108" s="74">
        <v>3156240</v>
      </c>
    </row>
    <row r="109" spans="1:15" ht="18" customHeight="1">
      <c r="A109" s="169" t="s">
        <v>252</v>
      </c>
      <c r="B109" s="169"/>
      <c r="C109" s="169"/>
      <c r="D109" s="169"/>
      <c r="E109" s="169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267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262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262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262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262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262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262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262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262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262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262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262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262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8" t="s">
        <v>263</v>
      </c>
      <c r="B122" s="168"/>
      <c r="C122" s="168"/>
      <c r="D122" s="168"/>
      <c r="E122" s="168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264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262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262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262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262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262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262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262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262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262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262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262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262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8" t="s">
        <v>266</v>
      </c>
      <c r="B135" s="168"/>
      <c r="C135" s="168"/>
      <c r="D135" s="168"/>
      <c r="E135" s="168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264</v>
      </c>
      <c r="O135" s="74">
        <v>2875180</v>
      </c>
    </row>
    <row r="136" spans="1:15" ht="18" customHeight="1">
      <c r="A136" s="169" t="s">
        <v>252</v>
      </c>
      <c r="B136" s="169"/>
      <c r="C136" s="169"/>
      <c r="D136" s="169"/>
      <c r="E136" s="169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267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262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273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262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262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262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262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262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262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262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262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262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262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262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8" t="s">
        <v>263</v>
      </c>
      <c r="B149" s="168"/>
      <c r="C149" s="168"/>
      <c r="D149" s="168"/>
      <c r="E149" s="168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264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262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262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274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262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262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262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262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262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262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262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262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262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262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8" t="s">
        <v>266</v>
      </c>
      <c r="B162" s="168"/>
      <c r="C162" s="168"/>
      <c r="D162" s="168"/>
      <c r="E162" s="168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264</v>
      </c>
      <c r="O162" s="79">
        <v>842000</v>
      </c>
    </row>
    <row r="163" spans="1:15" ht="18" customHeight="1">
      <c r="A163" s="169" t="s">
        <v>252</v>
      </c>
      <c r="B163" s="169"/>
      <c r="C163" s="169"/>
      <c r="D163" s="169"/>
      <c r="E163" s="169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267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262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239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275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262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262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262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262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262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262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262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262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262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262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262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8" t="s">
        <v>263</v>
      </c>
      <c r="B176" s="168"/>
      <c r="C176" s="168"/>
      <c r="D176" s="168"/>
      <c r="E176" s="168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264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262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276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262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262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262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262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262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262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262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277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262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262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262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8" t="s">
        <v>266</v>
      </c>
      <c r="B189" s="168"/>
      <c r="C189" s="168"/>
      <c r="D189" s="168"/>
      <c r="E189" s="168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264</v>
      </c>
      <c r="O189" s="74">
        <v>1901630</v>
      </c>
    </row>
    <row r="190" spans="1:15" ht="18" customHeight="1">
      <c r="A190" s="169" t="s">
        <v>252</v>
      </c>
      <c r="B190" s="169"/>
      <c r="C190" s="169"/>
      <c r="D190" s="169"/>
      <c r="E190" s="169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267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262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262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262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278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262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262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262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262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262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262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262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262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262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8" t="s">
        <v>263</v>
      </c>
      <c r="B203" s="168"/>
      <c r="C203" s="168"/>
      <c r="D203" s="168"/>
      <c r="E203" s="168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264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262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262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262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262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262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262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262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262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262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262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262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262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8" t="s">
        <v>266</v>
      </c>
      <c r="B216" s="168"/>
      <c r="C216" s="168"/>
      <c r="D216" s="168"/>
      <c r="E216" s="168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264</v>
      </c>
      <c r="O216" s="74">
        <v>1852295</v>
      </c>
    </row>
    <row r="217" spans="1:15" ht="18" customHeight="1">
      <c r="A217" s="169" t="s">
        <v>252</v>
      </c>
      <c r="B217" s="169"/>
      <c r="C217" s="169"/>
      <c r="D217" s="169"/>
      <c r="E217" s="169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267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262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262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262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216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279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262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262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262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262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262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262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262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262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262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8" t="s">
        <v>263</v>
      </c>
      <c r="B230" s="168"/>
      <c r="C230" s="168"/>
      <c r="D230" s="168"/>
      <c r="E230" s="168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264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262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216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262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262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280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280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280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280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280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280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280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280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280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8" t="s">
        <v>266</v>
      </c>
      <c r="B243" s="168"/>
      <c r="C243" s="168"/>
      <c r="D243" s="168"/>
      <c r="E243" s="168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264</v>
      </c>
      <c r="O243" s="74">
        <v>991010</v>
      </c>
    </row>
    <row r="244" spans="1:15" ht="18" customHeight="1">
      <c r="A244" s="169" t="s">
        <v>252</v>
      </c>
      <c r="B244" s="169"/>
      <c r="C244" s="169"/>
      <c r="D244" s="169"/>
      <c r="E244" s="169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267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262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221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262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262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262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262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281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262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262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262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262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262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262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262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8" t="s">
        <v>263</v>
      </c>
      <c r="B257" s="168"/>
      <c r="C257" s="168"/>
      <c r="D257" s="168"/>
      <c r="E257" s="168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264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282</v>
      </c>
      <c r="E258" s="75" t="s">
        <v>262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282</v>
      </c>
      <c r="E259" s="75" t="s">
        <v>262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282</v>
      </c>
      <c r="E260" s="75" t="s">
        <v>262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282</v>
      </c>
      <c r="E261" s="75" t="s">
        <v>262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282</v>
      </c>
      <c r="E262" s="75" t="s">
        <v>262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282</v>
      </c>
      <c r="E263" s="75" t="s">
        <v>262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282</v>
      </c>
      <c r="E264" s="75" t="s">
        <v>262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282</v>
      </c>
      <c r="E265" s="75" t="s">
        <v>262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282</v>
      </c>
      <c r="E266" s="75" t="s">
        <v>262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282</v>
      </c>
      <c r="E267" s="75" t="s">
        <v>262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282</v>
      </c>
      <c r="E268" s="75" t="s">
        <v>262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282</v>
      </c>
      <c r="E269" s="75" t="s">
        <v>262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8" t="s">
        <v>266</v>
      </c>
      <c r="B270" s="168"/>
      <c r="C270" s="168"/>
      <c r="D270" s="168"/>
      <c r="E270" s="168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264</v>
      </c>
      <c r="O270" s="74">
        <v>1544700</v>
      </c>
    </row>
    <row r="271" spans="1:15" ht="18" customHeight="1">
      <c r="A271" s="169" t="s">
        <v>252</v>
      </c>
      <c r="B271" s="169"/>
      <c r="C271" s="169"/>
      <c r="D271" s="169"/>
      <c r="E271" s="169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267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282</v>
      </c>
      <c r="E272" s="62" t="s">
        <v>262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282</v>
      </c>
      <c r="E273" s="62" t="s">
        <v>262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282</v>
      </c>
      <c r="E274" s="62" t="s">
        <v>262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282</v>
      </c>
      <c r="E275" s="62" t="s">
        <v>262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221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282</v>
      </c>
      <c r="E276" s="62" t="s">
        <v>262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282</v>
      </c>
      <c r="E277" s="62" t="s">
        <v>262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283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282</v>
      </c>
      <c r="E278" s="62" t="s">
        <v>262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282</v>
      </c>
      <c r="E279" s="62" t="s">
        <v>262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282</v>
      </c>
      <c r="E280" s="62" t="s">
        <v>262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282</v>
      </c>
      <c r="E281" s="62" t="s">
        <v>262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282</v>
      </c>
      <c r="E282" s="62" t="s">
        <v>262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282</v>
      </c>
      <c r="E283" s="62" t="s">
        <v>262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8" t="s">
        <v>263</v>
      </c>
      <c r="B284" s="168"/>
      <c r="C284" s="168"/>
      <c r="D284" s="168"/>
      <c r="E284" s="168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264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282</v>
      </c>
      <c r="E285" s="75" t="s">
        <v>277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282</v>
      </c>
      <c r="E286" s="75" t="s">
        <v>277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282</v>
      </c>
      <c r="E287" s="75" t="s">
        <v>277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282</v>
      </c>
      <c r="E288" s="75" t="s">
        <v>277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282</v>
      </c>
      <c r="E289" s="75" t="s">
        <v>277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282</v>
      </c>
      <c r="E290" s="75" t="s">
        <v>277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282</v>
      </c>
      <c r="E291" s="75" t="s">
        <v>277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282</v>
      </c>
      <c r="E292" s="75" t="s">
        <v>277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282</v>
      </c>
      <c r="E293" s="75" t="s">
        <v>277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282</v>
      </c>
      <c r="E294" s="75" t="s">
        <v>277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282</v>
      </c>
      <c r="E295" s="75" t="s">
        <v>277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282</v>
      </c>
      <c r="E296" s="75" t="s">
        <v>277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8" t="s">
        <v>266</v>
      </c>
      <c r="B297" s="168"/>
      <c r="C297" s="168"/>
      <c r="D297" s="168"/>
      <c r="E297" s="168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264</v>
      </c>
      <c r="O297" s="74">
        <v>1715230</v>
      </c>
    </row>
    <row r="298" spans="1:15" ht="18" customHeight="1">
      <c r="A298" s="169" t="s">
        <v>252</v>
      </c>
      <c r="B298" s="169"/>
      <c r="C298" s="169"/>
      <c r="D298" s="169"/>
      <c r="E298" s="169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267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262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239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262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262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262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284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262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262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262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262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262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262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262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262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8" t="s">
        <v>263</v>
      </c>
      <c r="B311" s="168"/>
      <c r="C311" s="168"/>
      <c r="D311" s="168"/>
      <c r="E311" s="168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264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262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262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262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262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262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262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262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262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262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262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262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262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8" t="s">
        <v>266</v>
      </c>
      <c r="B324" s="168"/>
      <c r="C324" s="168"/>
      <c r="D324" s="168"/>
      <c r="E324" s="168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264</v>
      </c>
      <c r="O324" s="74">
        <v>2216340</v>
      </c>
    </row>
    <row r="325" spans="1:15" ht="18" customHeight="1">
      <c r="A325" s="169" t="s">
        <v>252</v>
      </c>
      <c r="B325" s="169"/>
      <c r="C325" s="169"/>
      <c r="D325" s="169"/>
      <c r="E325" s="169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267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216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285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262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262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262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286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262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262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262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262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8" t="s">
        <v>263</v>
      </c>
      <c r="B338" s="168"/>
      <c r="C338" s="168"/>
      <c r="D338" s="168"/>
      <c r="E338" s="168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264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262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262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262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262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262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262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262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262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262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262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262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262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8" t="s">
        <v>266</v>
      </c>
      <c r="B351" s="168"/>
      <c r="C351" s="168"/>
      <c r="D351" s="168"/>
      <c r="E351" s="168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264</v>
      </c>
      <c r="O351" s="74">
        <v>2154990</v>
      </c>
    </row>
    <row r="352" spans="1:15" ht="18" customHeight="1">
      <c r="A352" s="169" t="s">
        <v>252</v>
      </c>
      <c r="B352" s="169"/>
      <c r="C352" s="169"/>
      <c r="D352" s="169"/>
      <c r="E352" s="169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267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262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262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262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262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262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262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277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262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262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262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262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262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8" t="s">
        <v>263</v>
      </c>
      <c r="B365" s="168"/>
      <c r="C365" s="168"/>
      <c r="D365" s="168"/>
      <c r="E365" s="168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264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262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262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262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262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262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262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262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262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262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262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262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262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8" t="s">
        <v>266</v>
      </c>
      <c r="B378" s="168"/>
      <c r="C378" s="168"/>
      <c r="D378" s="168"/>
      <c r="E378" s="168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264</v>
      </c>
      <c r="O378" s="74">
        <v>2614830</v>
      </c>
    </row>
    <row r="379" spans="1:15" ht="18" customHeight="1">
      <c r="A379" s="169" t="s">
        <v>252</v>
      </c>
      <c r="B379" s="169"/>
      <c r="C379" s="169"/>
      <c r="D379" s="169"/>
      <c r="E379" s="169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267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262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262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262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262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262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262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262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262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262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262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262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262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8" t="s">
        <v>263</v>
      </c>
      <c r="B392" s="168"/>
      <c r="C392" s="168"/>
      <c r="D392" s="168"/>
      <c r="E392" s="168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264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262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287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262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262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262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262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262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262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262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262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262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262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262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8" t="s">
        <v>266</v>
      </c>
      <c r="B405" s="168"/>
      <c r="C405" s="168"/>
      <c r="D405" s="168"/>
      <c r="E405" s="168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264</v>
      </c>
      <c r="O405" s="74">
        <v>2612000</v>
      </c>
    </row>
    <row r="406" spans="1:15" ht="18" customHeight="1">
      <c r="A406" s="169" t="s">
        <v>252</v>
      </c>
      <c r="B406" s="169"/>
      <c r="C406" s="169"/>
      <c r="D406" s="169"/>
      <c r="E406" s="169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267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262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262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262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262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262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262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262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262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262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262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262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262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8" t="s">
        <v>263</v>
      </c>
      <c r="B419" s="168"/>
      <c r="C419" s="168"/>
      <c r="D419" s="168"/>
      <c r="E419" s="168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264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262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233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262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288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262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288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262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262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262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262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262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262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262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262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262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8" t="s">
        <v>266</v>
      </c>
      <c r="B432" s="168"/>
      <c r="C432" s="168"/>
      <c r="D432" s="168"/>
      <c r="E432" s="168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264</v>
      </c>
      <c r="O432" s="74">
        <v>2266710</v>
      </c>
    </row>
    <row r="433" spans="1:15" ht="18" customHeight="1">
      <c r="A433" s="169" t="s">
        <v>252</v>
      </c>
      <c r="B433" s="169"/>
      <c r="C433" s="169"/>
      <c r="D433" s="169"/>
      <c r="E433" s="169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267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262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262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262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262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262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262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262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262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262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262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262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262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8" t="s">
        <v>263</v>
      </c>
      <c r="B446" s="168"/>
      <c r="C446" s="168"/>
      <c r="D446" s="168"/>
      <c r="E446" s="168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264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262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289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262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290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262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262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262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262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291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262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292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262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293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262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262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262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262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8" t="s">
        <v>266</v>
      </c>
      <c r="B459" s="168"/>
      <c r="C459" s="168"/>
      <c r="D459" s="168"/>
      <c r="E459" s="168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264</v>
      </c>
      <c r="O459" s="74">
        <v>2361680</v>
      </c>
    </row>
    <row r="460" spans="1:15" ht="18" customHeight="1">
      <c r="A460" s="169" t="s">
        <v>252</v>
      </c>
      <c r="B460" s="169"/>
      <c r="C460" s="169"/>
      <c r="D460" s="169"/>
      <c r="E460" s="169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267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262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294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262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262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262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262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262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262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262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262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262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262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262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8" t="s">
        <v>263</v>
      </c>
      <c r="B473" s="168"/>
      <c r="C473" s="168"/>
      <c r="D473" s="168"/>
      <c r="E473" s="168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264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262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262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262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295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262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262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262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262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262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262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262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262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262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8" t="s">
        <v>266</v>
      </c>
      <c r="B486" s="168"/>
      <c r="C486" s="168"/>
      <c r="D486" s="168"/>
      <c r="E486" s="168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264</v>
      </c>
      <c r="O486" s="74">
        <v>1798670</v>
      </c>
    </row>
    <row r="487" spans="1:15" ht="18" customHeight="1">
      <c r="A487" s="169" t="s">
        <v>252</v>
      </c>
      <c r="B487" s="169"/>
      <c r="C487" s="169"/>
      <c r="D487" s="169"/>
      <c r="E487" s="169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267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262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262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296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262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262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262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262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262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262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262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262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262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262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8" t="s">
        <v>263</v>
      </c>
      <c r="B500" s="168"/>
      <c r="C500" s="168"/>
      <c r="D500" s="168"/>
      <c r="E500" s="168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264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262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262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297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262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262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262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262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262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262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262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262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262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277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8" t="s">
        <v>266</v>
      </c>
      <c r="B513" s="168"/>
      <c r="C513" s="168"/>
      <c r="D513" s="168"/>
      <c r="E513" s="168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264</v>
      </c>
      <c r="O513" s="74">
        <v>2435830</v>
      </c>
    </row>
    <row r="514" spans="1:15" ht="18" customHeight="1">
      <c r="A514" s="169" t="s">
        <v>252</v>
      </c>
      <c r="B514" s="169"/>
      <c r="C514" s="169"/>
      <c r="D514" s="169"/>
      <c r="E514" s="169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267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262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262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262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262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262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277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277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277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277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277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277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277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8" t="s">
        <v>263</v>
      </c>
      <c r="B527" s="168"/>
      <c r="C527" s="168"/>
      <c r="D527" s="168"/>
      <c r="E527" s="168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264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262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298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262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262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262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262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262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262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262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262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262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262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262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8" t="s">
        <v>266</v>
      </c>
      <c r="B540" s="168"/>
      <c r="C540" s="168"/>
      <c r="D540" s="168"/>
      <c r="E540" s="168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264</v>
      </c>
      <c r="O540" s="74">
        <v>667100</v>
      </c>
    </row>
    <row r="541" spans="1:15" ht="18" customHeight="1">
      <c r="A541" s="169" t="s">
        <v>252</v>
      </c>
      <c r="B541" s="169"/>
      <c r="C541" s="169"/>
      <c r="D541" s="169"/>
      <c r="E541" s="169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267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299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8" t="s">
        <v>263</v>
      </c>
      <c r="B554" s="168"/>
      <c r="C554" s="168"/>
      <c r="D554" s="168"/>
      <c r="E554" s="168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264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262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299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262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265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262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300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262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262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301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262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262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302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262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262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262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262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262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8" t="s">
        <v>266</v>
      </c>
      <c r="B567" s="168"/>
      <c r="C567" s="168"/>
      <c r="D567" s="168"/>
      <c r="E567" s="168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264</v>
      </c>
      <c r="O567" s="74">
        <v>1031030</v>
      </c>
    </row>
    <row r="568" spans="1:15" ht="18" customHeight="1">
      <c r="A568" s="169" t="s">
        <v>252</v>
      </c>
      <c r="B568" s="169"/>
      <c r="C568" s="169"/>
      <c r="D568" s="169"/>
      <c r="E568" s="169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267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262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262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262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217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303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262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262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262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262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262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262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262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262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262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8" t="s">
        <v>263</v>
      </c>
      <c r="B581" s="168"/>
      <c r="C581" s="168"/>
      <c r="D581" s="168"/>
      <c r="E581" s="168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264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262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304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262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>
        <v>0.29166666666666669</v>
      </c>
      <c r="M583" s="71">
        <f t="shared" ca="1" si="126"/>
        <v>7.2916666666666685E-2</v>
      </c>
      <c r="N583" s="80" t="s">
        <v>305</v>
      </c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262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262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262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262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262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262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262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262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262</v>
      </c>
      <c r="F592" s="63">
        <v>0</v>
      </c>
      <c r="G592" s="64">
        <f t="shared" si="125"/>
        <v>0</v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262</v>
      </c>
      <c r="F593" s="63">
        <v>0</v>
      </c>
      <c r="G593" s="69">
        <f t="shared" si="125"/>
        <v>0</v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8" t="s">
        <v>266</v>
      </c>
      <c r="B594" s="168"/>
      <c r="C594" s="168"/>
      <c r="D594" s="168"/>
      <c r="E594" s="168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0.1076388888888889</v>
      </c>
      <c r="N594" s="2" t="s">
        <v>264</v>
      </c>
      <c r="O594" s="74">
        <v>2100270</v>
      </c>
    </row>
    <row r="595" spans="1:15" ht="18" customHeight="1">
      <c r="A595" s="169" t="s">
        <v>252</v>
      </c>
      <c r="B595" s="169"/>
      <c r="C595" s="169"/>
      <c r="D595" s="169"/>
      <c r="E595" s="169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0.18472222222222218</v>
      </c>
      <c r="N595" s="1" t="s">
        <v>267</v>
      </c>
      <c r="O595" s="82">
        <f>IFERROR(O581+O594,"")</f>
        <v>4740440</v>
      </c>
    </row>
    <row r="596" spans="1:15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62" t="s">
        <v>262</v>
      </c>
      <c r="F596" s="63"/>
      <c r="G596" s="64" t="str">
        <f t="shared" ref="G596:G607" si="128">IF(F596="","",IF(E596="PC 17",F596*4.2,IF(E596="PC 19",F596*5,IF(E596="CB",F596*35,""))))</f>
        <v/>
      </c>
      <c r="H596" s="61" t="s">
        <v>27</v>
      </c>
      <c r="I596" s="61" t="s">
        <v>32</v>
      </c>
      <c r="J596" s="61" t="s">
        <v>43</v>
      </c>
      <c r="K596" s="65">
        <v>0.29166666666666669</v>
      </c>
      <c r="L596" s="65">
        <v>0.45277777777777778</v>
      </c>
      <c r="M596" s="66">
        <f t="shared" ref="M596:M607" ca="1" si="129">IFERROR(IF(K596="","",IF(L596="",MOD(NOW()-K596,1),IF(L596&gt;=K596,L596-K596,L596+1-K596))),"")</f>
        <v>0.16111111111111109</v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 t="s">
        <v>30</v>
      </c>
      <c r="D597" s="62" t="s">
        <v>31</v>
      </c>
      <c r="E597" s="62" t="s">
        <v>262</v>
      </c>
      <c r="F597" s="63"/>
      <c r="G597" s="69" t="str">
        <f t="shared" si="128"/>
        <v/>
      </c>
      <c r="H597" s="70"/>
      <c r="I597" s="70"/>
      <c r="J597" s="70"/>
      <c r="K597" s="65">
        <v>0.50347222222222221</v>
      </c>
      <c r="L597" s="65">
        <v>0.625</v>
      </c>
      <c r="M597" s="71">
        <f t="shared" ca="1" si="129"/>
        <v>0.12152777777777779</v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 t="s">
        <v>30</v>
      </c>
      <c r="D598" s="62" t="s">
        <v>31</v>
      </c>
      <c r="E598" s="62" t="s">
        <v>262</v>
      </c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 t="s">
        <v>30</v>
      </c>
      <c r="D599" s="62" t="s">
        <v>31</v>
      </c>
      <c r="E599" s="62" t="s">
        <v>262</v>
      </c>
      <c r="F599" s="63">
        <v>20</v>
      </c>
      <c r="G599" s="69">
        <f t="shared" si="128"/>
        <v>100</v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 t="s">
        <v>30</v>
      </c>
      <c r="D600" s="62" t="s">
        <v>31</v>
      </c>
      <c r="E600" s="62" t="s">
        <v>262</v>
      </c>
      <c r="F600" s="63">
        <v>23</v>
      </c>
      <c r="G600" s="64">
        <f t="shared" si="128"/>
        <v>115</v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 t="s">
        <v>30</v>
      </c>
      <c r="D601" s="62" t="s">
        <v>31</v>
      </c>
      <c r="E601" s="62" t="s">
        <v>262</v>
      </c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 t="s">
        <v>30</v>
      </c>
      <c r="D602" s="62" t="s">
        <v>31</v>
      </c>
      <c r="E602" s="62" t="s">
        <v>262</v>
      </c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 t="s">
        <v>30</v>
      </c>
      <c r="D603" s="62" t="s">
        <v>31</v>
      </c>
      <c r="E603" s="62" t="s">
        <v>262</v>
      </c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 t="s">
        <v>30</v>
      </c>
      <c r="D604" s="62" t="s">
        <v>31</v>
      </c>
      <c r="E604" s="62" t="s">
        <v>262</v>
      </c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 t="s">
        <v>30</v>
      </c>
      <c r="D605" s="62" t="s">
        <v>31</v>
      </c>
      <c r="E605" s="62" t="s">
        <v>262</v>
      </c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 t="s">
        <v>30</v>
      </c>
      <c r="D606" s="62" t="s">
        <v>31</v>
      </c>
      <c r="E606" s="62" t="s">
        <v>262</v>
      </c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 t="s">
        <v>30</v>
      </c>
      <c r="D607" s="62" t="s">
        <v>31</v>
      </c>
      <c r="E607" s="62" t="s">
        <v>262</v>
      </c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8" t="s">
        <v>263</v>
      </c>
      <c r="B608" s="168"/>
      <c r="C608" s="168"/>
      <c r="D608" s="168"/>
      <c r="E608" s="168"/>
      <c r="F608" s="2">
        <f>SUM(F596:F607)</f>
        <v>43</v>
      </c>
      <c r="G608" s="2">
        <f>SUM(G596:G607)</f>
        <v>215</v>
      </c>
      <c r="H608" s="72"/>
      <c r="I608" s="72"/>
      <c r="J608" s="72"/>
      <c r="K608" s="72"/>
      <c r="L608" s="72"/>
      <c r="M608" s="73">
        <f ca="1">IFERROR(SUM(M596:M607),"")</f>
        <v>0.28263888888888888</v>
      </c>
      <c r="N608" s="2" t="s">
        <v>264</v>
      </c>
      <c r="O608" s="74">
        <f>18310+1107750</f>
        <v>1126060</v>
      </c>
    </row>
    <row r="609" spans="1:15" ht="15" customHeight="1">
      <c r="A609" s="18">
        <v>46257</v>
      </c>
      <c r="B609" s="68">
        <v>0.83333333333333304</v>
      </c>
      <c r="C609" s="70" t="s">
        <v>38</v>
      </c>
      <c r="D609" s="158" t="s">
        <v>31</v>
      </c>
      <c r="E609" s="75" t="s">
        <v>262</v>
      </c>
      <c r="F609" s="63">
        <v>40</v>
      </c>
      <c r="G609" s="69">
        <f t="shared" ref="G609:G615" si="131">IF(F609="","",IF(E609="PC 17",F609*4.2,IF(E609="PC 19",F609*5,IF(E609="CB",F609*35,""))))</f>
        <v>200</v>
      </c>
      <c r="H609" s="70" t="s">
        <v>29</v>
      </c>
      <c r="I609" s="70" t="s">
        <v>32</v>
      </c>
      <c r="J609" s="70" t="s">
        <v>187</v>
      </c>
      <c r="K609" s="65">
        <v>0.84652777777777777</v>
      </c>
      <c r="L609" s="65">
        <v>0.89027777777777772</v>
      </c>
      <c r="M609" s="71">
        <f t="shared" ref="M609:M620" ca="1" si="132">IFERROR(IF(K609="","",IF(L609="",MOD(NOW()-K609,1),IF(L609&gt;=K609,L609-K609,L609+1-K609))),"")</f>
        <v>4.3749999999999956E-2</v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 t="s">
        <v>38</v>
      </c>
      <c r="D610" s="158" t="s">
        <v>31</v>
      </c>
      <c r="E610" s="75" t="s">
        <v>262</v>
      </c>
      <c r="F610" s="63">
        <v>29</v>
      </c>
      <c r="G610" s="64">
        <f t="shared" si="131"/>
        <v>145</v>
      </c>
      <c r="H610" s="61" t="s">
        <v>27</v>
      </c>
      <c r="I610" s="61" t="s">
        <v>32</v>
      </c>
      <c r="J610" s="61" t="s">
        <v>52</v>
      </c>
      <c r="K610" s="65">
        <v>0.24097222222222223</v>
      </c>
      <c r="L610" s="65">
        <v>0.2722222222222222</v>
      </c>
      <c r="M610" s="66">
        <f t="shared" ca="1" si="132"/>
        <v>3.1249999999999972E-2</v>
      </c>
      <c r="N610" s="80" t="s">
        <v>306</v>
      </c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 t="s">
        <v>38</v>
      </c>
      <c r="D611" s="158" t="s">
        <v>31</v>
      </c>
      <c r="E611" s="75" t="s">
        <v>262</v>
      </c>
      <c r="F611" s="63">
        <v>55</v>
      </c>
      <c r="G611" s="69">
        <f t="shared" si="131"/>
        <v>275</v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 t="s">
        <v>38</v>
      </c>
      <c r="D612" s="158" t="s">
        <v>31</v>
      </c>
      <c r="E612" s="75" t="s">
        <v>262</v>
      </c>
      <c r="F612" s="63">
        <v>38</v>
      </c>
      <c r="G612" s="64">
        <f t="shared" si="131"/>
        <v>190</v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 t="s">
        <v>38</v>
      </c>
      <c r="D613" s="158" t="s">
        <v>31</v>
      </c>
      <c r="E613" s="75" t="s">
        <v>262</v>
      </c>
      <c r="F613" s="63">
        <v>30</v>
      </c>
      <c r="G613" s="69">
        <f t="shared" si="131"/>
        <v>150</v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 t="s">
        <v>38</v>
      </c>
      <c r="D614" s="158" t="s">
        <v>31</v>
      </c>
      <c r="E614" s="75" t="s">
        <v>262</v>
      </c>
      <c r="F614" s="63">
        <v>33</v>
      </c>
      <c r="G614" s="64">
        <f t="shared" si="131"/>
        <v>165</v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 t="s">
        <v>38</v>
      </c>
      <c r="D615" s="158" t="s">
        <v>31</v>
      </c>
      <c r="E615" s="75" t="s">
        <v>262</v>
      </c>
      <c r="F615" s="63">
        <v>47</v>
      </c>
      <c r="G615" s="69">
        <f t="shared" si="131"/>
        <v>235</v>
      </c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 t="s">
        <v>38</v>
      </c>
      <c r="D616" s="158" t="s">
        <v>31</v>
      </c>
      <c r="E616" s="75" t="s">
        <v>262</v>
      </c>
      <c r="F616" s="63">
        <v>36</v>
      </c>
      <c r="G616" s="64">
        <f>IF(F616="","",IF(E616="PC 17",F616*4.2,IF(E616="PC 19",F616*5,IF(E616="CB",F616*35,""))))</f>
        <v>180</v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 t="s">
        <v>38</v>
      </c>
      <c r="D617" s="158" t="s">
        <v>31</v>
      </c>
      <c r="E617" s="75" t="s">
        <v>262</v>
      </c>
      <c r="F617" s="63">
        <v>40</v>
      </c>
      <c r="G617" s="69">
        <f>IF(F617="","",IF(E617="PC 17",F617*4.2,IF(E617="PC 19",F617*5,IF(E617="CB",F617*35,""))))</f>
        <v>200</v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 t="s">
        <v>38</v>
      </c>
      <c r="D618" s="158" t="s">
        <v>31</v>
      </c>
      <c r="E618" s="75" t="s">
        <v>262</v>
      </c>
      <c r="F618" s="63">
        <v>50</v>
      </c>
      <c r="G618" s="64">
        <f>IF(F618="","",IF(E618="PC 17",F618*4.2,IF(E618="PC 19",F618*5,IF(E618="CB",F618*35,""))))</f>
        <v>250</v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 t="s">
        <v>38</v>
      </c>
      <c r="D619" s="158" t="s">
        <v>31</v>
      </c>
      <c r="E619" s="75" t="s">
        <v>262</v>
      </c>
      <c r="F619" s="63">
        <v>0</v>
      </c>
      <c r="G619" s="69">
        <f>IF(F619="","",IF(E619="PC 17",F619*4.2,IF(E619="PC 19",F619*5,IF(E619="CB",F619*35,""))))</f>
        <v>0</v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 t="s">
        <v>38</v>
      </c>
      <c r="D620" s="158" t="s">
        <v>31</v>
      </c>
      <c r="E620" s="75" t="s">
        <v>262</v>
      </c>
      <c r="F620" s="63">
        <v>9</v>
      </c>
      <c r="G620" s="64">
        <f>IF(F620="","",IF(E620="PC 17",F620*4.2,IF(E620="PC 19",F620*5,IF(E620="CB",F620*35,""))))</f>
        <v>45</v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8" t="s">
        <v>266</v>
      </c>
      <c r="B621" s="168"/>
      <c r="C621" s="168"/>
      <c r="D621" s="168"/>
      <c r="E621" s="168"/>
      <c r="F621" s="2">
        <f>SUM(F609:F620)</f>
        <v>407</v>
      </c>
      <c r="G621" s="2">
        <f>SUM(G609:G620)</f>
        <v>2035</v>
      </c>
      <c r="H621" s="72"/>
      <c r="I621" s="72"/>
      <c r="J621" s="72"/>
      <c r="K621" s="72"/>
      <c r="L621" s="72"/>
      <c r="M621" s="73">
        <f ca="1">IFERROR(SUM(M609:M620),"")</f>
        <v>7.4999999999999928E-2</v>
      </c>
      <c r="N621" s="2" t="s">
        <v>264</v>
      </c>
      <c r="O621" s="74">
        <v>2354670</v>
      </c>
    </row>
    <row r="622" spans="1:15" ht="18" customHeight="1">
      <c r="A622" s="169" t="s">
        <v>252</v>
      </c>
      <c r="B622" s="169"/>
      <c r="C622" s="169"/>
      <c r="D622" s="169"/>
      <c r="E622" s="169"/>
      <c r="F622" s="1">
        <f>F608+F621</f>
        <v>450</v>
      </c>
      <c r="G622" s="1">
        <f>G608+G621</f>
        <v>2250</v>
      </c>
      <c r="H622" s="76"/>
      <c r="I622" s="76"/>
      <c r="J622" s="76"/>
      <c r="K622" s="76"/>
      <c r="L622" s="76"/>
      <c r="M622" s="77">
        <f ca="1">IFERROR(M608+M621,"")</f>
        <v>0.35763888888888884</v>
      </c>
      <c r="N622" s="1" t="s">
        <v>267</v>
      </c>
      <c r="O622" s="82">
        <f>IFERROR(O608+O621,"")</f>
        <v>3480730</v>
      </c>
    </row>
    <row r="623" spans="1:15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75" t="s">
        <v>262</v>
      </c>
      <c r="F623" s="63">
        <v>33</v>
      </c>
      <c r="G623" s="69">
        <f t="shared" ref="G623:G634" si="134">IF(F623="","",IF(E623="PC 17",F623*4.2,IF(E623="PC 19",F623*5,IF(E623="CB",F623*35,""))))</f>
        <v>165</v>
      </c>
      <c r="H623" s="70" t="s">
        <v>27</v>
      </c>
      <c r="I623" s="70" t="s">
        <v>183</v>
      </c>
      <c r="J623" s="70" t="s">
        <v>147</v>
      </c>
      <c r="K623" s="65">
        <v>0.43263888888888891</v>
      </c>
      <c r="L623" s="65">
        <v>0.4548611111111111</v>
      </c>
      <c r="M623" s="71">
        <f t="shared" ref="M623:M634" ca="1" si="135">IFERROR(IF(K623="","",IF(L623="",MOD(NOW()-K623,1),IF(L623&gt;=K623,L623-K623,L623+1-K623))),"")</f>
        <v>2.2222222222222199E-2</v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 t="s">
        <v>30</v>
      </c>
      <c r="D624" s="75" t="s">
        <v>31</v>
      </c>
      <c r="E624" s="75" t="s">
        <v>262</v>
      </c>
      <c r="F624" s="63">
        <v>34</v>
      </c>
      <c r="G624" s="64">
        <f t="shared" si="134"/>
        <v>170</v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 t="s">
        <v>30</v>
      </c>
      <c r="D625" s="75" t="s">
        <v>31</v>
      </c>
      <c r="E625" s="75" t="s">
        <v>262</v>
      </c>
      <c r="F625" s="63">
        <v>31</v>
      </c>
      <c r="G625" s="69">
        <f t="shared" si="134"/>
        <v>155</v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 t="s">
        <v>30</v>
      </c>
      <c r="D626" s="75" t="s">
        <v>31</v>
      </c>
      <c r="E626" s="75" t="s">
        <v>262</v>
      </c>
      <c r="F626" s="63">
        <v>13</v>
      </c>
      <c r="G626" s="64">
        <f t="shared" si="134"/>
        <v>65</v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 t="s">
        <v>30</v>
      </c>
      <c r="D627" s="75" t="s">
        <v>31</v>
      </c>
      <c r="E627" s="75" t="s">
        <v>262</v>
      </c>
      <c r="F627" s="63">
        <v>29</v>
      </c>
      <c r="G627" s="69">
        <f t="shared" si="134"/>
        <v>145</v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 t="s">
        <v>30</v>
      </c>
      <c r="D628" s="75" t="s">
        <v>31</v>
      </c>
      <c r="E628" s="75" t="s">
        <v>262</v>
      </c>
      <c r="F628" s="63">
        <v>42</v>
      </c>
      <c r="G628" s="64">
        <f t="shared" si="134"/>
        <v>210</v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 t="s">
        <v>30</v>
      </c>
      <c r="D629" s="75" t="s">
        <v>31</v>
      </c>
      <c r="E629" s="75" t="s">
        <v>262</v>
      </c>
      <c r="F629" s="63">
        <v>36</v>
      </c>
      <c r="G629" s="69">
        <f t="shared" si="134"/>
        <v>180</v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 t="s">
        <v>30</v>
      </c>
      <c r="D630" s="75" t="s">
        <v>31</v>
      </c>
      <c r="E630" s="75" t="s">
        <v>262</v>
      </c>
      <c r="F630" s="63">
        <v>26</v>
      </c>
      <c r="G630" s="64">
        <f t="shared" si="134"/>
        <v>130</v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 t="s">
        <v>30</v>
      </c>
      <c r="D631" s="75" t="s">
        <v>31</v>
      </c>
      <c r="E631" s="75" t="s">
        <v>262</v>
      </c>
      <c r="F631" s="63">
        <v>40</v>
      </c>
      <c r="G631" s="69">
        <f t="shared" si="134"/>
        <v>200</v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 t="s">
        <v>30</v>
      </c>
      <c r="D632" s="75" t="s">
        <v>31</v>
      </c>
      <c r="E632" s="75" t="s">
        <v>262</v>
      </c>
      <c r="F632" s="63">
        <v>45</v>
      </c>
      <c r="G632" s="64">
        <f t="shared" si="134"/>
        <v>225</v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 t="s">
        <v>30</v>
      </c>
      <c r="D633" s="75" t="s">
        <v>31</v>
      </c>
      <c r="E633" s="75" t="s">
        <v>262</v>
      </c>
      <c r="F633" s="63">
        <v>50</v>
      </c>
      <c r="G633" s="69">
        <f t="shared" si="134"/>
        <v>250</v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 t="s">
        <v>30</v>
      </c>
      <c r="D634" s="75" t="s">
        <v>31</v>
      </c>
      <c r="E634" s="75" t="s">
        <v>262</v>
      </c>
      <c r="F634" s="63">
        <v>27</v>
      </c>
      <c r="G634" s="64">
        <f t="shared" si="134"/>
        <v>135</v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8" t="s">
        <v>263</v>
      </c>
      <c r="B635" s="168"/>
      <c r="C635" s="168"/>
      <c r="D635" s="168"/>
      <c r="E635" s="168"/>
      <c r="F635" s="2">
        <f>SUM(F623:F634)</f>
        <v>406</v>
      </c>
      <c r="G635" s="2">
        <f>SUM(G623:G634)</f>
        <v>2030</v>
      </c>
      <c r="H635" s="72"/>
      <c r="I635" s="72"/>
      <c r="J635" s="72"/>
      <c r="K635" s="72"/>
      <c r="L635" s="72"/>
      <c r="M635" s="73">
        <f ca="1">IFERROR(SUM(M623:M634),"")</f>
        <v>2.2222222222222199E-2</v>
      </c>
      <c r="N635" s="2" t="s">
        <v>264</v>
      </c>
      <c r="O635" s="74">
        <v>2774540</v>
      </c>
    </row>
    <row r="636" spans="1:15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62" t="s">
        <v>262</v>
      </c>
      <c r="F636" s="63">
        <v>51</v>
      </c>
      <c r="G636" s="64">
        <f t="shared" ref="G636:G647" si="137">IF(F636="","",IF(E636="PC 17",F636*4.2,IF(E636="PC 19",F636*5,IF(E636="CB",F636*35,""))))</f>
        <v>255</v>
      </c>
      <c r="H636" s="61" t="s">
        <v>29</v>
      </c>
      <c r="I636" s="61" t="s">
        <v>32</v>
      </c>
      <c r="J636" s="61" t="s">
        <v>145</v>
      </c>
      <c r="K636" s="65">
        <v>0.99930555555555556</v>
      </c>
      <c r="L636" s="65">
        <v>7.013888888888889E-2</v>
      </c>
      <c r="M636" s="66">
        <f t="shared" ref="M636:M647" ca="1" si="138">IFERROR(IF(K636="","",IF(L636="",MOD(NOW()-K636,1),IF(L636&gt;=K636,L636-K636,L636+1-K636))),"")</f>
        <v>7.0833333333333415E-2</v>
      </c>
      <c r="N636" s="80" t="s">
        <v>307</v>
      </c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 t="s">
        <v>54</v>
      </c>
      <c r="D637" s="62" t="s">
        <v>31</v>
      </c>
      <c r="E637" s="62" t="s">
        <v>262</v>
      </c>
      <c r="F637" s="63">
        <v>26</v>
      </c>
      <c r="G637" s="69">
        <f t="shared" si="137"/>
        <v>130</v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 t="s">
        <v>54</v>
      </c>
      <c r="D638" s="62" t="s">
        <v>31</v>
      </c>
      <c r="E638" s="62" t="s">
        <v>262</v>
      </c>
      <c r="F638" s="63">
        <v>34</v>
      </c>
      <c r="G638" s="64">
        <f t="shared" si="137"/>
        <v>170</v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 t="s">
        <v>54</v>
      </c>
      <c r="D639" s="62" t="s">
        <v>31</v>
      </c>
      <c r="E639" s="62" t="s">
        <v>262</v>
      </c>
      <c r="F639" s="63">
        <v>50</v>
      </c>
      <c r="G639" s="69">
        <f t="shared" si="137"/>
        <v>250</v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 t="s">
        <v>54</v>
      </c>
      <c r="D640" s="62" t="s">
        <v>31</v>
      </c>
      <c r="E640" s="62" t="s">
        <v>262</v>
      </c>
      <c r="F640" s="63">
        <v>50</v>
      </c>
      <c r="G640" s="64">
        <f t="shared" si="137"/>
        <v>250</v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 t="s">
        <v>54</v>
      </c>
      <c r="D641" s="54" t="s">
        <v>31</v>
      </c>
      <c r="E641" s="62" t="s">
        <v>262</v>
      </c>
      <c r="F641" s="63">
        <v>20</v>
      </c>
      <c r="G641" s="69">
        <v>100</v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 t="s">
        <v>54</v>
      </c>
      <c r="D642" s="62" t="s">
        <v>31</v>
      </c>
      <c r="E642" s="62" t="s">
        <v>262</v>
      </c>
      <c r="F642" s="63">
        <v>0</v>
      </c>
      <c r="G642" s="64">
        <f t="shared" si="137"/>
        <v>0</v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 t="s">
        <v>54</v>
      </c>
      <c r="D643" s="62" t="s">
        <v>31</v>
      </c>
      <c r="E643" s="62" t="s">
        <v>262</v>
      </c>
      <c r="F643" s="63">
        <v>30</v>
      </c>
      <c r="G643" s="69">
        <f t="shared" si="137"/>
        <v>150</v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 t="s">
        <v>54</v>
      </c>
      <c r="D644" s="62" t="s">
        <v>31</v>
      </c>
      <c r="E644" s="62" t="s">
        <v>262</v>
      </c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 t="s">
        <v>54</v>
      </c>
      <c r="D645" s="62" t="s">
        <v>31</v>
      </c>
      <c r="E645" s="62" t="s">
        <v>262</v>
      </c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 t="s">
        <v>54</v>
      </c>
      <c r="D646" s="62" t="s">
        <v>31</v>
      </c>
      <c r="E646" s="62" t="s">
        <v>262</v>
      </c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 t="s">
        <v>54</v>
      </c>
      <c r="D647" s="62" t="s">
        <v>31</v>
      </c>
      <c r="E647" s="62" t="s">
        <v>262</v>
      </c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8" t="s">
        <v>266</v>
      </c>
      <c r="B648" s="168"/>
      <c r="C648" s="168"/>
      <c r="D648" s="168"/>
      <c r="E648" s="168"/>
      <c r="F648" s="2">
        <f>SUM(F636:F647)</f>
        <v>261</v>
      </c>
      <c r="G648" s="2">
        <f>SUM(G636:G647)</f>
        <v>1305</v>
      </c>
      <c r="H648" s="72"/>
      <c r="I648" s="72"/>
      <c r="J648" s="72"/>
      <c r="K648" s="72"/>
      <c r="L648" s="72"/>
      <c r="M648" s="73">
        <f ca="1">IFERROR(SUM(M636:M647),"")</f>
        <v>7.0833333333333415E-2</v>
      </c>
      <c r="N648" s="2" t="s">
        <v>264</v>
      </c>
      <c r="O648" s="74"/>
    </row>
    <row r="649" spans="1:15" ht="18" customHeight="1">
      <c r="A649" s="169" t="s">
        <v>252</v>
      </c>
      <c r="B649" s="169"/>
      <c r="C649" s="169"/>
      <c r="D649" s="169"/>
      <c r="E649" s="169"/>
      <c r="F649" s="1">
        <f>F635+F648</f>
        <v>667</v>
      </c>
      <c r="G649" s="1">
        <f>G635+G648</f>
        <v>3335</v>
      </c>
      <c r="H649" s="76"/>
      <c r="I649" s="76"/>
      <c r="J649" s="76"/>
      <c r="K649" s="76"/>
      <c r="L649" s="76"/>
      <c r="M649" s="77">
        <f ca="1">IFERROR(M635+M648,"")</f>
        <v>9.3055555555555614E-2</v>
      </c>
      <c r="N649" s="1" t="s">
        <v>267</v>
      </c>
      <c r="O649" s="82">
        <f>IFERROR(O635+O648,"")</f>
        <v>2774540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8" t="s">
        <v>263</v>
      </c>
      <c r="B662" s="168"/>
      <c r="C662" s="168"/>
      <c r="D662" s="168"/>
      <c r="E662" s="168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264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8" t="s">
        <v>266</v>
      </c>
      <c r="B675" s="168"/>
      <c r="C675" s="168"/>
      <c r="D675" s="168"/>
      <c r="E675" s="168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264</v>
      </c>
      <c r="O675" s="74"/>
    </row>
    <row r="676" spans="1:15" ht="18" customHeight="1">
      <c r="A676" s="169" t="s">
        <v>252</v>
      </c>
      <c r="B676" s="169"/>
      <c r="C676" s="169"/>
      <c r="D676" s="169"/>
      <c r="E676" s="169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267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8" t="s">
        <v>263</v>
      </c>
      <c r="B689" s="168"/>
      <c r="C689" s="168"/>
      <c r="D689" s="168"/>
      <c r="E689" s="168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264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8" t="s">
        <v>266</v>
      </c>
      <c r="B702" s="168"/>
      <c r="C702" s="168"/>
      <c r="D702" s="168"/>
      <c r="E702" s="168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264</v>
      </c>
      <c r="O702" s="74"/>
    </row>
    <row r="703" spans="1:15" ht="18" customHeight="1">
      <c r="A703" s="169" t="s">
        <v>252</v>
      </c>
      <c r="B703" s="169"/>
      <c r="C703" s="169"/>
      <c r="D703" s="169"/>
      <c r="E703" s="169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267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8" t="s">
        <v>263</v>
      </c>
      <c r="B716" s="168"/>
      <c r="C716" s="168"/>
      <c r="D716" s="168"/>
      <c r="E716" s="168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264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8" t="s">
        <v>266</v>
      </c>
      <c r="B729" s="168"/>
      <c r="C729" s="168"/>
      <c r="D729" s="168"/>
      <c r="E729" s="168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264</v>
      </c>
      <c r="O729" s="74"/>
    </row>
    <row r="730" spans="1:15" ht="18" customHeight="1">
      <c r="A730" s="169" t="s">
        <v>252</v>
      </c>
      <c r="B730" s="169"/>
      <c r="C730" s="169"/>
      <c r="D730" s="169"/>
      <c r="E730" s="169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267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8" t="s">
        <v>263</v>
      </c>
      <c r="B743" s="168"/>
      <c r="C743" s="168"/>
      <c r="D743" s="168"/>
      <c r="E743" s="168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264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8" t="s">
        <v>266</v>
      </c>
      <c r="B756" s="168"/>
      <c r="C756" s="168"/>
      <c r="D756" s="168"/>
      <c r="E756" s="168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264</v>
      </c>
      <c r="O756" s="74"/>
    </row>
    <row r="757" spans="1:15" ht="18" customHeight="1">
      <c r="A757" s="169" t="s">
        <v>252</v>
      </c>
      <c r="B757" s="169"/>
      <c r="C757" s="169"/>
      <c r="D757" s="169"/>
      <c r="E757" s="169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267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8" t="s">
        <v>263</v>
      </c>
      <c r="B770" s="168"/>
      <c r="C770" s="168"/>
      <c r="D770" s="168"/>
      <c r="E770" s="168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264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8" t="s">
        <v>266</v>
      </c>
      <c r="B783" s="168"/>
      <c r="C783" s="168"/>
      <c r="D783" s="168"/>
      <c r="E783" s="168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264</v>
      </c>
      <c r="O783" s="74"/>
    </row>
    <row r="784" spans="1:15" ht="18" customHeight="1">
      <c r="A784" s="169" t="s">
        <v>252</v>
      </c>
      <c r="B784" s="169"/>
      <c r="C784" s="169"/>
      <c r="D784" s="169"/>
      <c r="E784" s="169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267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8" t="s">
        <v>263</v>
      </c>
      <c r="B797" s="168"/>
      <c r="C797" s="168"/>
      <c r="D797" s="168"/>
      <c r="E797" s="168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264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8" t="s">
        <v>266</v>
      </c>
      <c r="B810" s="168"/>
      <c r="C810" s="168"/>
      <c r="D810" s="168"/>
      <c r="E810" s="168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264</v>
      </c>
      <c r="O810" s="74"/>
    </row>
    <row r="811" spans="1:15" ht="18" customHeight="1">
      <c r="A811" s="169" t="s">
        <v>252</v>
      </c>
      <c r="B811" s="169"/>
      <c r="C811" s="169"/>
      <c r="D811" s="169"/>
      <c r="E811" s="169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267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8" t="s">
        <v>263</v>
      </c>
      <c r="B824" s="168"/>
      <c r="C824" s="168"/>
      <c r="D824" s="168"/>
      <c r="E824" s="168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264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8" t="s">
        <v>266</v>
      </c>
      <c r="B837" s="168"/>
      <c r="C837" s="168"/>
      <c r="D837" s="168"/>
      <c r="E837" s="168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264</v>
      </c>
      <c r="O837" s="74"/>
    </row>
    <row r="838" spans="1:15" ht="18" customHeight="1">
      <c r="A838" s="169" t="s">
        <v>252</v>
      </c>
      <c r="B838" s="169"/>
      <c r="C838" s="169"/>
      <c r="D838" s="169"/>
      <c r="E838" s="169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267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08" activePane="bottomLeft" state="frozen"/>
      <selection pane="bottomLeft" activeCell="G644" sqref="G644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308</v>
      </c>
      <c r="I1" s="86" t="s">
        <v>22</v>
      </c>
      <c r="J1" s="86" t="s">
        <v>309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310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311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312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9" t="s">
        <v>263</v>
      </c>
      <c r="B14" s="159"/>
      <c r="C14" s="159"/>
      <c r="D14" s="159"/>
      <c r="E14" s="159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264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277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277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277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277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277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277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314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277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277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277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277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277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277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9" t="s">
        <v>266</v>
      </c>
      <c r="B27" s="159"/>
      <c r="C27" s="159"/>
      <c r="D27" s="159"/>
      <c r="E27" s="159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264</v>
      </c>
      <c r="S27" s="74">
        <v>549860</v>
      </c>
      <c r="T27" s="99"/>
    </row>
    <row r="28" spans="1:20" ht="18" customHeight="1">
      <c r="A28" s="160" t="s">
        <v>252</v>
      </c>
      <c r="B28" s="160"/>
      <c r="C28" s="160"/>
      <c r="D28" s="160"/>
      <c r="E28" s="160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267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277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277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277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277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277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277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277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277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277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277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277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277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9" t="s">
        <v>263</v>
      </c>
      <c r="B41" s="159"/>
      <c r="C41" s="159"/>
      <c r="D41" s="159"/>
      <c r="E41" s="159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264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315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316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317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4.5225694411783479E-3</v>
      </c>
      <c r="R53" s="80" t="s">
        <v>318</v>
      </c>
      <c r="S53" s="67"/>
    </row>
    <row r="54" spans="1:20" ht="15.75" customHeight="1">
      <c r="A54" s="159" t="s">
        <v>266</v>
      </c>
      <c r="B54" s="159"/>
      <c r="C54" s="159"/>
      <c r="D54" s="159"/>
      <c r="E54" s="159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0.14341145833006608</v>
      </c>
      <c r="R54" s="2" t="s">
        <v>264</v>
      </c>
      <c r="S54" s="113">
        <v>352430</v>
      </c>
      <c r="T54" s="114"/>
    </row>
    <row r="55" spans="1:20" ht="18" customHeight="1">
      <c r="A55" s="160" t="s">
        <v>252</v>
      </c>
      <c r="B55" s="160"/>
      <c r="C55" s="160"/>
      <c r="D55" s="160"/>
      <c r="E55" s="160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0.22813368055228889</v>
      </c>
      <c r="R55" s="1" t="s">
        <v>267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277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277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277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277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277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277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310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277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277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277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277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9" t="s">
        <v>263</v>
      </c>
      <c r="B68" s="159"/>
      <c r="C68" s="159"/>
      <c r="D68" s="159"/>
      <c r="E68" s="159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264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199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214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319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277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277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9" t="s">
        <v>266</v>
      </c>
      <c r="B81" s="159"/>
      <c r="C81" s="159"/>
      <c r="D81" s="159"/>
      <c r="E81" s="159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264</v>
      </c>
      <c r="S81" s="115">
        <v>634210</v>
      </c>
      <c r="T81" s="116"/>
    </row>
    <row r="82" spans="1:20" ht="18" customHeight="1">
      <c r="A82" s="160" t="s">
        <v>252</v>
      </c>
      <c r="B82" s="160"/>
      <c r="C82" s="160"/>
      <c r="D82" s="160"/>
      <c r="E82" s="160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267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277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226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9" t="s">
        <v>263</v>
      </c>
      <c r="B95" s="159"/>
      <c r="C95" s="159"/>
      <c r="D95" s="159"/>
      <c r="E95" s="159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264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320</v>
      </c>
      <c r="Q96" s="66" t="str">
        <f t="shared" ref="Q96:Q107" ca="1" si="22">IFERROR(IF(O96="","",IF(P96="",MOD(NOW()-O96,1),IF(P96&gt;=O96,P96-O96,P96+1-O96))),"")</f>
        <v/>
      </c>
      <c r="R96" s="80" t="s">
        <v>321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322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197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323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265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9" t="s">
        <v>266</v>
      </c>
      <c r="B108" s="159"/>
      <c r="C108" s="159"/>
      <c r="D108" s="159"/>
      <c r="E108" s="159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264</v>
      </c>
      <c r="S108" s="115">
        <v>456830</v>
      </c>
      <c r="T108" s="116"/>
    </row>
    <row r="109" spans="1:20" ht="18" customHeight="1">
      <c r="A109" s="160" t="s">
        <v>252</v>
      </c>
      <c r="B109" s="160"/>
      <c r="C109" s="160"/>
      <c r="D109" s="160"/>
      <c r="E109" s="160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267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324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9" t="s">
        <v>263</v>
      </c>
      <c r="B122" s="159"/>
      <c r="C122" s="159"/>
      <c r="D122" s="159"/>
      <c r="E122" s="159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264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9" t="s">
        <v>266</v>
      </c>
      <c r="B135" s="159"/>
      <c r="C135" s="159"/>
      <c r="D135" s="159"/>
      <c r="E135" s="159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264</v>
      </c>
      <c r="S135" s="115">
        <v>756720</v>
      </c>
      <c r="T135" s="116"/>
    </row>
    <row r="136" spans="1:20" ht="18" customHeight="1">
      <c r="A136" s="160" t="s">
        <v>252</v>
      </c>
      <c r="B136" s="160"/>
      <c r="C136" s="160"/>
      <c r="D136" s="160"/>
      <c r="E136" s="160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267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325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326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327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9" t="s">
        <v>263</v>
      </c>
      <c r="B149" s="159"/>
      <c r="C149" s="159"/>
      <c r="D149" s="159"/>
      <c r="E149" s="159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264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9" t="s">
        <v>266</v>
      </c>
      <c r="B162" s="159"/>
      <c r="C162" s="159"/>
      <c r="D162" s="159"/>
      <c r="E162" s="159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264</v>
      </c>
      <c r="S162" s="115">
        <v>501750</v>
      </c>
      <c r="T162" s="116"/>
    </row>
    <row r="163" spans="1:20" ht="18" customHeight="1">
      <c r="A163" s="160" t="s">
        <v>252</v>
      </c>
      <c r="B163" s="160"/>
      <c r="C163" s="160"/>
      <c r="D163" s="160"/>
      <c r="E163" s="160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267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277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277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277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277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277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277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277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277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277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277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277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9" t="s">
        <v>263</v>
      </c>
      <c r="B176" s="159"/>
      <c r="C176" s="159"/>
      <c r="D176" s="159"/>
      <c r="E176" s="159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264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277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277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329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277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330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277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277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277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9" t="s">
        <v>266</v>
      </c>
      <c r="B189" s="159"/>
      <c r="C189" s="159"/>
      <c r="D189" s="159"/>
      <c r="E189" s="159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264</v>
      </c>
      <c r="S189" s="74">
        <v>362530</v>
      </c>
      <c r="T189" s="99"/>
    </row>
    <row r="190" spans="1:20" ht="18" customHeight="1">
      <c r="A190" s="160" t="s">
        <v>252</v>
      </c>
      <c r="B190" s="160"/>
      <c r="C190" s="160"/>
      <c r="D190" s="160"/>
      <c r="E190" s="160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267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331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195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195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324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9" t="s">
        <v>263</v>
      </c>
      <c r="B203" s="159"/>
      <c r="C203" s="159"/>
      <c r="D203" s="159"/>
      <c r="E203" s="159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264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9" t="s">
        <v>266</v>
      </c>
      <c r="B216" s="159"/>
      <c r="C216" s="159"/>
      <c r="D216" s="159"/>
      <c r="E216" s="159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264</v>
      </c>
      <c r="S216" s="74">
        <v>609740</v>
      </c>
      <c r="T216" s="99"/>
    </row>
    <row r="217" spans="1:20" ht="18" customHeight="1">
      <c r="A217" s="160" t="s">
        <v>252</v>
      </c>
      <c r="B217" s="160"/>
      <c r="C217" s="160"/>
      <c r="D217" s="160"/>
      <c r="E217" s="160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267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184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319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265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332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333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334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9" t="s">
        <v>263</v>
      </c>
      <c r="B230" s="159"/>
      <c r="C230" s="159"/>
      <c r="D230" s="159"/>
      <c r="E230" s="159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264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265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9" t="s">
        <v>266</v>
      </c>
      <c r="B243" s="159"/>
      <c r="C243" s="159"/>
      <c r="D243" s="159"/>
      <c r="E243" s="159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264</v>
      </c>
      <c r="S243" s="74">
        <v>825930</v>
      </c>
      <c r="T243" s="99"/>
    </row>
    <row r="244" spans="1:20" ht="18" customHeight="1">
      <c r="A244" s="160" t="s">
        <v>252</v>
      </c>
      <c r="B244" s="160"/>
      <c r="C244" s="160"/>
      <c r="D244" s="160"/>
      <c r="E244" s="160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267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277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277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9" t="s">
        <v>263</v>
      </c>
      <c r="B257" s="159"/>
      <c r="C257" s="159"/>
      <c r="D257" s="159"/>
      <c r="E257" s="159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264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277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277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277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277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277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277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277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277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277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277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277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277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9" t="s">
        <v>266</v>
      </c>
      <c r="B270" s="159"/>
      <c r="C270" s="159"/>
      <c r="D270" s="159"/>
      <c r="E270" s="159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264</v>
      </c>
      <c r="S270" s="74">
        <v>732130</v>
      </c>
      <c r="T270" s="99"/>
    </row>
    <row r="271" spans="1:20" ht="18" customHeight="1">
      <c r="A271" s="160" t="s">
        <v>252</v>
      </c>
      <c r="B271" s="160"/>
      <c r="C271" s="160"/>
      <c r="D271" s="160"/>
      <c r="E271" s="160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267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277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277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277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277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262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277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9" t="s">
        <v>263</v>
      </c>
      <c r="B284" s="159"/>
      <c r="C284" s="159"/>
      <c r="D284" s="159"/>
      <c r="E284" s="159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264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262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262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277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277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262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262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262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262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262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262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262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262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9" t="s">
        <v>266</v>
      </c>
      <c r="B297" s="159"/>
      <c r="C297" s="159"/>
      <c r="D297" s="159"/>
      <c r="E297" s="159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264</v>
      </c>
      <c r="S297" s="74">
        <v>990260</v>
      </c>
      <c r="T297" s="99"/>
    </row>
    <row r="298" spans="1:20" ht="18" customHeight="1">
      <c r="A298" s="160" t="s">
        <v>252</v>
      </c>
      <c r="B298" s="160"/>
      <c r="C298" s="160"/>
      <c r="D298" s="160"/>
      <c r="E298" s="160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267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277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277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277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277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277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277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277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277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277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277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277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277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9" t="s">
        <v>263</v>
      </c>
      <c r="B311" s="159"/>
      <c r="C311" s="159"/>
      <c r="D311" s="159"/>
      <c r="E311" s="159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264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277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277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277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277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277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277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277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277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277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277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277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277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9" t="s">
        <v>266</v>
      </c>
      <c r="B324" s="159"/>
      <c r="C324" s="159"/>
      <c r="D324" s="159"/>
      <c r="E324" s="159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264</v>
      </c>
      <c r="S324" s="74">
        <v>725030</v>
      </c>
      <c r="T324" s="99">
        <f>IFERROR(J324,"")</f>
        <v>104.40432</v>
      </c>
    </row>
    <row r="325" spans="1:20" ht="18" customHeight="1">
      <c r="A325" s="160" t="s">
        <v>252</v>
      </c>
      <c r="B325" s="160"/>
      <c r="C325" s="160"/>
      <c r="D325" s="160"/>
      <c r="E325" s="160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267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335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336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337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262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262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338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184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339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9" t="s">
        <v>263</v>
      </c>
      <c r="B338" s="159"/>
      <c r="C338" s="159"/>
      <c r="D338" s="159"/>
      <c r="E338" s="159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264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331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210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326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9" t="s">
        <v>266</v>
      </c>
      <c r="B351" s="159"/>
      <c r="C351" s="159"/>
      <c r="D351" s="159"/>
      <c r="E351" s="159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264</v>
      </c>
      <c r="S351" s="74">
        <v>712170</v>
      </c>
      <c r="T351" s="99">
        <f>IFERROR(J351,"")</f>
        <v>149.5557</v>
      </c>
    </row>
    <row r="352" spans="1:20" ht="18" customHeight="1">
      <c r="A352" s="160" t="s">
        <v>252</v>
      </c>
      <c r="B352" s="160"/>
      <c r="C352" s="160"/>
      <c r="D352" s="160"/>
      <c r="E352" s="160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267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319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9" t="s">
        <v>263</v>
      </c>
      <c r="B365" s="159"/>
      <c r="C365" s="159"/>
      <c r="D365" s="159"/>
      <c r="E365" s="159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264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340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9" t="s">
        <v>266</v>
      </c>
      <c r="B378" s="159"/>
      <c r="C378" s="159"/>
      <c r="D378" s="159"/>
      <c r="E378" s="159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264</v>
      </c>
      <c r="S378" s="74">
        <v>806300</v>
      </c>
      <c r="T378" s="99">
        <f>IFERROR(J378,"")</f>
        <v>169.32299999999998</v>
      </c>
    </row>
    <row r="379" spans="1:20" ht="18" customHeight="1">
      <c r="A379" s="160" t="s">
        <v>252</v>
      </c>
      <c r="B379" s="160"/>
      <c r="C379" s="160"/>
      <c r="D379" s="160"/>
      <c r="E379" s="160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267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277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277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341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9" t="s">
        <v>263</v>
      </c>
      <c r="B392" s="159"/>
      <c r="C392" s="159"/>
      <c r="D392" s="159"/>
      <c r="E392" s="159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264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342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9" t="s">
        <v>266</v>
      </c>
      <c r="B405" s="159"/>
      <c r="C405" s="159"/>
      <c r="D405" s="159"/>
      <c r="E405" s="159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264</v>
      </c>
      <c r="S405" s="74">
        <v>774540</v>
      </c>
      <c r="T405" s="99">
        <f>IFERROR(J405,"")</f>
        <v>156.22852721311477</v>
      </c>
    </row>
    <row r="406" spans="1:20" ht="18" customHeight="1">
      <c r="A406" s="160" t="s">
        <v>252</v>
      </c>
      <c r="B406" s="160"/>
      <c r="C406" s="160"/>
      <c r="D406" s="160"/>
      <c r="E406" s="160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267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9" t="s">
        <v>263</v>
      </c>
      <c r="B419" s="159"/>
      <c r="C419" s="159"/>
      <c r="D419" s="159"/>
      <c r="E419" s="159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264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343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266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264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252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267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277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344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277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9" t="s">
        <v>263</v>
      </c>
      <c r="B446" s="159"/>
      <c r="C446" s="159"/>
      <c r="D446" s="159"/>
      <c r="E446" s="159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264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223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262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345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346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9" t="s">
        <v>266</v>
      </c>
      <c r="B459" s="159"/>
      <c r="C459" s="159"/>
      <c r="D459" s="159"/>
      <c r="E459" s="159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264</v>
      </c>
      <c r="S459" s="74">
        <v>738730</v>
      </c>
      <c r="T459" s="99">
        <f>IFERROR(J459,"")</f>
        <v>144.10511642857142</v>
      </c>
    </row>
    <row r="460" spans="1:20" ht="18" customHeight="1">
      <c r="A460" s="160" t="s">
        <v>252</v>
      </c>
      <c r="B460" s="160"/>
      <c r="C460" s="160"/>
      <c r="D460" s="160"/>
      <c r="E460" s="160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267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347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9" t="s">
        <v>263</v>
      </c>
      <c r="B473" s="159"/>
      <c r="C473" s="159"/>
      <c r="D473" s="159"/>
      <c r="E473" s="159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264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348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196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349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220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9" t="s">
        <v>266</v>
      </c>
      <c r="B486" s="159"/>
      <c r="C486" s="159"/>
      <c r="D486" s="159"/>
      <c r="E486" s="159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264</v>
      </c>
      <c r="S486" s="74">
        <v>617620</v>
      </c>
      <c r="T486" s="99">
        <f>IFERROR(J486,"")</f>
        <v>88.937280000000001</v>
      </c>
    </row>
    <row r="487" spans="1:20" ht="18" customHeight="1">
      <c r="A487" s="160" t="s">
        <v>252</v>
      </c>
      <c r="B487" s="160"/>
      <c r="C487" s="160"/>
      <c r="D487" s="160"/>
      <c r="E487" s="160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267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185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326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294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277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9" t="s">
        <v>263</v>
      </c>
      <c r="B500" s="159"/>
      <c r="C500" s="159"/>
      <c r="D500" s="159"/>
      <c r="E500" s="159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264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220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277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266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264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252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267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9" t="s">
        <v>263</v>
      </c>
      <c r="B527" s="159"/>
      <c r="C527" s="159"/>
      <c r="D527" s="159"/>
      <c r="E527" s="159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264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277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262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350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351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9" t="s">
        <v>266</v>
      </c>
      <c r="B540" s="159"/>
      <c r="C540" s="159"/>
      <c r="D540" s="159"/>
      <c r="E540" s="159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264</v>
      </c>
      <c r="S540" s="74">
        <v>399600</v>
      </c>
      <c r="T540" s="99">
        <f>IFERROR(J540,"")</f>
        <v>64.532992771084338</v>
      </c>
    </row>
    <row r="541" spans="1:20" ht="18" customHeight="1">
      <c r="A541" s="160" t="s">
        <v>252</v>
      </c>
      <c r="B541" s="160"/>
      <c r="C541" s="160"/>
      <c r="D541" s="160"/>
      <c r="E541" s="160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267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9" t="s">
        <v>263</v>
      </c>
      <c r="B554" s="159"/>
      <c r="C554" s="159"/>
      <c r="D554" s="159"/>
      <c r="E554" s="159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264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352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277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277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277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9" t="s">
        <v>266</v>
      </c>
      <c r="B567" s="159"/>
      <c r="C567" s="159"/>
      <c r="D567" s="159"/>
      <c r="E567" s="159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264</v>
      </c>
      <c r="S567" s="74">
        <v>0</v>
      </c>
      <c r="T567" s="99">
        <f>IFERROR(J567,"")</f>
        <v>0</v>
      </c>
    </row>
    <row r="568" spans="1:20" ht="18" customHeight="1">
      <c r="A568" s="160" t="s">
        <v>252</v>
      </c>
      <c r="B568" s="160"/>
      <c r="C568" s="160"/>
      <c r="D568" s="160"/>
      <c r="E568" s="160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267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277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9" t="s">
        <v>263</v>
      </c>
      <c r="B581" s="159"/>
      <c r="C581" s="159"/>
      <c r="D581" s="159"/>
      <c r="E581" s="159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264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24.771235955056181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5.2019595505617975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24.771235955056181</v>
      </c>
      <c r="I583" s="90">
        <f>IFERROR(IF($D583="","",VLOOKUP($D583,Cadastro!$C$4:$G$7,5,FALSE())),"")</f>
        <v>0.6</v>
      </c>
      <c r="J583" s="91">
        <f t="shared" si="150"/>
        <v>5.2019595505617975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142.43460674157302</v>
      </c>
      <c r="I584" s="90">
        <f>IFERROR(IF($D584="","",VLOOKUP($D584,Cadastro!$C$4:$G$7,5,FALSE())),"")</f>
        <v>0.6</v>
      </c>
      <c r="J584" s="91">
        <f t="shared" si="150"/>
        <v>29.911267415730329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55.735280898876404</v>
      </c>
      <c r="I585" s="90">
        <f>IFERROR(IF($D585="","",VLOOKUP($D585,Cadastro!$C$4:$G$7,5,FALSE())),"")</f>
        <v>0.6</v>
      </c>
      <c r="J585" s="91">
        <f t="shared" si="150"/>
        <v>11.704408988764044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353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24.771235955056181</v>
      </c>
      <c r="I586" s="90">
        <f>IFERROR(IF($D586="","",VLOOKUP($D586,Cadastro!$C$4:$G$7,5,FALSE())),"")</f>
        <v>0.6</v>
      </c>
      <c r="J586" s="91">
        <f t="shared" si="150"/>
        <v>5.2019595505617975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50"/>
        <v/>
      </c>
      <c r="K587" s="69" t="str">
        <f t="shared" si="151"/>
        <v/>
      </c>
      <c r="L587" s="70" t="s">
        <v>28</v>
      </c>
      <c r="M587" s="70" t="s">
        <v>171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37.156853932584269</v>
      </c>
      <c r="I588" s="90">
        <f>IFERROR(IF($D588="","",VLOOKUP($D588,Cadastro!$C$4:$G$7,5,FALSE())),"")</f>
        <v>0.6</v>
      </c>
      <c r="J588" s="91">
        <f t="shared" si="150"/>
        <v>7.8029393258426953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123.85617977528089</v>
      </c>
      <c r="I589" s="90">
        <f>IFERROR(IF($D589="","",VLOOKUP($D589,Cadastro!$C$4:$G$7,5,FALSE())),"")</f>
        <v>0.6</v>
      </c>
      <c r="J589" s="91">
        <f t="shared" si="150"/>
        <v>26.009797752808986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262</v>
      </c>
      <c r="F590" s="88">
        <f>IFERROR(IF($D590="","",VLOOKUP($D590,Cadastro!$C$4:$E$7,3,FALSE())),"")</f>
        <v>0.35</v>
      </c>
      <c r="G590" s="89">
        <v>10</v>
      </c>
      <c r="H590" s="88">
        <f>IFERROR(IF($G590="","",$G590*$S$594/$G$594/Cadastro!$E$33),"")</f>
        <v>61.928089887640446</v>
      </c>
      <c r="I590" s="90">
        <f>IFERROR(IF($D590="","",VLOOKUP($D590,Cadastro!$C$4:$G$7,5,FALSE())),"")</f>
        <v>0.6</v>
      </c>
      <c r="J590" s="91">
        <f t="shared" si="150"/>
        <v>13.004898876404493</v>
      </c>
      <c r="K590" s="64">
        <f t="shared" si="151"/>
        <v>50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6</v>
      </c>
      <c r="H591" s="88">
        <f>IFERROR(IF($G591="","",$G591*$S$594/$G$594/Cadastro!$E$33),"")</f>
        <v>37.156853932584269</v>
      </c>
      <c r="I591" s="90">
        <f>IFERROR(IF($D591="","",VLOOKUP($D591,Cadastro!$C$4:$G$7,5,FALSE())),"")</f>
        <v>0.6</v>
      </c>
      <c r="J591" s="91">
        <f t="shared" si="150"/>
        <v>7.8029393258426953</v>
      </c>
      <c r="K591" s="69">
        <f t="shared" si="151"/>
        <v>25.200000000000003</v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277</v>
      </c>
      <c r="F592" s="88">
        <f>IFERROR(IF($D592="","",VLOOKUP($D592,Cadastro!$C$4:$E$7,3,FALSE())),"")</f>
        <v>0.35</v>
      </c>
      <c r="G592" s="89">
        <v>3</v>
      </c>
      <c r="H592" s="88">
        <f>IFERROR(IF($G592="","",$G592*$S$594/$G$594/Cadastro!$E$33),"")</f>
        <v>18.578426966292135</v>
      </c>
      <c r="I592" s="90">
        <f>IFERROR(IF($D592="","",VLOOKUP($D592,Cadastro!$C$4:$G$7,5,FALSE())),"")</f>
        <v>0.6</v>
      </c>
      <c r="J592" s="91">
        <f t="shared" si="150"/>
        <v>3.9014696629213477</v>
      </c>
      <c r="K592" s="64">
        <f t="shared" si="151"/>
        <v>12.600000000000001</v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9" t="s">
        <v>266</v>
      </c>
      <c r="B594" s="159"/>
      <c r="C594" s="159"/>
      <c r="D594" s="159"/>
      <c r="E594" s="159"/>
      <c r="F594" s="105"/>
      <c r="G594" s="96">
        <f>SUM(G582:G593)</f>
        <v>89</v>
      </c>
      <c r="H594" s="105">
        <f>IFERROR(SUM(H582:H593),"")</f>
        <v>551.16</v>
      </c>
      <c r="I594" s="106"/>
      <c r="J594" s="107">
        <f>IFERROR(SUM(J582:J593),"")</f>
        <v>115.74359999999999</v>
      </c>
      <c r="K594" s="2">
        <f>SUM(K582:K593)</f>
        <v>381.80000000000007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264</v>
      </c>
      <c r="S594" s="74">
        <v>551160</v>
      </c>
      <c r="T594" s="99">
        <f>IFERROR(J594,"")</f>
        <v>115.74359999999999</v>
      </c>
    </row>
    <row r="595" spans="1:20" ht="18" customHeight="1">
      <c r="A595" s="160" t="s">
        <v>252</v>
      </c>
      <c r="B595" s="160"/>
      <c r="C595" s="160"/>
      <c r="D595" s="160"/>
      <c r="E595" s="160"/>
      <c r="F595" s="108"/>
      <c r="G595" s="109">
        <f>G581+G594</f>
        <v>138</v>
      </c>
      <c r="H595" s="108">
        <f>IFERROR(H581+H594,"")</f>
        <v>726.69999999999993</v>
      </c>
      <c r="I595" s="110"/>
      <c r="J595" s="111">
        <f>IFERROR(J581+J594,"")</f>
        <v>152.60699999999997</v>
      </c>
      <c r="K595" s="1">
        <f>K581+K594</f>
        <v>587.60000000000014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267</v>
      </c>
      <c r="S595" s="82">
        <f>IFERROR(S581+S594,"")</f>
        <v>726700</v>
      </c>
      <c r="T595" s="118">
        <f>IFERROR(J595,"")</f>
        <v>152.60699999999997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26</v>
      </c>
      <c r="H596" s="101">
        <f>IFERROR(IF($G596="","",$G596*$S$608/$G$608/Cadastro!$E$33),"")</f>
        <v>327.69285714285718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68.8155</v>
      </c>
      <c r="K596" s="64">
        <f t="shared" ref="K596:K607" si="155">IF(G596="","",IF(E596="PC 17",G596*4.2,IF(E596="PC 19",G596*5,IF(E596="CB",G596*24,""))))</f>
        <v>109.2</v>
      </c>
      <c r="L596" s="61" t="s">
        <v>29</v>
      </c>
      <c r="M596" s="61" t="s">
        <v>133</v>
      </c>
      <c r="N596" s="61" t="s">
        <v>123</v>
      </c>
      <c r="O596" s="65">
        <v>0.44791666666666669</v>
      </c>
      <c r="P596" s="65">
        <v>0.46319444444444446</v>
      </c>
      <c r="Q596" s="66">
        <f t="shared" ref="Q596:Q607" ca="1" si="156">IFERROR(IF(O596="","",IF(P596="",MOD(NOW()-O596,1),IF(P596&gt;=O596,P596-O596,P596+1-O596))),"")</f>
        <v>1.5277777777777779E-2</v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15</v>
      </c>
      <c r="H597" s="88">
        <f>IFERROR(IF($G597="","",$G597*$S$608/$G$608/Cadastro!$E$33),"")</f>
        <v>189.05357142857142</v>
      </c>
      <c r="I597" s="90">
        <f>IFERROR(IF($D597="","",VLOOKUP($D597,Cadastro!$C$4:$G$7,5,FALSE())),"")</f>
        <v>0.6</v>
      </c>
      <c r="J597" s="91">
        <f t="shared" si="154"/>
        <v>39.701249999999995</v>
      </c>
      <c r="K597" s="69">
        <f t="shared" si="155"/>
        <v>63</v>
      </c>
      <c r="L597" s="70" t="s">
        <v>29</v>
      </c>
      <c r="M597" s="70" t="s">
        <v>48</v>
      </c>
      <c r="N597" s="70" t="s">
        <v>210</v>
      </c>
      <c r="O597" s="65">
        <v>0.50694444444444442</v>
      </c>
      <c r="P597" s="65">
        <v>0.54166666666666663</v>
      </c>
      <c r="Q597" s="71">
        <f t="shared" ca="1" si="156"/>
        <v>3.472222222222221E-2</v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5</v>
      </c>
      <c r="H598" s="88">
        <f>IFERROR(IF($G598="","",$G598*$S$608/$G$608/Cadastro!$E$33),"")</f>
        <v>63.017857142857146</v>
      </c>
      <c r="I598" s="90">
        <f>IFERROR(IF($D598="","",VLOOKUP($D598,Cadastro!$C$4:$G$7,5,FALSE())),"")</f>
        <v>0.6</v>
      </c>
      <c r="J598" s="91">
        <f t="shared" si="154"/>
        <v>13.233749999999999</v>
      </c>
      <c r="K598" s="64">
        <f t="shared" si="155"/>
        <v>21</v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88.224999999999994</v>
      </c>
      <c r="I599" s="90">
        <f>IFERROR(IF($D599="","",VLOOKUP($D599,Cadastro!$C$4:$G$7,5,FALSE())),"")</f>
        <v>0.6</v>
      </c>
      <c r="J599" s="91">
        <f t="shared" si="154"/>
        <v>18.527249999999999</v>
      </c>
      <c r="K599" s="69">
        <f t="shared" si="155"/>
        <v>29.400000000000002</v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3</v>
      </c>
      <c r="H600" s="88">
        <f>IFERROR(IF($G600="","",$G600*$S$608/$G$608/Cadastro!$E$33),"")</f>
        <v>37.810714285714283</v>
      </c>
      <c r="I600" s="90">
        <f>IFERROR(IF($D600="","",VLOOKUP($D600,Cadastro!$C$4:$G$7,5,FALSE())),"")</f>
        <v>0.6</v>
      </c>
      <c r="J600" s="91">
        <f t="shared" si="154"/>
        <v>7.9402499999999989</v>
      </c>
      <c r="K600" s="64">
        <f t="shared" si="155"/>
        <v>12.600000000000001</v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9" t="s">
        <v>263</v>
      </c>
      <c r="B608" s="159"/>
      <c r="C608" s="159"/>
      <c r="D608" s="159"/>
      <c r="E608" s="159"/>
      <c r="F608" s="95"/>
      <c r="G608" s="96">
        <f>SUM(G596:G607)</f>
        <v>56</v>
      </c>
      <c r="H608" s="95">
        <f>IFERROR(SUM(H596:H607),"")</f>
        <v>705.80000000000007</v>
      </c>
      <c r="I608" s="97"/>
      <c r="J608" s="98">
        <f>IFERROR(SUM(J596:J607),"")</f>
        <v>148.21799999999999</v>
      </c>
      <c r="K608" s="2">
        <f>SUM(K596:K607)</f>
        <v>235.2</v>
      </c>
      <c r="L608" s="72"/>
      <c r="M608" s="72"/>
      <c r="N608" s="72"/>
      <c r="O608" s="72"/>
      <c r="P608" s="72"/>
      <c r="Q608" s="73">
        <f ca="1">IFERROR(SUM(Q596:Q607),"")</f>
        <v>4.9999999999999989E-2</v>
      </c>
      <c r="R608" s="2" t="s">
        <v>264</v>
      </c>
      <c r="S608" s="74">
        <f>981900-413630+137530</f>
        <v>705800</v>
      </c>
      <c r="T608" s="99">
        <f>IFERROR(J608,"")</f>
        <v>148.21799999999999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14</v>
      </c>
      <c r="H609" s="101">
        <f>IFERROR(IF($G609="","",$G609*$S$621/$G$621/Cadastro!$E$33),"")</f>
        <v>65.916666666666671</v>
      </c>
      <c r="I609" s="102">
        <f>IFERROR(IF($D609="","",VLOOKUP($D609,Cadastro!$C$4:$G$7,5,FALSE())),"")</f>
        <v>0.6</v>
      </c>
      <c r="J609" s="103">
        <f t="shared" ref="J609:J620" si="158">IFERROR(IF($H609="","",$H609*$F609*$I609),"")</f>
        <v>13.842499999999999</v>
      </c>
      <c r="K609" s="69">
        <f t="shared" ref="K609:K614" si="159">IF(G609="","",IF(E609="PC 17",G609*4.2,IF(E609="PC 19",G609*5,IF(E609="CB",G609*24,""))))</f>
        <v>58.800000000000004</v>
      </c>
      <c r="L609" s="70" t="s">
        <v>29</v>
      </c>
      <c r="M609" s="70" t="s">
        <v>40</v>
      </c>
      <c r="N609" s="70" t="s">
        <v>65</v>
      </c>
      <c r="O609" s="65">
        <v>0.91527777777777775</v>
      </c>
      <c r="P609" s="65">
        <v>0.93680555555555556</v>
      </c>
      <c r="Q609" s="71">
        <f t="shared" ref="Q609:Q620" ca="1" si="160">IFERROR(IF(O609="","",IF(P609="",MOD(NOW()-O609,1),IF(P609&gt;=O609,P609-O609,P609+1-O609))),"")</f>
        <v>2.1527777777777812E-2</v>
      </c>
      <c r="R609" s="80" t="s">
        <v>354</v>
      </c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89">
        <v>12</v>
      </c>
      <c r="H610" s="88">
        <f>IFERROR(IF($G610="","",$G610*$S$621/$G$621/Cadastro!$E$33),"")</f>
        <v>56.5</v>
      </c>
      <c r="I610" s="90">
        <f>IFERROR(IF($D610="","",VLOOKUP($D610,Cadastro!$C$4:$G$7,5,FALSE())),"")</f>
        <v>0.6</v>
      </c>
      <c r="J610" s="91">
        <f t="shared" si="158"/>
        <v>11.864999999999998</v>
      </c>
      <c r="K610" s="64">
        <f t="shared" si="159"/>
        <v>50.400000000000006</v>
      </c>
      <c r="L610" s="61" t="s">
        <v>29</v>
      </c>
      <c r="M610" s="61" t="s">
        <v>169</v>
      </c>
      <c r="N610" s="61" t="s">
        <v>83</v>
      </c>
      <c r="O610" s="65">
        <v>7.9861111111111105E-2</v>
      </c>
      <c r="P610" s="65">
        <v>8.1250000000000003E-2</v>
      </c>
      <c r="Q610" s="66">
        <f t="shared" ca="1" si="160"/>
        <v>1.3888888888888978E-3</v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11</v>
      </c>
      <c r="H611" s="88">
        <f>IFERROR(IF($G611="","",$G611*$S$621/$G$621/Cadastro!$E$33),"")</f>
        <v>51.791666666666664</v>
      </c>
      <c r="I611" s="90">
        <f>IFERROR(IF($D611="","",VLOOKUP($D611,Cadastro!$C$4:$G$7,5,FALSE())),"")</f>
        <v>0.6</v>
      </c>
      <c r="J611" s="91">
        <f t="shared" si="158"/>
        <v>10.876249999999999</v>
      </c>
      <c r="K611" s="69">
        <f t="shared" si="159"/>
        <v>46.2</v>
      </c>
      <c r="L611" s="70" t="s">
        <v>28</v>
      </c>
      <c r="M611" s="70" t="s">
        <v>171</v>
      </c>
      <c r="N611" s="70" t="s">
        <v>36</v>
      </c>
      <c r="O611" s="65">
        <v>9.7222222222222224E-2</v>
      </c>
      <c r="P611" s="65">
        <v>0.1076388888888889</v>
      </c>
      <c r="Q611" s="71">
        <f t="shared" ca="1" si="160"/>
        <v>1.0416666666666671E-2</v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14</v>
      </c>
      <c r="H612" s="88">
        <f>IFERROR(IF($G612="","",$G612*$S$621/$G$621/Cadastro!$E$33),"")</f>
        <v>65.916666666666671</v>
      </c>
      <c r="I612" s="90">
        <f>IFERROR(IF($D612="","",VLOOKUP($D612,Cadastro!$C$4:$G$7,5,FALSE())),"")</f>
        <v>0.6</v>
      </c>
      <c r="J612" s="91">
        <f t="shared" si="158"/>
        <v>13.842499999999999</v>
      </c>
      <c r="K612" s="64">
        <f t="shared" si="159"/>
        <v>58.800000000000004</v>
      </c>
      <c r="L612" s="61" t="s">
        <v>27</v>
      </c>
      <c r="M612" s="61" t="s">
        <v>40</v>
      </c>
      <c r="N612" s="61" t="s">
        <v>168</v>
      </c>
      <c r="O612" s="65">
        <v>0.1076388888888889</v>
      </c>
      <c r="P612" s="65">
        <v>0.11805555555555555</v>
      </c>
      <c r="Q612" s="66">
        <f t="shared" ca="1" si="160"/>
        <v>1.0416666666666657E-2</v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10</v>
      </c>
      <c r="H613" s="88">
        <f>IFERROR(IF($G613="","",$G613*$S$621/$G$621/Cadastro!$E$33),"")</f>
        <v>47.083333333333336</v>
      </c>
      <c r="I613" s="90">
        <f>IFERROR(IF($D613="","",VLOOKUP($D613,Cadastro!$C$4:$G$7,5,FALSE())),"")</f>
        <v>0.6</v>
      </c>
      <c r="J613" s="91">
        <f t="shared" si="158"/>
        <v>9.8875000000000011</v>
      </c>
      <c r="K613" s="69">
        <f t="shared" si="159"/>
        <v>42</v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4</v>
      </c>
      <c r="H614" s="88">
        <f>IFERROR(IF($G614="","",$G614*$S$621/$G$621/Cadastro!$E$33),"")</f>
        <v>18.833333333333332</v>
      </c>
      <c r="I614" s="90">
        <f>IFERROR(IF($D614="","",VLOOKUP($D614,Cadastro!$C$4:$G$7,5,FALSE())),"")</f>
        <v>0.6</v>
      </c>
      <c r="J614" s="91">
        <f t="shared" si="158"/>
        <v>3.9549999999999992</v>
      </c>
      <c r="K614" s="64">
        <f t="shared" si="159"/>
        <v>16.8</v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6</v>
      </c>
      <c r="H615" s="88">
        <f>IFERROR(IF($G615="","",$G615*$S$621/$G$621/Cadastro!$E$33),"")</f>
        <v>28.25</v>
      </c>
      <c r="I615" s="90">
        <f>IFERROR(IF($D615="","",VLOOKUP($D615,Cadastro!$C$4:$G$7,5,FALSE())),"")</f>
        <v>0.6</v>
      </c>
      <c r="J615" s="91">
        <f t="shared" si="158"/>
        <v>5.9324999999999992</v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6</v>
      </c>
      <c r="H616" s="88">
        <f>IFERROR(IF($G616="","",$G616*$S$621/$G$621/Cadastro!$E$33),"")</f>
        <v>28.25</v>
      </c>
      <c r="I616" s="90">
        <f>IFERROR(IF($D616="","",VLOOKUP($D616,Cadastro!$C$4:$G$7,5,FALSE())),"")</f>
        <v>0.6</v>
      </c>
      <c r="J616" s="91">
        <f t="shared" si="158"/>
        <v>5.9324999999999992</v>
      </c>
      <c r="K616" s="64">
        <f>IF(G616="","",IF(E616="PC 17",G616*4.2,IF(E616="PC 19",G616*5,IF(E616="CB",G616*24,""))))</f>
        <v>25.200000000000003</v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12</v>
      </c>
      <c r="H617" s="88">
        <f>IFERROR(IF($G617="","",$G617*$S$621/$G$621/Cadastro!$E$33),"")</f>
        <v>56.5</v>
      </c>
      <c r="I617" s="90">
        <f>IFERROR(IF($D617="","",VLOOKUP($D617,Cadastro!$C$4:$G$7,5,FALSE())),"")</f>
        <v>0.6</v>
      </c>
      <c r="J617" s="91">
        <f t="shared" si="158"/>
        <v>11.864999999999998</v>
      </c>
      <c r="K617" s="69">
        <f>IF(G617="","",IF(E617="PC 17",G617*4.2,IF(E617="PC 19",G617*5,IF(E617="CB",G617*24,""))))</f>
        <v>50.400000000000006</v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3</v>
      </c>
      <c r="H618" s="88">
        <f>IFERROR(IF($G618="","",$G618*$S$621/$G$621/Cadastro!$E$33),"")</f>
        <v>14.125</v>
      </c>
      <c r="I618" s="90">
        <f>IFERROR(IF($D618="","",VLOOKUP($D618,Cadastro!$C$4:$G$7,5,FALSE())),"")</f>
        <v>0.6</v>
      </c>
      <c r="J618" s="91">
        <f t="shared" si="158"/>
        <v>2.9662499999999996</v>
      </c>
      <c r="K618" s="64">
        <f>IF(G618="","",IF(E618="PC 17",G618*4.2,IF(E618="PC 19",G618*5,IF(E618="CB",G618*24,""))))</f>
        <v>12.600000000000001</v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16</v>
      </c>
      <c r="H619" s="88">
        <f>IFERROR(IF($G619="","",$G619*$S$621/$G$621/Cadastro!$E$33),"")</f>
        <v>75.333333333333329</v>
      </c>
      <c r="I619" s="90">
        <f>IFERROR(IF($D619="","",VLOOKUP($D619,Cadastro!$C$4:$G$7,5,FALSE())),"")</f>
        <v>0.6</v>
      </c>
      <c r="J619" s="91">
        <f t="shared" si="158"/>
        <v>15.819999999999997</v>
      </c>
      <c r="K619" s="69">
        <f>IF(G619="","",IF(E619="PC 17",G619*4.2,IF(E619="PC 19",G619*5,IF(E619="CB",G619*24,""))))</f>
        <v>67.2</v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 t="s">
        <v>38</v>
      </c>
      <c r="D620" s="75" t="s">
        <v>31</v>
      </c>
      <c r="E620" s="100" t="s">
        <v>277</v>
      </c>
      <c r="F620" s="92">
        <f>IFERROR(IF($D620="","",VLOOKUP($D620,Cadastro!$C$4:$E$7,3,FALSE())),"")</f>
        <v>0.35</v>
      </c>
      <c r="G620" s="89"/>
      <c r="H620" s="92" t="str">
        <f>IFERROR(IF($G620="","",$G620*$S$621/$G$621/Cadastro!$E$33),"")</f>
        <v/>
      </c>
      <c r="I620" s="93">
        <f>IFERROR(IF($D620="","",VLOOKUP($D620,Cadastro!$C$4:$G$7,5,FALSE())),"")</f>
        <v>0.6</v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9" t="s">
        <v>266</v>
      </c>
      <c r="B621" s="159"/>
      <c r="C621" s="159"/>
      <c r="D621" s="159"/>
      <c r="E621" s="159"/>
      <c r="F621" s="105"/>
      <c r="G621" s="96">
        <f>SUM(G609:G620)</f>
        <v>108</v>
      </c>
      <c r="H621" s="105">
        <f>IFERROR(SUM(H609:H620),"")</f>
        <v>508.49999999999994</v>
      </c>
      <c r="I621" s="106"/>
      <c r="J621" s="107">
        <f>IFERROR(SUM(J609:J620),"")</f>
        <v>106.785</v>
      </c>
      <c r="K621" s="2">
        <f>SUM(K609:K620)</f>
        <v>428.40000000000003</v>
      </c>
      <c r="L621" s="72"/>
      <c r="M621" s="72"/>
      <c r="N621" s="72"/>
      <c r="O621" s="72"/>
      <c r="P621" s="72"/>
      <c r="Q621" s="73">
        <f ca="1">IFERROR(SUM(Q609:Q620),"")</f>
        <v>4.3750000000000039E-2</v>
      </c>
      <c r="R621" s="2" t="s">
        <v>264</v>
      </c>
      <c r="S621" s="74">
        <v>508500</v>
      </c>
      <c r="T621" s="99">
        <f>IFERROR(J621,"")</f>
        <v>106.785</v>
      </c>
    </row>
    <row r="622" spans="1:20" ht="18" customHeight="1">
      <c r="A622" s="160" t="s">
        <v>252</v>
      </c>
      <c r="B622" s="160"/>
      <c r="C622" s="160"/>
      <c r="D622" s="160"/>
      <c r="E622" s="160"/>
      <c r="F622" s="108"/>
      <c r="G622" s="109">
        <f>G608+G621</f>
        <v>164</v>
      </c>
      <c r="H622" s="108">
        <f>IFERROR(H608+H621,"")</f>
        <v>1214.3</v>
      </c>
      <c r="I622" s="110"/>
      <c r="J622" s="111">
        <f>IFERROR(J608+J621,"")</f>
        <v>255.00299999999999</v>
      </c>
      <c r="K622" s="1">
        <f>K608+K621</f>
        <v>663.6</v>
      </c>
      <c r="L622" s="76"/>
      <c r="M622" s="76"/>
      <c r="N622" s="76"/>
      <c r="O622" s="76"/>
      <c r="P622" s="76"/>
      <c r="Q622" s="77">
        <f ca="1">IFERROR(Q608+Q621,"")</f>
        <v>9.3750000000000028E-2</v>
      </c>
      <c r="R622" s="1" t="s">
        <v>267</v>
      </c>
      <c r="S622" s="82">
        <f>S608+S621</f>
        <v>1214300</v>
      </c>
      <c r="T622" s="118">
        <f>IFERROR(J622,"")</f>
        <v>255.00299999999999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12</v>
      </c>
      <c r="H623" s="101">
        <f>IFERROR(IF($G623="","",$G623*$S$635/$G$635/Cadastro!$E$33),"")</f>
        <v>46.79851851851852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9.827688888888888</v>
      </c>
      <c r="K623" s="69">
        <f t="shared" ref="K623:K634" si="163">IF(G623="","",IF(E623="PC 17",G623*4.2,IF(E623="PC 19",G623*5,IF(E623="CB",G623*24,""))))</f>
        <v>50.400000000000006</v>
      </c>
      <c r="L623" s="70" t="s">
        <v>27</v>
      </c>
      <c r="M623" s="70" t="s">
        <v>149</v>
      </c>
      <c r="N623" s="70" t="s">
        <v>228</v>
      </c>
      <c r="O623" s="65">
        <v>0.3125</v>
      </c>
      <c r="P623" s="65">
        <v>0.3576388888888889</v>
      </c>
      <c r="Q623" s="71">
        <f t="shared" ref="Q623:Q634" ca="1" si="164">IFERROR(IF(O623="","",IF(P623="",MOD(NOW()-O623,1),IF(P623&gt;=O623,P623-O623,P623+1-O623))),"")</f>
        <v>4.5138888888888895E-2</v>
      </c>
      <c r="R623" s="80" t="s">
        <v>326</v>
      </c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11</v>
      </c>
      <c r="H624" s="88">
        <f>IFERROR(IF($G624="","",$G624*$S$635/$G$635/Cadastro!$E$33),"")</f>
        <v>42.898641975308642</v>
      </c>
      <c r="I624" s="90">
        <f>IFERROR(IF($D624="","",VLOOKUP($D624,Cadastro!$C$4:$G$7,5,FALSE())),"")</f>
        <v>0.6</v>
      </c>
      <c r="J624" s="91">
        <f t="shared" si="162"/>
        <v>9.0087148148148142</v>
      </c>
      <c r="K624" s="64">
        <f t="shared" si="163"/>
        <v>46.2</v>
      </c>
      <c r="L624" s="61" t="s">
        <v>28</v>
      </c>
      <c r="M624" s="61" t="s">
        <v>171</v>
      </c>
      <c r="N624" s="61" t="s">
        <v>36</v>
      </c>
      <c r="O624" s="65">
        <v>0.56666666666666665</v>
      </c>
      <c r="P624" s="65">
        <v>0.57916666666666672</v>
      </c>
      <c r="Q624" s="66">
        <f t="shared" ca="1" si="164"/>
        <v>1.2500000000000067E-2</v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15</v>
      </c>
      <c r="H625" s="88">
        <f>IFERROR(IF($G625="","",$G625*$S$635/$G$635/Cadastro!$E$33),"")</f>
        <v>58.498148148148147</v>
      </c>
      <c r="I625" s="90">
        <f>IFERROR(IF($D625="","",VLOOKUP($D625,Cadastro!$C$4:$G$7,5,FALSE())),"")</f>
        <v>0.6</v>
      </c>
      <c r="J625" s="91">
        <f t="shared" si="162"/>
        <v>12.28461111111111</v>
      </c>
      <c r="K625" s="69">
        <f t="shared" si="163"/>
        <v>63</v>
      </c>
      <c r="L625" s="70" t="s">
        <v>29</v>
      </c>
      <c r="M625" s="70" t="s">
        <v>169</v>
      </c>
      <c r="N625" s="70" t="s">
        <v>83</v>
      </c>
      <c r="O625" s="65">
        <v>0.60416666666666663</v>
      </c>
      <c r="P625" s="65">
        <v>0.61250000000000004</v>
      </c>
      <c r="Q625" s="71">
        <f t="shared" ca="1" si="164"/>
        <v>8.3333333333334147E-3</v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15</v>
      </c>
      <c r="H626" s="88">
        <f>IFERROR(IF($G626="","",$G626*$S$635/$G$635/Cadastro!$E$33),"")</f>
        <v>58.498148148148147</v>
      </c>
      <c r="I626" s="90">
        <f>IFERROR(IF($D626="","",VLOOKUP($D626,Cadastro!$C$4:$G$7,5,FALSE())),"")</f>
        <v>0.6</v>
      </c>
      <c r="J626" s="91">
        <f t="shared" si="162"/>
        <v>12.28461111111111</v>
      </c>
      <c r="K626" s="64">
        <f t="shared" si="163"/>
        <v>63</v>
      </c>
      <c r="L626" s="61" t="s">
        <v>29</v>
      </c>
      <c r="M626" s="61" t="s">
        <v>48</v>
      </c>
      <c r="N626" s="61" t="s">
        <v>60</v>
      </c>
      <c r="O626" s="65">
        <v>0.61805555555555558</v>
      </c>
      <c r="P626" s="65">
        <v>0.62291666666666667</v>
      </c>
      <c r="Q626" s="66">
        <f t="shared" ca="1" si="164"/>
        <v>4.8611111111110938E-3</v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19</v>
      </c>
      <c r="H627" s="88">
        <f>IFERROR(IF($G627="","",$G627*$S$635/$G$635/Cadastro!$E$33),"")</f>
        <v>74.097654320987658</v>
      </c>
      <c r="I627" s="90">
        <f>IFERROR(IF($D627="","",VLOOKUP($D627,Cadastro!$C$4:$G$7,5,FALSE())),"")</f>
        <v>0.6</v>
      </c>
      <c r="J627" s="91">
        <f t="shared" si="162"/>
        <v>15.560507407407407</v>
      </c>
      <c r="K627" s="69">
        <f t="shared" si="163"/>
        <v>79.8</v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12</v>
      </c>
      <c r="H628" s="88">
        <f>IFERROR(IF($G628="","",$G628*$S$635/$G$635/Cadastro!$E$33),"")</f>
        <v>46.79851851851852</v>
      </c>
      <c r="I628" s="90">
        <f>IFERROR(IF($D628="","",VLOOKUP($D628,Cadastro!$C$4:$G$7,5,FALSE())),"")</f>
        <v>0.6</v>
      </c>
      <c r="J628" s="91">
        <f t="shared" si="162"/>
        <v>9.827688888888888</v>
      </c>
      <c r="K628" s="64">
        <f t="shared" si="163"/>
        <v>50.400000000000006</v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10</v>
      </c>
      <c r="H629" s="88">
        <f>IFERROR(IF($G629="","",$G629*$S$635/$G$635/Cadastro!$E$33),"")</f>
        <v>38.998765432098764</v>
      </c>
      <c r="I629" s="90">
        <f>IFERROR(IF($D629="","",VLOOKUP($D629,Cadastro!$C$4:$G$7,5,FALSE())),"")</f>
        <v>0.6</v>
      </c>
      <c r="J629" s="91">
        <f t="shared" si="162"/>
        <v>8.1897407407407403</v>
      </c>
      <c r="K629" s="69">
        <f t="shared" si="163"/>
        <v>42</v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12</v>
      </c>
      <c r="H630" s="88">
        <f>IFERROR(IF($G630="","",$G630*$S$635/$G$635/Cadastro!$E$33),"")</f>
        <v>46.79851851851852</v>
      </c>
      <c r="I630" s="90">
        <f>IFERROR(IF($D630="","",VLOOKUP($D630,Cadastro!$C$4:$G$7,5,FALSE())),"")</f>
        <v>0.6</v>
      </c>
      <c r="J630" s="91">
        <f t="shared" si="162"/>
        <v>9.827688888888888</v>
      </c>
      <c r="K630" s="64">
        <f t="shared" si="163"/>
        <v>50.400000000000006</v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12</v>
      </c>
      <c r="H631" s="88">
        <f>IFERROR(IF($G631="","",$G631*$S$635/$G$635/Cadastro!$E$33),"")</f>
        <v>46.79851851851852</v>
      </c>
      <c r="I631" s="90">
        <f>IFERROR(IF($D631="","",VLOOKUP($D631,Cadastro!$C$4:$G$7,5,FALSE())),"")</f>
        <v>0.6</v>
      </c>
      <c r="J631" s="91">
        <f t="shared" si="162"/>
        <v>9.827688888888888</v>
      </c>
      <c r="K631" s="69">
        <f t="shared" si="163"/>
        <v>50.400000000000006</v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16</v>
      </c>
      <c r="H632" s="88">
        <f>IFERROR(IF($G632="","",$G632*$S$635/$G$635/Cadastro!$E$33),"")</f>
        <v>62.398024691358025</v>
      </c>
      <c r="I632" s="90">
        <f>IFERROR(IF($D632="","",VLOOKUP($D632,Cadastro!$C$4:$G$7,5,FALSE())),"")</f>
        <v>0.6</v>
      </c>
      <c r="J632" s="91">
        <f t="shared" si="162"/>
        <v>13.103585185185183</v>
      </c>
      <c r="K632" s="64">
        <f t="shared" si="163"/>
        <v>67.2</v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17</v>
      </c>
      <c r="H633" s="88">
        <f>IFERROR(IF($G633="","",$G633*$S$635/$G$635/Cadastro!$E$33),"")</f>
        <v>66.297901234567902</v>
      </c>
      <c r="I633" s="90">
        <f>IFERROR(IF($D633="","",VLOOKUP($D633,Cadastro!$C$4:$G$7,5,FALSE())),"")</f>
        <v>0.6</v>
      </c>
      <c r="J633" s="91">
        <f t="shared" si="162"/>
        <v>13.922559259259259</v>
      </c>
      <c r="K633" s="69">
        <f t="shared" si="163"/>
        <v>71.400000000000006</v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11</v>
      </c>
      <c r="H634" s="92">
        <f>IFERROR(IF($G634="","",$G634*$S$635/$G$635/Cadastro!$E$33),"")</f>
        <v>42.898641975308642</v>
      </c>
      <c r="I634" s="93">
        <f>IFERROR(IF($D634="","",VLOOKUP($D634,Cadastro!$C$4:$G$7,5,FALSE())),"")</f>
        <v>0.6</v>
      </c>
      <c r="J634" s="94">
        <f t="shared" si="162"/>
        <v>9.0087148148148142</v>
      </c>
      <c r="K634" s="64">
        <f t="shared" si="163"/>
        <v>46.2</v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9" t="s">
        <v>263</v>
      </c>
      <c r="B635" s="159"/>
      <c r="C635" s="159"/>
      <c r="D635" s="159"/>
      <c r="E635" s="159"/>
      <c r="F635" s="95"/>
      <c r="G635" s="96">
        <f>SUM(G623:G634)</f>
        <v>162</v>
      </c>
      <c r="H635" s="95">
        <f>IFERROR(SUM(H623:H634),"")</f>
        <v>631.78000000000009</v>
      </c>
      <c r="I635" s="97"/>
      <c r="J635" s="98">
        <f>IFERROR(SUM(J623:J634),"")</f>
        <v>132.6738</v>
      </c>
      <c r="K635" s="2">
        <f>SUM(K623:K634)</f>
        <v>680.40000000000009</v>
      </c>
      <c r="L635" s="72"/>
      <c r="M635" s="72"/>
      <c r="N635" s="72"/>
      <c r="O635" s="72"/>
      <c r="P635" s="72"/>
      <c r="Q635" s="73">
        <f ca="1">IFERROR(SUM(Q623:Q634),"")</f>
        <v>7.083333333333347E-2</v>
      </c>
      <c r="R635" s="2" t="s">
        <v>264</v>
      </c>
      <c r="S635" s="74">
        <v>631780</v>
      </c>
      <c r="T635" s="99">
        <f>IFERROR(J635,"")</f>
        <v>132.6738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277</v>
      </c>
      <c r="F636" s="101">
        <f>IFERROR(IF($D636="","",VLOOKUP($D636,Cadastro!$C$4:$E$7,3,FALSE())),"")</f>
        <v>0.35</v>
      </c>
      <c r="G636" s="89">
        <v>16</v>
      </c>
      <c r="H636" s="101">
        <f>IFERROR(IF($G636="","",$G636*$S$648/$G$648/Cadastro!$E$33),"")</f>
        <v>0</v>
      </c>
      <c r="I636" s="102">
        <f>IFERROR(IF($D636="","",VLOOKUP($D636,Cadastro!$C$4:$G$7,5,FALSE())),"")</f>
        <v>0.6</v>
      </c>
      <c r="J636" s="103">
        <f t="shared" ref="J636:J647" si="166">IFERROR(IF($H636="","",$H636*$F636*$I636),"")</f>
        <v>0</v>
      </c>
      <c r="K636" s="64">
        <f t="shared" ref="K636:K647" si="167">IF(G636="","",IF(E636="PC 17",G636*4.2,IF(E636="PC 19",G636*5,IF(E636="CB",G636*24,""))))</f>
        <v>67.2</v>
      </c>
      <c r="L636" s="61" t="s">
        <v>28</v>
      </c>
      <c r="M636" s="61" t="s">
        <v>48</v>
      </c>
      <c r="N636" s="61" t="s">
        <v>59</v>
      </c>
      <c r="O636" s="65">
        <v>0.86597222222222225</v>
      </c>
      <c r="P636" s="65">
        <v>0.88749999999999996</v>
      </c>
      <c r="Q636" s="66">
        <f t="shared" ref="Q636:Q647" ca="1" si="168">IFERROR(IF(O636="","",IF(P636="",MOD(NOW()-O636,1),IF(P636&gt;=O636,P636-O636,P636+1-O636))),"")</f>
        <v>2.1527777777777701E-2</v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262</v>
      </c>
      <c r="F637" s="88">
        <f>IFERROR(IF($D637="","",VLOOKUP($D637,Cadastro!$C$4:$E$7,3,FALSE())),"")</f>
        <v>0.35</v>
      </c>
      <c r="G637" s="89">
        <v>11</v>
      </c>
      <c r="H637" s="88">
        <f>IFERROR(IF($G637="","",$G637*$S$648/$G$648/Cadastro!$E$33),"")</f>
        <v>0</v>
      </c>
      <c r="I637" s="90">
        <f>IFERROR(IF($D637="","",VLOOKUP($D637,Cadastro!$C$4:$G$7,5,FALSE())),"")</f>
        <v>0.6</v>
      </c>
      <c r="J637" s="91">
        <f t="shared" si="166"/>
        <v>0</v>
      </c>
      <c r="K637" s="69">
        <f t="shared" si="167"/>
        <v>55</v>
      </c>
      <c r="L637" s="70" t="s">
        <v>28</v>
      </c>
      <c r="M637" s="70" t="s">
        <v>171</v>
      </c>
      <c r="N637" s="70" t="s">
        <v>36</v>
      </c>
      <c r="O637" s="65">
        <v>0.92083333333333328</v>
      </c>
      <c r="P637" s="65">
        <v>0.9375</v>
      </c>
      <c r="Q637" s="71">
        <f t="shared" ca="1" si="168"/>
        <v>1.6666666666666718E-2</v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277</v>
      </c>
      <c r="F638" s="88">
        <f>IFERROR(IF($D638="","",VLOOKUP($D638,Cadastro!$C$4:$E$7,3,FALSE())),"")</f>
        <v>0.35</v>
      </c>
      <c r="G638" s="89">
        <v>10</v>
      </c>
      <c r="H638" s="88">
        <f>IFERROR(IF($G638="","",$G638*$S$648/$G$648/Cadastro!$E$33),"")</f>
        <v>0</v>
      </c>
      <c r="I638" s="90">
        <f>IFERROR(IF($D638="","",VLOOKUP($D638,Cadastro!$C$4:$G$7,5,FALSE())),"")</f>
        <v>0.6</v>
      </c>
      <c r="J638" s="91">
        <f t="shared" si="166"/>
        <v>0</v>
      </c>
      <c r="K638" s="64">
        <f t="shared" si="167"/>
        <v>42</v>
      </c>
      <c r="L638" s="61" t="s">
        <v>29</v>
      </c>
      <c r="M638" s="61" t="s">
        <v>48</v>
      </c>
      <c r="N638" s="61" t="s">
        <v>45</v>
      </c>
      <c r="O638" s="65">
        <v>6.9444444444444441E-3</v>
      </c>
      <c r="P638" s="65">
        <v>2.361111111111111E-2</v>
      </c>
      <c r="Q638" s="66">
        <f t="shared" ca="1" si="168"/>
        <v>1.6666666666666666E-2</v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277</v>
      </c>
      <c r="F639" s="88">
        <f>IFERROR(IF($D639="","",VLOOKUP($D639,Cadastro!$C$4:$E$7,3,FALSE())),"")</f>
        <v>0.35</v>
      </c>
      <c r="G639" s="89">
        <v>10</v>
      </c>
      <c r="H639" s="88">
        <f>IFERROR(IF($G639="","",$G639*$S$648/$G$648/Cadastro!$E$33),"")</f>
        <v>0</v>
      </c>
      <c r="I639" s="90">
        <f>IFERROR(IF($D639="","",VLOOKUP($D639,Cadastro!$C$4:$G$7,5,FALSE())),"")</f>
        <v>0.6</v>
      </c>
      <c r="J639" s="91">
        <f t="shared" si="166"/>
        <v>0</v>
      </c>
      <c r="K639" s="69">
        <f t="shared" si="167"/>
        <v>42</v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277</v>
      </c>
      <c r="F640" s="88">
        <f>IFERROR(IF($D640="","",VLOOKUP($D640,Cadastro!$C$4:$E$7,3,FALSE())),"")</f>
        <v>0.35</v>
      </c>
      <c r="G640" s="89">
        <v>20</v>
      </c>
      <c r="H640" s="88">
        <f>IFERROR(IF($G640="","",$G640*$S$648/$G$648/Cadastro!$E$33),"")</f>
        <v>0</v>
      </c>
      <c r="I640" s="90">
        <f>IFERROR(IF($D640="","",VLOOKUP($D640,Cadastro!$C$4:$G$7,5,FALSE())),"")</f>
        <v>0.6</v>
      </c>
      <c r="J640" s="91">
        <f t="shared" si="166"/>
        <v>0</v>
      </c>
      <c r="K640" s="64">
        <f t="shared" si="167"/>
        <v>84</v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277</v>
      </c>
      <c r="F641" s="88">
        <f>IFERROR(IF($D641="","",VLOOKUP($D641,Cadastro!$C$4:$E$7,3,FALSE())),"")</f>
        <v>0.35</v>
      </c>
      <c r="G641" s="89">
        <v>15</v>
      </c>
      <c r="H641" s="88">
        <f>IFERROR(IF($G641="","",$G641*$S$648/$G$648/Cadastro!$E$33),"")</f>
        <v>0</v>
      </c>
      <c r="I641" s="90">
        <f>IFERROR(IF($D641="","",VLOOKUP($D641,Cadastro!$C$4:$G$7,5,FALSE())),"")</f>
        <v>0.6</v>
      </c>
      <c r="J641" s="91">
        <f t="shared" si="166"/>
        <v>0</v>
      </c>
      <c r="K641" s="69">
        <f t="shared" si="167"/>
        <v>63</v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277</v>
      </c>
      <c r="F642" s="88">
        <f>IFERROR(IF($D642="","",VLOOKUP($D642,Cadastro!$C$4:$E$7,3,FALSE())),"")</f>
        <v>0.35</v>
      </c>
      <c r="G642" s="89">
        <v>13</v>
      </c>
      <c r="H642" s="88">
        <f>IFERROR(IF($G642="","",$G642*$S$648/$G$648/Cadastro!$E$33),"")</f>
        <v>0</v>
      </c>
      <c r="I642" s="90">
        <f>IFERROR(IF($D642="","",VLOOKUP($D642,Cadastro!$C$4:$G$7,5,FALSE())),"")</f>
        <v>0.6</v>
      </c>
      <c r="J642" s="91">
        <f t="shared" si="166"/>
        <v>0</v>
      </c>
      <c r="K642" s="64">
        <f t="shared" si="167"/>
        <v>54.6</v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277</v>
      </c>
      <c r="F643" s="88">
        <f>IFERROR(IF($D643="","",VLOOKUP($D643,Cadastro!$C$4:$E$7,3,FALSE())),"")</f>
        <v>0.35</v>
      </c>
      <c r="G643" s="89">
        <v>17</v>
      </c>
      <c r="H643" s="88">
        <f>IFERROR(IF($G643="","",$G643*$S$648/$G$648/Cadastro!$E$33),"")</f>
        <v>0</v>
      </c>
      <c r="I643" s="90">
        <f>IFERROR(IF($D643="","",VLOOKUP($D643,Cadastro!$C$4:$G$7,5,FALSE())),"")</f>
        <v>0.6</v>
      </c>
      <c r="J643" s="91">
        <f t="shared" si="166"/>
        <v>0</v>
      </c>
      <c r="K643" s="69">
        <f t="shared" si="167"/>
        <v>71.400000000000006</v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277</v>
      </c>
      <c r="F644" s="88">
        <f>IFERROR(IF($D644="","",VLOOKUP($D644,Cadastro!$C$4:$E$7,3,FALSE())),"")</f>
        <v>0.35</v>
      </c>
      <c r="G644" s="89"/>
      <c r="H644" s="88" t="str">
        <f>IFERROR(IF($G644="","",$G644*$S$648/$G$648/Cadastro!$E$33),"")</f>
        <v/>
      </c>
      <c r="I644" s="90">
        <f>IFERROR(IF($D644="","",VLOOKUP($D644,Cadastro!$C$4:$G$7,5,FALSE())),"")</f>
        <v>0.6</v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277</v>
      </c>
      <c r="F645" s="88">
        <f>IFERROR(IF($D645="","",VLOOKUP($D645,Cadastro!$C$4:$E$7,3,FALSE())),"")</f>
        <v>0.35</v>
      </c>
      <c r="G645" s="89"/>
      <c r="H645" s="88" t="str">
        <f>IFERROR(IF($G645="","",$G645*$S$648/$G$648/Cadastro!$E$33),"")</f>
        <v/>
      </c>
      <c r="I645" s="90">
        <f>IFERROR(IF($D645="","",VLOOKUP($D645,Cadastro!$C$4:$G$7,5,FALSE())),"")</f>
        <v>0.6</v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277</v>
      </c>
      <c r="F646" s="88">
        <f>IFERROR(IF($D646="","",VLOOKUP($D646,Cadastro!$C$4:$E$7,3,FALSE())),"")</f>
        <v>0.35</v>
      </c>
      <c r="G646" s="89"/>
      <c r="H646" s="88" t="str">
        <f>IFERROR(IF($G646="","",$G646*$S$648/$G$648/Cadastro!$E$33),"")</f>
        <v/>
      </c>
      <c r="I646" s="90">
        <f>IFERROR(IF($D646="","",VLOOKUP($D646,Cadastro!$C$4:$G$7,5,FALSE())),"")</f>
        <v>0.6</v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277</v>
      </c>
      <c r="F647" s="92">
        <f>IFERROR(IF($D647="","",VLOOKUP($D647,Cadastro!$C$4:$E$7,3,FALSE())),"")</f>
        <v>0.35</v>
      </c>
      <c r="G647" s="89"/>
      <c r="H647" s="92" t="str">
        <f>IFERROR(IF($G647="","",$G647*$S$648/$G$648/Cadastro!$E$33),"")</f>
        <v/>
      </c>
      <c r="I647" s="93">
        <f>IFERROR(IF($D647="","",VLOOKUP($D647,Cadastro!$C$4:$G$7,5,FALSE())),"")</f>
        <v>0.6</v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9" t="s">
        <v>266</v>
      </c>
      <c r="B648" s="159"/>
      <c r="C648" s="159"/>
      <c r="D648" s="159"/>
      <c r="E648" s="159"/>
      <c r="F648" s="105"/>
      <c r="G648" s="96">
        <f>SUM(G636:G647)</f>
        <v>112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479.20000000000005</v>
      </c>
      <c r="L648" s="72"/>
      <c r="M648" s="72"/>
      <c r="N648" s="72"/>
      <c r="O648" s="72"/>
      <c r="P648" s="72"/>
      <c r="Q648" s="73">
        <f ca="1">IFERROR(SUM(Q636:Q647),"")</f>
        <v>5.4861111111111083E-2</v>
      </c>
      <c r="R648" s="2" t="s">
        <v>264</v>
      </c>
      <c r="S648" s="74"/>
      <c r="T648" s="99">
        <f>IFERROR(J648,"")</f>
        <v>0</v>
      </c>
    </row>
    <row r="649" spans="1:20" ht="18" customHeight="1">
      <c r="A649" s="160" t="s">
        <v>252</v>
      </c>
      <c r="B649" s="160"/>
      <c r="C649" s="160"/>
      <c r="D649" s="160"/>
      <c r="E649" s="160"/>
      <c r="F649" s="108"/>
      <c r="G649" s="109">
        <f>G635+G648</f>
        <v>274</v>
      </c>
      <c r="H649" s="108">
        <f>IFERROR(H635+H648,"")</f>
        <v>631.78000000000009</v>
      </c>
      <c r="I649" s="110"/>
      <c r="J649" s="111">
        <f>IFERROR(J635+J648,"")</f>
        <v>132.6738</v>
      </c>
      <c r="K649" s="1">
        <f>K635+K648</f>
        <v>1159.6000000000001</v>
      </c>
      <c r="L649" s="76"/>
      <c r="M649" s="76"/>
      <c r="N649" s="76"/>
      <c r="O649" s="76"/>
      <c r="P649" s="76"/>
      <c r="Q649" s="77">
        <f ca="1">IFERROR(Q635+Q648,"")</f>
        <v>0.12569444444444455</v>
      </c>
      <c r="R649" s="1" t="s">
        <v>267</v>
      </c>
      <c r="S649" s="82">
        <f>S635+S648</f>
        <v>631780</v>
      </c>
      <c r="T649" s="118">
        <f>IFERROR(J649,"")</f>
        <v>132.6738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9" t="s">
        <v>263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9" t="s">
        <v>266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60" t="s">
        <v>252</v>
      </c>
      <c r="B676" s="160"/>
      <c r="C676" s="160"/>
      <c r="D676" s="160"/>
      <c r="E676" s="160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9" t="s">
        <v>263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9" t="s">
        <v>266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60" t="s">
        <v>252</v>
      </c>
      <c r="B703" s="160"/>
      <c r="C703" s="160"/>
      <c r="D703" s="160"/>
      <c r="E703" s="160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9" t="s">
        <v>263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9" t="s">
        <v>266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60" t="s">
        <v>252</v>
      </c>
      <c r="B730" s="160"/>
      <c r="C730" s="160"/>
      <c r="D730" s="160"/>
      <c r="E730" s="160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9" t="s">
        <v>263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9" t="s">
        <v>266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60" t="s">
        <v>252</v>
      </c>
      <c r="B757" s="160"/>
      <c r="C757" s="160"/>
      <c r="D757" s="160"/>
      <c r="E757" s="160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9" t="s">
        <v>263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9" t="s">
        <v>266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60" t="s">
        <v>252</v>
      </c>
      <c r="B784" s="160"/>
      <c r="C784" s="160"/>
      <c r="D784" s="160"/>
      <c r="E784" s="160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9" t="s">
        <v>263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9" t="s">
        <v>266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60" t="s">
        <v>252</v>
      </c>
      <c r="B811" s="160"/>
      <c r="C811" s="160"/>
      <c r="D811" s="160"/>
      <c r="E811" s="160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9" t="s">
        <v>263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264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9" t="s">
        <v>266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264</v>
      </c>
      <c r="S837" s="113"/>
      <c r="T837" s="114">
        <f>IFERROR(J837,"")</f>
        <v>0</v>
      </c>
    </row>
    <row r="838" spans="1:20" ht="18" customHeight="1">
      <c r="A838" s="160" t="s">
        <v>252</v>
      </c>
      <c r="B838" s="160"/>
      <c r="C838" s="160"/>
      <c r="D838" s="160"/>
      <c r="E838" s="160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267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608" activePane="bottomLeft" state="frozen"/>
      <selection pane="bottomLeft" activeCell="P642" sqref="P642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308</v>
      </c>
      <c r="I1" s="86" t="s">
        <v>22</v>
      </c>
      <c r="J1" s="86" t="s">
        <v>309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9" t="s">
        <v>263</v>
      </c>
      <c r="B14" s="159"/>
      <c r="C14" s="159"/>
      <c r="D14" s="159"/>
      <c r="E14" s="159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264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277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355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277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277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277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313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277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356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277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277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277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277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277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277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277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9" t="s">
        <v>266</v>
      </c>
      <c r="B27" s="159"/>
      <c r="C27" s="159"/>
      <c r="D27" s="159"/>
      <c r="E27" s="159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264</v>
      </c>
      <c r="S27" s="74">
        <v>358000</v>
      </c>
      <c r="T27" s="99">
        <f>IFERROR(J27,"")</f>
        <v>0</v>
      </c>
    </row>
    <row r="28" spans="1:20" ht="18" customHeight="1">
      <c r="A28" s="160" t="s">
        <v>252</v>
      </c>
      <c r="B28" s="160"/>
      <c r="C28" s="160"/>
      <c r="D28" s="160"/>
      <c r="E28" s="160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267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277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277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277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277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277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277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277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277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277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277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277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277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9" t="s">
        <v>263</v>
      </c>
      <c r="B41" s="159"/>
      <c r="C41" s="159"/>
      <c r="D41" s="159"/>
      <c r="E41" s="159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264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319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355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355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9" t="s">
        <v>266</v>
      </c>
      <c r="B54" s="159"/>
      <c r="C54" s="159"/>
      <c r="D54" s="159"/>
      <c r="E54" s="159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264</v>
      </c>
      <c r="S54" s="74">
        <v>279980</v>
      </c>
      <c r="T54" s="99">
        <f>IFERROR(J54,"")</f>
        <v>0</v>
      </c>
    </row>
    <row r="55" spans="1:20" ht="18" customHeight="1">
      <c r="A55" s="160" t="s">
        <v>252</v>
      </c>
      <c r="B55" s="160"/>
      <c r="C55" s="160"/>
      <c r="D55" s="160"/>
      <c r="E55" s="160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267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277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277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277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277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277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357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277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277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277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277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277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9" t="s">
        <v>263</v>
      </c>
      <c r="B68" s="159"/>
      <c r="C68" s="159"/>
      <c r="D68" s="159"/>
      <c r="E68" s="159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264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358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199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9" t="s">
        <v>266</v>
      </c>
      <c r="B81" s="159"/>
      <c r="C81" s="159"/>
      <c r="D81" s="159"/>
      <c r="E81" s="159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264</v>
      </c>
      <c r="S81" s="74">
        <v>185920</v>
      </c>
      <c r="T81" s="99">
        <f>IFERROR(J81,"")</f>
        <v>0</v>
      </c>
    </row>
    <row r="82" spans="1:20" ht="18" customHeight="1">
      <c r="A82" s="160" t="s">
        <v>252</v>
      </c>
      <c r="B82" s="160"/>
      <c r="C82" s="160"/>
      <c r="D82" s="160"/>
      <c r="E82" s="160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267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277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359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360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9" t="s">
        <v>263</v>
      </c>
      <c r="B95" s="159"/>
      <c r="C95" s="159"/>
      <c r="D95" s="159"/>
      <c r="E95" s="159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264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361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9" t="s">
        <v>266</v>
      </c>
      <c r="B108" s="159"/>
      <c r="C108" s="159"/>
      <c r="D108" s="159"/>
      <c r="E108" s="159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264</v>
      </c>
      <c r="S108" s="74">
        <v>434370</v>
      </c>
      <c r="T108" s="99">
        <f>IFERROR(J108,"")</f>
        <v>0</v>
      </c>
    </row>
    <row r="109" spans="1:20" ht="18" customHeight="1">
      <c r="A109" s="160" t="s">
        <v>252</v>
      </c>
      <c r="B109" s="160"/>
      <c r="C109" s="160"/>
      <c r="D109" s="160"/>
      <c r="E109" s="160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267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9" t="s">
        <v>263</v>
      </c>
      <c r="B122" s="159"/>
      <c r="C122" s="159"/>
      <c r="D122" s="159"/>
      <c r="E122" s="159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264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362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212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9" t="s">
        <v>266</v>
      </c>
      <c r="B135" s="159"/>
      <c r="C135" s="159"/>
      <c r="D135" s="159"/>
      <c r="E135" s="159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264</v>
      </c>
      <c r="S135" s="74">
        <v>416350</v>
      </c>
      <c r="T135" s="99">
        <f>IFERROR(J135,"")</f>
        <v>0</v>
      </c>
    </row>
    <row r="136" spans="1:20" ht="18" customHeight="1">
      <c r="A136" s="160" t="s">
        <v>252</v>
      </c>
      <c r="B136" s="160"/>
      <c r="C136" s="160"/>
      <c r="D136" s="160"/>
      <c r="E136" s="160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267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363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218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327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9" t="s">
        <v>263</v>
      </c>
      <c r="B149" s="159"/>
      <c r="C149" s="159"/>
      <c r="D149" s="159"/>
      <c r="E149" s="159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264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319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9" t="s">
        <v>266</v>
      </c>
      <c r="B162" s="159"/>
      <c r="C162" s="159"/>
      <c r="D162" s="159"/>
      <c r="E162" s="159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264</v>
      </c>
      <c r="S162" s="74">
        <v>169760</v>
      </c>
      <c r="T162" s="99">
        <f>IFERROR(J162,"")</f>
        <v>0</v>
      </c>
    </row>
    <row r="163" spans="1:20" ht="18" customHeight="1">
      <c r="A163" s="160" t="s">
        <v>252</v>
      </c>
      <c r="B163" s="160"/>
      <c r="C163" s="160"/>
      <c r="D163" s="160"/>
      <c r="E163" s="160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267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277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277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364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277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277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277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277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277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277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277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277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277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9" t="s">
        <v>263</v>
      </c>
      <c r="B176" s="159"/>
      <c r="C176" s="159"/>
      <c r="D176" s="159"/>
      <c r="E176" s="159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264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277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365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277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277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330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277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330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277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277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9" t="s">
        <v>266</v>
      </c>
      <c r="B189" s="159"/>
      <c r="C189" s="159"/>
      <c r="D189" s="159"/>
      <c r="E189" s="159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264</v>
      </c>
      <c r="S189" s="74">
        <v>72220</v>
      </c>
      <c r="T189" s="99">
        <f>IFERROR(J189,"")</f>
        <v>0</v>
      </c>
    </row>
    <row r="190" spans="1:20" ht="18" customHeight="1">
      <c r="A190" s="160" t="s">
        <v>252</v>
      </c>
      <c r="B190" s="160"/>
      <c r="C190" s="160"/>
      <c r="D190" s="160"/>
      <c r="E190" s="160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267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195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195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9" t="s">
        <v>263</v>
      </c>
      <c r="B203" s="159"/>
      <c r="C203" s="159"/>
      <c r="D203" s="159"/>
      <c r="E203" s="159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264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366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9" t="s">
        <v>266</v>
      </c>
      <c r="B216" s="159"/>
      <c r="C216" s="159"/>
      <c r="D216" s="159"/>
      <c r="E216" s="159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264</v>
      </c>
      <c r="S216" s="74">
        <v>148720</v>
      </c>
      <c r="T216" s="99">
        <f>IFERROR(J216,"")</f>
        <v>0</v>
      </c>
    </row>
    <row r="217" spans="1:20" ht="18" customHeight="1">
      <c r="A217" s="160" t="s">
        <v>252</v>
      </c>
      <c r="B217" s="160"/>
      <c r="C217" s="160"/>
      <c r="D217" s="160"/>
      <c r="E217" s="160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267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367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368</v>
      </c>
      <c r="Q222" s="66" t="str">
        <f t="shared" ca="1" si="49"/>
        <v/>
      </c>
      <c r="R222" s="63" t="s">
        <v>369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9" t="s">
        <v>263</v>
      </c>
      <c r="B230" s="159"/>
      <c r="C230" s="159"/>
      <c r="D230" s="159"/>
      <c r="E230" s="159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264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9" t="s">
        <v>266</v>
      </c>
      <c r="B243" s="159"/>
      <c r="C243" s="159"/>
      <c r="D243" s="159"/>
      <c r="E243" s="159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264</v>
      </c>
      <c r="S243" s="74">
        <v>352720</v>
      </c>
      <c r="T243" s="99">
        <f>IFERROR(J243,"")</f>
        <v>0</v>
      </c>
    </row>
    <row r="244" spans="1:20" ht="18" customHeight="1">
      <c r="A244" s="160" t="s">
        <v>252</v>
      </c>
      <c r="B244" s="160"/>
      <c r="C244" s="160"/>
      <c r="D244" s="160"/>
      <c r="E244" s="160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267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370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262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262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9" t="s">
        <v>263</v>
      </c>
      <c r="B257" s="159"/>
      <c r="C257" s="159"/>
      <c r="D257" s="159"/>
      <c r="E257" s="159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264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277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277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277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277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277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277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277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277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277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277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277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277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9" t="s">
        <v>266</v>
      </c>
      <c r="B270" s="159"/>
      <c r="C270" s="159"/>
      <c r="D270" s="159"/>
      <c r="E270" s="159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264</v>
      </c>
      <c r="S270" s="74">
        <v>327900</v>
      </c>
      <c r="T270" s="99">
        <f>IFERROR(J270,"")</f>
        <v>0</v>
      </c>
    </row>
    <row r="271" spans="1:20" ht="18" customHeight="1">
      <c r="A271" s="160" t="s">
        <v>252</v>
      </c>
      <c r="B271" s="160"/>
      <c r="C271" s="160"/>
      <c r="D271" s="160"/>
      <c r="E271" s="160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267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277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277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277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277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262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277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9" t="s">
        <v>263</v>
      </c>
      <c r="B284" s="159"/>
      <c r="C284" s="159"/>
      <c r="D284" s="159"/>
      <c r="E284" s="159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264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262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262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277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262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262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262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262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262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262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262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262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262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9" t="s">
        <v>266</v>
      </c>
      <c r="B297" s="159"/>
      <c r="C297" s="159"/>
      <c r="D297" s="159"/>
      <c r="E297" s="159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264</v>
      </c>
      <c r="S297" s="74">
        <v>462190</v>
      </c>
      <c r="T297" s="99">
        <f>IFERROR(J297,"")</f>
        <v>0</v>
      </c>
    </row>
    <row r="298" spans="1:20" ht="18" customHeight="1">
      <c r="A298" s="160" t="s">
        <v>252</v>
      </c>
      <c r="B298" s="160"/>
      <c r="C298" s="160"/>
      <c r="D298" s="160"/>
      <c r="E298" s="160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267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277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212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277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212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277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197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277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277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277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277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277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277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277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277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277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9" t="s">
        <v>263</v>
      </c>
      <c r="B311" s="159"/>
      <c r="C311" s="159"/>
      <c r="D311" s="159"/>
      <c r="E311" s="159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264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277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277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277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277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277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277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277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277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277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277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277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277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9" t="s">
        <v>266</v>
      </c>
      <c r="B324" s="159"/>
      <c r="C324" s="159"/>
      <c r="D324" s="159"/>
      <c r="E324" s="159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264</v>
      </c>
      <c r="S324" s="74">
        <v>289490</v>
      </c>
      <c r="T324" s="99">
        <f>IFERROR(J324,"")</f>
        <v>41.68656</v>
      </c>
    </row>
    <row r="325" spans="1:20" ht="18" customHeight="1">
      <c r="A325" s="160" t="s">
        <v>252</v>
      </c>
      <c r="B325" s="160"/>
      <c r="C325" s="160"/>
      <c r="D325" s="160"/>
      <c r="E325" s="160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267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337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371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338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262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277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9" t="s">
        <v>263</v>
      </c>
      <c r="B338" s="159"/>
      <c r="C338" s="159"/>
      <c r="D338" s="159"/>
      <c r="E338" s="159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264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9" t="s">
        <v>266</v>
      </c>
      <c r="B351" s="159"/>
      <c r="C351" s="159"/>
      <c r="D351" s="159"/>
      <c r="E351" s="159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264</v>
      </c>
      <c r="S351" s="74">
        <v>256170</v>
      </c>
      <c r="T351" s="99">
        <f>IFERROR(J351,"")</f>
        <v>53.795699999999997</v>
      </c>
    </row>
    <row r="352" spans="1:20" ht="18" customHeight="1">
      <c r="A352" s="160" t="s">
        <v>252</v>
      </c>
      <c r="B352" s="160"/>
      <c r="C352" s="160"/>
      <c r="D352" s="160"/>
      <c r="E352" s="160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267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319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9" t="s">
        <v>263</v>
      </c>
      <c r="B365" s="159"/>
      <c r="C365" s="159"/>
      <c r="D365" s="159"/>
      <c r="E365" s="159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264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218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9" t="s">
        <v>266</v>
      </c>
      <c r="B378" s="159"/>
      <c r="C378" s="159"/>
      <c r="D378" s="159"/>
      <c r="E378" s="159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264</v>
      </c>
      <c r="S378" s="74">
        <v>360560</v>
      </c>
      <c r="T378" s="99">
        <f>IFERROR(J378,"")</f>
        <v>75.71759999999999</v>
      </c>
    </row>
    <row r="379" spans="1:20" ht="18" customHeight="1">
      <c r="A379" s="160" t="s">
        <v>252</v>
      </c>
      <c r="B379" s="160"/>
      <c r="C379" s="160"/>
      <c r="D379" s="160"/>
      <c r="E379" s="160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267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277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372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341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9" t="s">
        <v>263</v>
      </c>
      <c r="B392" s="159"/>
      <c r="C392" s="159"/>
      <c r="D392" s="159"/>
      <c r="E392" s="159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264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9" t="s">
        <v>266</v>
      </c>
      <c r="B405" s="159"/>
      <c r="C405" s="159"/>
      <c r="D405" s="159"/>
      <c r="E405" s="159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264</v>
      </c>
      <c r="S405" s="74">
        <v>489360</v>
      </c>
      <c r="T405" s="99">
        <f>IFERROR(J405,"")</f>
        <v>99.305125714285708</v>
      </c>
    </row>
    <row r="406" spans="1:20" ht="18" customHeight="1">
      <c r="A406" s="160" t="s">
        <v>252</v>
      </c>
      <c r="B406" s="160"/>
      <c r="C406" s="160"/>
      <c r="D406" s="160"/>
      <c r="E406" s="160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267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373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9" t="s">
        <v>263</v>
      </c>
      <c r="B419" s="159"/>
      <c r="C419" s="159"/>
      <c r="D419" s="159"/>
      <c r="E419" s="159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264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374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9" t="s">
        <v>266</v>
      </c>
      <c r="B432" s="159"/>
      <c r="C432" s="159"/>
      <c r="D432" s="159"/>
      <c r="E432" s="159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264</v>
      </c>
      <c r="S432" s="74">
        <v>180150</v>
      </c>
      <c r="T432" s="99">
        <f>IFERROR(J432,"")</f>
        <v>25.941599999999998</v>
      </c>
    </row>
    <row r="433" spans="1:20" ht="18" customHeight="1">
      <c r="A433" s="160" t="s">
        <v>252</v>
      </c>
      <c r="B433" s="160"/>
      <c r="C433" s="160"/>
      <c r="D433" s="160"/>
      <c r="E433" s="160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267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277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375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375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277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9" t="s">
        <v>263</v>
      </c>
      <c r="B446" s="159"/>
      <c r="C446" s="159"/>
      <c r="D446" s="159"/>
      <c r="E446" s="159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264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223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212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376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277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9" t="s">
        <v>266</v>
      </c>
      <c r="B459" s="159"/>
      <c r="C459" s="159"/>
      <c r="D459" s="159"/>
      <c r="E459" s="159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264</v>
      </c>
      <c r="S459" s="74">
        <v>471910</v>
      </c>
      <c r="T459" s="99">
        <f>IFERROR(J459,"")</f>
        <v>92.928007027027007</v>
      </c>
    </row>
    <row r="460" spans="1:20" ht="18" customHeight="1">
      <c r="A460" s="160" t="s">
        <v>252</v>
      </c>
      <c r="B460" s="160"/>
      <c r="C460" s="160"/>
      <c r="D460" s="160"/>
      <c r="E460" s="160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267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9" t="s">
        <v>263</v>
      </c>
      <c r="B473" s="159"/>
      <c r="C473" s="159"/>
      <c r="D473" s="159"/>
      <c r="E473" s="159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264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319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196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377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9" t="s">
        <v>266</v>
      </c>
      <c r="B486" s="159"/>
      <c r="C486" s="159"/>
      <c r="D486" s="159"/>
      <c r="E486" s="159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264</v>
      </c>
      <c r="S486" s="74">
        <v>261400</v>
      </c>
      <c r="T486" s="99">
        <f>IFERROR(J486,"")</f>
        <v>37.641599999999997</v>
      </c>
    </row>
    <row r="487" spans="1:20" ht="18" customHeight="1">
      <c r="A487" s="160" t="s">
        <v>252</v>
      </c>
      <c r="B487" s="160"/>
      <c r="C487" s="160"/>
      <c r="D487" s="160"/>
      <c r="E487" s="160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267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277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362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9" t="s">
        <v>263</v>
      </c>
      <c r="B500" s="159"/>
      <c r="C500" s="159"/>
      <c r="D500" s="159"/>
      <c r="E500" s="159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264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378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212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379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277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9" t="s">
        <v>266</v>
      </c>
      <c r="B513" s="159"/>
      <c r="C513" s="159"/>
      <c r="D513" s="159"/>
      <c r="E513" s="159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264</v>
      </c>
      <c r="S513" s="74">
        <v>357140</v>
      </c>
      <c r="T513" s="99">
        <f>IFERROR(J513,"")</f>
        <v>61.810729999999992</v>
      </c>
    </row>
    <row r="514" spans="1:20" ht="18" customHeight="1">
      <c r="A514" s="160" t="s">
        <v>252</v>
      </c>
      <c r="B514" s="160"/>
      <c r="C514" s="160"/>
      <c r="D514" s="160"/>
      <c r="E514" s="160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267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380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9" t="s">
        <v>263</v>
      </c>
      <c r="B527" s="159"/>
      <c r="C527" s="159"/>
      <c r="D527" s="159"/>
      <c r="E527" s="159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264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277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262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319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381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9" t="s">
        <v>266</v>
      </c>
      <c r="B540" s="159"/>
      <c r="C540" s="159"/>
      <c r="D540" s="159"/>
      <c r="E540" s="159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264</v>
      </c>
      <c r="S540" s="74">
        <v>270460</v>
      </c>
      <c r="T540" s="99">
        <f>IFERROR(J540,"")</f>
        <v>46.847219016393439</v>
      </c>
    </row>
    <row r="541" spans="1:20" ht="18" customHeight="1">
      <c r="A541" s="160" t="s">
        <v>252</v>
      </c>
      <c r="B541" s="160"/>
      <c r="C541" s="160"/>
      <c r="D541" s="160"/>
      <c r="E541" s="160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267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382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225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9" t="s">
        <v>263</v>
      </c>
      <c r="B554" s="159"/>
      <c r="C554" s="159"/>
      <c r="D554" s="159"/>
      <c r="E554" s="159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264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262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212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212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220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319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210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212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383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262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355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262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9" t="s">
        <v>266</v>
      </c>
      <c r="B567" s="159"/>
      <c r="C567" s="159"/>
      <c r="D567" s="159"/>
      <c r="E567" s="159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264</v>
      </c>
      <c r="S567" s="74">
        <v>524080</v>
      </c>
      <c r="T567" s="99">
        <f>IFERROR(J567,"")</f>
        <v>75.467519999999979</v>
      </c>
    </row>
    <row r="568" spans="1:20" ht="18" customHeight="1">
      <c r="A568" s="160" t="s">
        <v>252</v>
      </c>
      <c r="B568" s="160"/>
      <c r="C568" s="160"/>
      <c r="D568" s="160"/>
      <c r="E568" s="160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267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319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262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9" t="s">
        <v>263</v>
      </c>
      <c r="B581" s="159"/>
      <c r="C581" s="159"/>
      <c r="D581" s="159"/>
      <c r="E581" s="159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264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19.633978494623655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4.1231354838709668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24.54247311827957</v>
      </c>
      <c r="I583" s="90">
        <f>IFERROR(IF($D583="","",VLOOKUP($D583,Cadastro!$C$4:$G$7,5,FALSE())),"")</f>
        <v>0.6</v>
      </c>
      <c r="J583" s="91">
        <f t="shared" si="147"/>
        <v>5.1539193548387097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378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19.633978494623655</v>
      </c>
      <c r="I585" s="90">
        <f>IFERROR(IF($D585="","",VLOOKUP($D585,Cadastro!$C$4:$G$7,5,FALSE())),"")</f>
        <v>0.6</v>
      </c>
      <c r="J585" s="91">
        <f t="shared" si="147"/>
        <v>4.1231354838709668</v>
      </c>
      <c r="K585" s="69">
        <f t="shared" si="148"/>
        <v>16.8</v>
      </c>
      <c r="L585" s="70" t="s">
        <v>28</v>
      </c>
      <c r="M585" s="70" t="s">
        <v>56</v>
      </c>
      <c r="N585" s="70" t="s">
        <v>36</v>
      </c>
      <c r="O585" s="65">
        <v>0.24513888888888888</v>
      </c>
      <c r="P585" s="65">
        <v>0.25833333333333336</v>
      </c>
      <c r="Q585" s="71">
        <f t="shared" ca="1" si="149"/>
        <v>1.3194444444444481E-2</v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34.359462365591398</v>
      </c>
      <c r="I586" s="90">
        <f>IFERROR(IF($D586="","",VLOOKUP($D586,Cadastro!$C$4:$G$7,5,FALSE())),"")</f>
        <v>0.6</v>
      </c>
      <c r="J586" s="91">
        <f t="shared" si="147"/>
        <v>7.2154870967741935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88.352903225806457</v>
      </c>
      <c r="I587" s="90">
        <f>IFERROR(IF($D587="","",VLOOKUP($D587,Cadastro!$C$4:$G$7,5,FALSE())),"")</f>
        <v>0.6</v>
      </c>
      <c r="J587" s="91">
        <f t="shared" si="147"/>
        <v>18.554109677419355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34.359462365591398</v>
      </c>
      <c r="I588" s="90">
        <f>IFERROR(IF($D588="","",VLOOKUP($D588,Cadastro!$C$4:$G$7,5,FALSE())),"")</f>
        <v>0.6</v>
      </c>
      <c r="J588" s="91">
        <f t="shared" si="147"/>
        <v>7.2154870967741935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53.993440860215053</v>
      </c>
      <c r="I589" s="90">
        <f>IFERROR(IF($D589="","",VLOOKUP($D589,Cadastro!$C$4:$G$7,5,FALSE())),"")</f>
        <v>0.6</v>
      </c>
      <c r="J589" s="91">
        <f t="shared" si="147"/>
        <v>11.338622580645161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277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68.718924731182796</v>
      </c>
      <c r="I590" s="90">
        <f>IFERROR(IF($D590="","",VLOOKUP($D590,Cadastro!$C$4:$G$7,5,FALSE())),"")</f>
        <v>0.6</v>
      </c>
      <c r="J590" s="91">
        <f t="shared" si="147"/>
        <v>14.430974193548387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44.176451612903229</v>
      </c>
      <c r="I591" s="90">
        <f>IFERROR(IF($D591="","",VLOOKUP($D591,Cadastro!$C$4:$G$7,5,FALSE())),"")</f>
        <v>0.6</v>
      </c>
      <c r="J591" s="91">
        <f t="shared" si="147"/>
        <v>9.2770548387096774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262</v>
      </c>
      <c r="F592" s="88">
        <f>IFERROR(IF($D592="","",VLOOKUP($D592,Cadastro!$C$4:$E$7,3,FALSE())),"")</f>
        <v>0.35</v>
      </c>
      <c r="G592" s="89">
        <v>14</v>
      </c>
      <c r="H592" s="88">
        <f>IFERROR(IF($G592="","",$G592*$S$594/$G$594/Cadastro!$E$33),"")</f>
        <v>68.718924731182796</v>
      </c>
      <c r="I592" s="90">
        <f>IFERROR(IF($D592="","",VLOOKUP($D592,Cadastro!$C$4:$G$7,5,FALSE())),"")</f>
        <v>0.6</v>
      </c>
      <c r="J592" s="91">
        <f t="shared" si="147"/>
        <v>14.430974193548387</v>
      </c>
      <c r="K592" s="64">
        <f t="shared" si="148"/>
        <v>70</v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47"/>
        <v>0</v>
      </c>
      <c r="K593" s="69">
        <f t="shared" si="148"/>
        <v>0</v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9" t="s">
        <v>266</v>
      </c>
      <c r="B594" s="159"/>
      <c r="C594" s="159"/>
      <c r="D594" s="159"/>
      <c r="E594" s="159"/>
      <c r="F594" s="105"/>
      <c r="G594" s="96">
        <f>SUM(G582:G593)</f>
        <v>93</v>
      </c>
      <c r="H594" s="105">
        <f>IFERROR(SUM(H582:H593),"")</f>
        <v>456.49</v>
      </c>
      <c r="I594" s="106"/>
      <c r="J594" s="107">
        <f>IFERROR(SUM(J582:J593),"")</f>
        <v>95.862899999999996</v>
      </c>
      <c r="K594" s="2">
        <f>SUM(K582:K593)</f>
        <v>401.80000000000007</v>
      </c>
      <c r="L594" s="72"/>
      <c r="M594" s="72"/>
      <c r="N594" s="72"/>
      <c r="O594" s="72"/>
      <c r="P594" s="72"/>
      <c r="Q594" s="73">
        <f ca="1">IFERROR(SUM(Q582:Q593),"")</f>
        <v>0.11458333333333345</v>
      </c>
      <c r="R594" s="2" t="s">
        <v>264</v>
      </c>
      <c r="S594" s="74">
        <v>456490</v>
      </c>
      <c r="T594" s="99">
        <f>IFERROR(J594,"")</f>
        <v>95.862899999999996</v>
      </c>
    </row>
    <row r="595" spans="1:20" ht="18" customHeight="1">
      <c r="A595" s="160" t="s">
        <v>252</v>
      </c>
      <c r="B595" s="160"/>
      <c r="C595" s="160"/>
      <c r="D595" s="160"/>
      <c r="E595" s="160"/>
      <c r="F595" s="108"/>
      <c r="G595" s="109">
        <f>G581+G594</f>
        <v>256</v>
      </c>
      <c r="H595" s="108">
        <f>IFERROR(H581+H594,"")</f>
        <v>1087.82</v>
      </c>
      <c r="I595" s="110"/>
      <c r="J595" s="111">
        <f>IFERROR(J581+J594,"")</f>
        <v>228.44219999999996</v>
      </c>
      <c r="K595" s="1">
        <f>K581+K594</f>
        <v>1095.2000000000003</v>
      </c>
      <c r="L595" s="76"/>
      <c r="M595" s="76"/>
      <c r="N595" s="76"/>
      <c r="O595" s="76"/>
      <c r="P595" s="76"/>
      <c r="Q595" s="77">
        <f ca="1">IFERROR(Q581+Q594,"")</f>
        <v>0.27083333333333348</v>
      </c>
      <c r="R595" s="1" t="s">
        <v>267</v>
      </c>
      <c r="S595" s="82">
        <f>IFERROR(S581+S594,"")</f>
        <v>1087820</v>
      </c>
      <c r="T595" s="118">
        <f>IFERROR(J595,"")</f>
        <v>228.44219999999996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8</v>
      </c>
      <c r="H596" s="101">
        <f>IFERROR(IF($G596="","",$G596*$S$608/$G$608/Cadastro!$E$33),"")</f>
        <v>109.33439999999999</v>
      </c>
      <c r="I596" s="102">
        <f>IFERROR(IF($D596="","",VLOOKUP($D596,Cadastro!$C$4:$G$7,5,FALSE())),"")</f>
        <v>0.6</v>
      </c>
      <c r="J596" s="103">
        <f t="shared" ref="J596:J607" si="151">IFERROR(IF($H596="","",$H596*$F596*$I596),"")</f>
        <v>22.960223999999997</v>
      </c>
      <c r="K596" s="64">
        <f t="shared" ref="K596:K607" si="152">IF(G596="","",IF(E596="PC 17",G596*4.2,IF(E596="PC 19",G596*5,IF(E596="CB",G596*24,""))))</f>
        <v>33.6</v>
      </c>
      <c r="L596" s="61" t="s">
        <v>29</v>
      </c>
      <c r="M596" s="61" t="s">
        <v>56</v>
      </c>
      <c r="N596" s="61" t="s">
        <v>65</v>
      </c>
      <c r="O596" s="65">
        <v>0.3263888888888889</v>
      </c>
      <c r="P596" s="65">
        <v>0.35555555555555557</v>
      </c>
      <c r="Q596" s="66">
        <f t="shared" ref="Q596:Q607" ca="1" si="153">IFERROR(IF(O596="","",IF(P596="",MOD(NOW()-O596,1),IF(P596&gt;=O596,P596-O596,P596+1-O596))),"")</f>
        <v>2.9166666666666674E-2</v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3</v>
      </c>
      <c r="H597" s="88">
        <f>IFERROR(IF($G597="","",$G597*$S$608/$G$608/Cadastro!$E$33),"")</f>
        <v>41.000399999999999</v>
      </c>
      <c r="I597" s="90">
        <f>IFERROR(IF($D597="","",VLOOKUP($D597,Cadastro!$C$4:$G$7,5,FALSE())),"")</f>
        <v>0.6</v>
      </c>
      <c r="J597" s="91">
        <f t="shared" si="151"/>
        <v>8.6100839999999987</v>
      </c>
      <c r="K597" s="69">
        <f t="shared" si="152"/>
        <v>12.600000000000001</v>
      </c>
      <c r="L597" s="70" t="s">
        <v>29</v>
      </c>
      <c r="M597" s="70" t="s">
        <v>56</v>
      </c>
      <c r="N597" s="70" t="s">
        <v>60</v>
      </c>
      <c r="O597" s="65">
        <v>0.43888888888888888</v>
      </c>
      <c r="P597" s="65">
        <v>0.44236111111111109</v>
      </c>
      <c r="Q597" s="71">
        <f t="shared" ca="1" si="153"/>
        <v>3.4722222222222099E-3</v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3</v>
      </c>
      <c r="H598" s="88">
        <f>IFERROR(IF($G598="","",$G598*$S$608/$G$608/Cadastro!$E$33),"")</f>
        <v>41.000399999999999</v>
      </c>
      <c r="I598" s="90">
        <f>IFERROR(IF($D598="","",VLOOKUP($D598,Cadastro!$C$4:$G$7,5,FALSE())),"")</f>
        <v>0.6</v>
      </c>
      <c r="J598" s="91">
        <f t="shared" si="151"/>
        <v>8.6100839999999987</v>
      </c>
      <c r="K598" s="64">
        <f t="shared" si="152"/>
        <v>12.600000000000001</v>
      </c>
      <c r="L598" s="61" t="s">
        <v>29</v>
      </c>
      <c r="M598" s="61" t="s">
        <v>133</v>
      </c>
      <c r="N598" s="61" t="s">
        <v>123</v>
      </c>
      <c r="O598" s="65">
        <v>0.44791666666666669</v>
      </c>
      <c r="P598" s="65">
        <v>0.46319444444444446</v>
      </c>
      <c r="Q598" s="66">
        <f t="shared" ca="1" si="153"/>
        <v>1.5277777777777779E-2</v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95.667600000000007</v>
      </c>
      <c r="I599" s="90">
        <f>IFERROR(IF($D599="","",VLOOKUP($D599,Cadastro!$C$4:$G$7,5,FALSE())),"")</f>
        <v>0.6</v>
      </c>
      <c r="J599" s="91">
        <f t="shared" si="151"/>
        <v>20.090195999999999</v>
      </c>
      <c r="K599" s="69">
        <f t="shared" si="152"/>
        <v>29.400000000000002</v>
      </c>
      <c r="L599" s="70" t="s">
        <v>29</v>
      </c>
      <c r="M599" s="70" t="s">
        <v>56</v>
      </c>
      <c r="N599" s="70" t="s">
        <v>60</v>
      </c>
      <c r="O599" s="65">
        <v>0.46875</v>
      </c>
      <c r="P599" s="65">
        <v>0.50902777777777775</v>
      </c>
      <c r="Q599" s="71">
        <f t="shared" ca="1" si="153"/>
        <v>4.0277777777777746E-2</v>
      </c>
      <c r="R599" s="63" t="s">
        <v>319</v>
      </c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54.667199999999994</v>
      </c>
      <c r="I600" s="90">
        <f>IFERROR(IF($D600="","",VLOOKUP($D600,Cadastro!$C$4:$G$7,5,FALSE())),"")</f>
        <v>0.6</v>
      </c>
      <c r="J600" s="91">
        <f t="shared" si="151"/>
        <v>11.480111999999998</v>
      </c>
      <c r="K600" s="64">
        <f t="shared" si="152"/>
        <v>16.8</v>
      </c>
      <c r="L600" s="61" t="s">
        <v>29</v>
      </c>
      <c r="M600" s="61" t="s">
        <v>56</v>
      </c>
      <c r="N600" s="61" t="s">
        <v>60</v>
      </c>
      <c r="O600" s="65">
        <v>0.51875000000000004</v>
      </c>
      <c r="P600" s="65">
        <v>0.52430555555555558</v>
      </c>
      <c r="Q600" s="66">
        <f t="shared" ca="1" si="153"/>
        <v>5.5555555555555358E-3</v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9" t="s">
        <v>263</v>
      </c>
      <c r="B608" s="159"/>
      <c r="C608" s="159"/>
      <c r="D608" s="159"/>
      <c r="E608" s="159"/>
      <c r="F608" s="95"/>
      <c r="G608" s="96">
        <f>SUM(G596:G607)</f>
        <v>25</v>
      </c>
      <c r="H608" s="95">
        <f>IFERROR(SUM(H596:H607),"")</f>
        <v>341.66999999999996</v>
      </c>
      <c r="I608" s="97"/>
      <c r="J608" s="98">
        <f>IFERROR(SUM(J596:J607),"")</f>
        <v>71.750699999999995</v>
      </c>
      <c r="K608" s="2">
        <f>SUM(K596:K607)</f>
        <v>105</v>
      </c>
      <c r="L608" s="72"/>
      <c r="M608" s="72"/>
      <c r="N608" s="72"/>
      <c r="O608" s="72"/>
      <c r="P608" s="72"/>
      <c r="Q608" s="73">
        <f ca="1">IFERROR(SUM(Q596:Q607),"")</f>
        <v>9.3749999999999944E-2</v>
      </c>
      <c r="R608" s="2" t="s">
        <v>264</v>
      </c>
      <c r="S608" s="74">
        <f>736040-425430+31060</f>
        <v>341670</v>
      </c>
      <c r="T608" s="99">
        <f>IFERROR(J608,"")</f>
        <v>71.750699999999995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6</v>
      </c>
      <c r="H609" s="101">
        <f>IFERROR(IF($G609="","",$G609*$S$621/$G$621/Cadastro!$E$33),"")</f>
        <v>29.963249999999999</v>
      </c>
      <c r="I609" s="102">
        <f>IFERROR(IF($D609="","",VLOOKUP($D609,Cadastro!$C$4:$G$7,5,FALSE())),"")</f>
        <v>0.6</v>
      </c>
      <c r="J609" s="103">
        <f t="shared" ref="J609:J620" si="155">IFERROR(IF($H609="","",$H609*$F609*$I609),"")</f>
        <v>6.2922824999999998</v>
      </c>
      <c r="K609" s="69">
        <f>IF(G609="","",IF(E609="PC 17",G609*4.2,IF(E609="PC 19",G609*5,IF(E609="CB",G609*24,""))))</f>
        <v>25.200000000000003</v>
      </c>
      <c r="L609" s="70" t="s">
        <v>29</v>
      </c>
      <c r="M609" s="70" t="s">
        <v>56</v>
      </c>
      <c r="N609" s="70" t="s">
        <v>60</v>
      </c>
      <c r="O609" s="65">
        <v>0.80555555555555558</v>
      </c>
      <c r="P609" s="65">
        <v>0.86111111111111116</v>
      </c>
      <c r="Q609" s="71">
        <f t="shared" ref="Q609:Q620" ca="1" si="156">IFERROR(IF(O609="","",IF(P609="",MOD(NOW()-O609,1),IF(P609&gt;=O609,P609-O609,P609+1-O609))),"")</f>
        <v>5.555555555555558E-2</v>
      </c>
      <c r="R609" s="63" t="s">
        <v>375</v>
      </c>
      <c r="S609" s="81"/>
    </row>
    <row r="610" spans="1:20" ht="15" customHeight="1">
      <c r="A610" s="59">
        <v>46257</v>
      </c>
      <c r="B610" s="60">
        <f t="shared" ref="B610:B620" si="157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89">
        <v>0</v>
      </c>
      <c r="H610" s="88">
        <f>IFERROR(IF($G610="","",$G610*$S$621/$G$621/Cadastro!$E$33),"")</f>
        <v>0</v>
      </c>
      <c r="I610" s="90">
        <f>IFERROR(IF($D610="","",VLOOKUP($D610,Cadastro!$C$4:$G$7,5,FALSE())),"")</f>
        <v>0.6</v>
      </c>
      <c r="J610" s="91">
        <f t="shared" si="155"/>
        <v>0</v>
      </c>
      <c r="K610" s="69">
        <f>IF(G610="","",IF(E610="PC 17",G610*4.2,IF(E610="PC 19",G610*5,IF(E610="CB",G610*24,""))))</f>
        <v>0</v>
      </c>
      <c r="L610" s="61" t="s">
        <v>27</v>
      </c>
      <c r="M610" s="61" t="s">
        <v>56</v>
      </c>
      <c r="N610" s="61" t="s">
        <v>178</v>
      </c>
      <c r="O610" s="65">
        <v>8.1250000000000003E-2</v>
      </c>
      <c r="P610" s="65">
        <v>9.4444444444444442E-2</v>
      </c>
      <c r="Q610" s="66">
        <f t="shared" ca="1" si="156"/>
        <v>1.3194444444444439E-2</v>
      </c>
      <c r="R610" s="63"/>
      <c r="S610" s="81"/>
    </row>
    <row r="611" spans="1:20" ht="15" customHeight="1">
      <c r="A611" s="18">
        <v>46257</v>
      </c>
      <c r="B611" s="68">
        <f t="shared" si="157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14</v>
      </c>
      <c r="H611" s="88">
        <f>IFERROR(IF($G611="","",$G611*$S$621/$G$621/Cadastro!$E$33),"")</f>
        <v>69.914249999999996</v>
      </c>
      <c r="I611" s="90">
        <f>IFERROR(IF($D611="","",VLOOKUP($D611,Cadastro!$C$4:$G$7,5,FALSE())),"")</f>
        <v>0.6</v>
      </c>
      <c r="J611" s="91">
        <f t="shared" si="155"/>
        <v>14.681992499999998</v>
      </c>
      <c r="K611" s="69">
        <f t="shared" ref="K611:K615" si="158">IF(G611="","",IF(E611="PC 17",G611*4.2,IF(E611="PC 19",G611*5,IF(E611="CB",G611*24,""))))</f>
        <v>58.800000000000004</v>
      </c>
      <c r="L611" s="70"/>
      <c r="M611" s="70"/>
      <c r="N611" s="70"/>
      <c r="O611" s="65"/>
      <c r="P611" s="65"/>
      <c r="Q611" s="71" t="str">
        <f t="shared" ca="1" si="156"/>
        <v/>
      </c>
      <c r="R611" s="63"/>
      <c r="S611" s="81"/>
    </row>
    <row r="612" spans="1:20" ht="15" customHeight="1">
      <c r="A612" s="59">
        <v>46257</v>
      </c>
      <c r="B612" s="60">
        <f t="shared" si="157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12</v>
      </c>
      <c r="H612" s="88">
        <f>IFERROR(IF($G612="","",$G612*$S$621/$G$621/Cadastro!$E$33),"")</f>
        <v>59.926499999999997</v>
      </c>
      <c r="I612" s="90">
        <f>IFERROR(IF($D612="","",VLOOKUP($D612,Cadastro!$C$4:$G$7,5,FALSE())),"")</f>
        <v>0.6</v>
      </c>
      <c r="J612" s="91">
        <f t="shared" si="155"/>
        <v>12.584565</v>
      </c>
      <c r="K612" s="64">
        <f t="shared" si="158"/>
        <v>50.400000000000006</v>
      </c>
      <c r="L612" s="61"/>
      <c r="M612" s="61"/>
      <c r="N612" s="61"/>
      <c r="O612" s="65"/>
      <c r="P612" s="65"/>
      <c r="Q612" s="66" t="str">
        <f t="shared" ca="1" si="156"/>
        <v/>
      </c>
      <c r="R612" s="63"/>
      <c r="S612" s="81"/>
    </row>
    <row r="613" spans="1:20" ht="15" customHeight="1">
      <c r="A613" s="18">
        <v>46257</v>
      </c>
      <c r="B613" s="68">
        <f t="shared" si="157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9</v>
      </c>
      <c r="H613" s="88">
        <f>IFERROR(IF($G613="","",$G613*$S$621/$G$621/Cadastro!$E$33),"")</f>
        <v>44.944875000000003</v>
      </c>
      <c r="I613" s="90">
        <f>IFERROR(IF($D613="","",VLOOKUP($D613,Cadastro!$C$4:$G$7,5,FALSE())),"")</f>
        <v>0.6</v>
      </c>
      <c r="J613" s="91">
        <f t="shared" si="155"/>
        <v>9.4384237500000001</v>
      </c>
      <c r="K613" s="69">
        <f t="shared" si="158"/>
        <v>37.800000000000004</v>
      </c>
      <c r="L613" s="70"/>
      <c r="M613" s="70"/>
      <c r="N613" s="70"/>
      <c r="O613" s="65"/>
      <c r="P613" s="65"/>
      <c r="Q613" s="71" t="str">
        <f t="shared" ca="1" si="156"/>
        <v/>
      </c>
      <c r="R613" s="63"/>
      <c r="S613" s="81"/>
    </row>
    <row r="614" spans="1:20" ht="15" customHeight="1">
      <c r="A614" s="59">
        <v>46257</v>
      </c>
      <c r="B614" s="60">
        <f t="shared" si="157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5</v>
      </c>
      <c r="H614" s="88">
        <f>IFERROR(IF($G614="","",$G614*$S$621/$G$621/Cadastro!$E$33),"")</f>
        <v>24.969374999999999</v>
      </c>
      <c r="I614" s="90">
        <f>IFERROR(IF($D614="","",VLOOKUP($D614,Cadastro!$C$4:$G$7,5,FALSE())),"")</f>
        <v>0.6</v>
      </c>
      <c r="J614" s="91">
        <f t="shared" si="155"/>
        <v>5.2435687499999997</v>
      </c>
      <c r="K614" s="64">
        <f t="shared" si="158"/>
        <v>21</v>
      </c>
      <c r="L614" s="61"/>
      <c r="M614" s="61"/>
      <c r="N614" s="61"/>
      <c r="O614" s="65"/>
      <c r="P614" s="65"/>
      <c r="Q614" s="66" t="str">
        <f t="shared" ca="1" si="156"/>
        <v/>
      </c>
      <c r="R614" s="63" t="s">
        <v>384</v>
      </c>
      <c r="S614" s="81"/>
    </row>
    <row r="615" spans="1:20" ht="15" customHeight="1">
      <c r="A615" s="18">
        <v>46257</v>
      </c>
      <c r="B615" s="68">
        <f t="shared" si="157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5</v>
      </c>
      <c r="H615" s="88">
        <f>IFERROR(IF($G615="","",$G615*$S$621/$G$621/Cadastro!$E$33),"")</f>
        <v>24.969374999999999</v>
      </c>
      <c r="I615" s="90">
        <f>IFERROR(IF($D615="","",VLOOKUP($D615,Cadastro!$C$4:$G$7,5,FALSE())),"")</f>
        <v>0.6</v>
      </c>
      <c r="J615" s="91">
        <f t="shared" si="155"/>
        <v>5.2435687499999997</v>
      </c>
      <c r="K615" s="69">
        <f t="shared" si="158"/>
        <v>21</v>
      </c>
      <c r="L615" s="70"/>
      <c r="M615" s="70"/>
      <c r="N615" s="70"/>
      <c r="O615" s="65"/>
      <c r="P615" s="65"/>
      <c r="Q615" s="71" t="str">
        <f t="shared" ca="1" si="156"/>
        <v/>
      </c>
      <c r="R615" s="63" t="s">
        <v>384</v>
      </c>
      <c r="S615" s="81"/>
    </row>
    <row r="616" spans="1:20" ht="15" customHeight="1">
      <c r="A616" s="59">
        <v>46257</v>
      </c>
      <c r="B616" s="60">
        <f t="shared" si="157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8</v>
      </c>
      <c r="H616" s="88">
        <f>IFERROR(IF($G616="","",$G616*$S$621/$G$621/Cadastro!$E$33),"")</f>
        <v>39.951000000000001</v>
      </c>
      <c r="I616" s="90">
        <f>IFERROR(IF($D616="","",VLOOKUP($D616,Cadastro!$C$4:$G$7,5,FALSE())),"")</f>
        <v>0.6</v>
      </c>
      <c r="J616" s="91">
        <f t="shared" si="155"/>
        <v>8.3897099999999991</v>
      </c>
      <c r="K616" s="64">
        <f>IF(G616="","",IF(E616="PC 17",G616*4.2,IF(E616="PC 19",G616*5,IF(E616="CB",G616*24,""))))</f>
        <v>33.6</v>
      </c>
      <c r="L616" s="61"/>
      <c r="M616" s="61"/>
      <c r="N616" s="61"/>
      <c r="O616" s="65"/>
      <c r="P616" s="65"/>
      <c r="Q616" s="66" t="str">
        <f t="shared" ca="1" si="156"/>
        <v/>
      </c>
      <c r="R616" s="65" t="s">
        <v>384</v>
      </c>
      <c r="S616" s="81"/>
    </row>
    <row r="617" spans="1:20" ht="15" customHeight="1">
      <c r="A617" s="18">
        <v>46257</v>
      </c>
      <c r="B617" s="68">
        <f t="shared" si="157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3</v>
      </c>
      <c r="H617" s="88">
        <f>IFERROR(IF($G617="","",$G617*$S$621/$G$621/Cadastro!$E$33),"")</f>
        <v>14.981624999999999</v>
      </c>
      <c r="I617" s="90">
        <f>IFERROR(IF($D617="","",VLOOKUP($D617,Cadastro!$C$4:$G$7,5,FALSE())),"")</f>
        <v>0.6</v>
      </c>
      <c r="J617" s="91">
        <f t="shared" si="155"/>
        <v>3.1461412499999999</v>
      </c>
      <c r="K617" s="69">
        <f>IF(G617="","",IF(E617="PC 17",G617*4.2,IF(E617="PC 19",G617*5,IF(E617="CB",G617*24,""))))</f>
        <v>12.600000000000001</v>
      </c>
      <c r="L617" s="70"/>
      <c r="M617" s="70"/>
      <c r="N617" s="70"/>
      <c r="O617" s="65"/>
      <c r="P617" s="65"/>
      <c r="Q617" s="71" t="str">
        <f t="shared" ca="1" si="156"/>
        <v/>
      </c>
      <c r="R617" s="63"/>
      <c r="S617" s="81"/>
    </row>
    <row r="618" spans="1:20" ht="15" customHeight="1">
      <c r="A618" s="59">
        <v>46257</v>
      </c>
      <c r="B618" s="60">
        <f t="shared" si="157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7</v>
      </c>
      <c r="H618" s="88">
        <f>IFERROR(IF($G618="","",$G618*$S$621/$G$621/Cadastro!$E$33),"")</f>
        <v>34.957124999999998</v>
      </c>
      <c r="I618" s="90">
        <f>IFERROR(IF($D618="","",VLOOKUP($D618,Cadastro!$C$4:$G$7,5,FALSE())),"")</f>
        <v>0.6</v>
      </c>
      <c r="J618" s="91">
        <f t="shared" si="155"/>
        <v>7.340996249999999</v>
      </c>
      <c r="K618" s="64">
        <f>IF(G618="","",IF(E618="PC 17",G618*4.2,IF(E618="PC 19",G618*5,IF(E618="CB",G618*24,""))))</f>
        <v>29.400000000000002</v>
      </c>
      <c r="L618" s="61"/>
      <c r="M618" s="61"/>
      <c r="N618" s="61"/>
      <c r="O618" s="65"/>
      <c r="P618" s="65"/>
      <c r="Q618" s="66" t="str">
        <f t="shared" ca="1" si="156"/>
        <v/>
      </c>
      <c r="R618" s="63"/>
      <c r="S618" s="81"/>
    </row>
    <row r="619" spans="1:20" ht="15" customHeight="1">
      <c r="A619" s="18">
        <v>46257</v>
      </c>
      <c r="B619" s="68">
        <f t="shared" si="157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8</v>
      </c>
      <c r="H619" s="88">
        <f>IFERROR(IF($G619="","",$G619*$S$621/$G$621/Cadastro!$E$33),"")</f>
        <v>39.951000000000001</v>
      </c>
      <c r="I619" s="90">
        <f>IFERROR(IF($D619="","",VLOOKUP($D619,Cadastro!$C$4:$G$7,5,FALSE())),"")</f>
        <v>0.6</v>
      </c>
      <c r="J619" s="91">
        <f t="shared" si="155"/>
        <v>8.3897099999999991</v>
      </c>
      <c r="K619" s="69">
        <f>IF(G619="","",IF(E619="PC 17",G619*4.2,IF(E619="PC 19",G619*5,IF(E619="CB",G619*24,""))))</f>
        <v>33.6</v>
      </c>
      <c r="L619" s="70"/>
      <c r="M619" s="70"/>
      <c r="N619" s="70"/>
      <c r="O619" s="65"/>
      <c r="P619" s="65"/>
      <c r="Q619" s="71" t="str">
        <f t="shared" ca="1" si="156"/>
        <v/>
      </c>
      <c r="R619" s="63"/>
      <c r="S619" s="81"/>
    </row>
    <row r="620" spans="1:20" ht="15" customHeight="1">
      <c r="A620" s="59">
        <v>46257</v>
      </c>
      <c r="B620" s="60">
        <f t="shared" si="157"/>
        <v>1.2916666666666667</v>
      </c>
      <c r="C620" s="70" t="s">
        <v>38</v>
      </c>
      <c r="D620" s="75" t="s">
        <v>31</v>
      </c>
      <c r="E620" s="100" t="s">
        <v>262</v>
      </c>
      <c r="F620" s="92">
        <f>IFERROR(IF($D620="","",VLOOKUP($D620,Cadastro!$C$4:$E$7,3,FALSE())),"")</f>
        <v>0.35</v>
      </c>
      <c r="G620" s="89">
        <v>3</v>
      </c>
      <c r="H620" s="92">
        <f>IFERROR(IF($G620="","",$G620*$S$621/$G$621/Cadastro!$E$33),"")</f>
        <v>14.981624999999999</v>
      </c>
      <c r="I620" s="93">
        <f>IFERROR(IF($D620="","",VLOOKUP($D620,Cadastro!$C$4:$G$7,5,FALSE())),"")</f>
        <v>0.6</v>
      </c>
      <c r="J620" s="94">
        <f t="shared" si="155"/>
        <v>3.1461412499999999</v>
      </c>
      <c r="K620" s="64">
        <f>IF(G620="","",IF(E620="PC 17",G620*4.2,IF(E620="PC 19",G620*5,IF(E620="CB",G620*24,""))))</f>
        <v>15</v>
      </c>
      <c r="L620" s="61"/>
      <c r="M620" s="61"/>
      <c r="N620" s="61"/>
      <c r="O620" s="65"/>
      <c r="P620" s="65"/>
      <c r="Q620" s="66" t="str">
        <f t="shared" ca="1" si="156"/>
        <v/>
      </c>
      <c r="R620" s="63"/>
      <c r="S620" s="81"/>
    </row>
    <row r="621" spans="1:20" ht="15.75" customHeight="1">
      <c r="A621" s="159" t="s">
        <v>266</v>
      </c>
      <c r="B621" s="159"/>
      <c r="C621" s="159"/>
      <c r="D621" s="159"/>
      <c r="E621" s="159"/>
      <c r="F621" s="105"/>
      <c r="G621" s="96">
        <f>SUM(G609:G620)</f>
        <v>80</v>
      </c>
      <c r="H621" s="105">
        <f>IFERROR(SUM(H609:H620),"")</f>
        <v>399.5100000000001</v>
      </c>
      <c r="I621" s="106"/>
      <c r="J621" s="107">
        <f>IFERROR(SUM(J609:J620),"")</f>
        <v>83.897099999999995</v>
      </c>
      <c r="K621" s="2">
        <f>SUM(K609:K620)</f>
        <v>338.40000000000003</v>
      </c>
      <c r="L621" s="72"/>
      <c r="M621" s="72"/>
      <c r="N621" s="72"/>
      <c r="O621" s="72"/>
      <c r="P621" s="72"/>
      <c r="Q621" s="73">
        <f ca="1">IFERROR(SUM(Q609:Q620),"")</f>
        <v>6.8750000000000019E-2</v>
      </c>
      <c r="R621" s="2" t="s">
        <v>264</v>
      </c>
      <c r="S621" s="74">
        <v>399510</v>
      </c>
      <c r="T621" s="99">
        <f>IFERROR(J621,"")</f>
        <v>83.897099999999995</v>
      </c>
    </row>
    <row r="622" spans="1:20" ht="18" customHeight="1">
      <c r="A622" s="160" t="s">
        <v>252</v>
      </c>
      <c r="B622" s="160"/>
      <c r="C622" s="160"/>
      <c r="D622" s="160"/>
      <c r="E622" s="160"/>
      <c r="F622" s="108"/>
      <c r="G622" s="109">
        <f>G608+G621</f>
        <v>105</v>
      </c>
      <c r="H622" s="108">
        <f>IFERROR(H608+H621,"")</f>
        <v>741.18000000000006</v>
      </c>
      <c r="I622" s="110"/>
      <c r="J622" s="111">
        <f>IFERROR(J608+J621,"")</f>
        <v>155.64779999999999</v>
      </c>
      <c r="K622" s="1">
        <f>K608+K621</f>
        <v>443.40000000000003</v>
      </c>
      <c r="L622" s="76"/>
      <c r="M622" s="76"/>
      <c r="N622" s="76"/>
      <c r="O622" s="76"/>
      <c r="P622" s="76"/>
      <c r="Q622" s="77">
        <f ca="1">IFERROR(Q608+Q621,"")</f>
        <v>0.16249999999999998</v>
      </c>
      <c r="R622" s="1" t="s">
        <v>267</v>
      </c>
      <c r="S622" s="82">
        <f>IFERROR(S608+S621,"")</f>
        <v>741180</v>
      </c>
      <c r="T622" s="118">
        <f>IFERROR(J622,"")</f>
        <v>155.64779999999999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11</v>
      </c>
      <c r="H623" s="101">
        <f>IFERROR(IF($G623="","",$G623*$S$635/$G$635/Cadastro!$E$33),"")</f>
        <v>44.44</v>
      </c>
      <c r="I623" s="102">
        <f>IFERROR(IF($D623="","",VLOOKUP($D623,Cadastro!$C$4:$G$7,5,FALSE())),"")</f>
        <v>0.6</v>
      </c>
      <c r="J623" s="103">
        <f t="shared" ref="J623:J634" si="159">IFERROR(IF($H623="","",$H623*$F623*$I623),"")</f>
        <v>9.332399999999998</v>
      </c>
      <c r="K623" s="69">
        <f t="shared" ref="K623:K634" si="160">IF(G623="","",IF(E623="PC 17",G623*4.2,IF(E623="PC 19",G623*5,IF(E623="CB",G623*24,""))))</f>
        <v>46.2</v>
      </c>
      <c r="L623" s="70" t="s">
        <v>27</v>
      </c>
      <c r="M623" s="70" t="s">
        <v>149</v>
      </c>
      <c r="N623" s="70" t="s">
        <v>228</v>
      </c>
      <c r="O623" s="65">
        <v>0.3125</v>
      </c>
      <c r="P623" s="65">
        <v>0.3576388888888889</v>
      </c>
      <c r="Q623" s="71">
        <f t="shared" ref="Q623:Q634" ca="1" si="161">IFERROR(IF(O623="","",IF(P623="",MOD(NOW()-O623,1),IF(P623&gt;=O623,P623-O623,P623+1-O623))),"")</f>
        <v>4.5138888888888895E-2</v>
      </c>
      <c r="R623" s="63" t="s">
        <v>360</v>
      </c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4</v>
      </c>
      <c r="H624" s="88">
        <f>IFERROR(IF($G624="","",$G624*$S$635/$G$635/Cadastro!$E$33),"")</f>
        <v>16.16</v>
      </c>
      <c r="I624" s="90">
        <f>IFERROR(IF($D624="","",VLOOKUP($D624,Cadastro!$C$4:$G$7,5,FALSE())),"")</f>
        <v>0.6</v>
      </c>
      <c r="J624" s="91">
        <f t="shared" si="159"/>
        <v>3.3935999999999997</v>
      </c>
      <c r="K624" s="64">
        <f t="shared" si="160"/>
        <v>16.8</v>
      </c>
      <c r="L624" s="61" t="s">
        <v>29</v>
      </c>
      <c r="M624" s="61"/>
      <c r="N624" s="61" t="s">
        <v>212</v>
      </c>
      <c r="O624" s="65">
        <v>0.53472222222222221</v>
      </c>
      <c r="P624" s="65">
        <v>0.5395833333333333</v>
      </c>
      <c r="Q624" s="66">
        <f t="shared" ca="1" si="161"/>
        <v>4.8611111111110938E-3</v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5</v>
      </c>
      <c r="H625" s="88">
        <f>IFERROR(IF($G625="","",$G625*$S$635/$G$635/Cadastro!$E$33),"")</f>
        <v>20.2</v>
      </c>
      <c r="I625" s="90">
        <f>IFERROR(IF($D625="","",VLOOKUP($D625,Cadastro!$C$4:$G$7,5,FALSE())),"")</f>
        <v>0.6</v>
      </c>
      <c r="J625" s="91">
        <f t="shared" si="159"/>
        <v>4.2419999999999991</v>
      </c>
      <c r="K625" s="69">
        <f t="shared" si="160"/>
        <v>21</v>
      </c>
      <c r="L625" s="70" t="s">
        <v>29</v>
      </c>
      <c r="M625" s="70" t="s">
        <v>56</v>
      </c>
      <c r="N625" s="70" t="s">
        <v>212</v>
      </c>
      <c r="O625" s="65">
        <v>0.59027777777777779</v>
      </c>
      <c r="P625" s="65">
        <v>0.59375</v>
      </c>
      <c r="Q625" s="71">
        <f t="shared" ca="1" si="161"/>
        <v>3.4722222222222099E-3</v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6</v>
      </c>
      <c r="H626" s="88">
        <f>IFERROR(IF($G626="","",$G626*$S$635/$G$635/Cadastro!$E$33),"")</f>
        <v>24.24</v>
      </c>
      <c r="I626" s="90">
        <f>IFERROR(IF($D626="","",VLOOKUP($D626,Cadastro!$C$4:$G$7,5,FALSE())),"")</f>
        <v>0.6</v>
      </c>
      <c r="J626" s="91">
        <f t="shared" si="159"/>
        <v>5.0903999999999989</v>
      </c>
      <c r="K626" s="64">
        <f t="shared" si="160"/>
        <v>25.200000000000003</v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2</v>
      </c>
      <c r="H627" s="88">
        <f>IFERROR(IF($G627="","",$G627*$S$635/$G$635/Cadastro!$E$33),"")</f>
        <v>8.08</v>
      </c>
      <c r="I627" s="90">
        <f>IFERROR(IF($D627="","",VLOOKUP($D627,Cadastro!$C$4:$G$7,5,FALSE())),"")</f>
        <v>0.6</v>
      </c>
      <c r="J627" s="91">
        <f t="shared" si="159"/>
        <v>1.6967999999999999</v>
      </c>
      <c r="K627" s="69">
        <f t="shared" si="160"/>
        <v>8.4</v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6</v>
      </c>
      <c r="H628" s="88">
        <f>IFERROR(IF($G628="","",$G628*$S$635/$G$635/Cadastro!$E$33),"")</f>
        <v>24.24</v>
      </c>
      <c r="I628" s="90">
        <f>IFERROR(IF($D628="","",VLOOKUP($D628,Cadastro!$C$4:$G$7,5,FALSE())),"")</f>
        <v>0.6</v>
      </c>
      <c r="J628" s="91">
        <f t="shared" si="159"/>
        <v>5.0903999999999989</v>
      </c>
      <c r="K628" s="64">
        <f t="shared" si="160"/>
        <v>25.200000000000003</v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9</v>
      </c>
      <c r="H629" s="88">
        <f>IFERROR(IF($G629="","",$G629*$S$635/$G$635/Cadastro!$E$33),"")</f>
        <v>36.36</v>
      </c>
      <c r="I629" s="90">
        <f>IFERROR(IF($D629="","",VLOOKUP($D629,Cadastro!$C$4:$G$7,5,FALSE())),"")</f>
        <v>0.6</v>
      </c>
      <c r="J629" s="91">
        <f t="shared" si="159"/>
        <v>7.6355999999999993</v>
      </c>
      <c r="K629" s="69">
        <f t="shared" si="160"/>
        <v>37.800000000000004</v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5</v>
      </c>
      <c r="H630" s="88">
        <f>IFERROR(IF($G630="","",$G630*$S$635/$G$635/Cadastro!$E$33),"")</f>
        <v>20.2</v>
      </c>
      <c r="I630" s="90">
        <f>IFERROR(IF($D630="","",VLOOKUP($D630,Cadastro!$C$4:$G$7,5,FALSE())),"")</f>
        <v>0.6</v>
      </c>
      <c r="J630" s="91">
        <f t="shared" si="159"/>
        <v>4.2419999999999991</v>
      </c>
      <c r="K630" s="64">
        <f t="shared" si="160"/>
        <v>21</v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5</v>
      </c>
      <c r="H631" s="88">
        <f>IFERROR(IF($G631="","",$G631*$S$635/$G$635/Cadastro!$E$33),"")</f>
        <v>20.2</v>
      </c>
      <c r="I631" s="90">
        <f>IFERROR(IF($D631="","",VLOOKUP($D631,Cadastro!$C$4:$G$7,5,FALSE())),"")</f>
        <v>0.6</v>
      </c>
      <c r="J631" s="91">
        <f t="shared" si="159"/>
        <v>4.2419999999999991</v>
      </c>
      <c r="K631" s="69">
        <f t="shared" si="160"/>
        <v>21</v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8</v>
      </c>
      <c r="H632" s="88">
        <f>IFERROR(IF($G632="","",$G632*$S$635/$G$635/Cadastro!$E$33),"")</f>
        <v>32.32</v>
      </c>
      <c r="I632" s="90">
        <f>IFERROR(IF($D632="","",VLOOKUP($D632,Cadastro!$C$4:$G$7,5,FALSE())),"")</f>
        <v>0.6</v>
      </c>
      <c r="J632" s="91">
        <f t="shared" si="159"/>
        <v>6.7871999999999995</v>
      </c>
      <c r="K632" s="64">
        <f t="shared" si="160"/>
        <v>33.6</v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5</v>
      </c>
      <c r="H633" s="88">
        <f>IFERROR(IF($G633="","",$G633*$S$635/$G$635/Cadastro!$E$33),"")</f>
        <v>20.2</v>
      </c>
      <c r="I633" s="90">
        <f>IFERROR(IF($D633="","",VLOOKUP($D633,Cadastro!$C$4:$G$7,5,FALSE())),"")</f>
        <v>0.6</v>
      </c>
      <c r="J633" s="91">
        <f t="shared" si="159"/>
        <v>4.2419999999999991</v>
      </c>
      <c r="K633" s="69">
        <f t="shared" si="160"/>
        <v>21</v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6</v>
      </c>
      <c r="H634" s="92">
        <f>IFERROR(IF($G634="","",$G634*$S$635/$G$635/Cadastro!$E$33),"")</f>
        <v>24.24</v>
      </c>
      <c r="I634" s="93">
        <f>IFERROR(IF($D634="","",VLOOKUP($D634,Cadastro!$C$4:$G$7,5,FALSE())),"")</f>
        <v>0.6</v>
      </c>
      <c r="J634" s="94">
        <f t="shared" si="159"/>
        <v>5.0903999999999989</v>
      </c>
      <c r="K634" s="64">
        <f t="shared" si="160"/>
        <v>25.200000000000003</v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9" t="s">
        <v>263</v>
      </c>
      <c r="B635" s="159"/>
      <c r="C635" s="159"/>
      <c r="D635" s="159"/>
      <c r="E635" s="159"/>
      <c r="F635" s="95"/>
      <c r="G635" s="96">
        <f>SUM(G623:G634)</f>
        <v>72</v>
      </c>
      <c r="H635" s="95">
        <f>IFERROR(SUM(H623:H634),"")</f>
        <v>290.87999999999994</v>
      </c>
      <c r="I635" s="97"/>
      <c r="J635" s="98">
        <f>IFERROR(SUM(J623:J634),"")</f>
        <v>61.084799999999987</v>
      </c>
      <c r="K635" s="2">
        <f>SUM(K623:K634)</f>
        <v>302.40000000000003</v>
      </c>
      <c r="L635" s="72"/>
      <c r="M635" s="72"/>
      <c r="N635" s="72"/>
      <c r="O635" s="72"/>
      <c r="P635" s="72"/>
      <c r="Q635" s="73">
        <f ca="1">IFERROR(SUM(Q623:Q634),"")</f>
        <v>5.3472222222222199E-2</v>
      </c>
      <c r="R635" s="2" t="s">
        <v>264</v>
      </c>
      <c r="S635" s="74">
        <v>290880</v>
      </c>
      <c r="T635" s="99">
        <f>IFERROR(J635,"")</f>
        <v>61.084799999999987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277</v>
      </c>
      <c r="F636" s="101">
        <f>IFERROR(IF($D636="","",VLOOKUP($D636,Cadastro!$C$4:$E$7,3,FALSE())),"")</f>
        <v>0.35</v>
      </c>
      <c r="G636" s="89">
        <v>11</v>
      </c>
      <c r="H636" s="101">
        <f>IFERROR(IF($G636="","",$G636*$S$648/$G$648/Cadastro!$E$33),"")</f>
        <v>0</v>
      </c>
      <c r="I636" s="102">
        <f>IFERROR(IF($D636="","",VLOOKUP($D636,Cadastro!$C$4:$G$7,5,FALSE())),"")</f>
        <v>0.6</v>
      </c>
      <c r="J636" s="103">
        <f t="shared" ref="J636:J647" si="163">IFERROR(IF($H636="","",$H636*$F636*$I636),"")</f>
        <v>0</v>
      </c>
      <c r="K636" s="64">
        <f t="shared" ref="K636:K647" si="164">IF(G636="","",IF(E636="PC 17",G636*4.2,IF(E636="PC 19",G636*5,IF(E636="CB",G636*24,""))))</f>
        <v>46.2</v>
      </c>
      <c r="L636" s="61" t="s">
        <v>28</v>
      </c>
      <c r="M636" s="61" t="s">
        <v>56</v>
      </c>
      <c r="N636" s="61" t="s">
        <v>36</v>
      </c>
      <c r="O636" s="65">
        <v>0.94027777777777777</v>
      </c>
      <c r="P636" s="65">
        <v>0.95138888888888884</v>
      </c>
      <c r="Q636" s="66">
        <f t="shared" ref="Q636:Q647" ca="1" si="165">IFERROR(IF(O636="","",IF(P636="",MOD(NOW()-O636,1),IF(P636&gt;=O636,P636-O636,P636+1-O636))),"")</f>
        <v>1.1111111111111072E-2</v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 t="s">
        <v>54</v>
      </c>
      <c r="D637" s="62" t="s">
        <v>31</v>
      </c>
      <c r="E637" s="87" t="s">
        <v>262</v>
      </c>
      <c r="F637" s="88">
        <f>IFERROR(IF($D637="","",VLOOKUP($D637,Cadastro!$C$4:$E$7,3,FALSE())),"")</f>
        <v>0.35</v>
      </c>
      <c r="G637" s="89">
        <v>12</v>
      </c>
      <c r="H637" s="88">
        <f>IFERROR(IF($G637="","",$G637*$S$648/$G$648/Cadastro!$E$33),"")</f>
        <v>0</v>
      </c>
      <c r="I637" s="90">
        <f>IFERROR(IF($D637="","",VLOOKUP($D637,Cadastro!$C$4:$G$7,5,FALSE())),"")</f>
        <v>0.6</v>
      </c>
      <c r="J637" s="91">
        <f t="shared" si="163"/>
        <v>0</v>
      </c>
      <c r="K637" s="69">
        <f t="shared" si="164"/>
        <v>60</v>
      </c>
      <c r="L637" s="70" t="s">
        <v>29</v>
      </c>
      <c r="M637" s="70" t="s">
        <v>56</v>
      </c>
      <c r="N637" s="70" t="s">
        <v>45</v>
      </c>
      <c r="O637" s="65">
        <v>0.99305555555555558</v>
      </c>
      <c r="P637" s="65">
        <v>1.0416666666666666E-2</v>
      </c>
      <c r="Q637" s="71">
        <f t="shared" ca="1" si="165"/>
        <v>1.736111111111116E-2</v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 t="s">
        <v>54</v>
      </c>
      <c r="D638" s="62" t="s">
        <v>31</v>
      </c>
      <c r="E638" s="87" t="s">
        <v>277</v>
      </c>
      <c r="F638" s="88">
        <f>IFERROR(IF($D638="","",VLOOKUP($D638,Cadastro!$C$4:$E$7,3,FALSE())),"")</f>
        <v>0.35</v>
      </c>
      <c r="G638" s="89">
        <v>3</v>
      </c>
      <c r="H638" s="88">
        <f>IFERROR(IF($G638="","",$G638*$S$648/$G$648/Cadastro!$E$33),"")</f>
        <v>0</v>
      </c>
      <c r="I638" s="90">
        <f>IFERROR(IF($D638="","",VLOOKUP($D638,Cadastro!$C$4:$G$7,5,FALSE())),"")</f>
        <v>0.6</v>
      </c>
      <c r="J638" s="91">
        <f t="shared" si="163"/>
        <v>0</v>
      </c>
      <c r="K638" s="64">
        <f t="shared" si="164"/>
        <v>12.600000000000001</v>
      </c>
      <c r="L638" s="61" t="s">
        <v>29</v>
      </c>
      <c r="M638" s="61" t="s">
        <v>56</v>
      </c>
      <c r="N638" s="61" t="s">
        <v>45</v>
      </c>
      <c r="O638" s="65">
        <v>4.583333333333333E-2</v>
      </c>
      <c r="P638" s="65">
        <v>5.2083333333333336E-2</v>
      </c>
      <c r="Q638" s="66">
        <f t="shared" ca="1" si="165"/>
        <v>6.2500000000000056E-3</v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 t="s">
        <v>54</v>
      </c>
      <c r="D639" s="62" t="s">
        <v>31</v>
      </c>
      <c r="E639" s="87" t="s">
        <v>277</v>
      </c>
      <c r="F639" s="88">
        <f>IFERROR(IF($D639="","",VLOOKUP($D639,Cadastro!$C$4:$E$7,3,FALSE())),"")</f>
        <v>0.35</v>
      </c>
      <c r="G639" s="89">
        <v>14</v>
      </c>
      <c r="H639" s="88">
        <f>IFERROR(IF($G639="","",$G639*$S$648/$G$648/Cadastro!$E$33),"")</f>
        <v>0</v>
      </c>
      <c r="I639" s="90">
        <f>IFERROR(IF($D639="","",VLOOKUP($D639,Cadastro!$C$4:$G$7,5,FALSE())),"")</f>
        <v>0.6</v>
      </c>
      <c r="J639" s="91">
        <f t="shared" si="163"/>
        <v>0</v>
      </c>
      <c r="K639" s="69">
        <f t="shared" si="164"/>
        <v>58.800000000000004</v>
      </c>
      <c r="L639" s="70" t="s">
        <v>29</v>
      </c>
      <c r="M639" s="70" t="s">
        <v>56</v>
      </c>
      <c r="N639" s="70" t="s">
        <v>65</v>
      </c>
      <c r="O639" s="65">
        <v>8.5416666666666669E-2</v>
      </c>
      <c r="P639" s="65">
        <v>0.10416666666666667</v>
      </c>
      <c r="Q639" s="71">
        <f t="shared" ca="1" si="165"/>
        <v>1.8750000000000003E-2</v>
      </c>
      <c r="R639" s="63" t="s">
        <v>385</v>
      </c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 t="s">
        <v>54</v>
      </c>
      <c r="D640" s="62" t="s">
        <v>31</v>
      </c>
      <c r="E640" s="87" t="s">
        <v>277</v>
      </c>
      <c r="F640" s="88">
        <f>IFERROR(IF($D640="","",VLOOKUP($D640,Cadastro!$C$4:$E$7,3,FALSE())),"")</f>
        <v>0.35</v>
      </c>
      <c r="G640" s="89">
        <v>6</v>
      </c>
      <c r="H640" s="88">
        <f>IFERROR(IF($G640="","",$G640*$S$648/$G$648/Cadastro!$E$33),"")</f>
        <v>0</v>
      </c>
      <c r="I640" s="90">
        <f>IFERROR(IF($D640="","",VLOOKUP($D640,Cadastro!$C$4:$G$7,5,FALSE())),"")</f>
        <v>0.6</v>
      </c>
      <c r="J640" s="91">
        <f t="shared" si="163"/>
        <v>0</v>
      </c>
      <c r="K640" s="64">
        <f t="shared" si="164"/>
        <v>25.200000000000003</v>
      </c>
      <c r="L640" s="61" t="s">
        <v>26</v>
      </c>
      <c r="M640" s="61" t="s">
        <v>56</v>
      </c>
      <c r="N640" s="61" t="s">
        <v>58</v>
      </c>
      <c r="O640" s="65">
        <v>0.10625</v>
      </c>
      <c r="P640" s="65">
        <v>0.1125</v>
      </c>
      <c r="Q640" s="66">
        <f t="shared" ca="1" si="165"/>
        <v>6.2500000000000056E-3</v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 t="s">
        <v>54</v>
      </c>
      <c r="D641" s="62" t="s">
        <v>31</v>
      </c>
      <c r="E641" s="87" t="s">
        <v>277</v>
      </c>
      <c r="F641" s="88">
        <f>IFERROR(IF($D641="","",VLOOKUP($D641,Cadastro!$C$4:$E$7,3,FALSE())),"")</f>
        <v>0.35</v>
      </c>
      <c r="G641" s="89">
        <v>5</v>
      </c>
      <c r="H641" s="88">
        <f>IFERROR(IF($G641="","",$G641*$S$648/$G$648/Cadastro!$E$33),"")</f>
        <v>0</v>
      </c>
      <c r="I641" s="90">
        <f>IFERROR(IF($D641="","",VLOOKUP($D641,Cadastro!$C$4:$G$7,5,FALSE())),"")</f>
        <v>0.6</v>
      </c>
      <c r="J641" s="91">
        <f t="shared" si="163"/>
        <v>0</v>
      </c>
      <c r="K641" s="69">
        <f t="shared" si="164"/>
        <v>21</v>
      </c>
      <c r="L641" s="70" t="s">
        <v>29</v>
      </c>
      <c r="M641" s="70" t="s">
        <v>56</v>
      </c>
      <c r="N641" s="70" t="s">
        <v>210</v>
      </c>
      <c r="O641" s="65">
        <v>0.1111111111111111</v>
      </c>
      <c r="P641" s="65">
        <v>0.125</v>
      </c>
      <c r="Q641" s="71">
        <f t="shared" ca="1" si="165"/>
        <v>1.3888888888888895E-2</v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 t="s">
        <v>54</v>
      </c>
      <c r="D642" s="62" t="s">
        <v>31</v>
      </c>
      <c r="E642" s="87" t="s">
        <v>277</v>
      </c>
      <c r="F642" s="88">
        <f>IFERROR(IF($D642="","",VLOOKUP($D642,Cadastro!$C$4:$E$7,3,FALSE())),"")</f>
        <v>0.35</v>
      </c>
      <c r="G642" s="89">
        <v>0</v>
      </c>
      <c r="H642" s="88">
        <f>IFERROR(IF($G642="","",$G642*$S$648/$G$648/Cadastro!$E$33),"")</f>
        <v>0</v>
      </c>
      <c r="I642" s="90">
        <f>IFERROR(IF($D642="","",VLOOKUP($D642,Cadastro!$C$4:$G$7,5,FALSE())),"")</f>
        <v>0.6</v>
      </c>
      <c r="J642" s="91">
        <f t="shared" si="163"/>
        <v>0</v>
      </c>
      <c r="K642" s="64">
        <f t="shared" si="164"/>
        <v>0</v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 t="s">
        <v>54</v>
      </c>
      <c r="D643" s="62" t="s">
        <v>31</v>
      </c>
      <c r="E643" s="87" t="s">
        <v>277</v>
      </c>
      <c r="F643" s="88">
        <f>IFERROR(IF($D643="","",VLOOKUP($D643,Cadastro!$C$4:$E$7,3,FALSE())),"")</f>
        <v>0.35</v>
      </c>
      <c r="G643" s="89">
        <v>5</v>
      </c>
      <c r="H643" s="88">
        <f>IFERROR(IF($G643="","",$G643*$S$648/$G$648/Cadastro!$E$33),"")</f>
        <v>0</v>
      </c>
      <c r="I643" s="90">
        <f>IFERROR(IF($D643="","",VLOOKUP($D643,Cadastro!$C$4:$G$7,5,FALSE())),"")</f>
        <v>0.6</v>
      </c>
      <c r="J643" s="91">
        <f t="shared" si="163"/>
        <v>0</v>
      </c>
      <c r="K643" s="69">
        <f t="shared" si="164"/>
        <v>21</v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 t="s">
        <v>54</v>
      </c>
      <c r="D644" s="62" t="s">
        <v>31</v>
      </c>
      <c r="E644" s="87" t="s">
        <v>277</v>
      </c>
      <c r="F644" s="88">
        <f>IFERROR(IF($D644="","",VLOOKUP($D644,Cadastro!$C$4:$E$7,3,FALSE())),"")</f>
        <v>0.35</v>
      </c>
      <c r="G644" s="89"/>
      <c r="H644" s="88" t="str">
        <f>IFERROR(IF($G644="","",$G644*$S$648/$G$648/Cadastro!$E$33),"")</f>
        <v/>
      </c>
      <c r="I644" s="90">
        <f>IFERROR(IF($D644="","",VLOOKUP($D644,Cadastro!$C$4:$G$7,5,FALSE())),"")</f>
        <v>0.6</v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 t="s">
        <v>54</v>
      </c>
      <c r="D645" s="62" t="s">
        <v>31</v>
      </c>
      <c r="E645" s="87" t="s">
        <v>277</v>
      </c>
      <c r="F645" s="88">
        <f>IFERROR(IF($D645="","",VLOOKUP($D645,Cadastro!$C$4:$E$7,3,FALSE())),"")</f>
        <v>0.35</v>
      </c>
      <c r="G645" s="89"/>
      <c r="H645" s="88" t="str">
        <f>IFERROR(IF($G645="","",$G645*$S$648/$G$648/Cadastro!$E$33),"")</f>
        <v/>
      </c>
      <c r="I645" s="90">
        <f>IFERROR(IF($D645="","",VLOOKUP($D645,Cadastro!$C$4:$G$7,5,FALSE())),"")</f>
        <v>0.6</v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 t="s">
        <v>54</v>
      </c>
      <c r="D646" s="62" t="s">
        <v>31</v>
      </c>
      <c r="E646" s="87" t="s">
        <v>277</v>
      </c>
      <c r="F646" s="88">
        <f>IFERROR(IF($D646="","",VLOOKUP($D646,Cadastro!$C$4:$E$7,3,FALSE())),"")</f>
        <v>0.35</v>
      </c>
      <c r="G646" s="89"/>
      <c r="H646" s="88" t="str">
        <f>IFERROR(IF($G646="","",$G646*$S$648/$G$648/Cadastro!$E$33),"")</f>
        <v/>
      </c>
      <c r="I646" s="90">
        <f>IFERROR(IF($D646="","",VLOOKUP($D646,Cadastro!$C$4:$G$7,5,FALSE())),"")</f>
        <v>0.6</v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 t="s">
        <v>54</v>
      </c>
      <c r="D647" s="62" t="s">
        <v>31</v>
      </c>
      <c r="E647" s="87" t="s">
        <v>277</v>
      </c>
      <c r="F647" s="92">
        <f>IFERROR(IF($D647="","",VLOOKUP($D647,Cadastro!$C$4:$E$7,3,FALSE())),"")</f>
        <v>0.35</v>
      </c>
      <c r="G647" s="89"/>
      <c r="H647" s="92" t="str">
        <f>IFERROR(IF($G647="","",$G647*$S$648/$G$648/Cadastro!$E$33),"")</f>
        <v/>
      </c>
      <c r="I647" s="93">
        <f>IFERROR(IF($D647="","",VLOOKUP($D647,Cadastro!$C$4:$G$7,5,FALSE())),"")</f>
        <v>0.6</v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9" t="s">
        <v>266</v>
      </c>
      <c r="B648" s="159"/>
      <c r="C648" s="159"/>
      <c r="D648" s="159"/>
      <c r="E648" s="159"/>
      <c r="F648" s="105"/>
      <c r="G648" s="96">
        <f>SUM(G636:G647)</f>
        <v>56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244.8</v>
      </c>
      <c r="L648" s="72"/>
      <c r="M648" s="72"/>
      <c r="N648" s="72"/>
      <c r="O648" s="72"/>
      <c r="P648" s="72"/>
      <c r="Q648" s="73">
        <f ca="1">IFERROR(SUM(Q636:Q647),"")</f>
        <v>7.3611111111111141E-2</v>
      </c>
      <c r="R648" s="2" t="s">
        <v>264</v>
      </c>
      <c r="S648" s="74"/>
      <c r="T648" s="99">
        <f>IFERROR(J648,"")</f>
        <v>0</v>
      </c>
    </row>
    <row r="649" spans="1:20" ht="18" customHeight="1">
      <c r="A649" s="160" t="s">
        <v>252</v>
      </c>
      <c r="B649" s="160"/>
      <c r="C649" s="160"/>
      <c r="D649" s="160"/>
      <c r="E649" s="160"/>
      <c r="F649" s="108"/>
      <c r="G649" s="109">
        <f>G635+G648</f>
        <v>128</v>
      </c>
      <c r="H649" s="108">
        <f>IFERROR(H635+H648,"")</f>
        <v>290.87999999999994</v>
      </c>
      <c r="I649" s="110"/>
      <c r="J649" s="111">
        <f>IFERROR(J635+J648,"")</f>
        <v>61.084799999999987</v>
      </c>
      <c r="K649" s="1">
        <f>K635+K648</f>
        <v>547.20000000000005</v>
      </c>
      <c r="L649" s="76"/>
      <c r="M649" s="76"/>
      <c r="N649" s="76"/>
      <c r="O649" s="76"/>
      <c r="P649" s="76"/>
      <c r="Q649" s="77">
        <f ca="1">IFERROR(Q635+Q648,"")</f>
        <v>0.12708333333333333</v>
      </c>
      <c r="R649" s="1" t="s">
        <v>267</v>
      </c>
      <c r="S649" s="82">
        <f>IFERROR(S635+S648,"")</f>
        <v>290880</v>
      </c>
      <c r="T649" s="118">
        <f>IFERROR(J649,"")</f>
        <v>61.084799999999987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9" t="s">
        <v>263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9" t="s">
        <v>266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60" t="s">
        <v>252</v>
      </c>
      <c r="B676" s="160"/>
      <c r="C676" s="160"/>
      <c r="D676" s="160"/>
      <c r="E676" s="160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9" t="s">
        <v>263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9" t="s">
        <v>266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60" t="s">
        <v>252</v>
      </c>
      <c r="B703" s="160"/>
      <c r="C703" s="160"/>
      <c r="D703" s="160"/>
      <c r="E703" s="160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9" t="s">
        <v>263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9" t="s">
        <v>266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60" t="s">
        <v>252</v>
      </c>
      <c r="B730" s="160"/>
      <c r="C730" s="160"/>
      <c r="D730" s="160"/>
      <c r="E730" s="160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9" t="s">
        <v>263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9" t="s">
        <v>266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60" t="s">
        <v>252</v>
      </c>
      <c r="B757" s="160"/>
      <c r="C757" s="160"/>
      <c r="D757" s="160"/>
      <c r="E757" s="160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9" t="s">
        <v>263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9" t="s">
        <v>266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60" t="s">
        <v>252</v>
      </c>
      <c r="B784" s="160"/>
      <c r="C784" s="160"/>
      <c r="D784" s="160"/>
      <c r="E784" s="160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9" t="s">
        <v>263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9" t="s">
        <v>266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60" t="s">
        <v>252</v>
      </c>
      <c r="B811" s="160"/>
      <c r="C811" s="160"/>
      <c r="D811" s="160"/>
      <c r="E811" s="160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9" t="s">
        <v>263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264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9" t="s">
        <v>266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264</v>
      </c>
      <c r="S837" s="74"/>
      <c r="T837" s="99">
        <f>IFERROR(J837,"")</f>
        <v>0</v>
      </c>
    </row>
    <row r="838" spans="1:20" ht="18" customHeight="1">
      <c r="A838" s="160" t="s">
        <v>252</v>
      </c>
      <c r="B838" s="160"/>
      <c r="C838" s="160"/>
      <c r="D838" s="160"/>
      <c r="E838" s="160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267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612" activePane="bottomLeft" state="frozen"/>
      <selection pane="bottomLeft" activeCell="M640" sqref="M640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308</v>
      </c>
      <c r="I1" s="86" t="s">
        <v>22</v>
      </c>
      <c r="J1" s="86" t="s">
        <v>309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9" t="s">
        <v>263</v>
      </c>
      <c r="B14" s="159"/>
      <c r="C14" s="159"/>
      <c r="D14" s="159"/>
      <c r="E14" s="159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264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277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277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386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277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316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277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355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277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387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277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277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277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388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277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277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277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277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9" t="s">
        <v>266</v>
      </c>
      <c r="B27" s="159"/>
      <c r="C27" s="159"/>
      <c r="D27" s="159"/>
      <c r="E27" s="159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264</v>
      </c>
      <c r="S27" s="74">
        <v>491520</v>
      </c>
      <c r="T27" s="99">
        <f>IFERROR(J27,"")</f>
        <v>0</v>
      </c>
    </row>
    <row r="28" spans="1:20" ht="18" customHeight="1">
      <c r="A28" s="160" t="s">
        <v>252</v>
      </c>
      <c r="B28" s="160"/>
      <c r="C28" s="160"/>
      <c r="D28" s="160"/>
      <c r="E28" s="160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267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277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277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277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277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277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277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277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277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277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277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277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277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9" t="s">
        <v>263</v>
      </c>
      <c r="B41" s="159"/>
      <c r="C41" s="159"/>
      <c r="D41" s="159"/>
      <c r="E41" s="159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264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389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9" t="s">
        <v>266</v>
      </c>
      <c r="B54" s="159"/>
      <c r="C54" s="159"/>
      <c r="D54" s="159"/>
      <c r="E54" s="159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264</v>
      </c>
      <c r="S54" s="74">
        <v>352430</v>
      </c>
      <c r="T54" s="99">
        <f>IFERROR(J54,"")</f>
        <v>0</v>
      </c>
    </row>
    <row r="55" spans="1:20" ht="18" customHeight="1">
      <c r="A55" s="160" t="s">
        <v>252</v>
      </c>
      <c r="B55" s="160"/>
      <c r="C55" s="160"/>
      <c r="D55" s="160"/>
      <c r="E55" s="160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267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277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220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277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390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277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391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277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277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277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277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277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277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277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9" t="s">
        <v>263</v>
      </c>
      <c r="B68" s="159"/>
      <c r="C68" s="159"/>
      <c r="D68" s="159"/>
      <c r="E68" s="159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264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233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392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355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220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277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9" t="s">
        <v>266</v>
      </c>
      <c r="B81" s="159"/>
      <c r="C81" s="159"/>
      <c r="D81" s="159"/>
      <c r="E81" s="159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264</v>
      </c>
      <c r="S81" s="74">
        <v>612410</v>
      </c>
      <c r="T81" s="99">
        <f>IFERROR(J81,"")</f>
        <v>0</v>
      </c>
    </row>
    <row r="82" spans="1:20" ht="18" customHeight="1">
      <c r="A82" s="160" t="s">
        <v>252</v>
      </c>
      <c r="B82" s="160"/>
      <c r="C82" s="160"/>
      <c r="D82" s="160"/>
      <c r="E82" s="160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267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277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9" t="s">
        <v>263</v>
      </c>
      <c r="B95" s="159"/>
      <c r="C95" s="159"/>
      <c r="D95" s="159"/>
      <c r="E95" s="159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264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355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9" t="s">
        <v>266</v>
      </c>
      <c r="B108" s="159"/>
      <c r="C108" s="159"/>
      <c r="D108" s="159"/>
      <c r="E108" s="159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264</v>
      </c>
      <c r="S108" s="74">
        <v>956070</v>
      </c>
      <c r="T108" s="99">
        <f>IFERROR(J108,"")</f>
        <v>0</v>
      </c>
    </row>
    <row r="109" spans="1:20" ht="18" customHeight="1">
      <c r="A109" s="160" t="s">
        <v>252</v>
      </c>
      <c r="B109" s="160"/>
      <c r="C109" s="160"/>
      <c r="D109" s="160"/>
      <c r="E109" s="160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267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233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238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238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393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9" t="s">
        <v>263</v>
      </c>
      <c r="B122" s="159"/>
      <c r="C122" s="159"/>
      <c r="D122" s="159"/>
      <c r="E122" s="159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264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220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394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319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355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9" t="s">
        <v>266</v>
      </c>
      <c r="B135" s="159"/>
      <c r="C135" s="159"/>
      <c r="D135" s="159"/>
      <c r="E135" s="159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264</v>
      </c>
      <c r="S135" s="74">
        <v>912240</v>
      </c>
      <c r="T135" s="99">
        <f>IFERROR(J135,"")</f>
        <v>0</v>
      </c>
    </row>
    <row r="136" spans="1:22" ht="18" customHeight="1">
      <c r="A136" s="160" t="s">
        <v>252</v>
      </c>
      <c r="B136" s="160"/>
      <c r="C136" s="160"/>
      <c r="D136" s="160"/>
      <c r="E136" s="160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267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395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396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327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263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264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397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398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9" t="s">
        <v>266</v>
      </c>
      <c r="B162" s="159"/>
      <c r="C162" s="159"/>
      <c r="D162" s="159"/>
      <c r="E162" s="159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264</v>
      </c>
      <c r="S162" s="74">
        <v>573230</v>
      </c>
      <c r="T162" s="99">
        <f>IFERROR(J162,"")</f>
        <v>0</v>
      </c>
    </row>
    <row r="163" spans="1:20" ht="18" customHeight="1">
      <c r="A163" s="160" t="s">
        <v>252</v>
      </c>
      <c r="B163" s="160"/>
      <c r="C163" s="160"/>
      <c r="D163" s="160"/>
      <c r="E163" s="160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267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277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197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277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277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277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277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277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399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277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277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277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277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277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9" t="s">
        <v>263</v>
      </c>
      <c r="B176" s="159"/>
      <c r="C176" s="159"/>
      <c r="D176" s="159"/>
      <c r="E176" s="159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264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400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277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277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277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277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277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277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9" t="s">
        <v>266</v>
      </c>
      <c r="B189" s="159"/>
      <c r="C189" s="159"/>
      <c r="D189" s="159"/>
      <c r="E189" s="159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264</v>
      </c>
      <c r="S189" s="74">
        <v>692750</v>
      </c>
      <c r="T189" s="99">
        <f>IFERROR(J189,"")</f>
        <v>0</v>
      </c>
    </row>
    <row r="190" spans="1:20" ht="18" customHeight="1">
      <c r="A190" s="160" t="s">
        <v>252</v>
      </c>
      <c r="B190" s="160"/>
      <c r="C190" s="160"/>
      <c r="D190" s="160"/>
      <c r="E190" s="160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267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401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9" t="s">
        <v>263</v>
      </c>
      <c r="B203" s="159"/>
      <c r="C203" s="159"/>
      <c r="D203" s="159"/>
      <c r="E203" s="159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264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402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403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404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9" t="s">
        <v>266</v>
      </c>
      <c r="B216" s="159"/>
      <c r="C216" s="159"/>
      <c r="D216" s="159"/>
      <c r="E216" s="159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264</v>
      </c>
      <c r="S216" s="74">
        <v>607180</v>
      </c>
      <c r="T216" s="99">
        <f>IFERROR(J216,"")</f>
        <v>0</v>
      </c>
    </row>
    <row r="217" spans="1:20" ht="18" customHeight="1">
      <c r="A217" s="160" t="s">
        <v>252</v>
      </c>
      <c r="B217" s="160"/>
      <c r="C217" s="160"/>
      <c r="D217" s="160"/>
      <c r="E217" s="160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267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405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406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9" t="s">
        <v>263</v>
      </c>
      <c r="B230" s="159"/>
      <c r="C230" s="159"/>
      <c r="D230" s="159"/>
      <c r="E230" s="159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264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407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408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9" t="s">
        <v>266</v>
      </c>
      <c r="B243" s="159"/>
      <c r="C243" s="159"/>
      <c r="D243" s="159"/>
      <c r="E243" s="159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264</v>
      </c>
      <c r="S243" s="74">
        <v>795250</v>
      </c>
      <c r="T243" s="99">
        <f>IFERROR(J243,"")</f>
        <v>0</v>
      </c>
    </row>
    <row r="244" spans="1:20" ht="18" customHeight="1">
      <c r="A244" s="160" t="s">
        <v>252</v>
      </c>
      <c r="B244" s="160"/>
      <c r="C244" s="160"/>
      <c r="D244" s="160"/>
      <c r="E244" s="160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267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 t="s">
        <v>287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409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277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277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9" t="s">
        <v>263</v>
      </c>
      <c r="B257" s="159"/>
      <c r="C257" s="159"/>
      <c r="D257" s="159"/>
      <c r="E257" s="159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264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277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277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277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277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277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277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277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277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277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277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277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277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9" t="s">
        <v>266</v>
      </c>
      <c r="B270" s="159"/>
      <c r="C270" s="159"/>
      <c r="D270" s="159"/>
      <c r="E270" s="159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264</v>
      </c>
      <c r="S270" s="74">
        <v>683360</v>
      </c>
      <c r="T270" s="99">
        <f>IFERROR(J270,"")</f>
        <v>0</v>
      </c>
    </row>
    <row r="271" spans="1:20" ht="18" customHeight="1">
      <c r="A271" s="160" t="s">
        <v>252</v>
      </c>
      <c r="B271" s="160"/>
      <c r="C271" s="160"/>
      <c r="D271" s="160"/>
      <c r="E271" s="160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267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277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277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277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277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277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277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9" t="s">
        <v>263</v>
      </c>
      <c r="B284" s="159"/>
      <c r="C284" s="159"/>
      <c r="D284" s="159"/>
      <c r="E284" s="159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264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262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262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277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262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262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262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262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262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262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262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262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262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9" t="s">
        <v>266</v>
      </c>
      <c r="B297" s="159"/>
      <c r="C297" s="159"/>
      <c r="D297" s="159"/>
      <c r="E297" s="159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264</v>
      </c>
      <c r="S297" s="74">
        <v>904710</v>
      </c>
      <c r="T297" s="99">
        <f>IFERROR(J297,"")</f>
        <v>0</v>
      </c>
    </row>
    <row r="298" spans="1:20" ht="18" customHeight="1">
      <c r="A298" s="160" t="s">
        <v>252</v>
      </c>
      <c r="B298" s="160"/>
      <c r="C298" s="160"/>
      <c r="D298" s="160"/>
      <c r="E298" s="160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267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277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197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277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277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277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277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277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277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277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277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277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277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277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9" t="s">
        <v>263</v>
      </c>
      <c r="B311" s="159"/>
      <c r="C311" s="159"/>
      <c r="D311" s="159"/>
      <c r="E311" s="159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264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277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277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277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277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277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277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277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277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277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277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277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277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9" t="s">
        <v>266</v>
      </c>
      <c r="B324" s="159"/>
      <c r="C324" s="159"/>
      <c r="D324" s="159"/>
      <c r="E324" s="159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264</v>
      </c>
      <c r="S324" s="74">
        <v>1049720</v>
      </c>
      <c r="T324" s="99">
        <f>IFERROR(J324,"")</f>
        <v>151.15967999999998</v>
      </c>
    </row>
    <row r="325" spans="1:20" ht="18" customHeight="1">
      <c r="A325" s="160" t="s">
        <v>252</v>
      </c>
      <c r="B325" s="160"/>
      <c r="C325" s="160"/>
      <c r="D325" s="160"/>
      <c r="E325" s="160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267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277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262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9" t="s">
        <v>263</v>
      </c>
      <c r="B338" s="159"/>
      <c r="C338" s="159"/>
      <c r="D338" s="159"/>
      <c r="E338" s="159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264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410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411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9" t="s">
        <v>266</v>
      </c>
      <c r="B351" s="159"/>
      <c r="C351" s="159"/>
      <c r="D351" s="159"/>
      <c r="E351" s="159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264</v>
      </c>
      <c r="S351" s="74">
        <v>1058130</v>
      </c>
      <c r="T351" s="99">
        <f>IFERROR(J351,"")</f>
        <v>222.20729999999995</v>
      </c>
    </row>
    <row r="352" spans="1:20" ht="18" customHeight="1">
      <c r="A352" s="160" t="s">
        <v>252</v>
      </c>
      <c r="B352" s="160"/>
      <c r="C352" s="160"/>
      <c r="D352" s="160"/>
      <c r="E352" s="160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267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412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413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263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264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414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9" t="s">
        <v>266</v>
      </c>
      <c r="B378" s="159"/>
      <c r="C378" s="159"/>
      <c r="D378" s="159"/>
      <c r="E378" s="159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264</v>
      </c>
      <c r="S378" s="74">
        <v>1137080</v>
      </c>
      <c r="T378" s="99">
        <f>IFERROR(J378,"")</f>
        <v>238.78679999999994</v>
      </c>
    </row>
    <row r="379" spans="1:20" ht="18" customHeight="1">
      <c r="A379" s="160" t="s">
        <v>252</v>
      </c>
      <c r="B379" s="160"/>
      <c r="C379" s="160"/>
      <c r="D379" s="160"/>
      <c r="E379" s="160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267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277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277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341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415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9" t="s">
        <v>263</v>
      </c>
      <c r="B392" s="159"/>
      <c r="C392" s="159"/>
      <c r="D392" s="159"/>
      <c r="E392" s="159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264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233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416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9" t="s">
        <v>266</v>
      </c>
      <c r="B405" s="159"/>
      <c r="C405" s="159"/>
      <c r="D405" s="159"/>
      <c r="E405" s="159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264</v>
      </c>
      <c r="S405" s="74">
        <v>989450</v>
      </c>
      <c r="T405" s="99">
        <f>IFERROR(J405,"")</f>
        <v>195.72390675675675</v>
      </c>
    </row>
    <row r="406" spans="1:20" ht="18" customHeight="1">
      <c r="A406" s="160" t="s">
        <v>252</v>
      </c>
      <c r="B406" s="160"/>
      <c r="C406" s="160"/>
      <c r="D406" s="160"/>
      <c r="E406" s="160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267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240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417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9" t="s">
        <v>263</v>
      </c>
      <c r="B419" s="159"/>
      <c r="C419" s="159"/>
      <c r="D419" s="159"/>
      <c r="E419" s="159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264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418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9" t="s">
        <v>266</v>
      </c>
      <c r="B432" s="159"/>
      <c r="C432" s="159"/>
      <c r="D432" s="159"/>
      <c r="E432" s="159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264</v>
      </c>
      <c r="S432" s="74">
        <v>766030</v>
      </c>
      <c r="T432" s="99">
        <f>IFERROR(J432,"")</f>
        <v>110.30832000000001</v>
      </c>
    </row>
    <row r="433" spans="1:21" ht="18" customHeight="1">
      <c r="A433" s="160" t="s">
        <v>252</v>
      </c>
      <c r="B433" s="160"/>
      <c r="C433" s="160"/>
      <c r="D433" s="160"/>
      <c r="E433" s="160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267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277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277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9" t="s">
        <v>263</v>
      </c>
      <c r="B446" s="159"/>
      <c r="C446" s="159"/>
      <c r="D446" s="159"/>
      <c r="E446" s="159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264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419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277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214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413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9" t="s">
        <v>266</v>
      </c>
      <c r="B459" s="159"/>
      <c r="C459" s="159"/>
      <c r="D459" s="159"/>
      <c r="E459" s="159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264</v>
      </c>
      <c r="S459" s="74">
        <v>1024280</v>
      </c>
      <c r="T459" s="99">
        <f>IFERROR(J459,"")</f>
        <v>202.88866044052861</v>
      </c>
    </row>
    <row r="460" spans="1:20" ht="18" customHeight="1">
      <c r="A460" s="160" t="s">
        <v>252</v>
      </c>
      <c r="B460" s="160"/>
      <c r="C460" s="160"/>
      <c r="D460" s="160"/>
      <c r="E460" s="160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267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9" t="s">
        <v>263</v>
      </c>
      <c r="B473" s="159"/>
      <c r="C473" s="159"/>
      <c r="D473" s="159"/>
      <c r="E473" s="159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264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420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377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9" t="s">
        <v>266</v>
      </c>
      <c r="B486" s="159"/>
      <c r="C486" s="159"/>
      <c r="D486" s="159"/>
      <c r="E486" s="159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264</v>
      </c>
      <c r="S486" s="74">
        <v>616050</v>
      </c>
      <c r="T486" s="99">
        <f>IFERROR(J486,"")</f>
        <v>88.711199999999977</v>
      </c>
    </row>
    <row r="487" spans="1:20" ht="18" customHeight="1">
      <c r="A487" s="160" t="s">
        <v>252</v>
      </c>
      <c r="B487" s="160"/>
      <c r="C487" s="160"/>
      <c r="D487" s="160"/>
      <c r="E487" s="160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267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277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9" t="s">
        <v>263</v>
      </c>
      <c r="B500" s="159"/>
      <c r="C500" s="159"/>
      <c r="D500" s="159"/>
      <c r="E500" s="159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264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211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421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277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9" t="s">
        <v>266</v>
      </c>
      <c r="B513" s="159"/>
      <c r="C513" s="159"/>
      <c r="D513" s="159"/>
      <c r="E513" s="159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264</v>
      </c>
      <c r="S513" s="74">
        <v>727700</v>
      </c>
      <c r="T513" s="99">
        <f>IFERROR(J513,"")</f>
        <v>123.69990375</v>
      </c>
    </row>
    <row r="514" spans="1:20" ht="18" customHeight="1">
      <c r="A514" s="160" t="s">
        <v>252</v>
      </c>
      <c r="B514" s="160"/>
      <c r="C514" s="160"/>
      <c r="D514" s="160"/>
      <c r="E514" s="160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267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9" t="s">
        <v>263</v>
      </c>
      <c r="B527" s="159"/>
      <c r="C527" s="159"/>
      <c r="D527" s="159"/>
      <c r="E527" s="159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264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262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277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9" t="s">
        <v>266</v>
      </c>
      <c r="B540" s="159"/>
      <c r="C540" s="159"/>
      <c r="D540" s="159"/>
      <c r="E540" s="159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264</v>
      </c>
      <c r="S540" s="74">
        <v>746110</v>
      </c>
      <c r="T540" s="99">
        <f>IFERROR(J540,"")</f>
        <v>126.60637832335328</v>
      </c>
    </row>
    <row r="541" spans="1:20" ht="18" customHeight="1">
      <c r="A541" s="160" t="s">
        <v>252</v>
      </c>
      <c r="B541" s="160"/>
      <c r="C541" s="160"/>
      <c r="D541" s="160"/>
      <c r="E541" s="160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267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422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423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9" t="s">
        <v>263</v>
      </c>
      <c r="B554" s="159"/>
      <c r="C554" s="159"/>
      <c r="D554" s="159"/>
      <c r="E554" s="159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264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424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262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425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212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426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427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428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429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277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412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277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9" t="s">
        <v>266</v>
      </c>
      <c r="B567" s="159"/>
      <c r="C567" s="159"/>
      <c r="D567" s="159"/>
      <c r="E567" s="159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264</v>
      </c>
      <c r="S567" s="74">
        <v>486090</v>
      </c>
      <c r="T567" s="99">
        <f>IFERROR(J567,"")</f>
        <v>69.996959999999987</v>
      </c>
    </row>
    <row r="568" spans="1:20" ht="18" customHeight="1">
      <c r="A568" s="160" t="s">
        <v>252</v>
      </c>
      <c r="B568" s="160"/>
      <c r="C568" s="160"/>
      <c r="D568" s="160"/>
      <c r="E568" s="160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267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413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262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430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9" t="s">
        <v>263</v>
      </c>
      <c r="B581" s="159"/>
      <c r="C581" s="159"/>
      <c r="D581" s="159"/>
      <c r="E581" s="159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264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93.318816568047339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19.596951479289938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69.989112426035504</v>
      </c>
      <c r="I583" s="90">
        <f>IFERROR(IF($D583="","",VLOOKUP($D583,Cadastro!$C$4:$G$7,5,FALSE())),"")</f>
        <v>0.6</v>
      </c>
      <c r="J583" s="91">
        <f t="shared" si="150"/>
        <v>14.697713609467453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431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432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128.31337278106508</v>
      </c>
      <c r="I585" s="90">
        <f>IFERROR(IF($D585="","",VLOOKUP($D585,Cadastro!$C$4:$G$7,5,FALSE())),"")</f>
        <v>0.6</v>
      </c>
      <c r="J585" s="91">
        <f t="shared" si="150"/>
        <v>26.945808284023663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99.151242603550301</v>
      </c>
      <c r="I586" s="90">
        <f>IFERROR(IF($D586="","",VLOOKUP($D586,Cadastro!$C$4:$G$7,5,FALSE())),"")</f>
        <v>0.6</v>
      </c>
      <c r="J586" s="91">
        <f t="shared" si="150"/>
        <v>20.82176094674556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87.486390532544377</v>
      </c>
      <c r="I587" s="90">
        <f>IFERROR(IF($D587="","",VLOOKUP($D587,Cadastro!$C$4:$G$7,5,FALSE())),"")</f>
        <v>0.6</v>
      </c>
      <c r="J587" s="91">
        <f t="shared" si="150"/>
        <v>18.372142011834317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377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69.989112426035504</v>
      </c>
      <c r="I588" s="90">
        <f>IFERROR(IF($D588="","",VLOOKUP($D588,Cadastro!$C$4:$G$7,5,FALSE())),"")</f>
        <v>0.6</v>
      </c>
      <c r="J588" s="91">
        <f t="shared" si="150"/>
        <v>14.697713609467453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34.994556213017752</v>
      </c>
      <c r="I589" s="90">
        <f>IFERROR(IF($D589="","",VLOOKUP($D589,Cadastro!$C$4:$G$7,5,FALSE())),"")</f>
        <v>0.6</v>
      </c>
      <c r="J589" s="91">
        <f t="shared" si="150"/>
        <v>7.3488568047337264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277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180.8052071005917</v>
      </c>
      <c r="I590" s="90">
        <f>IFERROR(IF($D590="","",VLOOKUP($D590,Cadastro!$C$4:$G$7,5,FALSE())),"")</f>
        <v>0.6</v>
      </c>
      <c r="J590" s="91">
        <f t="shared" si="150"/>
        <v>37.969093491124255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104.98366863905325</v>
      </c>
      <c r="I591" s="90">
        <f>IFERROR(IF($D591="","",VLOOKUP($D591,Cadastro!$C$4:$G$7,5,FALSE())),"")</f>
        <v>0.6</v>
      </c>
      <c r="J591" s="91">
        <f t="shared" si="150"/>
        <v>22.046570414201181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277</v>
      </c>
      <c r="F592" s="88">
        <f>IFERROR(IF($D592="","",VLOOKUP($D592,Cadastro!$C$4:$E$7,3,FALSE())),"")</f>
        <v>0.35</v>
      </c>
      <c r="G592" s="89">
        <v>20</v>
      </c>
      <c r="H592" s="88">
        <f>IFERROR(IF($G592="","",$G592*$S$594/$G$594/Cadastro!$E$33),"")</f>
        <v>116.64852071005916</v>
      </c>
      <c r="I592" s="90">
        <f>IFERROR(IF($D592="","",VLOOKUP($D592,Cadastro!$C$4:$G$7,5,FALSE())),"")</f>
        <v>0.6</v>
      </c>
      <c r="J592" s="91">
        <f t="shared" si="150"/>
        <v>24.49618934911242</v>
      </c>
      <c r="K592" s="64">
        <f t="shared" si="151"/>
        <v>84</v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9" t="s">
        <v>266</v>
      </c>
      <c r="B594" s="159"/>
      <c r="C594" s="159"/>
      <c r="D594" s="159"/>
      <c r="E594" s="159"/>
      <c r="F594" s="105"/>
      <c r="G594" s="96">
        <f>SUM(G582:G593)</f>
        <v>169</v>
      </c>
      <c r="H594" s="105">
        <f>IFERROR(SUM(H582:H593),"")</f>
        <v>985.68</v>
      </c>
      <c r="I594" s="106"/>
      <c r="J594" s="107">
        <f>IFERROR(SUM(J582:J593),"")</f>
        <v>206.99279999999996</v>
      </c>
      <c r="K594" s="2">
        <f>SUM(K582:K593)</f>
        <v>709.8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264</v>
      </c>
      <c r="S594" s="74">
        <v>985680</v>
      </c>
      <c r="T594" s="99">
        <f>IFERROR(J594,"")</f>
        <v>206.99279999999996</v>
      </c>
    </row>
    <row r="595" spans="1:20" ht="18" customHeight="1">
      <c r="A595" s="160" t="s">
        <v>252</v>
      </c>
      <c r="B595" s="160"/>
      <c r="C595" s="160"/>
      <c r="D595" s="160"/>
      <c r="E595" s="160"/>
      <c r="F595" s="108"/>
      <c r="G595" s="109">
        <f>G581+G594</f>
        <v>371</v>
      </c>
      <c r="H595" s="108">
        <f>IFERROR(H581+H594,"")</f>
        <v>1745.48</v>
      </c>
      <c r="I595" s="110"/>
      <c r="J595" s="111">
        <f>IFERROR(J581+J594,"")</f>
        <v>366.55079999999992</v>
      </c>
      <c r="K595" s="1">
        <f>K581+K594</f>
        <v>1574.2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267</v>
      </c>
      <c r="S595" s="82">
        <f>IFERROR(S581+S594,"")</f>
        <v>1745480</v>
      </c>
      <c r="T595" s="118">
        <f>IFERROR(J595,"")</f>
        <v>366.55079999999992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20</v>
      </c>
      <c r="H596" s="101">
        <f>IFERROR(IF($G596="","",$G596*$S$608/$G$608/Cadastro!$E$33),"")</f>
        <v>236.65333333333334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49.697199999999995</v>
      </c>
      <c r="K596" s="64">
        <f t="shared" ref="K596:K607" si="155">IF(G596="","",IF(E596="PC 17",G596*4.2,IF(E596="PC 19",G596*5,IF(E596="CB",G596*24,""))))</f>
        <v>84</v>
      </c>
      <c r="L596" s="61" t="s">
        <v>28</v>
      </c>
      <c r="M596" s="61" t="s">
        <v>174</v>
      </c>
      <c r="N596" s="61" t="s">
        <v>36</v>
      </c>
      <c r="O596" s="65">
        <v>0.2951388888888889</v>
      </c>
      <c r="P596" s="65">
        <v>0.31597222222222221</v>
      </c>
      <c r="Q596" s="66">
        <f t="shared" ref="Q596:Q607" ca="1" si="156">IFERROR(IF(O596="","",IF(P596="",MOD(NOW()-O596,1),IF(P596&gt;=O596,P596-O596,P596+1-O596))),"")</f>
        <v>2.0833333333333315E-2</v>
      </c>
      <c r="R596" s="63" t="s">
        <v>433</v>
      </c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5</v>
      </c>
      <c r="H597" s="88">
        <f>IFERROR(IF($G597="","",$G597*$S$608/$G$608/Cadastro!$E$33),"")</f>
        <v>59.163333333333334</v>
      </c>
      <c r="I597" s="90">
        <f>IFERROR(IF($D597="","",VLOOKUP($D597,Cadastro!$C$4:$G$7,5,FALSE())),"")</f>
        <v>0.6</v>
      </c>
      <c r="J597" s="91">
        <f t="shared" si="154"/>
        <v>12.424299999999999</v>
      </c>
      <c r="K597" s="69">
        <f t="shared" si="155"/>
        <v>21</v>
      </c>
      <c r="L597" s="154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8</v>
      </c>
      <c r="H598" s="88">
        <f>IFERROR(IF($G598="","",$G598*$S$608/$G$608/Cadastro!$E$33),"")</f>
        <v>94.661333333333332</v>
      </c>
      <c r="I598" s="90">
        <f>IFERROR(IF($D598="","",VLOOKUP($D598,Cadastro!$C$4:$G$7,5,FALSE())),"")</f>
        <v>0.6</v>
      </c>
      <c r="J598" s="91">
        <f t="shared" si="154"/>
        <v>19.878879999999995</v>
      </c>
      <c r="K598" s="64">
        <f t="shared" si="155"/>
        <v>33.6</v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23</v>
      </c>
      <c r="H599" s="88">
        <f>IFERROR(IF($G599="","",$G599*$S$608/$G$608/Cadastro!$E$33),"")</f>
        <v>272.1513333333333</v>
      </c>
      <c r="I599" s="90">
        <f>IFERROR(IF($D599="","",VLOOKUP($D599,Cadastro!$C$4:$G$7,5,FALSE())),"")</f>
        <v>0.6</v>
      </c>
      <c r="J599" s="91">
        <f t="shared" si="154"/>
        <v>57.151779999999988</v>
      </c>
      <c r="K599" s="69">
        <f t="shared" si="155"/>
        <v>96.600000000000009</v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47.330666666666666</v>
      </c>
      <c r="I600" s="90">
        <f>IFERROR(IF($D600="","",VLOOKUP($D600,Cadastro!$C$4:$G$7,5,FALSE())),"")</f>
        <v>0.6</v>
      </c>
      <c r="J600" s="91">
        <f t="shared" si="154"/>
        <v>9.9394399999999976</v>
      </c>
      <c r="K600" s="64">
        <f t="shared" si="155"/>
        <v>16.8</v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9" t="s">
        <v>263</v>
      </c>
      <c r="B608" s="159"/>
      <c r="C608" s="159"/>
      <c r="D608" s="159"/>
      <c r="E608" s="159"/>
      <c r="F608" s="95"/>
      <c r="G608" s="96">
        <f>SUM(G596:G607)</f>
        <v>60</v>
      </c>
      <c r="H608" s="95">
        <f>IFERROR(SUM(H596:H607),"")</f>
        <v>709.95999999999992</v>
      </c>
      <c r="I608" s="97"/>
      <c r="J608" s="98">
        <f>IFERROR(SUM(J596:J607),"")</f>
        <v>149.09159999999997</v>
      </c>
      <c r="K608" s="2">
        <f>SUM(K596:K607)</f>
        <v>252</v>
      </c>
      <c r="L608" s="72"/>
      <c r="M608" s="72"/>
      <c r="N608" s="72"/>
      <c r="O608" s="134"/>
      <c r="P608" s="134"/>
      <c r="Q608" s="73">
        <f ca="1">IFERROR(SUM(Q596:Q607),"")</f>
        <v>2.0833333333333315E-2</v>
      </c>
      <c r="R608" s="2" t="s">
        <v>264</v>
      </c>
      <c r="S608" s="74">
        <f>1545300-910510+75170</f>
        <v>709960</v>
      </c>
      <c r="T608" s="99">
        <f>IFERROR(J608,"")</f>
        <v>149.09159999999997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8</v>
      </c>
      <c r="H609" s="101" t="str">
        <f>IFERROR(IF(#REF!="","",#REF!*$S$621/$G$621/Cadastro!$E$33),"")</f>
        <v/>
      </c>
      <c r="I609" s="102">
        <f>IFERROR(IF($D609="","",VLOOKUP($D609,Cadastro!$C$4:$G$7,5,FALSE())),"")</f>
        <v>0.6</v>
      </c>
      <c r="J609" s="103" t="str">
        <f t="shared" ref="J609:J620" si="158">IFERROR(IF($H609="","",$H609*$F609*$I609),"")</f>
        <v/>
      </c>
      <c r="K609" s="69" t="e">
        <f>IF(#REF!="","",IF(E609="PC 17",#REF!*4.2,IF(E609="PC 19",#REF!*5,IF(E609="CB",#REF!*24,""))))</f>
        <v>#REF!</v>
      </c>
      <c r="L609" s="70" t="s">
        <v>29</v>
      </c>
      <c r="M609" s="70" t="s">
        <v>66</v>
      </c>
      <c r="N609" s="70" t="s">
        <v>65</v>
      </c>
      <c r="O609" s="65">
        <v>0.79722222222222228</v>
      </c>
      <c r="P609" s="65">
        <v>0.85138888888888886</v>
      </c>
      <c r="Q609" s="71">
        <f t="shared" ref="Q609:Q620" ca="1" si="159">IFERROR(IF(O609="","",IF(P609="",MOD(NOW()-O609,1),IF(P609&gt;=O609,P609-O609,P609+1-O609))),"")</f>
        <v>5.4166666666666585E-2</v>
      </c>
      <c r="R609" s="63" t="s">
        <v>377</v>
      </c>
      <c r="S609" s="133"/>
    </row>
    <row r="610" spans="1:20" ht="15" customHeight="1">
      <c r="A610" s="59">
        <v>46257</v>
      </c>
      <c r="B610" s="60">
        <f t="shared" ref="B610:B620" si="160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154">
        <v>5</v>
      </c>
      <c r="H610" s="88">
        <f>IFERROR(IF($G609="","",$G609*$S$621/$G$621/Cadastro!$E$33),"")</f>
        <v>50.666194690265492</v>
      </c>
      <c r="I610" s="90">
        <f>IFERROR(IF($D610="","",VLOOKUP($D610,Cadastro!$C$4:$G$7,5,FALSE())),"")</f>
        <v>0.6</v>
      </c>
      <c r="J610" s="91">
        <f t="shared" si="158"/>
        <v>10.639900884955752</v>
      </c>
      <c r="K610" s="64">
        <f>IF(G609="","",IF(E610="PC 17",G609*4.2,IF(E610="PC 19",G609*5,IF(E610="CB",G609*24,""))))</f>
        <v>33.6</v>
      </c>
      <c r="L610" s="61" t="s">
        <v>29</v>
      </c>
      <c r="M610" s="61" t="s">
        <v>61</v>
      </c>
      <c r="N610" s="61" t="s">
        <v>65</v>
      </c>
      <c r="O610" s="65">
        <v>0.88194444444444442</v>
      </c>
      <c r="P610" s="65">
        <v>0.8881944444444444</v>
      </c>
      <c r="Q610" s="66">
        <f t="shared" ca="1" si="159"/>
        <v>6.2499999999999778E-3</v>
      </c>
      <c r="R610" s="63" t="s">
        <v>412</v>
      </c>
      <c r="S610" s="133"/>
    </row>
    <row r="611" spans="1:20" ht="15" customHeight="1">
      <c r="A611" s="18">
        <v>46257</v>
      </c>
      <c r="B611" s="68">
        <f t="shared" si="160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7</v>
      </c>
      <c r="H611" s="88">
        <f>IFERROR(IF($G611="","",$G611*$S$621/$G$621/Cadastro!$E$33),"")</f>
        <v>44.332920353982303</v>
      </c>
      <c r="I611" s="90">
        <f>IFERROR(IF($D611="","",VLOOKUP($D611,Cadastro!$C$4:$G$7,5,FALSE())),"")</f>
        <v>0.6</v>
      </c>
      <c r="J611" s="91">
        <f t="shared" si="158"/>
        <v>9.3099132743362834</v>
      </c>
      <c r="K611" s="69">
        <f t="shared" ref="K609:K614" si="161">IF(G611="","",IF(E611="PC 17",G611*4.2,IF(E611="PC 19",G611*5,IF(E611="CB",G611*24,""))))</f>
        <v>29.400000000000002</v>
      </c>
      <c r="L611" s="70" t="s">
        <v>28</v>
      </c>
      <c r="M611" s="70" t="s">
        <v>61</v>
      </c>
      <c r="N611" s="70" t="s">
        <v>36</v>
      </c>
      <c r="O611" s="65">
        <v>1.2500000000000001E-2</v>
      </c>
      <c r="P611" s="65">
        <v>2.9166666666666667E-2</v>
      </c>
      <c r="Q611" s="71">
        <f t="shared" ca="1" si="159"/>
        <v>1.6666666666666666E-2</v>
      </c>
      <c r="R611" s="63"/>
      <c r="S611" s="133"/>
    </row>
    <row r="612" spans="1:20" ht="15" customHeight="1">
      <c r="A612" s="59">
        <v>46257</v>
      </c>
      <c r="B612" s="60">
        <f t="shared" si="160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7</v>
      </c>
      <c r="H612" s="88">
        <f>IFERROR(IF($G612="","",$G612*$S$621/$G$621/Cadastro!$E$33),"")</f>
        <v>44.332920353982303</v>
      </c>
      <c r="I612" s="90">
        <f>IFERROR(IF($D612="","",VLOOKUP($D612,Cadastro!$C$4:$G$7,5,FALSE())),"")</f>
        <v>0.6</v>
      </c>
      <c r="J612" s="91">
        <f t="shared" si="158"/>
        <v>9.3099132743362834</v>
      </c>
      <c r="K612" s="64">
        <f t="shared" si="161"/>
        <v>29.400000000000002</v>
      </c>
      <c r="L612" s="61" t="s">
        <v>27</v>
      </c>
      <c r="M612" s="61" t="s">
        <v>66</v>
      </c>
      <c r="N612" s="61" t="s">
        <v>141</v>
      </c>
      <c r="O612" s="65">
        <v>2.9166666666666667E-2</v>
      </c>
      <c r="P612" s="65">
        <v>4.0972222222222222E-2</v>
      </c>
      <c r="Q612" s="66">
        <f t="shared" ca="1" si="159"/>
        <v>1.1805555555555555E-2</v>
      </c>
      <c r="R612" s="63" t="s">
        <v>434</v>
      </c>
      <c r="S612" s="133"/>
    </row>
    <row r="613" spans="1:20" ht="15" customHeight="1">
      <c r="A613" s="18">
        <v>46257</v>
      </c>
      <c r="B613" s="68">
        <f t="shared" si="160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14</v>
      </c>
      <c r="H613" s="88">
        <f>IFERROR(IF($G613="","",$G613*$S$621/$G$621/Cadastro!$E$33),"")</f>
        <v>88.665840707964605</v>
      </c>
      <c r="I613" s="90">
        <f>IFERROR(IF($D613="","",VLOOKUP($D613,Cadastro!$C$4:$G$7,5,FALSE())),"")</f>
        <v>0.6</v>
      </c>
      <c r="J613" s="91">
        <f t="shared" si="158"/>
        <v>18.619826548672567</v>
      </c>
      <c r="K613" s="69">
        <f t="shared" si="161"/>
        <v>58.800000000000004</v>
      </c>
      <c r="L613" s="70" t="s">
        <v>29</v>
      </c>
      <c r="M613" s="70" t="s">
        <v>61</v>
      </c>
      <c r="N613" s="70" t="s">
        <v>60</v>
      </c>
      <c r="O613" s="65">
        <v>4.5138888888888888E-2</v>
      </c>
      <c r="P613" s="65">
        <v>5.8333333333333334E-2</v>
      </c>
      <c r="Q613" s="71">
        <f t="shared" ca="1" si="159"/>
        <v>1.3194444444444446E-2</v>
      </c>
      <c r="R613" s="63" t="s">
        <v>429</v>
      </c>
      <c r="S613" s="133"/>
    </row>
    <row r="614" spans="1:20" ht="15" customHeight="1">
      <c r="A614" s="59">
        <v>46257</v>
      </c>
      <c r="B614" s="60">
        <f t="shared" si="160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0</v>
      </c>
      <c r="H614" s="88">
        <f>IFERROR(IF($G614="","",$G614*$S$621/$G$621/Cadastro!$E$33),"")</f>
        <v>0</v>
      </c>
      <c r="I614" s="90">
        <f>IFERROR(IF($D614="","",VLOOKUP($D614,Cadastro!$C$4:$G$7,5,FALSE())),"")</f>
        <v>0.6</v>
      </c>
      <c r="J614" s="91">
        <f t="shared" si="158"/>
        <v>0</v>
      </c>
      <c r="K614" s="64">
        <f t="shared" si="161"/>
        <v>0</v>
      </c>
      <c r="L614" s="61" t="s">
        <v>29</v>
      </c>
      <c r="M614" s="61" t="s">
        <v>174</v>
      </c>
      <c r="N614" s="61" t="s">
        <v>197</v>
      </c>
      <c r="O614" s="65">
        <v>0.22916666666666666</v>
      </c>
      <c r="P614" s="65">
        <v>0.23472222222222222</v>
      </c>
      <c r="Q614" s="66">
        <f t="shared" ca="1" si="159"/>
        <v>5.5555555555555636E-3</v>
      </c>
      <c r="R614" s="63"/>
      <c r="S614" s="133"/>
    </row>
    <row r="615" spans="1:20" ht="15" customHeight="1">
      <c r="A615" s="18">
        <v>46257</v>
      </c>
      <c r="B615" s="68">
        <f t="shared" si="160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2</v>
      </c>
      <c r="H615" s="88">
        <f>IFERROR(IF($G615="","",$G615*$S$621/$G$621/Cadastro!$E$33),"")</f>
        <v>12.666548672566373</v>
      </c>
      <c r="I615" s="90">
        <f>IFERROR(IF($D615="","",VLOOKUP($D615,Cadastro!$C$4:$G$7,5,FALSE())),"")</f>
        <v>0.6</v>
      </c>
      <c r="J615" s="91">
        <f t="shared" si="158"/>
        <v>2.659975221238938</v>
      </c>
      <c r="K615" s="69"/>
      <c r="L615" s="70" t="s">
        <v>29</v>
      </c>
      <c r="M615" s="70" t="s">
        <v>66</v>
      </c>
      <c r="N615" s="70" t="s">
        <v>60</v>
      </c>
      <c r="O615" s="65">
        <v>0.26597222222222222</v>
      </c>
      <c r="P615" s="65">
        <v>0.29166666666666669</v>
      </c>
      <c r="Q615" s="71">
        <f t="shared" ca="1" si="159"/>
        <v>2.5694444444444464E-2</v>
      </c>
      <c r="R615" s="63"/>
      <c r="S615" s="133"/>
    </row>
    <row r="616" spans="1:20" ht="15" customHeight="1">
      <c r="A616" s="59">
        <v>46257</v>
      </c>
      <c r="B616" s="60">
        <f t="shared" si="160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20</v>
      </c>
      <c r="H616" s="88">
        <f>IFERROR(IF($G616="","",$G616*$S$621/$G$621/Cadastro!$E$33),"")</f>
        <v>126.66548672566373</v>
      </c>
      <c r="I616" s="90">
        <f>IFERROR(IF($D616="","",VLOOKUP($D616,Cadastro!$C$4:$G$7,5,FALSE())),"")</f>
        <v>0.6</v>
      </c>
      <c r="J616" s="91">
        <f t="shared" si="158"/>
        <v>26.599752212389379</v>
      </c>
      <c r="K616" s="64">
        <f>IF(G616="","",IF(E616="PC 17",G616*4.2,IF(E616="PC 19",G616*5,IF(E616="CB",G616*24,""))))</f>
        <v>84</v>
      </c>
      <c r="L616" s="61"/>
      <c r="M616" s="61"/>
      <c r="N616" s="61"/>
      <c r="O616" s="65"/>
      <c r="P616" s="65"/>
      <c r="Q616" s="66" t="str">
        <f t="shared" ca="1" si="159"/>
        <v/>
      </c>
      <c r="R616" s="63"/>
      <c r="S616" s="133"/>
    </row>
    <row r="617" spans="1:20" ht="15" customHeight="1">
      <c r="A617" s="18">
        <v>46257</v>
      </c>
      <c r="B617" s="68">
        <f t="shared" si="160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10</v>
      </c>
      <c r="H617" s="88">
        <f>IFERROR(IF($G617="","",$G617*$S$621/$G$621/Cadastro!$E$33),"")</f>
        <v>63.332743362831863</v>
      </c>
      <c r="I617" s="90">
        <f>IFERROR(IF($D617="","",VLOOKUP($D617,Cadastro!$C$4:$G$7,5,FALSE())),"")</f>
        <v>0.6</v>
      </c>
      <c r="J617" s="91">
        <f t="shared" si="158"/>
        <v>13.29987610619469</v>
      </c>
      <c r="K617" s="69">
        <f>IF(G617="","",IF(E617="PC 17",G617*4.2,IF(E617="PC 19",G617*5,IF(E617="CB",G617*24,""))))</f>
        <v>42</v>
      </c>
      <c r="L617" s="70"/>
      <c r="M617" s="70"/>
      <c r="N617" s="70"/>
      <c r="O617" s="65"/>
      <c r="P617" s="65"/>
      <c r="Q617" s="71" t="str">
        <f t="shared" ca="1" si="159"/>
        <v/>
      </c>
      <c r="R617" s="63"/>
      <c r="S617" s="133"/>
    </row>
    <row r="618" spans="1:20" ht="15" customHeight="1">
      <c r="A618" s="59">
        <v>46257</v>
      </c>
      <c r="B618" s="60">
        <f t="shared" si="160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17</v>
      </c>
      <c r="H618" s="88">
        <f>IFERROR(IF($G618="","",$G618*$S$621/$G$621/Cadastro!$E$33),"")</f>
        <v>107.66566371681417</v>
      </c>
      <c r="I618" s="90">
        <f>IFERROR(IF($D618="","",VLOOKUP($D618,Cadastro!$C$4:$G$7,5,FALSE())),"")</f>
        <v>0.6</v>
      </c>
      <c r="J618" s="91">
        <f t="shared" si="158"/>
        <v>22.609789380530973</v>
      </c>
      <c r="K618" s="64">
        <f>IF(G618="","",IF(E618="PC 17",G618*4.2,IF(E618="PC 19",G618*5,IF(E618="CB",G618*24,""))))</f>
        <v>71.400000000000006</v>
      </c>
      <c r="L618" s="61"/>
      <c r="M618" s="61"/>
      <c r="N618" s="61"/>
      <c r="O618" s="65"/>
      <c r="P618" s="65"/>
      <c r="Q618" s="66" t="str">
        <f t="shared" ca="1" si="159"/>
        <v/>
      </c>
      <c r="R618" s="63"/>
      <c r="S618" s="133"/>
    </row>
    <row r="619" spans="1:20" ht="15" customHeight="1">
      <c r="A619" s="18">
        <v>46257</v>
      </c>
      <c r="B619" s="68">
        <f t="shared" si="160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14</v>
      </c>
      <c r="H619" s="88">
        <f>IFERROR(IF($G619="","",$G619*$S$621/$G$621/Cadastro!$E$33),"")</f>
        <v>88.665840707964605</v>
      </c>
      <c r="I619" s="90">
        <f>IFERROR(IF($D619="","",VLOOKUP($D619,Cadastro!$C$4:$G$7,5,FALSE())),"")</f>
        <v>0.6</v>
      </c>
      <c r="J619" s="91">
        <f t="shared" si="158"/>
        <v>18.619826548672567</v>
      </c>
      <c r="K619" s="69">
        <f>IF(G619="","",IF(E619="PC 17",G619*4.2,IF(E619="PC 19",G619*5,IF(E619="CB",G619*24,""))))</f>
        <v>58.800000000000004</v>
      </c>
      <c r="L619" s="70"/>
      <c r="M619" s="70"/>
      <c r="N619" s="70"/>
      <c r="O619" s="65"/>
      <c r="P619" s="65"/>
      <c r="Q619" s="71" t="str">
        <f t="shared" ca="1" si="159"/>
        <v/>
      </c>
      <c r="R619" s="63"/>
      <c r="S619" s="133"/>
    </row>
    <row r="620" spans="1:20" ht="15" customHeight="1">
      <c r="A620" s="59">
        <v>46257</v>
      </c>
      <c r="B620" s="60">
        <f t="shared" si="160"/>
        <v>1.2916666666666667</v>
      </c>
      <c r="C620" s="70" t="s">
        <v>38</v>
      </c>
      <c r="D620" s="75" t="s">
        <v>31</v>
      </c>
      <c r="E620" s="100" t="s">
        <v>262</v>
      </c>
      <c r="F620" s="92">
        <f>IFERROR(IF($D620="","",VLOOKUP($D620,Cadastro!$C$4:$E$7,3,FALSE())),"")</f>
        <v>0.35</v>
      </c>
      <c r="G620" s="89">
        <v>9</v>
      </c>
      <c r="H620" s="92">
        <f>IFERROR(IF($G620="","",$G620*$S$621/$G$621/Cadastro!$E$33),"")</f>
        <v>56.999469026548674</v>
      </c>
      <c r="I620" s="93">
        <f>IFERROR(IF($D620="","",VLOOKUP($D620,Cadastro!$C$4:$G$7,5,FALSE())),"")</f>
        <v>0.6</v>
      </c>
      <c r="J620" s="94">
        <f t="shared" si="158"/>
        <v>11.969888495575221</v>
      </c>
      <c r="K620" s="64">
        <f>IF(G620="","",IF(E620="PC 17",G620*4.2,IF(E620="PC 19",G620*5,IF(E620="CB",G620*24,""))))</f>
        <v>45</v>
      </c>
      <c r="L620" s="61"/>
      <c r="M620" s="61"/>
      <c r="N620" s="61"/>
      <c r="O620" s="65"/>
      <c r="P620" s="65"/>
      <c r="Q620" s="66" t="str">
        <f t="shared" ca="1" si="159"/>
        <v/>
      </c>
      <c r="R620" s="63"/>
      <c r="S620" s="133"/>
    </row>
    <row r="621" spans="1:20" ht="15.75" customHeight="1">
      <c r="A621" s="159" t="s">
        <v>266</v>
      </c>
      <c r="B621" s="159"/>
      <c r="C621" s="159"/>
      <c r="D621" s="159"/>
      <c r="E621" s="159"/>
      <c r="F621" s="105"/>
      <c r="G621" s="96">
        <f>SUM(G609:G620)</f>
        <v>113</v>
      </c>
      <c r="H621" s="105">
        <f>IFERROR(SUM(H609:H620),"")</f>
        <v>683.99362831858411</v>
      </c>
      <c r="I621" s="106"/>
      <c r="J621" s="107">
        <f>IFERROR(SUM(J609:J620),"")</f>
        <v>143.63866194690266</v>
      </c>
      <c r="K621" s="2" t="e">
        <f>SUM(K609:K620)</f>
        <v>#REF!</v>
      </c>
      <c r="L621" s="72"/>
      <c r="M621" s="72"/>
      <c r="N621" s="72"/>
      <c r="O621" s="134"/>
      <c r="P621" s="134"/>
      <c r="Q621" s="73">
        <f ca="1">IFERROR(SUM(Q609:Q620),"")</f>
        <v>0.13333333333333325</v>
      </c>
      <c r="R621" s="2" t="s">
        <v>264</v>
      </c>
      <c r="S621" s="74">
        <v>715660</v>
      </c>
      <c r="T621" s="99">
        <f>IFERROR(J621,"")</f>
        <v>143.63866194690266</v>
      </c>
    </row>
    <row r="622" spans="1:20" ht="18" customHeight="1">
      <c r="A622" s="160" t="s">
        <v>252</v>
      </c>
      <c r="B622" s="160"/>
      <c r="C622" s="160"/>
      <c r="D622" s="160"/>
      <c r="E622" s="160"/>
      <c r="F622" s="108"/>
      <c r="G622" s="109">
        <f>G608+G621</f>
        <v>173</v>
      </c>
      <c r="H622" s="108">
        <f>IFERROR(H608+H621,"")</f>
        <v>1393.9536283185839</v>
      </c>
      <c r="I622" s="110"/>
      <c r="J622" s="111">
        <f>IFERROR(J608+J621,"")</f>
        <v>292.7302619469026</v>
      </c>
      <c r="K622" s="1" t="e">
        <f>K608+K621</f>
        <v>#REF!</v>
      </c>
      <c r="L622" s="76"/>
      <c r="M622" s="76"/>
      <c r="N622" s="76"/>
      <c r="O622" s="135"/>
      <c r="P622" s="135"/>
      <c r="Q622" s="77">
        <f ca="1">IFERROR(Q608+Q621,"")</f>
        <v>0.15416666666666656</v>
      </c>
      <c r="R622" s="1" t="s">
        <v>267</v>
      </c>
      <c r="S622" s="82">
        <f>IFERROR(S608+S621,"")</f>
        <v>1425620</v>
      </c>
      <c r="T622" s="118">
        <f>IFERROR(J622,"")</f>
        <v>292.7302619469026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6</v>
      </c>
      <c r="H623" s="101">
        <f>IFERROR(IF($G623="","",$G623*$S$635/$G$635/Cadastro!$E$33),"")</f>
        <v>25.994190871369295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5.458780082987551</v>
      </c>
      <c r="K623" s="69">
        <f t="shared" ref="K623:K634" si="163">IF(G623="","",IF(E623="PC 17",G623*4.2,IF(E623="PC 19",G623*5,IF(E623="CB",G623*24,""))))</f>
        <v>25.200000000000003</v>
      </c>
      <c r="L623" s="70" t="s">
        <v>28</v>
      </c>
      <c r="M623" s="70" t="s">
        <v>174</v>
      </c>
      <c r="N623" s="70" t="s">
        <v>36</v>
      </c>
      <c r="O623" s="65">
        <v>0.29166666666666669</v>
      </c>
      <c r="P623" s="65">
        <v>0.3263888888888889</v>
      </c>
      <c r="Q623" s="71">
        <f t="shared" ref="Q623:Q634" ca="1" si="164">IFERROR(IF(O623="","",IF(P623="",MOD(NOW()-O623,1),IF(P623&gt;=O623,P623-O623,P623+1-O623))),"")</f>
        <v>3.472222222222221E-2</v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20</v>
      </c>
      <c r="H624" s="88">
        <f>IFERROR(IF($G624="","",$G624*$S$635/$G$635/Cadastro!$E$33),"")</f>
        <v>86.647302904564313</v>
      </c>
      <c r="I624" s="90">
        <f>IFERROR(IF($D624="","",VLOOKUP($D624,Cadastro!$C$4:$G$7,5,FALSE())),"")</f>
        <v>0.6</v>
      </c>
      <c r="J624" s="91">
        <f t="shared" si="162"/>
        <v>18.195933609958505</v>
      </c>
      <c r="K624" s="64">
        <f t="shared" si="163"/>
        <v>84</v>
      </c>
      <c r="L624" s="61" t="s">
        <v>27</v>
      </c>
      <c r="M624" s="61" t="s">
        <v>66</v>
      </c>
      <c r="N624" s="61" t="s">
        <v>168</v>
      </c>
      <c r="O624" s="65">
        <v>0.54166666666666663</v>
      </c>
      <c r="P624" s="65">
        <v>0.56111111111111112</v>
      </c>
      <c r="Q624" s="66">
        <f t="shared" ca="1" si="164"/>
        <v>1.9444444444444486E-2</v>
      </c>
      <c r="R624" s="63" t="s">
        <v>435</v>
      </c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22</v>
      </c>
      <c r="H625" s="88">
        <f>IFERROR(IF($G625="","",$G625*$S$635/$G$635/Cadastro!$E$33),"")</f>
        <v>95.312033195020746</v>
      </c>
      <c r="I625" s="90">
        <f>IFERROR(IF($D625="","",VLOOKUP($D625,Cadastro!$C$4:$G$7,5,FALSE())),"")</f>
        <v>0.6</v>
      </c>
      <c r="J625" s="91">
        <f t="shared" si="162"/>
        <v>20.015526970954358</v>
      </c>
      <c r="K625" s="69">
        <f t="shared" si="163"/>
        <v>92.4</v>
      </c>
      <c r="L625" s="70" t="s">
        <v>29</v>
      </c>
      <c r="M625" s="70" t="s">
        <v>66</v>
      </c>
      <c r="N625" s="70" t="s">
        <v>60</v>
      </c>
      <c r="O625" s="65">
        <v>0.61805555555555558</v>
      </c>
      <c r="P625" s="65">
        <v>0.6333333333333333</v>
      </c>
      <c r="Q625" s="71">
        <f t="shared" ca="1" si="164"/>
        <v>1.5277777777777724E-2</v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23</v>
      </c>
      <c r="H626" s="88">
        <f>IFERROR(IF($G626="","",$G626*$S$635/$G$635/Cadastro!$E$33),"")</f>
        <v>99.644398340248969</v>
      </c>
      <c r="I626" s="90">
        <f>IFERROR(IF($D626="","",VLOOKUP($D626,Cadastro!$C$4:$G$7,5,FALSE())),"")</f>
        <v>0.6</v>
      </c>
      <c r="J626" s="91">
        <f t="shared" si="162"/>
        <v>20.925323651452285</v>
      </c>
      <c r="K626" s="64">
        <f t="shared" si="163"/>
        <v>96.600000000000009</v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29</v>
      </c>
      <c r="H627" s="88">
        <f>IFERROR(IF($G627="","",$G627*$S$635/$G$635/Cadastro!$E$33),"")</f>
        <v>125.63858921161825</v>
      </c>
      <c r="I627" s="90">
        <f>IFERROR(IF($D627="","",VLOOKUP($D627,Cadastro!$C$4:$G$7,5,FALSE())),"")</f>
        <v>0.6</v>
      </c>
      <c r="J627" s="91">
        <f t="shared" si="162"/>
        <v>26.384103734439829</v>
      </c>
      <c r="K627" s="69">
        <f t="shared" si="163"/>
        <v>121.80000000000001</v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23</v>
      </c>
      <c r="H628" s="88">
        <f>IFERROR(IF($G628="","",$G628*$S$635/$G$635/Cadastro!$E$33),"")</f>
        <v>99.644398340248969</v>
      </c>
      <c r="I628" s="90">
        <f>IFERROR(IF($D628="","",VLOOKUP($D628,Cadastro!$C$4:$G$7,5,FALSE())),"")</f>
        <v>0.6</v>
      </c>
      <c r="J628" s="91">
        <f t="shared" si="162"/>
        <v>20.925323651452285</v>
      </c>
      <c r="K628" s="64">
        <f t="shared" si="163"/>
        <v>96.600000000000009</v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13</v>
      </c>
      <c r="H629" s="88">
        <f>IFERROR(IF($G629="","",$G629*$S$635/$G$635/Cadastro!$E$33),"")</f>
        <v>56.320746887966806</v>
      </c>
      <c r="I629" s="90">
        <f>IFERROR(IF($D629="","",VLOOKUP($D629,Cadastro!$C$4:$G$7,5,FALSE())),"")</f>
        <v>0.6</v>
      </c>
      <c r="J629" s="91">
        <f t="shared" si="162"/>
        <v>11.827356846473027</v>
      </c>
      <c r="K629" s="69">
        <f t="shared" si="163"/>
        <v>54.6</v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22</v>
      </c>
      <c r="H630" s="88">
        <f>IFERROR(IF($G630="","",$G630*$S$635/$G$635/Cadastro!$E$33),"")</f>
        <v>95.312033195020746</v>
      </c>
      <c r="I630" s="90">
        <f>IFERROR(IF($D630="","",VLOOKUP($D630,Cadastro!$C$4:$G$7,5,FALSE())),"")</f>
        <v>0.6</v>
      </c>
      <c r="J630" s="91">
        <f t="shared" si="162"/>
        <v>20.015526970954358</v>
      </c>
      <c r="K630" s="64">
        <f t="shared" si="163"/>
        <v>92.4</v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23</v>
      </c>
      <c r="H631" s="88">
        <f>IFERROR(IF($G631="","",$G631*$S$635/$G$635/Cadastro!$E$33),"")</f>
        <v>99.644398340248969</v>
      </c>
      <c r="I631" s="90">
        <f>IFERROR(IF($D631="","",VLOOKUP($D631,Cadastro!$C$4:$G$7,5,FALSE())),"")</f>
        <v>0.6</v>
      </c>
      <c r="J631" s="91">
        <f t="shared" si="162"/>
        <v>20.925323651452285</v>
      </c>
      <c r="K631" s="69">
        <f t="shared" si="163"/>
        <v>96.600000000000009</v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22</v>
      </c>
      <c r="H632" s="88">
        <f>IFERROR(IF($G632="","",$G632*$S$635/$G$635/Cadastro!$E$33),"")</f>
        <v>95.312033195020746</v>
      </c>
      <c r="I632" s="90">
        <f>IFERROR(IF($D632="","",VLOOKUP($D632,Cadastro!$C$4:$G$7,5,FALSE())),"")</f>
        <v>0.6</v>
      </c>
      <c r="J632" s="91">
        <f t="shared" si="162"/>
        <v>20.015526970954358</v>
      </c>
      <c r="K632" s="64">
        <f t="shared" si="163"/>
        <v>92.4</v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22</v>
      </c>
      <c r="H633" s="88">
        <f>IFERROR(IF($G633="","",$G633*$S$635/$G$635/Cadastro!$E$33),"")</f>
        <v>95.312033195020746</v>
      </c>
      <c r="I633" s="90">
        <f>IFERROR(IF($D633="","",VLOOKUP($D633,Cadastro!$C$4:$G$7,5,FALSE())),"")</f>
        <v>0.6</v>
      </c>
      <c r="J633" s="91">
        <f t="shared" si="162"/>
        <v>20.015526970954358</v>
      </c>
      <c r="K633" s="69">
        <f t="shared" si="163"/>
        <v>92.4</v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16</v>
      </c>
      <c r="H634" s="92">
        <f>IFERROR(IF($G634="","",$G634*$S$635/$G$635/Cadastro!$E$33),"")</f>
        <v>69.317842323651448</v>
      </c>
      <c r="I634" s="93">
        <f>IFERROR(IF($D634="","",VLOOKUP($D634,Cadastro!$C$4:$G$7,5,FALSE())),"")</f>
        <v>0.6</v>
      </c>
      <c r="J634" s="94">
        <f t="shared" si="162"/>
        <v>14.556746887966803</v>
      </c>
      <c r="K634" s="64">
        <f t="shared" si="163"/>
        <v>67.2</v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9" t="s">
        <v>263</v>
      </c>
      <c r="B635" s="159"/>
      <c r="C635" s="159"/>
      <c r="D635" s="159"/>
      <c r="E635" s="159"/>
      <c r="F635" s="95"/>
      <c r="G635" s="96">
        <f>SUM(G623:G634)</f>
        <v>241</v>
      </c>
      <c r="H635" s="95">
        <f>IFERROR(SUM(H623:H634),"")</f>
        <v>1044.0999999999999</v>
      </c>
      <c r="I635" s="97"/>
      <c r="J635" s="98">
        <f>IFERROR(SUM(J623:J634),"")</f>
        <v>219.26100000000002</v>
      </c>
      <c r="K635" s="2">
        <f>SUM(K623:K634)</f>
        <v>1012.2</v>
      </c>
      <c r="L635" s="72"/>
      <c r="M635" s="72"/>
      <c r="N635" s="72"/>
      <c r="O635" s="134"/>
      <c r="P635" s="134"/>
      <c r="Q635" s="73">
        <f ca="1">IFERROR(SUM(Q623:Q634),"")</f>
        <v>6.944444444444442E-2</v>
      </c>
      <c r="R635" s="2" t="s">
        <v>264</v>
      </c>
      <c r="S635" s="74">
        <v>1044100</v>
      </c>
      <c r="T635" s="99">
        <f>IFERROR(J635,"")</f>
        <v>219.26100000000002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277</v>
      </c>
      <c r="F636" s="101">
        <f>IFERROR(IF($D636="","",VLOOKUP($D636,Cadastro!$C$4:$E$7,3,FALSE())),"")</f>
        <v>0.35</v>
      </c>
      <c r="G636" s="89">
        <v>13</v>
      </c>
      <c r="H636" s="101">
        <f>IFERROR(IF($G636="","",$G636*$S$648/$G$648/Cadastro!$E$33),"")</f>
        <v>0</v>
      </c>
      <c r="I636" s="102">
        <f>IFERROR(IF($D636="","",VLOOKUP($D636,Cadastro!$C$4:$G$7,5,FALSE())),"")</f>
        <v>0.6</v>
      </c>
      <c r="J636" s="103">
        <f t="shared" ref="J636:J647" si="166">IFERROR(IF($H636="","",$H636*$F636*$I636),"")</f>
        <v>0</v>
      </c>
      <c r="K636" s="64">
        <f t="shared" ref="K636:K647" si="167">IF(G636="","",IF(E636="PC 17",G636*4.2,IF(E636="PC 19",G636*5,IF(E636="CB",G636*24,""))))</f>
        <v>54.6</v>
      </c>
      <c r="L636" s="61" t="s">
        <v>28</v>
      </c>
      <c r="M636" s="61" t="s">
        <v>174</v>
      </c>
      <c r="N636" s="61" t="s">
        <v>36</v>
      </c>
      <c r="O636" s="65">
        <v>0.79166666666666663</v>
      </c>
      <c r="P636" s="65">
        <v>0.81527777777777777</v>
      </c>
      <c r="Q636" s="66">
        <f t="shared" ref="Q636:Q647" ca="1" si="168">IFERROR(IF(O636="","",IF(P636="",MOD(NOW()-O636,1),IF(P636&gt;=O636,P636-O636,P636+1-O636))),"")</f>
        <v>2.3611111111111138E-2</v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262</v>
      </c>
      <c r="F637" s="88">
        <f>IFERROR(IF($D637="","",VLOOKUP($D637,Cadastro!$C$4:$E$7,3,FALSE())),"")</f>
        <v>0.35</v>
      </c>
      <c r="G637" s="89">
        <v>15</v>
      </c>
      <c r="H637" s="88">
        <f>IFERROR(IF($G637="","",$G637*$S$648/$G$648/Cadastro!$E$33),"")</f>
        <v>0</v>
      </c>
      <c r="I637" s="90">
        <f>IFERROR(IF($D637="","",VLOOKUP($D637,Cadastro!$C$4:$G$7,5,FALSE())),"")</f>
        <v>0.6</v>
      </c>
      <c r="J637" s="91">
        <f t="shared" si="166"/>
        <v>0</v>
      </c>
      <c r="K637" s="69">
        <f t="shared" si="167"/>
        <v>75</v>
      </c>
      <c r="L637" s="70" t="s">
        <v>27</v>
      </c>
      <c r="M637" s="70" t="s">
        <v>66</v>
      </c>
      <c r="N637" s="70" t="s">
        <v>239</v>
      </c>
      <c r="O637" s="65">
        <v>0.95277777777777772</v>
      </c>
      <c r="P637" s="65">
        <v>0.98124999999999996</v>
      </c>
      <c r="Q637" s="71">
        <f t="shared" ca="1" si="168"/>
        <v>2.8472222222222232E-2</v>
      </c>
      <c r="R637" s="63" t="s">
        <v>436</v>
      </c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277</v>
      </c>
      <c r="F638" s="88">
        <f>IFERROR(IF($D638="","",VLOOKUP($D638,Cadastro!$C$4:$E$7,3,FALSE())),"")</f>
        <v>0.35</v>
      </c>
      <c r="G638" s="89">
        <v>18</v>
      </c>
      <c r="H638" s="88">
        <f>IFERROR(IF($G638="","",$G638*$S$648/$G$648/Cadastro!$E$33),"")</f>
        <v>0</v>
      </c>
      <c r="I638" s="90">
        <f>IFERROR(IF($D638="","",VLOOKUP($D638,Cadastro!$C$4:$G$7,5,FALSE())),"")</f>
        <v>0.6</v>
      </c>
      <c r="J638" s="91">
        <f t="shared" si="166"/>
        <v>0</v>
      </c>
      <c r="K638" s="64">
        <f t="shared" si="167"/>
        <v>75.600000000000009</v>
      </c>
      <c r="L638" s="61" t="s">
        <v>29</v>
      </c>
      <c r="M638" s="61" t="s">
        <v>174</v>
      </c>
      <c r="N638" s="61" t="s">
        <v>65</v>
      </c>
      <c r="O638" s="65">
        <v>0.98124999999999996</v>
      </c>
      <c r="P638" s="65">
        <v>2.7777777777777776E-2</v>
      </c>
      <c r="Q638" s="66">
        <f t="shared" ca="1" si="168"/>
        <v>4.6527777777777724E-2</v>
      </c>
      <c r="R638" s="63" t="s">
        <v>437</v>
      </c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277</v>
      </c>
      <c r="F639" s="88">
        <f>IFERROR(IF($D639="","",VLOOKUP($D639,Cadastro!$C$4:$E$7,3,FALSE())),"")</f>
        <v>0.35</v>
      </c>
      <c r="G639" s="89">
        <v>28</v>
      </c>
      <c r="H639" s="88">
        <f>IFERROR(IF($G639="","",$G639*$S$648/$G$648/Cadastro!$E$33),"")</f>
        <v>0</v>
      </c>
      <c r="I639" s="90">
        <f>IFERROR(IF($D639="","",VLOOKUP($D639,Cadastro!$C$4:$G$7,5,FALSE())),"")</f>
        <v>0.6</v>
      </c>
      <c r="J639" s="91">
        <f t="shared" si="166"/>
        <v>0</v>
      </c>
      <c r="K639" s="69">
        <f t="shared" si="167"/>
        <v>117.60000000000001</v>
      </c>
      <c r="L639" s="70" t="s">
        <v>28</v>
      </c>
      <c r="M639" s="70" t="s">
        <v>174</v>
      </c>
      <c r="N639" s="70" t="s">
        <v>36</v>
      </c>
      <c r="O639" s="65">
        <v>9.5138888888888884E-2</v>
      </c>
      <c r="P639" s="65">
        <v>0.11805555555555555</v>
      </c>
      <c r="Q639" s="71">
        <f t="shared" ca="1" si="168"/>
        <v>2.2916666666666669E-2</v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277</v>
      </c>
      <c r="F640" s="88">
        <f>IFERROR(IF($D640="","",VLOOKUP($D640,Cadastro!$C$4:$E$7,3,FALSE())),"")</f>
        <v>0.35</v>
      </c>
      <c r="G640" s="89">
        <v>26</v>
      </c>
      <c r="H640" s="88">
        <f>IFERROR(IF($G640="","",$G640*$S$648/$G$648/Cadastro!$E$33),"")</f>
        <v>0</v>
      </c>
      <c r="I640" s="90">
        <f>IFERROR(IF($D640="","",VLOOKUP($D640,Cadastro!$C$4:$G$7,5,FALSE())),"")</f>
        <v>0.6</v>
      </c>
      <c r="J640" s="91">
        <f t="shared" si="166"/>
        <v>0</v>
      </c>
      <c r="K640" s="64">
        <f t="shared" si="167"/>
        <v>109.2</v>
      </c>
      <c r="L640" s="61" t="s">
        <v>29</v>
      </c>
      <c r="M640" s="61" t="s">
        <v>66</v>
      </c>
      <c r="N640" s="61" t="s">
        <v>60</v>
      </c>
      <c r="O640" s="65">
        <v>0.11944444444444445</v>
      </c>
      <c r="P640" s="65"/>
      <c r="Q640" s="66">
        <f t="shared" ca="1" si="168"/>
        <v>6.605902781302575E-3</v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277</v>
      </c>
      <c r="F641" s="88">
        <f>IFERROR(IF($D641="","",VLOOKUP($D641,Cadastro!$C$4:$E$7,3,FALSE())),"")</f>
        <v>0.35</v>
      </c>
      <c r="G641" s="89">
        <v>20</v>
      </c>
      <c r="H641" s="88">
        <f>IFERROR(IF($G641="","",$G641*$S$648/$G$648/Cadastro!$E$33),"")</f>
        <v>0</v>
      </c>
      <c r="I641" s="90">
        <f>IFERROR(IF($D641="","",VLOOKUP($D641,Cadastro!$C$4:$G$7,5,FALSE())),"")</f>
        <v>0.6</v>
      </c>
      <c r="J641" s="91">
        <f t="shared" si="166"/>
        <v>0</v>
      </c>
      <c r="K641" s="69">
        <f t="shared" si="167"/>
        <v>84</v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277</v>
      </c>
      <c r="F642" s="88">
        <f>IFERROR(IF($D642="","",VLOOKUP($D642,Cadastro!$C$4:$E$7,3,FALSE())),"")</f>
        <v>0.35</v>
      </c>
      <c r="G642" s="89">
        <v>3</v>
      </c>
      <c r="H642" s="88">
        <f>IFERROR(IF($G642="","",$G642*$S$648/$G$648/Cadastro!$E$33),"")</f>
        <v>0</v>
      </c>
      <c r="I642" s="90">
        <f>IFERROR(IF($D642="","",VLOOKUP($D642,Cadastro!$C$4:$G$7,5,FALSE())),"")</f>
        <v>0.6</v>
      </c>
      <c r="J642" s="91">
        <f t="shared" si="166"/>
        <v>0</v>
      </c>
      <c r="K642" s="64">
        <f t="shared" si="167"/>
        <v>12.600000000000001</v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277</v>
      </c>
      <c r="F643" s="88">
        <f>IFERROR(IF($D643="","",VLOOKUP($D643,Cadastro!$C$4:$E$7,3,FALSE())),"")</f>
        <v>0.35</v>
      </c>
      <c r="G643" s="89"/>
      <c r="H643" s="88" t="str">
        <f>IFERROR(IF($G643="","",$G643*$S$648/$G$648/Cadastro!$E$33),"")</f>
        <v/>
      </c>
      <c r="I643" s="90">
        <f>IFERROR(IF($D643="","",VLOOKUP($D643,Cadastro!$C$4:$G$7,5,FALSE())),"")</f>
        <v>0.6</v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277</v>
      </c>
      <c r="F644" s="88">
        <f>IFERROR(IF($D644="","",VLOOKUP($D644,Cadastro!$C$4:$E$7,3,FALSE())),"")</f>
        <v>0.35</v>
      </c>
      <c r="G644" s="89"/>
      <c r="H644" s="88" t="str">
        <f>IFERROR(IF($G644="","",$G644*$S$648/$G$648/Cadastro!$E$33),"")</f>
        <v/>
      </c>
      <c r="I644" s="90">
        <f>IFERROR(IF($D644="","",VLOOKUP($D644,Cadastro!$C$4:$G$7,5,FALSE())),"")</f>
        <v>0.6</v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277</v>
      </c>
      <c r="F645" s="88">
        <f>IFERROR(IF($D645="","",VLOOKUP($D645,Cadastro!$C$4:$E$7,3,FALSE())),"")</f>
        <v>0.35</v>
      </c>
      <c r="G645" s="89"/>
      <c r="H645" s="88" t="str">
        <f>IFERROR(IF($G645="","",$G645*$S$648/$G$648/Cadastro!$E$33),"")</f>
        <v/>
      </c>
      <c r="I645" s="90">
        <f>IFERROR(IF($D645="","",VLOOKUP($D645,Cadastro!$C$4:$G$7,5,FALSE())),"")</f>
        <v>0.6</v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277</v>
      </c>
      <c r="F646" s="88">
        <f>IFERROR(IF($D646="","",VLOOKUP($D646,Cadastro!$C$4:$E$7,3,FALSE())),"")</f>
        <v>0.35</v>
      </c>
      <c r="G646" s="89"/>
      <c r="H646" s="88" t="str">
        <f>IFERROR(IF($G646="","",$G646*$S$648/$G$648/Cadastro!$E$33),"")</f>
        <v/>
      </c>
      <c r="I646" s="90">
        <f>IFERROR(IF($D646="","",VLOOKUP($D646,Cadastro!$C$4:$G$7,5,FALSE())),"")</f>
        <v>0.6</v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277</v>
      </c>
      <c r="F647" s="92">
        <f>IFERROR(IF($D647="","",VLOOKUP($D647,Cadastro!$C$4:$E$7,3,FALSE())),"")</f>
        <v>0.35</v>
      </c>
      <c r="G647" s="89"/>
      <c r="H647" s="92" t="str">
        <f>IFERROR(IF($G647="","",$G647*$S$648/$G$648/Cadastro!$E$33),"")</f>
        <v/>
      </c>
      <c r="I647" s="93">
        <f>IFERROR(IF($D647="","",VLOOKUP($D647,Cadastro!$C$4:$G$7,5,FALSE())),"")</f>
        <v>0.6</v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9" t="s">
        <v>266</v>
      </c>
      <c r="B648" s="159"/>
      <c r="C648" s="159"/>
      <c r="D648" s="159"/>
      <c r="E648" s="159"/>
      <c r="F648" s="105"/>
      <c r="G648" s="96">
        <f>SUM(G636:G647)</f>
        <v>123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528.6</v>
      </c>
      <c r="L648" s="72"/>
      <c r="M648" s="72"/>
      <c r="N648" s="72"/>
      <c r="O648" s="134"/>
      <c r="P648" s="134"/>
      <c r="Q648" s="73">
        <f ca="1">IFERROR(SUM(Q636:Q647),"")</f>
        <v>0.12813368055908034</v>
      </c>
      <c r="R648" s="2" t="s">
        <v>264</v>
      </c>
      <c r="S648" s="74"/>
      <c r="T648" s="99">
        <f>IFERROR(J648,"")</f>
        <v>0</v>
      </c>
    </row>
    <row r="649" spans="1:20" ht="18" customHeight="1">
      <c r="A649" s="160" t="s">
        <v>252</v>
      </c>
      <c r="B649" s="160"/>
      <c r="C649" s="160"/>
      <c r="D649" s="160"/>
      <c r="E649" s="160"/>
      <c r="F649" s="108"/>
      <c r="G649" s="109">
        <f>G635+G648</f>
        <v>364</v>
      </c>
      <c r="H649" s="108">
        <f>IFERROR(H635+H648,"")</f>
        <v>1044.0999999999999</v>
      </c>
      <c r="I649" s="110"/>
      <c r="J649" s="111">
        <f>IFERROR(J635+J648,"")</f>
        <v>219.26100000000002</v>
      </c>
      <c r="K649" s="1">
        <f>K635+K648</f>
        <v>1540.8000000000002</v>
      </c>
      <c r="L649" s="76"/>
      <c r="M649" s="76"/>
      <c r="N649" s="76"/>
      <c r="O649" s="135"/>
      <c r="P649" s="135"/>
      <c r="Q649" s="77">
        <f ca="1">IFERROR(Q635+Q648,"")</f>
        <v>0.19757812500352476</v>
      </c>
      <c r="R649" s="1" t="s">
        <v>267</v>
      </c>
      <c r="S649" s="82">
        <f>IFERROR(S635+S648,"")</f>
        <v>1044100</v>
      </c>
      <c r="T649" s="118">
        <f>IFERROR(J649,"")</f>
        <v>219.26100000000002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9" t="s">
        <v>263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9" t="s">
        <v>266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60" t="s">
        <v>252</v>
      </c>
      <c r="B676" s="160"/>
      <c r="C676" s="160"/>
      <c r="D676" s="160"/>
      <c r="E676" s="160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9" t="s">
        <v>263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9" t="s">
        <v>266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60" t="s">
        <v>252</v>
      </c>
      <c r="B703" s="160"/>
      <c r="C703" s="160"/>
      <c r="D703" s="160"/>
      <c r="E703" s="160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9" t="s">
        <v>263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9" t="s">
        <v>266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60" t="s">
        <v>252</v>
      </c>
      <c r="B730" s="160"/>
      <c r="C730" s="160"/>
      <c r="D730" s="160"/>
      <c r="E730" s="160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9" t="s">
        <v>263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9" t="s">
        <v>266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60" t="s">
        <v>252</v>
      </c>
      <c r="B757" s="160"/>
      <c r="C757" s="160"/>
      <c r="D757" s="160"/>
      <c r="E757" s="160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9" t="s">
        <v>263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9" t="s">
        <v>266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60" t="s">
        <v>252</v>
      </c>
      <c r="B784" s="160"/>
      <c r="C784" s="160"/>
      <c r="D784" s="160"/>
      <c r="E784" s="160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9" t="s">
        <v>263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9" t="s">
        <v>266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60" t="s">
        <v>252</v>
      </c>
      <c r="B811" s="160"/>
      <c r="C811" s="160"/>
      <c r="D811" s="160"/>
      <c r="E811" s="160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9" t="s">
        <v>263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264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9" t="s">
        <v>266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264</v>
      </c>
      <c r="S837" s="74"/>
      <c r="T837" s="99">
        <f>IFERROR(J837,"")</f>
        <v>0</v>
      </c>
    </row>
    <row r="838" spans="1:20" ht="18" customHeight="1">
      <c r="A838" s="160" t="s">
        <v>252</v>
      </c>
      <c r="B838" s="160"/>
      <c r="C838" s="160"/>
      <c r="D838" s="160"/>
      <c r="E838" s="160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267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2026-08-25T07:01:31Z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