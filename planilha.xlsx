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83" documentId="8_{AF585B22-221D-4780-BB9C-493D365A6A02}" xr6:coauthVersionLast="47" xr6:coauthVersionMax="47" xr10:uidLastSave="{65CEB081-1F20-44AD-A185-65489A9A4F6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<sst xmlns="http://schemas.openxmlformats.org/spreadsheetml/2006/main" count="2923" uniqueCount="250">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</sst>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7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7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7"/>
      <c r="I52" s="16"/>
      <c r="J52" s="16"/>
      <c r="K52" s="16" t="s">
        <v>186</v>
      </c>
      <c r="L52" s="16"/>
      <c r="M52" s="16"/>
    </row>
    <row r="53" spans="1:13" ht="36" customHeight="1">
      <c r="H53" s="97"/>
      <c r="I53" s="17"/>
      <c r="J53" s="17"/>
      <c r="K53" s="17" t="s">
        <v>187</v>
      </c>
      <c r="L53" s="17"/>
      <c r="M53" s="17"/>
    </row>
    <row r="54" spans="1:13" ht="15" customHeight="1">
      <c r="H54" s="97"/>
      <c r="I54" s="16"/>
      <c r="J54" s="16"/>
      <c r="K54" s="16" t="s">
        <v>188</v>
      </c>
      <c r="L54" s="16"/>
      <c r="M54" s="16"/>
    </row>
    <row r="55" spans="1:13" ht="15" customHeight="1">
      <c r="H55" s="97"/>
      <c r="I55" s="17"/>
      <c r="J55" s="17"/>
      <c r="K55" s="17" t="s">
        <v>189</v>
      </c>
      <c r="L55" s="17"/>
      <c r="M55" s="17"/>
    </row>
    <row r="56" spans="1:13" ht="15" customHeight="1">
      <c r="H56" s="97"/>
      <c r="I56" s="16"/>
      <c r="J56" s="16"/>
      <c r="K56" s="16" t="s">
        <v>190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7" sqref="F1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 t="s">
        <v>19</v>
      </c>
      <c r="I139" s="33" t="s">
        <v>23</v>
      </c>
      <c r="J139" s="33" t="s">
        <v>101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4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>
        <v>0</v>
      </c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>
        <v>10</v>
      </c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48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48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L141" sqref="L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73</v>
      </c>
      <c r="G149" s="36">
        <f>SUM(G137:G148)</f>
        <v>365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73</v>
      </c>
      <c r="G163" s="40">
        <f>G149+G162</f>
        <v>365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L142" sqref="L1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>
        <v>0.71597222222222223</v>
      </c>
      <c r="L141" s="29" t="s">
        <v>234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57</v>
      </c>
      <c r="G149" s="36">
        <f>SUM(G137:G148)</f>
        <v>285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57</v>
      </c>
      <c r="G163" s="40">
        <f>G149+G162</f>
        <v>285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N140" sqref="N14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204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206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90" t="s">
        <v>207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204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206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90" t="s">
        <v>207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239</v>
      </c>
      <c r="L58" s="29">
        <v>0.54097222222222219</v>
      </c>
      <c r="M58" s="30" t="str">
        <f t="shared" ca="1" si="13"/>
        <v/>
      </c>
      <c r="N58" s="27" t="s">
        <v>240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204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206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90" t="s">
        <v>207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204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206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90" t="s">
        <v>207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204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0.49657962963101454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206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0.69588518518657017</v>
      </c>
      <c r="N135" s="36" t="s">
        <v>205</v>
      </c>
      <c r="O135" s="39">
        <v>729290</v>
      </c>
    </row>
    <row r="136" spans="1:18" ht="18" customHeight="1">
      <c r="A136" s="90" t="s">
        <v>207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1.0632462962976812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 t="s">
        <v>20</v>
      </c>
      <c r="I140" s="26"/>
      <c r="J140" s="26"/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204</v>
      </c>
      <c r="B149" s="88"/>
      <c r="C149" s="88"/>
      <c r="D149" s="88"/>
      <c r="E149" s="89">
        <f>SUM(E137:E148)</f>
        <v>0</v>
      </c>
      <c r="F149" s="36">
        <f>SUM(F137:F148)</f>
        <v>127</v>
      </c>
      <c r="G149" s="36">
        <f>SUM(G137:G148)</f>
        <v>635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206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90" t="s">
        <v>207</v>
      </c>
      <c r="B163" s="91"/>
      <c r="C163" s="91"/>
      <c r="D163" s="91"/>
      <c r="E163" s="92">
        <f>E149+E162</f>
        <v>0</v>
      </c>
      <c r="F163" s="40">
        <f>F149+F162</f>
        <v>127</v>
      </c>
      <c r="G163" s="40">
        <f>G149+G162</f>
        <v>635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204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206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90" t="s">
        <v>207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204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206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90" t="s">
        <v>207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204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206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90" t="s">
        <v>207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204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206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90" t="s">
        <v>207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204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206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90" t="s">
        <v>207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204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206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90" t="s">
        <v>207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204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206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90" t="s">
        <v>207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206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90" t="s">
        <v>207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204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206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90" t="s">
        <v>207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204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206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90" t="s">
        <v>207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204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206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90" t="s">
        <v>207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204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206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90" t="s">
        <v>207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204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206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90" t="s">
        <v>207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204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206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90" t="s">
        <v>207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204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206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90" t="s">
        <v>207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204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206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90" t="s">
        <v>207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204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206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90" t="s">
        <v>207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204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206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90" t="s">
        <v>207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204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206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90" t="s">
        <v>207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204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206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90" t="s">
        <v>207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204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206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90" t="s">
        <v>207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204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206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90" t="s">
        <v>207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204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206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90" t="s">
        <v>207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204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206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90" t="s">
        <v>207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2026-07-06T21:55:30Z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