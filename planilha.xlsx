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8250" documentId="8_{AF585B22-221D-4780-BB9C-493D365A6A02}" xr6:coauthVersionLast="47" xr6:coauthVersionMax="47" xr10:uidLastSave="{49AAEA82-1D91-48D7-8902-5027D722E884}"/>
  <bookViews>
    <workbookView xWindow="-110" yWindow="-110" windowWidth="25820" windowHeight="15500" tabRatio="500" firstSheet="5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12" i="4" l="1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<sst xmlns="http://schemas.openxmlformats.org/spreadsheetml/2006/main" count="7237" uniqueCount="342">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</sst>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L28" sqref="L28"/>
    </sheetView>
  </sheetViews>
  <sheetFormatPr defaultColWidth="8.5703125" defaultRowHeight="14.45"/>
  <cols>
    <col min="1" max="1" width="17.5703125" customWidth="1"/>
    <col min="2" max="2" width="21" style="71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5" t="s">
        <v>0</v>
      </c>
      <c r="B1" s="105"/>
      <c r="C1" s="105"/>
      <c r="D1" s="105"/>
      <c r="E1" s="105"/>
      <c r="F1" s="105"/>
      <c r="G1" s="105"/>
    </row>
    <row r="2" spans="1:7" ht="24.75" customHeight="1">
      <c r="A2" s="106"/>
      <c r="B2" s="10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3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4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3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 t="shared" si="0"/>
        <v>3265480</v>
      </c>
    </row>
    <row r="19" spans="1:7" ht="15.75" customHeight="1">
      <c r="A19" s="10">
        <v>16</v>
      </c>
      <c r="B19" s="74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3">
        <v>46220</v>
      </c>
      <c r="C20" s="8">
        <f>IFERROR(Britador!O460,"")</f>
        <v>1241480</v>
      </c>
      <c r="D20" s="8">
        <f>IFERROR('Linha 1'!O460,"")</f>
        <v>739430</v>
      </c>
      <c r="E20" s="8">
        <f>IFERROR('Linha 2'!O460,"")</f>
        <v>141330</v>
      </c>
      <c r="F20" s="8">
        <f>IFERROR('Linha 3'!O460,"")</f>
        <v>738370</v>
      </c>
      <c r="G20" s="9">
        <f t="shared" si="0"/>
        <v>1619130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7" t="s">
        <v>9</v>
      </c>
      <c r="B35" s="107"/>
      <c r="C35" s="13">
        <f>IFERROR(SUM(C4:C34),"")</f>
        <v>49565442</v>
      </c>
      <c r="D35" s="13">
        <f>IFERROR(SUM(D4:D34),"")</f>
        <v>18504560</v>
      </c>
      <c r="E35" s="13">
        <f>IFERROR(SUM(E4:E34),"")</f>
        <v>11786760</v>
      </c>
      <c r="F35" s="13">
        <f>IFERROR(SUM(F4:F34),"")</f>
        <v>22776130</v>
      </c>
      <c r="G35" s="13">
        <f>IFERROR(SUM(G4:G34),"")</f>
        <v>53067450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J19" sqref="J19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8" t="s">
        <v>10</v>
      </c>
      <c r="B1" s="108"/>
      <c r="C1" s="108"/>
      <c r="D1" s="108"/>
      <c r="E1" s="108"/>
      <c r="F1" s="108"/>
      <c r="G1" s="108"/>
      <c r="H1" s="109"/>
      <c r="I1" s="110" t="s">
        <v>11</v>
      </c>
      <c r="J1" s="110"/>
      <c r="K1" s="110"/>
      <c r="L1" s="110"/>
      <c r="M1" s="110"/>
    </row>
    <row r="2" spans="1:13" ht="4.5" customHeight="1">
      <c r="H2" s="10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9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9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9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9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9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9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9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9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9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9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9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9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9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9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9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9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9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9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9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9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9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9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9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9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9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9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9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9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9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9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9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9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9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9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9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9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9"/>
      <c r="I55" s="17"/>
      <c r="J55" s="17"/>
      <c r="K55" s="17" t="s">
        <v>200</v>
      </c>
      <c r="L55" s="17"/>
      <c r="M55" s="17"/>
    </row>
    <row r="56" spans="1:13" ht="15" customHeight="1">
      <c r="H56" s="109"/>
      <c r="I56" s="16"/>
      <c r="J56" s="16"/>
      <c r="K56" s="16" t="s">
        <v>201</v>
      </c>
      <c r="L56" s="16"/>
      <c r="M56" s="16"/>
    </row>
    <row r="57" spans="1:13" ht="15" customHeight="1">
      <c r="H57" s="109"/>
      <c r="I57" s="17"/>
      <c r="J57" s="17"/>
      <c r="K57" s="17" t="s">
        <v>50</v>
      </c>
      <c r="L57" s="17"/>
      <c r="M57" s="17"/>
    </row>
    <row r="58" spans="1:13" ht="15" customHeight="1">
      <c r="H58" s="109"/>
      <c r="I58" s="16"/>
      <c r="J58" s="16"/>
      <c r="K58" s="16" t="s">
        <v>202</v>
      </c>
      <c r="L58" s="16"/>
      <c r="M58" s="16"/>
    </row>
    <row r="59" spans="1:13" ht="15" customHeight="1">
      <c r="H59" s="109"/>
      <c r="I59" s="17"/>
      <c r="J59" s="17"/>
      <c r="K59" s="17" t="s">
        <v>203</v>
      </c>
      <c r="L59" s="17"/>
      <c r="M59" s="17"/>
    </row>
    <row r="60" spans="1:13" ht="15" customHeight="1">
      <c r="H60" s="109"/>
      <c r="I60" s="16"/>
      <c r="J60" s="16"/>
      <c r="K60" s="87" t="s">
        <v>105</v>
      </c>
      <c r="L60" s="16"/>
      <c r="M60" s="16"/>
    </row>
    <row r="61" spans="1:13" ht="15" customHeight="1">
      <c r="H61" s="109"/>
      <c r="I61" s="17"/>
      <c r="J61" s="17"/>
      <c r="K61" s="17" t="s">
        <v>204</v>
      </c>
      <c r="L61" s="17"/>
      <c r="M61" s="17"/>
    </row>
    <row r="62" spans="1:13" ht="15" customHeight="1">
      <c r="H62" s="109"/>
      <c r="I62" s="16"/>
      <c r="J62" s="16"/>
      <c r="K62" s="16" t="s">
        <v>205</v>
      </c>
      <c r="L62" s="16"/>
      <c r="M62" s="16"/>
    </row>
    <row r="63" spans="1:13" ht="15" customHeight="1">
      <c r="H63" s="109"/>
      <c r="I63" s="17"/>
      <c r="J63" s="17"/>
      <c r="K63" s="17" t="s">
        <v>206</v>
      </c>
      <c r="L63" s="17"/>
      <c r="M63" s="17"/>
    </row>
    <row r="64" spans="1:13" ht="15" customHeight="1">
      <c r="H64" s="109"/>
      <c r="I64" s="16"/>
      <c r="J64" s="16"/>
      <c r="K64" s="16" t="s">
        <v>207</v>
      </c>
      <c r="L64" s="16"/>
      <c r="M64" s="16"/>
    </row>
    <row r="65" spans="8:13" ht="15" customHeight="1">
      <c r="H65" s="109"/>
      <c r="I65" s="17"/>
      <c r="J65" s="17"/>
      <c r="K65" s="17" t="s">
        <v>208</v>
      </c>
      <c r="L65" s="17"/>
      <c r="M65" s="17"/>
    </row>
    <row r="66" spans="8:13" ht="15" customHeight="1">
      <c r="H66" s="109"/>
      <c r="I66" s="16"/>
      <c r="J66" s="16"/>
      <c r="K66" s="16" t="s">
        <v>209</v>
      </c>
      <c r="L66" s="16"/>
      <c r="M66" s="16"/>
    </row>
    <row r="67" spans="8:13" ht="15" customHeight="1">
      <c r="H67" s="109"/>
      <c r="I67" s="17"/>
      <c r="J67" s="17"/>
      <c r="K67" s="17" t="s">
        <v>210</v>
      </c>
      <c r="L67" s="17"/>
      <c r="M67" s="17"/>
    </row>
    <row r="68" spans="8:13" ht="15" customHeight="1">
      <c r="H68" s="109"/>
      <c r="I68" s="16"/>
      <c r="J68" s="16"/>
      <c r="K68" s="16" t="s">
        <v>211</v>
      </c>
      <c r="L68" s="16"/>
      <c r="M68" s="16"/>
    </row>
    <row r="69" spans="8:13" ht="15" customHeight="1">
      <c r="H69" s="109"/>
      <c r="I69" s="17"/>
      <c r="J69" s="17"/>
      <c r="K69" s="17" t="s">
        <v>212</v>
      </c>
      <c r="L69" s="17"/>
      <c r="M69" s="17"/>
    </row>
    <row r="70" spans="8:13" ht="15" customHeight="1">
      <c r="H70" s="109"/>
      <c r="I70" s="16"/>
      <c r="J70" s="16"/>
      <c r="K70" s="16"/>
      <c r="L70" s="16"/>
      <c r="M70" s="16"/>
    </row>
    <row r="71" spans="8:13" ht="15" customHeight="1">
      <c r="H71" s="109"/>
      <c r="I71" s="17"/>
      <c r="J71" s="17"/>
      <c r="K71" s="17"/>
      <c r="L71" s="17"/>
      <c r="M71" s="17"/>
    </row>
    <row r="72" spans="8:13" ht="15" customHeight="1">
      <c r="H72" s="109"/>
      <c r="I72" s="16"/>
      <c r="J72" s="16"/>
      <c r="K72" s="16"/>
      <c r="L72" s="16"/>
      <c r="M72" s="16"/>
    </row>
    <row r="73" spans="8:13" ht="15" customHeight="1">
      <c r="H73" s="109"/>
      <c r="I73" s="17"/>
      <c r="J73" s="17"/>
      <c r="K73" s="17"/>
      <c r="L73" s="17"/>
      <c r="M73" s="17"/>
    </row>
    <row r="74" spans="8:13" ht="15" customHeight="1">
      <c r="H74" s="109"/>
      <c r="I74" s="16"/>
      <c r="J74" s="16"/>
      <c r="K74" s="16"/>
      <c r="L74" s="16"/>
      <c r="M74" s="16"/>
    </row>
    <row r="75" spans="8:13" ht="15" customHeight="1">
      <c r="H75" s="10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434" activePane="bottomLeft" state="frozen"/>
      <selection pane="bottomLeft" activeCell="F447" sqref="F447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6" style="20" customWidth="1"/>
    <col min="15" max="15" width="14" customWidth="1"/>
  </cols>
  <sheetData>
    <row r="1" spans="1:15" ht="37.5" customHeight="1">
      <c r="A1" s="68" t="s">
        <v>7</v>
      </c>
      <c r="B1" s="23" t="s">
        <v>213</v>
      </c>
      <c r="C1" s="23" t="s">
        <v>12</v>
      </c>
      <c r="D1" s="22" t="s">
        <v>13</v>
      </c>
      <c r="E1" s="22" t="s">
        <v>214</v>
      </c>
      <c r="F1" s="23" t="s">
        <v>215</v>
      </c>
      <c r="G1" s="23" t="s">
        <v>216</v>
      </c>
      <c r="H1" s="23" t="s">
        <v>14</v>
      </c>
      <c r="I1" s="23" t="s">
        <v>15</v>
      </c>
      <c r="J1" s="23" t="s">
        <v>217</v>
      </c>
      <c r="K1" s="23" t="s">
        <v>218</v>
      </c>
      <c r="L1" s="23" t="s">
        <v>219</v>
      </c>
      <c r="M1" s="24" t="s">
        <v>220</v>
      </c>
      <c r="N1" s="23" t="s">
        <v>221</v>
      </c>
      <c r="O1" s="23" t="s">
        <v>222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223</v>
      </c>
      <c r="E2" s="59" t="s">
        <v>224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225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224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224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224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224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224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224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224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224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224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224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224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9" t="s">
        <v>226</v>
      </c>
      <c r="B14" s="100"/>
      <c r="C14" s="100"/>
      <c r="D14" s="100"/>
      <c r="E14" s="101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227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224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224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224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224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224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224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224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224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224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224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224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224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9" t="s">
        <v>228</v>
      </c>
      <c r="B27" s="100"/>
      <c r="C27" s="100"/>
      <c r="D27" s="100"/>
      <c r="E27" s="101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227</v>
      </c>
      <c r="O27" s="39">
        <v>1183060</v>
      </c>
    </row>
    <row r="28" spans="1:15" ht="18" customHeight="1">
      <c r="A28" s="102" t="s">
        <v>229</v>
      </c>
      <c r="B28" s="103"/>
      <c r="C28" s="103"/>
      <c r="D28" s="103"/>
      <c r="E28" s="104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230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224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224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231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224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224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224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224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224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224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224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224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226</v>
      </c>
      <c r="B41" s="100"/>
      <c r="C41" s="100"/>
      <c r="D41" s="100"/>
      <c r="E41" s="101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227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224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224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224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224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224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224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224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224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224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224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224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228</v>
      </c>
      <c r="B54" s="100"/>
      <c r="C54" s="100"/>
      <c r="D54" s="100"/>
      <c r="E54" s="101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227</v>
      </c>
      <c r="O54" s="39">
        <v>959290</v>
      </c>
    </row>
    <row r="55" spans="1:15" ht="18" customHeight="1">
      <c r="A55" s="102" t="s">
        <v>229</v>
      </c>
      <c r="B55" s="103"/>
      <c r="C55" s="103"/>
      <c r="D55" s="103"/>
      <c r="E55" s="104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230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224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224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224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224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224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224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224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224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224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224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224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224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226</v>
      </c>
      <c r="B68" s="100"/>
      <c r="C68" s="100"/>
      <c r="D68" s="100"/>
      <c r="E68" s="101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227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224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224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232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224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224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224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224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224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224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224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224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224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228</v>
      </c>
      <c r="B81" s="100"/>
      <c r="C81" s="100"/>
      <c r="D81" s="100"/>
      <c r="E81" s="101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227</v>
      </c>
      <c r="O81" s="39">
        <v>878050</v>
      </c>
    </row>
    <row r="82" spans="1:15" ht="18" customHeight="1">
      <c r="A82" s="102" t="s">
        <v>229</v>
      </c>
      <c r="B82" s="103"/>
      <c r="C82" s="103"/>
      <c r="D82" s="103"/>
      <c r="E82" s="104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230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224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233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224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224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224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224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224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224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224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224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224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224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224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226</v>
      </c>
      <c r="B95" s="100"/>
      <c r="C95" s="100"/>
      <c r="D95" s="100"/>
      <c r="E95" s="101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227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234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228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227</v>
      </c>
      <c r="O108" s="39">
        <v>1700000</v>
      </c>
    </row>
    <row r="109" spans="1:15" ht="18" customHeight="1">
      <c r="A109" s="102" t="s">
        <v>229</v>
      </c>
      <c r="B109" s="103"/>
      <c r="C109" s="103"/>
      <c r="D109" s="103"/>
      <c r="E109" s="104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230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224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224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224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224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224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224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224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224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224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224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224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224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226</v>
      </c>
      <c r="B122" s="100"/>
      <c r="C122" s="100"/>
      <c r="D122" s="100"/>
      <c r="E122" s="101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227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224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228</v>
      </c>
      <c r="B135" s="100"/>
      <c r="C135" s="100"/>
      <c r="D135" s="100"/>
      <c r="E135" s="101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227</v>
      </c>
      <c r="O135" s="39">
        <v>862330</v>
      </c>
    </row>
    <row r="136" spans="1:15" ht="18" customHeight="1">
      <c r="A136" s="102" t="s">
        <v>229</v>
      </c>
      <c r="B136" s="103"/>
      <c r="C136" s="103"/>
      <c r="D136" s="103"/>
      <c r="E136" s="104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230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224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224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224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224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224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224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224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224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224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224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224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224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226</v>
      </c>
      <c r="B149" s="100"/>
      <c r="C149" s="100"/>
      <c r="D149" s="100"/>
      <c r="E149" s="101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227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224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224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224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224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224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224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224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224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224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224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224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224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228</v>
      </c>
      <c r="B162" s="100"/>
      <c r="C162" s="100"/>
      <c r="D162" s="100"/>
      <c r="E162" s="101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227</v>
      </c>
      <c r="O162" s="44">
        <v>1546080</v>
      </c>
    </row>
    <row r="163" spans="1:15" ht="18" customHeight="1">
      <c r="A163" s="102" t="s">
        <v>229</v>
      </c>
      <c r="B163" s="103"/>
      <c r="C163" s="103"/>
      <c r="D163" s="103"/>
      <c r="E163" s="104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230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224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224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224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224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224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224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224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224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224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224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224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224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226</v>
      </c>
      <c r="B176" s="100"/>
      <c r="C176" s="100"/>
      <c r="D176" s="100"/>
      <c r="E176" s="101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227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224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224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224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224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224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224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224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224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224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224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224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224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228</v>
      </c>
      <c r="B189" s="100"/>
      <c r="C189" s="100"/>
      <c r="D189" s="100"/>
      <c r="E189" s="101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227</v>
      </c>
      <c r="O189" s="39">
        <v>2355810</v>
      </c>
    </row>
    <row r="190" spans="1:15" ht="18" customHeight="1">
      <c r="A190" s="102" t="s">
        <v>229</v>
      </c>
      <c r="B190" s="103"/>
      <c r="C190" s="103"/>
      <c r="D190" s="103"/>
      <c r="E190" s="104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230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224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224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224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224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224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224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224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224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224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224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224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224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226</v>
      </c>
      <c r="B203" s="100"/>
      <c r="C203" s="100"/>
      <c r="D203" s="100"/>
      <c r="E203" s="101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227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224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224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224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224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224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224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224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224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224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224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224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224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228</v>
      </c>
      <c r="B216" s="100"/>
      <c r="C216" s="100"/>
      <c r="D216" s="100"/>
      <c r="E216" s="101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227</v>
      </c>
      <c r="O216" s="45">
        <v>2013260</v>
      </c>
    </row>
    <row r="217" spans="1:15" ht="18" customHeight="1">
      <c r="A217" s="102" t="s">
        <v>229</v>
      </c>
      <c r="B217" s="103"/>
      <c r="C217" s="103"/>
      <c r="D217" s="103"/>
      <c r="E217" s="104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230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224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235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224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224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224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224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224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224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224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224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224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224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224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9" t="s">
        <v>226</v>
      </c>
      <c r="B230" s="100"/>
      <c r="C230" s="100"/>
      <c r="D230" s="100"/>
      <c r="E230" s="101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227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224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224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224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224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224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224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224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224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224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224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224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224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228</v>
      </c>
      <c r="B243" s="100"/>
      <c r="C243" s="100"/>
      <c r="D243" s="100"/>
      <c r="E243" s="101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227</v>
      </c>
      <c r="O243" s="39">
        <v>1545480</v>
      </c>
    </row>
    <row r="244" spans="1:15" ht="18" customHeight="1">
      <c r="A244" s="102" t="s">
        <v>229</v>
      </c>
      <c r="B244" s="103"/>
      <c r="C244" s="103"/>
      <c r="D244" s="103"/>
      <c r="E244" s="104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230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224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236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224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224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224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224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224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224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224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224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224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224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224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226</v>
      </c>
      <c r="B257" s="100"/>
      <c r="C257" s="100"/>
      <c r="D257" s="100"/>
      <c r="E257" s="101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227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224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224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224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224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224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224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224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224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224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224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224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224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228</v>
      </c>
      <c r="B270" s="100"/>
      <c r="C270" s="100"/>
      <c r="D270" s="100"/>
      <c r="E270" s="101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227</v>
      </c>
      <c r="O270" s="39">
        <v>1182690</v>
      </c>
    </row>
    <row r="271" spans="1:15" ht="18" customHeight="1">
      <c r="A271" s="102" t="s">
        <v>229</v>
      </c>
      <c r="B271" s="103"/>
      <c r="C271" s="103"/>
      <c r="D271" s="103"/>
      <c r="E271" s="104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230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224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224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224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224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224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224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224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224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224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224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224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224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226</v>
      </c>
      <c r="B284" s="100"/>
      <c r="C284" s="100"/>
      <c r="D284" s="100"/>
      <c r="E284" s="101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227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224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237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224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224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224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224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238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224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238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224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238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224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238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224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238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224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238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224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238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224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238</v>
      </c>
      <c r="O296" s="47"/>
    </row>
    <row r="297" spans="1:15" ht="15.75" customHeight="1">
      <c r="A297" s="99" t="s">
        <v>228</v>
      </c>
      <c r="B297" s="100"/>
      <c r="C297" s="100"/>
      <c r="D297" s="100"/>
      <c r="E297" s="101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227</v>
      </c>
      <c r="O297" s="39">
        <v>1843460</v>
      </c>
    </row>
    <row r="298" spans="1:15" ht="18" customHeight="1">
      <c r="A298" s="102" t="s">
        <v>229</v>
      </c>
      <c r="B298" s="103"/>
      <c r="C298" s="103"/>
      <c r="D298" s="103"/>
      <c r="E298" s="104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230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224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239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224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224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240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224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224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224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224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224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224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224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224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224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226</v>
      </c>
      <c r="B311" s="100"/>
      <c r="C311" s="100"/>
      <c r="D311" s="100"/>
      <c r="E311" s="101">
        <f>SUM(E299:E310)</f>
        <v>0</v>
      </c>
      <c r="F311" s="36">
        <f>SUM(F299:F310)</f>
        <v>217</v>
      </c>
      <c r="G311" s="91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227</v>
      </c>
      <c r="O311" s="39">
        <v>955688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224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241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241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224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241</v>
      </c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241</v>
      </c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241</v>
      </c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224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241</v>
      </c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228</v>
      </c>
      <c r="B324" s="100"/>
      <c r="C324" s="100"/>
      <c r="D324" s="100"/>
      <c r="E324" s="101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227</v>
      </c>
      <c r="O324" s="39">
        <v>1940000</v>
      </c>
    </row>
    <row r="325" spans="1:15" ht="18" customHeight="1">
      <c r="A325" s="102" t="s">
        <v>229</v>
      </c>
      <c r="B325" s="103"/>
      <c r="C325" s="103"/>
      <c r="D325" s="103"/>
      <c r="E325" s="104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230</v>
      </c>
      <c r="O325" s="48">
        <f>IFERROR(O311+O324,"")</f>
        <v>2895688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224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242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224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224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224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224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224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224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224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224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224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224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224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226</v>
      </c>
      <c r="B338" s="100"/>
      <c r="C338" s="100"/>
      <c r="D338" s="100"/>
      <c r="E338" s="101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227</v>
      </c>
      <c r="O338" s="39">
        <v>1525000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224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224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224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224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224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224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224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224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224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224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224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224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228</v>
      </c>
      <c r="B351" s="100"/>
      <c r="C351" s="100"/>
      <c r="D351" s="100"/>
      <c r="E351" s="101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227</v>
      </c>
      <c r="O351" s="39">
        <v>701874</v>
      </c>
    </row>
    <row r="352" spans="1:15" ht="18" customHeight="1">
      <c r="A352" s="102" t="s">
        <v>229</v>
      </c>
      <c r="B352" s="103"/>
      <c r="C352" s="103"/>
      <c r="D352" s="103"/>
      <c r="E352" s="104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230</v>
      </c>
      <c r="O352" s="48">
        <f>IFERROR(O338+O351,"")</f>
        <v>2226874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224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243</v>
      </c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224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224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224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224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224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224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224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224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224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224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224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226</v>
      </c>
      <c r="B365" s="100"/>
      <c r="C365" s="100"/>
      <c r="D365" s="100"/>
      <c r="E365" s="101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227</v>
      </c>
      <c r="O365" s="39">
        <v>2064210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224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224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224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224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224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224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224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224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224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224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224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224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9" t="s">
        <v>228</v>
      </c>
      <c r="B378" s="100"/>
      <c r="C378" s="100"/>
      <c r="D378" s="100"/>
      <c r="E378" s="101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227</v>
      </c>
      <c r="O378" s="39">
        <v>1088710</v>
      </c>
    </row>
    <row r="379" spans="1:15" ht="18" customHeight="1">
      <c r="A379" s="102" t="s">
        <v>229</v>
      </c>
      <c r="B379" s="103"/>
      <c r="C379" s="103"/>
      <c r="D379" s="103"/>
      <c r="E379" s="104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230</v>
      </c>
      <c r="O379" s="48">
        <f>IFERROR(O365+O378,"")</f>
        <v>3152920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224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208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224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244</v>
      </c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224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245</v>
      </c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224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224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224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224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224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224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224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224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224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226</v>
      </c>
      <c r="B392" s="100"/>
      <c r="C392" s="100"/>
      <c r="D392" s="100"/>
      <c r="E392" s="101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227</v>
      </c>
      <c r="O392" s="39">
        <v>1576070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224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224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224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246</v>
      </c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224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224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224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224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224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224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224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224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224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228</v>
      </c>
      <c r="B405" s="100"/>
      <c r="C405" s="100"/>
      <c r="D405" s="100"/>
      <c r="E405" s="101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227</v>
      </c>
      <c r="O405" s="39">
        <v>1202270</v>
      </c>
    </row>
    <row r="406" spans="1:15" ht="18" customHeight="1">
      <c r="A406" s="102" t="s">
        <v>229</v>
      </c>
      <c r="B406" s="103"/>
      <c r="C406" s="103"/>
      <c r="D406" s="103"/>
      <c r="E406" s="104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230</v>
      </c>
      <c r="O406" s="48">
        <f>IFERROR(O392+O405,"")</f>
        <v>2778340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224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247</v>
      </c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224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224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248</v>
      </c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224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224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224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224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224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224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249</v>
      </c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224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249</v>
      </c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224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224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226</v>
      </c>
      <c r="B419" s="100"/>
      <c r="C419" s="100"/>
      <c r="D419" s="100"/>
      <c r="E419" s="101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227</v>
      </c>
      <c r="O419" s="39">
        <v>1600690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224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224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224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224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224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224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224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224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224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224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224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224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9" t="s">
        <v>228</v>
      </c>
      <c r="B432" s="100"/>
      <c r="C432" s="100"/>
      <c r="D432" s="100"/>
      <c r="E432" s="101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227</v>
      </c>
      <c r="O432" s="39">
        <v>1801910</v>
      </c>
    </row>
    <row r="433" spans="1:15" ht="18" customHeight="1">
      <c r="A433" s="102" t="s">
        <v>229</v>
      </c>
      <c r="B433" s="103"/>
      <c r="C433" s="103"/>
      <c r="D433" s="103"/>
      <c r="E433" s="104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230</v>
      </c>
      <c r="O433" s="48">
        <f>IFERROR(O419+O432,"")</f>
        <v>3402600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224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212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250</v>
      </c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224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224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224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224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224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224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224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224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224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224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224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226</v>
      </c>
      <c r="B446" s="100"/>
      <c r="C446" s="100"/>
      <c r="D446" s="100"/>
      <c r="E446" s="101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227</v>
      </c>
      <c r="O446" s="39">
        <v>1241480</v>
      </c>
    </row>
    <row r="447" spans="1:15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251</v>
      </c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251</v>
      </c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251</v>
      </c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251</v>
      </c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251</v>
      </c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251</v>
      </c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251</v>
      </c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251</v>
      </c>
      <c r="F454" s="27"/>
      <c r="G454" s="28" t="str">
        <f>IF(F454="","",IF(#REF!="PC 17",F454*4.2,IF(#REF!="PC 19",F454*5,"")))</f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251</v>
      </c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251</v>
      </c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251</v>
      </c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251</v>
      </c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228</v>
      </c>
      <c r="B459" s="100"/>
      <c r="C459" s="100"/>
      <c r="D459" s="100"/>
      <c r="E459" s="101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227</v>
      </c>
      <c r="O459" s="39"/>
    </row>
    <row r="460" spans="1:15" ht="18" customHeight="1">
      <c r="A460" s="102" t="s">
        <v>229</v>
      </c>
      <c r="B460" s="103"/>
      <c r="C460" s="103"/>
      <c r="D460" s="103"/>
      <c r="E460" s="104">
        <f>E446+E459</f>
        <v>0</v>
      </c>
      <c r="F460" s="40">
        <f>F446+F459</f>
        <v>179</v>
      </c>
      <c r="G460" s="40">
        <f>G446+G459</f>
        <v>895</v>
      </c>
      <c r="H460" s="41"/>
      <c r="I460" s="41"/>
      <c r="J460" s="41"/>
      <c r="K460" s="41"/>
      <c r="L460" s="41"/>
      <c r="M460" s="42">
        <f ca="1">IFERROR(M446+M459,"")</f>
        <v>0.23750000000000004</v>
      </c>
      <c r="N460" s="40" t="s">
        <v>230</v>
      </c>
      <c r="O460" s="48">
        <f>IFERROR(O446+O459,"")</f>
        <v>1241480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226</v>
      </c>
      <c r="B473" s="100"/>
      <c r="C473" s="100"/>
      <c r="D473" s="100"/>
      <c r="E473" s="101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227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228</v>
      </c>
      <c r="B486" s="100"/>
      <c r="C486" s="100"/>
      <c r="D486" s="100"/>
      <c r="E486" s="10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227</v>
      </c>
      <c r="O486" s="39"/>
    </row>
    <row r="487" spans="1:15" ht="18" customHeight="1">
      <c r="A487" s="102" t="s">
        <v>229</v>
      </c>
      <c r="B487" s="103"/>
      <c r="C487" s="103"/>
      <c r="D487" s="103"/>
      <c r="E487" s="10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230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226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227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228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227</v>
      </c>
      <c r="O513" s="39"/>
    </row>
    <row r="514" spans="1:15" ht="18" customHeight="1">
      <c r="A514" s="102" t="s">
        <v>229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230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226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227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228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227</v>
      </c>
      <c r="O540" s="39"/>
    </row>
    <row r="541" spans="1:15" ht="18" customHeight="1">
      <c r="A541" s="102" t="s">
        <v>229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230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226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227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228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227</v>
      </c>
      <c r="O567" s="39"/>
    </row>
    <row r="568" spans="1:15" ht="18" customHeight="1">
      <c r="A568" s="102" t="s">
        <v>229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230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226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227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228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227</v>
      </c>
      <c r="O594" s="39"/>
    </row>
    <row r="595" spans="1:15" ht="18" customHeight="1">
      <c r="A595" s="102" t="s">
        <v>229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230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226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227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228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227</v>
      </c>
      <c r="O621" s="39"/>
    </row>
    <row r="622" spans="1:15" ht="18" customHeight="1">
      <c r="A622" s="102" t="s">
        <v>229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230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226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227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228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227</v>
      </c>
      <c r="O648" s="39"/>
    </row>
    <row r="649" spans="1:15" ht="18" customHeight="1">
      <c r="A649" s="102" t="s">
        <v>229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230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226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227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228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227</v>
      </c>
      <c r="O675" s="39"/>
    </row>
    <row r="676" spans="1:15" ht="18" customHeight="1">
      <c r="A676" s="102" t="s">
        <v>229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230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226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227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228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227</v>
      </c>
      <c r="O702" s="39"/>
    </row>
    <row r="703" spans="1:15" ht="18" customHeight="1">
      <c r="A703" s="102" t="s">
        <v>229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230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226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227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228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227</v>
      </c>
      <c r="O729" s="39"/>
    </row>
    <row r="730" spans="1:15" ht="18" customHeight="1">
      <c r="A730" s="102" t="s">
        <v>229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230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226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227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228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227</v>
      </c>
      <c r="O756" s="39"/>
    </row>
    <row r="757" spans="1:15" ht="18" customHeight="1">
      <c r="A757" s="102" t="s">
        <v>229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230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226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227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228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227</v>
      </c>
      <c r="O783" s="39"/>
    </row>
    <row r="784" spans="1:15" ht="18" customHeight="1">
      <c r="A784" s="102" t="s">
        <v>229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230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226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227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228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227</v>
      </c>
      <c r="O810" s="39"/>
    </row>
    <row r="811" spans="1:15" ht="18" customHeight="1">
      <c r="A811" s="59" t="s">
        <v>224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230</v>
      </c>
      <c r="O811" s="43">
        <f>IFERROR(O797+O810,"")</f>
        <v>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433" activePane="bottomLeft" state="frozen"/>
      <selection pane="bottomLeft" activeCell="F447" sqref="F447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64.5703125" style="20" customWidth="1"/>
    <col min="15" max="15" width="20" customWidth="1"/>
    <col min="16" max="16" width="20.140625" customWidth="1"/>
  </cols>
  <sheetData>
    <row r="1" spans="1:15" ht="37.5" customHeight="1">
      <c r="A1" s="68" t="s">
        <v>7</v>
      </c>
      <c r="B1" s="23" t="s">
        <v>213</v>
      </c>
      <c r="C1" s="23" t="s">
        <v>12</v>
      </c>
      <c r="D1" s="22" t="s">
        <v>13</v>
      </c>
      <c r="E1" s="22" t="s">
        <v>214</v>
      </c>
      <c r="F1" s="23" t="s">
        <v>215</v>
      </c>
      <c r="G1" s="23" t="s">
        <v>216</v>
      </c>
      <c r="H1" s="23" t="s">
        <v>14</v>
      </c>
      <c r="I1" s="23" t="s">
        <v>15</v>
      </c>
      <c r="J1" s="23" t="s">
        <v>217</v>
      </c>
      <c r="K1" s="23" t="s">
        <v>218</v>
      </c>
      <c r="L1" s="23" t="s">
        <v>219</v>
      </c>
      <c r="M1" s="24" t="s">
        <v>220</v>
      </c>
      <c r="N1" s="23" t="s">
        <v>221</v>
      </c>
      <c r="O1" s="23" t="s">
        <v>222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251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251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251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251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251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251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251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251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251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251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251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251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9" t="s">
        <v>226</v>
      </c>
      <c r="B14" s="100"/>
      <c r="C14" s="100"/>
      <c r="D14" s="100"/>
      <c r="E14" s="101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227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251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251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251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251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251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251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251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251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251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251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251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251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9" t="s">
        <v>228</v>
      </c>
      <c r="B27" s="100"/>
      <c r="C27" s="100"/>
      <c r="D27" s="100"/>
      <c r="E27" s="101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227</v>
      </c>
      <c r="O27" s="78">
        <v>393200</v>
      </c>
    </row>
    <row r="28" spans="1:15" ht="18" customHeight="1">
      <c r="A28" s="102" t="s">
        <v>229</v>
      </c>
      <c r="B28" s="103"/>
      <c r="C28" s="103"/>
      <c r="D28" s="103"/>
      <c r="E28" s="104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230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251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252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251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251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251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251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251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251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251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251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251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251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9" t="s">
        <v>226</v>
      </c>
      <c r="B41" s="100"/>
      <c r="C41" s="100"/>
      <c r="D41" s="100"/>
      <c r="E41" s="101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227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251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251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251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253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251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251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251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251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251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251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251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251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251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9" t="s">
        <v>228</v>
      </c>
      <c r="B54" s="100"/>
      <c r="C54" s="100"/>
      <c r="D54" s="100"/>
      <c r="E54" s="101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227</v>
      </c>
      <c r="O54" s="85">
        <v>276360</v>
      </c>
    </row>
    <row r="55" spans="1:15" ht="18" customHeight="1">
      <c r="A55" s="102" t="s">
        <v>229</v>
      </c>
      <c r="B55" s="103"/>
      <c r="C55" s="103"/>
      <c r="D55" s="103"/>
      <c r="E55" s="104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230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254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255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9" t="s">
        <v>226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227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251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251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251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251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251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251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251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251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251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251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251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251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9" t="s">
        <v>228</v>
      </c>
      <c r="B81" s="100"/>
      <c r="C81" s="100"/>
      <c r="D81" s="100"/>
      <c r="E81" s="101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227</v>
      </c>
      <c r="O81" s="54">
        <v>787860</v>
      </c>
    </row>
    <row r="82" spans="1:15" ht="18" customHeight="1">
      <c r="A82" s="102" t="s">
        <v>229</v>
      </c>
      <c r="B82" s="103"/>
      <c r="C82" s="103"/>
      <c r="D82" s="103"/>
      <c r="E82" s="104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230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251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256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251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251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251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251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224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224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224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224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224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224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224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9" t="s">
        <v>226</v>
      </c>
      <c r="B95" s="100"/>
      <c r="C95" s="100"/>
      <c r="D95" s="100"/>
      <c r="E95" s="101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227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251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257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251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258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251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259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251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251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251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251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251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251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251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251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251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9" t="s">
        <v>228</v>
      </c>
      <c r="B108" s="100"/>
      <c r="C108" s="100"/>
      <c r="D108" s="100"/>
      <c r="E108" s="101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227</v>
      </c>
      <c r="O108" s="54">
        <v>1087080</v>
      </c>
    </row>
    <row r="109" spans="1:15" ht="18" customHeight="1">
      <c r="A109" s="102" t="s">
        <v>229</v>
      </c>
      <c r="B109" s="103"/>
      <c r="C109" s="103"/>
      <c r="D109" s="103"/>
      <c r="E109" s="104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230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251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251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260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251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251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251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251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251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251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251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251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251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251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9" t="s">
        <v>226</v>
      </c>
      <c r="B122" s="100"/>
      <c r="C122" s="100"/>
      <c r="D122" s="100"/>
      <c r="E122" s="101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227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224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261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224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224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242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224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262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224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224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224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263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224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224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224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224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224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9" t="s">
        <v>228</v>
      </c>
      <c r="B135" s="100"/>
      <c r="C135" s="100"/>
      <c r="D135" s="100"/>
      <c r="E135" s="101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227</v>
      </c>
      <c r="O135" s="54">
        <v>794480</v>
      </c>
    </row>
    <row r="136" spans="1:15" ht="18" customHeight="1">
      <c r="A136" s="102" t="s">
        <v>229</v>
      </c>
      <c r="B136" s="103"/>
      <c r="C136" s="103"/>
      <c r="D136" s="103"/>
      <c r="E136" s="104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230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224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224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224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264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224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265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224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224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224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224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224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224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224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9" t="s">
        <v>226</v>
      </c>
      <c r="B149" s="100"/>
      <c r="C149" s="100"/>
      <c r="D149" s="100"/>
      <c r="E149" s="101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227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224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266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224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203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251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267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251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251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251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251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251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251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251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251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251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9" t="s">
        <v>228</v>
      </c>
      <c r="B162" s="100"/>
      <c r="C162" s="100"/>
      <c r="D162" s="100"/>
      <c r="E162" s="101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227</v>
      </c>
      <c r="O162" s="54">
        <v>882280</v>
      </c>
    </row>
    <row r="163" spans="1:15" ht="18" customHeight="1">
      <c r="A163" s="102" t="s">
        <v>229</v>
      </c>
      <c r="B163" s="103"/>
      <c r="C163" s="103"/>
      <c r="D163" s="103"/>
      <c r="E163" s="104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230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251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251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251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251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251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251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251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251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251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251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251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251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9" t="s">
        <v>226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227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9" t="s">
        <v>228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227</v>
      </c>
      <c r="O189" s="78"/>
    </row>
    <row r="190" spans="1:15" ht="18" customHeight="1">
      <c r="A190" s="102" t="s">
        <v>229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230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9" t="s">
        <v>226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227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251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224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251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268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251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269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251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251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251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251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251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251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251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251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228</v>
      </c>
      <c r="B216" s="100"/>
      <c r="C216" s="100"/>
      <c r="D216" s="100"/>
      <c r="E216" s="101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227</v>
      </c>
      <c r="O216" s="78">
        <v>648410</v>
      </c>
    </row>
    <row r="217" spans="1:15" ht="18" customHeight="1">
      <c r="A217" s="102" t="s">
        <v>229</v>
      </c>
      <c r="B217" s="103"/>
      <c r="C217" s="103"/>
      <c r="D217" s="103"/>
      <c r="E217" s="104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230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251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270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251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271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251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251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251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251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251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251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251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251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251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251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226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227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251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203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224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272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251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251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266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251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251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251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251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251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251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251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251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228</v>
      </c>
      <c r="B243" s="100"/>
      <c r="C243" s="100"/>
      <c r="D243" s="100"/>
      <c r="E243" s="101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227</v>
      </c>
      <c r="O243" s="78">
        <v>849060</v>
      </c>
    </row>
    <row r="244" spans="1:15" ht="18" customHeight="1">
      <c r="A244" s="102" t="s">
        <v>229</v>
      </c>
      <c r="B244" s="103"/>
      <c r="C244" s="103"/>
      <c r="D244" s="103"/>
      <c r="E244" s="104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230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251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273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251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251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251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251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251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251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251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251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251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251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251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226</v>
      </c>
      <c r="B257" s="100"/>
      <c r="C257" s="100"/>
      <c r="D257" s="100"/>
      <c r="E257" s="101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227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224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251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251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251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251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251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251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251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251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251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251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251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228</v>
      </c>
      <c r="B270" s="100"/>
      <c r="C270" s="100"/>
      <c r="D270" s="100"/>
      <c r="E270" s="101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227</v>
      </c>
      <c r="O270" s="78">
        <v>625070</v>
      </c>
    </row>
    <row r="271" spans="1:15" ht="18" customHeight="1">
      <c r="A271" s="102" t="s">
        <v>229</v>
      </c>
      <c r="B271" s="103"/>
      <c r="C271" s="103"/>
      <c r="D271" s="103"/>
      <c r="E271" s="104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230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251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274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251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275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251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251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251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251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251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251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251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251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251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251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226</v>
      </c>
      <c r="B284" s="100"/>
      <c r="C284" s="100"/>
      <c r="D284" s="100"/>
      <c r="E284" s="101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227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251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251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276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251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251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224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251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251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251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251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251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251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251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9" t="s">
        <v>228</v>
      </c>
      <c r="B297" s="100"/>
      <c r="C297" s="100"/>
      <c r="D297" s="100"/>
      <c r="E297" s="101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227</v>
      </c>
      <c r="O297" s="78">
        <v>761660</v>
      </c>
    </row>
    <row r="298" spans="1:15" ht="18" customHeight="1">
      <c r="A298" s="102" t="s">
        <v>229</v>
      </c>
      <c r="B298" s="103"/>
      <c r="C298" s="103"/>
      <c r="D298" s="103"/>
      <c r="E298" s="104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230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251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251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251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251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277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251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277</v>
      </c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251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251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251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251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251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251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251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226</v>
      </c>
      <c r="B311" s="100"/>
      <c r="C311" s="100"/>
      <c r="D311" s="100"/>
      <c r="E311" s="101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227</v>
      </c>
      <c r="O311" s="78">
        <v>605560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251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251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278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251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279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251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251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251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251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251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251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251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251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224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228</v>
      </c>
      <c r="B324" s="100"/>
      <c r="C324" s="100"/>
      <c r="D324" s="100"/>
      <c r="E324" s="101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227</v>
      </c>
      <c r="O324" s="78">
        <v>524410</v>
      </c>
    </row>
    <row r="325" spans="1:15" ht="18" customHeight="1">
      <c r="A325" s="102" t="s">
        <v>229</v>
      </c>
      <c r="B325" s="103"/>
      <c r="C325" s="103"/>
      <c r="D325" s="103"/>
      <c r="E325" s="104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230</v>
      </c>
      <c r="O325" s="84">
        <f>IFERROR(O311+O324,"")</f>
        <v>1129970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251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251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251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251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280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224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251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251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251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251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251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251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251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226</v>
      </c>
      <c r="B338" s="100"/>
      <c r="C338" s="100"/>
      <c r="D338" s="100"/>
      <c r="E338" s="101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227</v>
      </c>
      <c r="O338" s="78">
        <v>837000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251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251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281</v>
      </c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251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251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282</v>
      </c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251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251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251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251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251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251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251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251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228</v>
      </c>
      <c r="B351" s="100"/>
      <c r="C351" s="100"/>
      <c r="D351" s="100"/>
      <c r="E351" s="101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227</v>
      </c>
      <c r="O351" s="78">
        <v>598420</v>
      </c>
    </row>
    <row r="352" spans="1:15" ht="18" customHeight="1">
      <c r="A352" s="102" t="s">
        <v>229</v>
      </c>
      <c r="B352" s="103"/>
      <c r="C352" s="103"/>
      <c r="D352" s="103"/>
      <c r="E352" s="104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230</v>
      </c>
      <c r="O352" s="84">
        <f>IFERROR(O338+O351,"")</f>
        <v>1435420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251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251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251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251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251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251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251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251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251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251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251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251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226</v>
      </c>
      <c r="B365" s="100"/>
      <c r="C365" s="100"/>
      <c r="D365" s="100"/>
      <c r="E365" s="101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227</v>
      </c>
      <c r="O365" s="78">
        <v>808550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251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251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251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251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251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251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251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251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0.57141620370384771</v>
      </c>
      <c r="N377" s="46"/>
      <c r="O377" s="47"/>
    </row>
    <row r="378" spans="1:15" ht="15.75" customHeight="1">
      <c r="A378" s="99" t="s">
        <v>228</v>
      </c>
      <c r="B378" s="100"/>
      <c r="C378" s="100"/>
      <c r="D378" s="100"/>
      <c r="E378" s="101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0.7290550925927366</v>
      </c>
      <c r="N378" s="36" t="s">
        <v>227</v>
      </c>
      <c r="O378" s="78">
        <v>511980</v>
      </c>
    </row>
    <row r="379" spans="1:15" ht="18" customHeight="1">
      <c r="A379" s="102" t="s">
        <v>229</v>
      </c>
      <c r="B379" s="103"/>
      <c r="C379" s="103"/>
      <c r="D379" s="103"/>
      <c r="E379" s="104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0.83877731481495876</v>
      </c>
      <c r="N379" s="40" t="s">
        <v>230</v>
      </c>
      <c r="O379" s="84">
        <f>IFERROR(O365+O378,"")</f>
        <v>1320530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251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251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209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251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251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266</v>
      </c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251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283</v>
      </c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251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251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251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251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251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251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251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226</v>
      </c>
      <c r="B392" s="100"/>
      <c r="C392" s="100"/>
      <c r="D392" s="100"/>
      <c r="E392" s="101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227</v>
      </c>
      <c r="O392" s="78">
        <v>281950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251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284</v>
      </c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251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242</v>
      </c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251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251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251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251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251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251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251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251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251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251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228</v>
      </c>
      <c r="B405" s="100"/>
      <c r="C405" s="100"/>
      <c r="D405" s="100"/>
      <c r="E405" s="101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227</v>
      </c>
      <c r="O405" s="78">
        <v>552440</v>
      </c>
    </row>
    <row r="406" spans="1:15" ht="18" customHeight="1">
      <c r="A406" s="102" t="s">
        <v>229</v>
      </c>
      <c r="B406" s="103"/>
      <c r="C406" s="103"/>
      <c r="D406" s="103"/>
      <c r="E406" s="104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230</v>
      </c>
      <c r="O406" s="84">
        <f>IFERROR(O392+O405,"")</f>
        <v>834390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251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251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251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251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251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251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251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251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224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224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251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251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226</v>
      </c>
      <c r="B419" s="100"/>
      <c r="C419" s="100"/>
      <c r="D419" s="100"/>
      <c r="E419" s="101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227</v>
      </c>
      <c r="O419" s="78">
        <v>700000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251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210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251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285</v>
      </c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251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251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0.54988842592865694</v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251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251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251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251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251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251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251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251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8" t="s">
        <v>228</v>
      </c>
      <c r="B432" s="89"/>
      <c r="C432" s="89"/>
      <c r="D432" s="89"/>
      <c r="E432" s="89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0.72072175926199034</v>
      </c>
      <c r="N432" s="36" t="s">
        <v>227</v>
      </c>
      <c r="O432" s="78">
        <v>484540</v>
      </c>
    </row>
    <row r="433" spans="1:15" ht="18" customHeight="1">
      <c r="A433" s="94" t="s">
        <v>229</v>
      </c>
      <c r="B433" s="92"/>
      <c r="C433" s="92"/>
      <c r="D433" s="92"/>
      <c r="E433" s="92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0.86586064815087926</v>
      </c>
      <c r="N433" s="40" t="s">
        <v>230</v>
      </c>
      <c r="O433" s="84">
        <f>IFERROR(O419+O432,"")</f>
        <v>1184540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251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286</v>
      </c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251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251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287</v>
      </c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251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251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251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251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251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251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251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251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251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226</v>
      </c>
      <c r="B446" s="100"/>
      <c r="C446" s="100"/>
      <c r="D446" s="100"/>
      <c r="E446" s="101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227</v>
      </c>
      <c r="O446" s="78">
        <v>739430</v>
      </c>
    </row>
    <row r="447" spans="1:15" ht="15" customHeight="1">
      <c r="A447" s="70">
        <v>46220</v>
      </c>
      <c r="B447" s="32">
        <v>0.83333333333333304</v>
      </c>
      <c r="C447" s="33" t="s">
        <v>45</v>
      </c>
      <c r="D447" s="62"/>
      <c r="E447" s="62" t="s">
        <v>224</v>
      </c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/>
      <c r="E448" s="62" t="s">
        <v>224</v>
      </c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/>
      <c r="E449" s="62" t="s">
        <v>224</v>
      </c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/>
      <c r="E450" s="62" t="s">
        <v>224</v>
      </c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/>
      <c r="E451" s="62" t="s">
        <v>224</v>
      </c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/>
      <c r="E452" s="62" t="s">
        <v>224</v>
      </c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/>
      <c r="E453" s="62" t="s">
        <v>224</v>
      </c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/>
      <c r="E454" s="62" t="s">
        <v>224</v>
      </c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/>
      <c r="E455" s="62" t="s">
        <v>224</v>
      </c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/>
      <c r="E456" s="62" t="s">
        <v>224</v>
      </c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/>
      <c r="E457" s="62" t="s">
        <v>224</v>
      </c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/>
      <c r="E458" s="62" t="s">
        <v>224</v>
      </c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228</v>
      </c>
      <c r="B459" s="100"/>
      <c r="C459" s="100"/>
      <c r="D459" s="100"/>
      <c r="E459" s="101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227</v>
      </c>
      <c r="O459" s="78"/>
    </row>
    <row r="460" spans="1:15" ht="18" customHeight="1">
      <c r="A460" s="102" t="s">
        <v>229</v>
      </c>
      <c r="B460" s="103"/>
      <c r="C460" s="103"/>
      <c r="D460" s="103"/>
      <c r="E460" s="104">
        <f>E446+E459</f>
        <v>0</v>
      </c>
      <c r="F460" s="40">
        <f>F446+F459</f>
        <v>198</v>
      </c>
      <c r="G460" s="40">
        <f>G446+G459</f>
        <v>831.60000000000014</v>
      </c>
      <c r="H460" s="41"/>
      <c r="I460" s="41"/>
      <c r="J460" s="41"/>
      <c r="K460" s="41"/>
      <c r="L460" s="41"/>
      <c r="M460" s="42">
        <f ca="1">IFERROR(M446+M459,"")</f>
        <v>6.9444444444444475E-2</v>
      </c>
      <c r="N460" s="40" t="s">
        <v>230</v>
      </c>
      <c r="O460" s="84">
        <f>IFERROR(O446+O459,"")</f>
        <v>739430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226</v>
      </c>
      <c r="B473" s="100"/>
      <c r="C473" s="100"/>
      <c r="D473" s="100"/>
      <c r="E473" s="101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227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228</v>
      </c>
      <c r="B486" s="100"/>
      <c r="C486" s="100"/>
      <c r="D486" s="100"/>
      <c r="E486" s="10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227</v>
      </c>
      <c r="O486" s="78"/>
    </row>
    <row r="487" spans="1:15" ht="18" customHeight="1">
      <c r="A487" s="102" t="s">
        <v>229</v>
      </c>
      <c r="B487" s="103"/>
      <c r="C487" s="103"/>
      <c r="D487" s="103"/>
      <c r="E487" s="10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230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226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227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228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227</v>
      </c>
      <c r="O513" s="78"/>
    </row>
    <row r="514" spans="1:15" ht="18" customHeight="1">
      <c r="A514" s="102" t="s">
        <v>229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230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226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227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228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227</v>
      </c>
      <c r="O540" s="78"/>
    </row>
    <row r="541" spans="1:15" ht="18" customHeight="1">
      <c r="A541" s="102" t="s">
        <v>229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230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226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227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228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227</v>
      </c>
      <c r="O567" s="78"/>
    </row>
    <row r="568" spans="1:15" ht="18" customHeight="1">
      <c r="A568" s="102" t="s">
        <v>229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230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226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227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228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227</v>
      </c>
      <c r="O594" s="78"/>
    </row>
    <row r="595" spans="1:15" ht="18" customHeight="1">
      <c r="A595" s="102" t="s">
        <v>229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230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226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227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228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227</v>
      </c>
      <c r="O621" s="78"/>
    </row>
    <row r="622" spans="1:15" ht="18" customHeight="1">
      <c r="A622" s="102" t="s">
        <v>229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230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226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227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228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227</v>
      </c>
      <c r="O648" s="78"/>
    </row>
    <row r="649" spans="1:15" ht="18" customHeight="1">
      <c r="A649" s="102" t="s">
        <v>229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230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226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227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228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227</v>
      </c>
      <c r="O675" s="78"/>
    </row>
    <row r="676" spans="1:15" ht="18" customHeight="1">
      <c r="A676" s="102" t="s">
        <v>229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230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226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227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228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227</v>
      </c>
      <c r="O702" s="78"/>
    </row>
    <row r="703" spans="1:15" ht="18" customHeight="1">
      <c r="A703" s="102" t="s">
        <v>229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230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226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227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228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227</v>
      </c>
      <c r="O729" s="78"/>
    </row>
    <row r="730" spans="1:15" ht="18" customHeight="1">
      <c r="A730" s="102" t="s">
        <v>229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230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226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227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228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227</v>
      </c>
      <c r="O756" s="39"/>
    </row>
    <row r="757" spans="1:15" ht="18" customHeight="1">
      <c r="A757" s="102" t="s">
        <v>229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230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226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227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228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227</v>
      </c>
      <c r="O783" s="39"/>
    </row>
    <row r="784" spans="1:15" ht="18" customHeight="1">
      <c r="A784" s="102" t="s">
        <v>229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230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226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227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228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227</v>
      </c>
      <c r="O810" s="39"/>
    </row>
    <row r="811" spans="1:15" ht="18" customHeight="1">
      <c r="A811" s="102" t="s">
        <v>229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230</v>
      </c>
      <c r="O811" s="83">
        <f>IFERROR(O797+O810,"")</f>
        <v>0</v>
      </c>
    </row>
  </sheetData>
  <mergeCells count="87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86:E486"/>
    <mergeCell ref="A487:E487"/>
    <mergeCell ref="A500:E500"/>
    <mergeCell ref="A513:E513"/>
    <mergeCell ref="A514:E514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431 E434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433" zoomScale="50" zoomScaleNormal="50" workbookViewId="0">
      <selection activeCell="F447" sqref="F447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45.5703125" style="20" customWidth="1"/>
    <col min="15" max="15" width="14" customWidth="1"/>
  </cols>
  <sheetData>
    <row r="1" spans="1:15" ht="37.5" customHeight="1">
      <c r="A1" s="68" t="s">
        <v>7</v>
      </c>
      <c r="B1" s="23" t="s">
        <v>213</v>
      </c>
      <c r="C1" s="23" t="s">
        <v>12</v>
      </c>
      <c r="D1" s="22" t="s">
        <v>13</v>
      </c>
      <c r="E1" s="22" t="s">
        <v>214</v>
      </c>
      <c r="F1" s="23" t="s">
        <v>215</v>
      </c>
      <c r="G1" s="23" t="s">
        <v>216</v>
      </c>
      <c r="H1" s="23" t="s">
        <v>14</v>
      </c>
      <c r="I1" s="23" t="s">
        <v>15</v>
      </c>
      <c r="J1" s="23" t="s">
        <v>217</v>
      </c>
      <c r="K1" s="23" t="s">
        <v>218</v>
      </c>
      <c r="L1" s="23" t="s">
        <v>219</v>
      </c>
      <c r="M1" s="24" t="s">
        <v>220</v>
      </c>
      <c r="N1" s="23" t="s">
        <v>221</v>
      </c>
      <c r="O1" s="23" t="s">
        <v>222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251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251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251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288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251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251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289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251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251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251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251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251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251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251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9" t="s">
        <v>226</v>
      </c>
      <c r="B14" s="100"/>
      <c r="C14" s="100"/>
      <c r="D14" s="100"/>
      <c r="E14" s="101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227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251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251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251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251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251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251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251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251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251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251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251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251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9" t="s">
        <v>228</v>
      </c>
      <c r="B27" s="100"/>
      <c r="C27" s="100"/>
      <c r="D27" s="100"/>
      <c r="E27" s="101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227</v>
      </c>
      <c r="O27" s="39">
        <v>308500</v>
      </c>
    </row>
    <row r="28" spans="1:15" ht="18" customHeight="1">
      <c r="A28" s="102" t="s">
        <v>229</v>
      </c>
      <c r="B28" s="103"/>
      <c r="C28" s="103"/>
      <c r="D28" s="103"/>
      <c r="E28" s="104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230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251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290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251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251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251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251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251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251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251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251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251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251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251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226</v>
      </c>
      <c r="B41" s="100"/>
      <c r="C41" s="100"/>
      <c r="D41" s="100"/>
      <c r="E41" s="101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227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251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251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251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251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251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251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251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251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251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251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251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251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228</v>
      </c>
      <c r="B54" s="100"/>
      <c r="C54" s="100"/>
      <c r="D54" s="100"/>
      <c r="E54" s="101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227</v>
      </c>
      <c r="O54" s="39">
        <v>124290</v>
      </c>
    </row>
    <row r="55" spans="1:15" ht="18" customHeight="1">
      <c r="A55" s="102" t="s">
        <v>229</v>
      </c>
      <c r="B55" s="103"/>
      <c r="C55" s="103"/>
      <c r="D55" s="103"/>
      <c r="E55" s="104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230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251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251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251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251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291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251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251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251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251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251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251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251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251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226</v>
      </c>
      <c r="B68" s="100"/>
      <c r="C68" s="100"/>
      <c r="D68" s="100"/>
      <c r="E68" s="101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227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251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292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251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251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251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251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251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251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251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251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251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251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251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228</v>
      </c>
      <c r="B81" s="100"/>
      <c r="C81" s="100"/>
      <c r="D81" s="100"/>
      <c r="E81" s="101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227</v>
      </c>
      <c r="O81" s="39">
        <v>396340</v>
      </c>
    </row>
    <row r="82" spans="1:15" ht="18" customHeight="1">
      <c r="A82" s="102" t="s">
        <v>229</v>
      </c>
      <c r="B82" s="103"/>
      <c r="C82" s="103"/>
      <c r="D82" s="103"/>
      <c r="E82" s="104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230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224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224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224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224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224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224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293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224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224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224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224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224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224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226</v>
      </c>
      <c r="B95" s="100"/>
      <c r="C95" s="100"/>
      <c r="D95" s="100"/>
      <c r="E95" s="101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227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251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251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251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251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251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251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251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251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251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251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251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251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228</v>
      </c>
      <c r="B108" s="100"/>
      <c r="C108" s="100"/>
      <c r="D108" s="100"/>
      <c r="E108" s="101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227</v>
      </c>
      <c r="O108" s="39">
        <v>41230</v>
      </c>
    </row>
    <row r="109" spans="1:15" ht="18" customHeight="1">
      <c r="A109" s="102" t="s">
        <v>229</v>
      </c>
      <c r="B109" s="103"/>
      <c r="C109" s="103"/>
      <c r="D109" s="103"/>
      <c r="E109" s="104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230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251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251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251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251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251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251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251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251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251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251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251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251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226</v>
      </c>
      <c r="B122" s="100"/>
      <c r="C122" s="100"/>
      <c r="D122" s="100"/>
      <c r="E122" s="101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227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224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224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224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224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224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224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224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263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224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224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224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224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224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228</v>
      </c>
      <c r="B135" s="100"/>
      <c r="C135" s="100"/>
      <c r="D135" s="100"/>
      <c r="E135" s="101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227</v>
      </c>
      <c r="O135" s="39">
        <v>381250</v>
      </c>
    </row>
    <row r="136" spans="1:15" ht="18" customHeight="1">
      <c r="A136" s="102" t="s">
        <v>229</v>
      </c>
      <c r="B136" s="103"/>
      <c r="C136" s="103"/>
      <c r="D136" s="103"/>
      <c r="E136" s="104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230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224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224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294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224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224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224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265</v>
      </c>
      <c r="K141" s="29">
        <v>0.71597222222222223</v>
      </c>
      <c r="L141" s="29" t="s">
        <v>295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224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224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224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224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224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224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224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226</v>
      </c>
      <c r="B149" s="100"/>
      <c r="C149" s="100"/>
      <c r="D149" s="100"/>
      <c r="E149" s="101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227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224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296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224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251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267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251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251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251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251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251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251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251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251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251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228</v>
      </c>
      <c r="B162" s="100"/>
      <c r="C162" s="100"/>
      <c r="D162" s="100"/>
      <c r="E162" s="101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227</v>
      </c>
      <c r="O162" s="39">
        <v>337120</v>
      </c>
    </row>
    <row r="163" spans="1:15" ht="18" customHeight="1">
      <c r="A163" s="102" t="s">
        <v>229</v>
      </c>
      <c r="B163" s="103"/>
      <c r="C163" s="103"/>
      <c r="D163" s="103"/>
      <c r="E163" s="104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230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224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251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251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297</v>
      </c>
      <c r="N166" s="27" t="s">
        <v>298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251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251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251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251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251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251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251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251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251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226</v>
      </c>
      <c r="B176" s="100"/>
      <c r="C176" s="100"/>
      <c r="D176" s="100"/>
      <c r="E176" s="101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227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251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251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251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251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251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251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251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251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251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251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251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251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228</v>
      </c>
      <c r="B189" s="100"/>
      <c r="C189" s="100"/>
      <c r="D189" s="100"/>
      <c r="E189" s="101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227</v>
      </c>
      <c r="O189" s="39">
        <v>747210</v>
      </c>
    </row>
    <row r="190" spans="1:15" ht="18" customHeight="1">
      <c r="A190" s="102" t="s">
        <v>229</v>
      </c>
      <c r="B190" s="103"/>
      <c r="C190" s="103"/>
      <c r="D190" s="103"/>
      <c r="E190" s="104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230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251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251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299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251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251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251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251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251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251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251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251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251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251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226</v>
      </c>
      <c r="B203" s="100"/>
      <c r="C203" s="100"/>
      <c r="D203" s="100"/>
      <c r="E203" s="101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227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251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224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251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251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251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251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251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251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251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251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251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251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9" t="s">
        <v>228</v>
      </c>
      <c r="B216" s="100"/>
      <c r="C216" s="100"/>
      <c r="D216" s="100"/>
      <c r="E216" s="101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227</v>
      </c>
      <c r="O216" s="39">
        <v>468430</v>
      </c>
    </row>
    <row r="217" spans="1:15" ht="18" customHeight="1">
      <c r="A217" s="102" t="s">
        <v>229</v>
      </c>
      <c r="B217" s="103"/>
      <c r="C217" s="103"/>
      <c r="D217" s="103"/>
      <c r="E217" s="104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230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251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251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251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251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251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251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251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251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251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251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251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251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9" t="s">
        <v>226</v>
      </c>
      <c r="B230" s="100"/>
      <c r="C230" s="100"/>
      <c r="D230" s="100"/>
      <c r="E230" s="101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227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251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224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251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251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251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251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251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251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251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251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224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251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9" t="s">
        <v>228</v>
      </c>
      <c r="B243" s="100"/>
      <c r="C243" s="100"/>
      <c r="D243" s="100"/>
      <c r="E243" s="101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227</v>
      </c>
      <c r="O243" s="39">
        <v>575930</v>
      </c>
    </row>
    <row r="244" spans="1:15" ht="18" customHeight="1">
      <c r="A244" s="102" t="s">
        <v>229</v>
      </c>
      <c r="B244" s="103"/>
      <c r="C244" s="103"/>
      <c r="D244" s="103"/>
      <c r="E244" s="104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230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251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205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251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251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251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251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251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251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251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251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251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251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251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9" t="s">
        <v>226</v>
      </c>
      <c r="B257" s="100"/>
      <c r="C257" s="100"/>
      <c r="D257" s="100"/>
      <c r="E257" s="101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227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251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251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300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251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251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251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251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301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251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251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251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251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251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251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9" t="s">
        <v>228</v>
      </c>
      <c r="B270" s="100"/>
      <c r="C270" s="100"/>
      <c r="D270" s="100"/>
      <c r="E270" s="101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227</v>
      </c>
      <c r="O270" s="39">
        <v>483510</v>
      </c>
    </row>
    <row r="271" spans="1:15" ht="18" customHeight="1">
      <c r="A271" s="102" t="s">
        <v>229</v>
      </c>
      <c r="B271" s="103"/>
      <c r="C271" s="103"/>
      <c r="D271" s="103"/>
      <c r="E271" s="104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230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251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251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251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251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251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251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251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251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251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251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251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251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9" t="s">
        <v>226</v>
      </c>
      <c r="B284" s="100"/>
      <c r="C284" s="100"/>
      <c r="D284" s="100"/>
      <c r="E284" s="101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227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251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251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302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251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251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251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303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251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251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251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251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251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251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251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9" t="s">
        <v>228</v>
      </c>
      <c r="B297" s="100"/>
      <c r="C297" s="100"/>
      <c r="D297" s="100"/>
      <c r="E297" s="101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227</v>
      </c>
      <c r="O297" s="39">
        <v>487980</v>
      </c>
    </row>
    <row r="298" spans="1:15" ht="18" customHeight="1">
      <c r="A298" s="102" t="s">
        <v>229</v>
      </c>
      <c r="B298" s="103"/>
      <c r="C298" s="103"/>
      <c r="D298" s="103"/>
      <c r="E298" s="104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230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251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251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251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251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304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251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251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251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251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251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251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251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224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9" t="s">
        <v>226</v>
      </c>
      <c r="B311" s="100"/>
      <c r="C311" s="100"/>
      <c r="D311" s="100"/>
      <c r="E311" s="101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227</v>
      </c>
      <c r="O311" s="39">
        <v>373300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251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305</v>
      </c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251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251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251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306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251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251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251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251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251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251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251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224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9" t="s">
        <v>228</v>
      </c>
      <c r="B324" s="100"/>
      <c r="C324" s="100"/>
      <c r="D324" s="100"/>
      <c r="E324" s="101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227</v>
      </c>
      <c r="O324" s="39">
        <v>609460</v>
      </c>
    </row>
    <row r="325" spans="1:15" ht="18" customHeight="1">
      <c r="A325" s="102" t="s">
        <v>229</v>
      </c>
      <c r="B325" s="103"/>
      <c r="C325" s="103"/>
      <c r="D325" s="103"/>
      <c r="E325" s="104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230</v>
      </c>
      <c r="O325" s="48">
        <f>IFERROR(O311+O324,"")</f>
        <v>982760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38</v>
      </c>
      <c r="E326" s="59" t="s">
        <v>251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307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251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251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251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292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224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251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294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251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251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251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251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251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251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9" t="s">
        <v>226</v>
      </c>
      <c r="B338" s="100"/>
      <c r="C338" s="100"/>
      <c r="D338" s="100"/>
      <c r="E338" s="101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227</v>
      </c>
      <c r="O338" s="39">
        <v>168000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251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251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251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251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251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251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251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251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251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251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251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251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9" t="s">
        <v>228</v>
      </c>
      <c r="B351" s="100"/>
      <c r="C351" s="100"/>
      <c r="D351" s="100"/>
      <c r="E351" s="101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227</v>
      </c>
      <c r="O351" s="39">
        <v>437940</v>
      </c>
    </row>
    <row r="352" spans="1:15" ht="18" customHeight="1">
      <c r="A352" s="102" t="s">
        <v>229</v>
      </c>
      <c r="B352" s="103"/>
      <c r="C352" s="103"/>
      <c r="D352" s="103"/>
      <c r="E352" s="104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230</v>
      </c>
      <c r="O352" s="48">
        <f>IFERROR(O338+O351,"")</f>
        <v>605940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251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251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251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251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251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251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251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251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251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251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251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251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9" t="s">
        <v>226</v>
      </c>
      <c r="B365" s="100"/>
      <c r="C365" s="100"/>
      <c r="D365" s="100"/>
      <c r="E365" s="101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227</v>
      </c>
      <c r="O365" s="39">
        <v>29130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251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251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251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251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251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251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251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251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251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251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251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251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9" t="s">
        <v>228</v>
      </c>
      <c r="B378" s="100"/>
      <c r="C378" s="100"/>
      <c r="D378" s="100"/>
      <c r="E378" s="101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227</v>
      </c>
      <c r="O378" s="39">
        <v>473310</v>
      </c>
    </row>
    <row r="379" spans="1:15" ht="18" customHeight="1">
      <c r="A379" s="102" t="s">
        <v>229</v>
      </c>
      <c r="B379" s="103"/>
      <c r="C379" s="103"/>
      <c r="D379" s="103"/>
      <c r="E379" s="104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230</v>
      </c>
      <c r="O379" s="48">
        <f>IFERROR(O365+O378,"")</f>
        <v>502440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46</v>
      </c>
      <c r="E380" s="59" t="s">
        <v>251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251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251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251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251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251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251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251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251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251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251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251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9" t="s">
        <v>226</v>
      </c>
      <c r="B392" s="100"/>
      <c r="C392" s="100"/>
      <c r="D392" s="100"/>
      <c r="E392" s="101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227</v>
      </c>
      <c r="O392" s="39">
        <v>399940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224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251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251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251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251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251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251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251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251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251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251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251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9" t="s">
        <v>228</v>
      </c>
      <c r="B405" s="100"/>
      <c r="C405" s="100"/>
      <c r="D405" s="100"/>
      <c r="E405" s="101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227</v>
      </c>
      <c r="O405" s="39">
        <v>507450</v>
      </c>
    </row>
    <row r="406" spans="1:15" ht="18" customHeight="1">
      <c r="A406" s="102" t="s">
        <v>229</v>
      </c>
      <c r="B406" s="103"/>
      <c r="C406" s="103"/>
      <c r="D406" s="103"/>
      <c r="E406" s="104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230</v>
      </c>
      <c r="O406" s="48">
        <f>IFERROR(O392+O405,"")</f>
        <v>907390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46</v>
      </c>
      <c r="E407" s="62" t="s">
        <v>251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251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251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251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251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251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251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251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224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224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251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251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9" t="s">
        <v>226</v>
      </c>
      <c r="B419" s="100"/>
      <c r="C419" s="100"/>
      <c r="D419" s="100"/>
      <c r="E419" s="101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227</v>
      </c>
      <c r="O419" s="39">
        <v>209000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224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251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6">
        <f t="shared" ca="1" si="94"/>
        <v>1.5972222222222276E-2</v>
      </c>
      <c r="N421" s="98" t="s">
        <v>285</v>
      </c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251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5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251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251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251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251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251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251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251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251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251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9" t="s">
        <v>228</v>
      </c>
      <c r="B432" s="100"/>
      <c r="C432" s="100"/>
      <c r="D432" s="100"/>
      <c r="E432" s="101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227</v>
      </c>
      <c r="O432" s="39">
        <v>229150</v>
      </c>
    </row>
    <row r="433" spans="1:15" ht="18" customHeight="1">
      <c r="A433" s="102" t="s">
        <v>229</v>
      </c>
      <c r="B433" s="103"/>
      <c r="C433" s="103"/>
      <c r="D433" s="103"/>
      <c r="E433" s="104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230</v>
      </c>
      <c r="O433" s="48">
        <f>IFERROR(O419+O432,"")</f>
        <v>438150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251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308</v>
      </c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251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251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251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251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251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251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251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251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251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251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251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9" t="s">
        <v>226</v>
      </c>
      <c r="B446" s="100"/>
      <c r="C446" s="100"/>
      <c r="D446" s="100"/>
      <c r="E446" s="101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227</v>
      </c>
      <c r="O446" s="39">
        <v>141330</v>
      </c>
    </row>
    <row r="447" spans="1:15" ht="15" customHeight="1">
      <c r="A447" s="70">
        <v>46220</v>
      </c>
      <c r="B447" s="32">
        <v>0.83333333333333304</v>
      </c>
      <c r="C447" s="33" t="s">
        <v>45</v>
      </c>
      <c r="D447" s="62"/>
      <c r="E447" s="62" t="s">
        <v>224</v>
      </c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/>
      <c r="E448" s="62" t="s">
        <v>224</v>
      </c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/>
      <c r="E449" s="62" t="s">
        <v>224</v>
      </c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/>
      <c r="E450" s="62" t="s">
        <v>224</v>
      </c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/>
      <c r="E451" s="62" t="s">
        <v>224</v>
      </c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/>
      <c r="E452" s="62" t="s">
        <v>224</v>
      </c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/>
      <c r="E453" s="62" t="s">
        <v>224</v>
      </c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/>
      <c r="E454" s="62" t="s">
        <v>224</v>
      </c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/>
      <c r="E455" s="62" t="s">
        <v>224</v>
      </c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/>
      <c r="E456" s="62" t="s">
        <v>224</v>
      </c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/>
      <c r="E457" s="62" t="s">
        <v>224</v>
      </c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/>
      <c r="E458" s="62" t="s">
        <v>224</v>
      </c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9" t="s">
        <v>228</v>
      </c>
      <c r="B459" s="100"/>
      <c r="C459" s="100"/>
      <c r="D459" s="100"/>
      <c r="E459" s="101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227</v>
      </c>
      <c r="O459" s="39"/>
    </row>
    <row r="460" spans="1:15" ht="18" customHeight="1">
      <c r="A460" s="102" t="s">
        <v>229</v>
      </c>
      <c r="B460" s="103"/>
      <c r="C460" s="103"/>
      <c r="D460" s="103"/>
      <c r="E460" s="104">
        <f>E446+E459</f>
        <v>0</v>
      </c>
      <c r="F460" s="40">
        <f>F446+F459</f>
        <v>35</v>
      </c>
      <c r="G460" s="40">
        <f>G446+G459</f>
        <v>147.00000000000003</v>
      </c>
      <c r="H460" s="41"/>
      <c r="I460" s="41"/>
      <c r="J460" s="41"/>
      <c r="K460" s="41"/>
      <c r="L460" s="41"/>
      <c r="M460" s="42">
        <f ca="1">IFERROR(M446+M459,"")</f>
        <v>0.19791666666666674</v>
      </c>
      <c r="N460" s="40" t="s">
        <v>230</v>
      </c>
      <c r="O460" s="48">
        <f>IFERROR(O446+O459,"")</f>
        <v>141330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9" t="s">
        <v>226</v>
      </c>
      <c r="B473" s="100"/>
      <c r="C473" s="100"/>
      <c r="D473" s="100"/>
      <c r="E473" s="101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227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9" t="s">
        <v>228</v>
      </c>
      <c r="B486" s="100"/>
      <c r="C486" s="100"/>
      <c r="D486" s="100"/>
      <c r="E486" s="10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227</v>
      </c>
      <c r="O486" s="39"/>
    </row>
    <row r="487" spans="1:15" ht="18" customHeight="1">
      <c r="A487" s="102" t="s">
        <v>229</v>
      </c>
      <c r="B487" s="103"/>
      <c r="C487" s="103"/>
      <c r="D487" s="103"/>
      <c r="E487" s="10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230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9" t="s">
        <v>226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227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9" t="s">
        <v>228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227</v>
      </c>
      <c r="O513" s="39"/>
    </row>
    <row r="514" spans="1:15" ht="18" customHeight="1">
      <c r="A514" s="102" t="s">
        <v>229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230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9" t="s">
        <v>226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227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9" t="s">
        <v>228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227</v>
      </c>
      <c r="O540" s="39"/>
    </row>
    <row r="541" spans="1:15" ht="18" customHeight="1">
      <c r="A541" s="102" t="s">
        <v>229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230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9" t="s">
        <v>226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227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9" t="s">
        <v>228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227</v>
      </c>
      <c r="O567" s="39"/>
    </row>
    <row r="568" spans="1:15" ht="18" customHeight="1">
      <c r="A568" s="102" t="s">
        <v>229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230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9" t="s">
        <v>226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227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9" t="s">
        <v>228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227</v>
      </c>
      <c r="O594" s="39"/>
    </row>
    <row r="595" spans="1:15" ht="18" customHeight="1">
      <c r="A595" s="102" t="s">
        <v>229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230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9" t="s">
        <v>226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227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9" t="s">
        <v>228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227</v>
      </c>
      <c r="O621" s="39"/>
    </row>
    <row r="622" spans="1:15" ht="18" customHeight="1">
      <c r="A622" s="102" t="s">
        <v>229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230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9" t="s">
        <v>226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227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9" t="s">
        <v>228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227</v>
      </c>
      <c r="O648" s="39"/>
    </row>
    <row r="649" spans="1:15" ht="18" customHeight="1">
      <c r="A649" s="102" t="s">
        <v>229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230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9" t="s">
        <v>226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227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9" t="s">
        <v>228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227</v>
      </c>
      <c r="O675" s="39"/>
    </row>
    <row r="676" spans="1:15" ht="18" customHeight="1">
      <c r="A676" s="102" t="s">
        <v>229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230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9" t="s">
        <v>226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227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9" t="s">
        <v>228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227</v>
      </c>
      <c r="O702" s="39"/>
    </row>
    <row r="703" spans="1:15" ht="18" customHeight="1">
      <c r="A703" s="102" t="s">
        <v>229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230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9" t="s">
        <v>226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227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9" t="s">
        <v>228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227</v>
      </c>
      <c r="O729" s="39"/>
    </row>
    <row r="730" spans="1:15" ht="18" customHeight="1">
      <c r="A730" s="102" t="s">
        <v>229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230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9" t="s">
        <v>226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227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9" t="s">
        <v>228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227</v>
      </c>
      <c r="O756" s="39"/>
    </row>
    <row r="757" spans="1:15" ht="18" customHeight="1">
      <c r="A757" s="102" t="s">
        <v>229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230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9" t="s">
        <v>226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227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9" t="s">
        <v>228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227</v>
      </c>
      <c r="O783" s="39"/>
    </row>
    <row r="784" spans="1:15" ht="18" customHeight="1">
      <c r="A784" s="102" t="s">
        <v>229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230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9" t="s">
        <v>226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227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9" t="s">
        <v>228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227</v>
      </c>
      <c r="O810" s="39"/>
    </row>
    <row r="811" spans="1:15" ht="18" customHeight="1">
      <c r="A811" s="102" t="s">
        <v>229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230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380 E382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433" activePane="bottomLeft" state="frozen"/>
      <selection pane="bottomLeft" activeCell="E450" sqref="E450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42578125" style="57" customWidth="1"/>
    <col min="15" max="15" width="14" customWidth="1"/>
    <col min="16" max="16" width="9.42578125" bestFit="1" customWidth="1"/>
  </cols>
  <sheetData>
    <row r="1" spans="1:15" ht="37.5" customHeight="1">
      <c r="A1" s="68" t="s">
        <v>7</v>
      </c>
      <c r="B1" s="23" t="s">
        <v>213</v>
      </c>
      <c r="C1" s="23" t="s">
        <v>12</v>
      </c>
      <c r="D1" s="22" t="s">
        <v>13</v>
      </c>
      <c r="E1" s="22" t="s">
        <v>214</v>
      </c>
      <c r="F1" s="23" t="s">
        <v>215</v>
      </c>
      <c r="G1" s="23" t="s">
        <v>216</v>
      </c>
      <c r="H1" s="23" t="s">
        <v>14</v>
      </c>
      <c r="I1" s="23" t="s">
        <v>15</v>
      </c>
      <c r="J1" s="23" t="s">
        <v>217</v>
      </c>
      <c r="K1" s="23" t="s">
        <v>218</v>
      </c>
      <c r="L1" s="23" t="s">
        <v>219</v>
      </c>
      <c r="M1" s="24" t="s">
        <v>220</v>
      </c>
      <c r="N1" s="23" t="s">
        <v>221</v>
      </c>
      <c r="O1" s="23" t="s">
        <v>222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251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309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251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292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251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251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251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251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251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251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251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251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251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251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9" t="s">
        <v>226</v>
      </c>
      <c r="B14" s="100"/>
      <c r="C14" s="100"/>
      <c r="D14" s="100"/>
      <c r="E14" s="101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227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251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251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310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251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251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251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251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251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251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251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251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251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251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9" t="s">
        <v>228</v>
      </c>
      <c r="B27" s="100"/>
      <c r="C27" s="100"/>
      <c r="D27" s="100"/>
      <c r="E27" s="101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227</v>
      </c>
      <c r="O27" s="39">
        <v>202230</v>
      </c>
    </row>
    <row r="28" spans="1:15" ht="18" customHeight="1">
      <c r="A28" s="102" t="s">
        <v>229</v>
      </c>
      <c r="B28" s="103"/>
      <c r="C28" s="103"/>
      <c r="D28" s="103"/>
      <c r="E28" s="104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230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251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311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251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251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251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251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251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312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251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251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251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251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251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251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9" t="s">
        <v>226</v>
      </c>
      <c r="B41" s="100"/>
      <c r="C41" s="100"/>
      <c r="D41" s="100"/>
      <c r="E41" s="101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227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251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251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251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251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251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251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251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251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251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251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251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251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9" t="s">
        <v>228</v>
      </c>
      <c r="B54" s="100"/>
      <c r="C54" s="100"/>
      <c r="D54" s="100"/>
      <c r="E54" s="101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227</v>
      </c>
      <c r="O54" s="39">
        <v>473910</v>
      </c>
    </row>
    <row r="55" spans="1:15" ht="18" customHeight="1">
      <c r="A55" s="102" t="s">
        <v>229</v>
      </c>
      <c r="B55" s="103"/>
      <c r="C55" s="103"/>
      <c r="D55" s="103"/>
      <c r="E55" s="104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230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251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251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251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313</v>
      </c>
      <c r="L58" s="29">
        <v>0.54097222222222219</v>
      </c>
      <c r="M58" s="30" t="str">
        <f t="shared" ca="1" si="13"/>
        <v/>
      </c>
      <c r="N58" s="27" t="s">
        <v>314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251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251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251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251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251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251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251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251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251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9" t="s">
        <v>226</v>
      </c>
      <c r="B68" s="100"/>
      <c r="C68" s="100"/>
      <c r="D68" s="100"/>
      <c r="E68" s="101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227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251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251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288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251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251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315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251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316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251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317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251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318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251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251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251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251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251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9" t="s">
        <v>228</v>
      </c>
      <c r="B81" s="100"/>
      <c r="C81" s="100"/>
      <c r="D81" s="100"/>
      <c r="E81" s="101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227</v>
      </c>
      <c r="O81" s="39">
        <v>565120</v>
      </c>
    </row>
    <row r="82" spans="1:15" ht="18" customHeight="1">
      <c r="A82" s="102" t="s">
        <v>229</v>
      </c>
      <c r="B82" s="103"/>
      <c r="C82" s="103"/>
      <c r="D82" s="103"/>
      <c r="E82" s="104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230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251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319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251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251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251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251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224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224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224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224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224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224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224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9" t="s">
        <v>226</v>
      </c>
      <c r="B95" s="100"/>
      <c r="C95" s="100"/>
      <c r="D95" s="100"/>
      <c r="E95" s="101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227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251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251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251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251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251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251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251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251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251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251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251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251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9" t="s">
        <v>228</v>
      </c>
      <c r="B108" s="100"/>
      <c r="C108" s="100"/>
      <c r="D108" s="100"/>
      <c r="E108" s="101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227</v>
      </c>
      <c r="O108" s="39">
        <v>558590</v>
      </c>
    </row>
    <row r="109" spans="1:15" ht="18" customHeight="1">
      <c r="A109" s="102" t="s">
        <v>229</v>
      </c>
      <c r="B109" s="103"/>
      <c r="C109" s="103"/>
      <c r="D109" s="103"/>
      <c r="E109" s="104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230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251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320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251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251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251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251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251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251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251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251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251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251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251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9" t="s">
        <v>226</v>
      </c>
      <c r="B122" s="100"/>
      <c r="C122" s="100"/>
      <c r="D122" s="100"/>
      <c r="E122" s="101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227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224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224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321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224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201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322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224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224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224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0.56169398148631444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224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263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224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224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224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224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224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9" t="s">
        <v>228</v>
      </c>
      <c r="B135" s="100"/>
      <c r="C135" s="100"/>
      <c r="D135" s="100"/>
      <c r="E135" s="101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0.76099953704187007</v>
      </c>
      <c r="N135" s="36" t="s">
        <v>227</v>
      </c>
      <c r="O135" s="39">
        <v>729290</v>
      </c>
    </row>
    <row r="136" spans="1:18" ht="18" customHeight="1">
      <c r="A136" s="102" t="s">
        <v>229</v>
      </c>
      <c r="B136" s="103"/>
      <c r="C136" s="103"/>
      <c r="D136" s="103"/>
      <c r="E136" s="104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1.1283606481529811</v>
      </c>
      <c r="N136" s="40" t="s">
        <v>230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224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224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224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323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224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265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224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224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224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224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224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224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224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226</v>
      </c>
      <c r="B149" s="100"/>
      <c r="C149" s="100"/>
      <c r="D149" s="100"/>
      <c r="E149" s="101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227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224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294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224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251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324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251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251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251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251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251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251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251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251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251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228</v>
      </c>
      <c r="B162" s="100"/>
      <c r="C162" s="100"/>
      <c r="D162" s="100"/>
      <c r="E162" s="101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227</v>
      </c>
      <c r="O162" s="39">
        <v>697320</v>
      </c>
    </row>
    <row r="163" spans="1:15" ht="18" customHeight="1">
      <c r="A163" s="102" t="s">
        <v>229</v>
      </c>
      <c r="B163" s="103"/>
      <c r="C163" s="103"/>
      <c r="D163" s="103"/>
      <c r="E163" s="104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230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224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251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251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251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251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325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251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251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251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251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251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251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251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226</v>
      </c>
      <c r="B176" s="100"/>
      <c r="C176" s="100"/>
      <c r="D176" s="100"/>
      <c r="E176" s="101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227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251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251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251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251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251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251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251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251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251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251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251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251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228</v>
      </c>
      <c r="B189" s="100"/>
      <c r="C189" s="100"/>
      <c r="D189" s="100"/>
      <c r="E189" s="101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227</v>
      </c>
      <c r="O189" s="39">
        <v>973580</v>
      </c>
    </row>
    <row r="190" spans="1:15" ht="18" customHeight="1">
      <c r="A190" s="102" t="s">
        <v>229</v>
      </c>
      <c r="B190" s="103"/>
      <c r="C190" s="103"/>
      <c r="D190" s="103"/>
      <c r="E190" s="104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230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251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251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251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326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251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327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251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251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251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251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251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251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251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251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226</v>
      </c>
      <c r="B203" s="100"/>
      <c r="C203" s="100"/>
      <c r="D203" s="100"/>
      <c r="E203" s="101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227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251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224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251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328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251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251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251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251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251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251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251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251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251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9" t="s">
        <v>228</v>
      </c>
      <c r="B216" s="100"/>
      <c r="C216" s="100"/>
      <c r="D216" s="100"/>
      <c r="E216" s="101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227</v>
      </c>
      <c r="O216" s="45">
        <v>1060630</v>
      </c>
    </row>
    <row r="217" spans="1:15" ht="18" customHeight="1">
      <c r="A217" s="102" t="s">
        <v>229</v>
      </c>
      <c r="B217" s="103"/>
      <c r="C217" s="103"/>
      <c r="D217" s="103"/>
      <c r="E217" s="104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230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251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329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251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251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330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251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251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251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251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251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331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251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251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251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251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9" t="s">
        <v>226</v>
      </c>
      <c r="B230" s="100"/>
      <c r="C230" s="100"/>
      <c r="D230" s="100"/>
      <c r="E230" s="101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227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251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224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332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251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251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251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251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251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251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224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251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224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251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9" t="s">
        <v>228</v>
      </c>
      <c r="B243" s="100"/>
      <c r="C243" s="100"/>
      <c r="D243" s="100"/>
      <c r="E243" s="101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227</v>
      </c>
      <c r="O243" s="39">
        <v>982340</v>
      </c>
    </row>
    <row r="244" spans="1:15" ht="18" customHeight="1">
      <c r="A244" s="102" t="s">
        <v>229</v>
      </c>
      <c r="B244" s="103"/>
      <c r="C244" s="103"/>
      <c r="D244" s="103"/>
      <c r="E244" s="104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230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251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333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251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204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251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251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251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251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251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251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251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251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251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251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9" t="s">
        <v>226</v>
      </c>
      <c r="B257" s="100"/>
      <c r="C257" s="100"/>
      <c r="D257" s="100"/>
      <c r="E257" s="101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227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251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251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251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251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251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251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251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251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251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251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251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251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9" t="s">
        <v>228</v>
      </c>
      <c r="B270" s="100"/>
      <c r="C270" s="100"/>
      <c r="D270" s="100"/>
      <c r="E270" s="101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227</v>
      </c>
      <c r="O270" s="39">
        <v>1208450</v>
      </c>
    </row>
    <row r="271" spans="1:15" ht="18" customHeight="1">
      <c r="A271" s="102" t="s">
        <v>229</v>
      </c>
      <c r="B271" s="103"/>
      <c r="C271" s="103"/>
      <c r="D271" s="103"/>
      <c r="E271" s="104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230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251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251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251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251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251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251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251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251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251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251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251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251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9" t="s">
        <v>226</v>
      </c>
      <c r="B284" s="100"/>
      <c r="C284" s="100"/>
      <c r="D284" s="100"/>
      <c r="E284" s="101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227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251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251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251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251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224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251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251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251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251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251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251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251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9" t="s">
        <v>228</v>
      </c>
      <c r="B297" s="100"/>
      <c r="C297" s="100"/>
      <c r="D297" s="100"/>
      <c r="E297" s="101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227</v>
      </c>
      <c r="O297" s="39">
        <v>1049090</v>
      </c>
    </row>
    <row r="298" spans="1:15" ht="18" customHeight="1">
      <c r="A298" s="102" t="s">
        <v>229</v>
      </c>
      <c r="B298" s="103"/>
      <c r="C298" s="103"/>
      <c r="D298" s="103"/>
      <c r="E298" s="104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230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251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334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251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206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251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207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251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251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251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251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251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251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251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251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251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9" t="s">
        <v>226</v>
      </c>
      <c r="B311" s="100"/>
      <c r="C311" s="100"/>
      <c r="D311" s="100"/>
      <c r="E311" s="101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227</v>
      </c>
      <c r="O311" s="39">
        <v>145580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224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251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251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251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251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251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251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260</v>
      </c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251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251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251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251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224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9" t="s">
        <v>228</v>
      </c>
      <c r="B324" s="100"/>
      <c r="C324" s="100"/>
      <c r="D324" s="100"/>
      <c r="E324" s="101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227</v>
      </c>
      <c r="O324" s="39">
        <v>1063720</v>
      </c>
    </row>
    <row r="325" spans="1:15" ht="18" customHeight="1">
      <c r="A325" s="102" t="s">
        <v>229</v>
      </c>
      <c r="B325" s="103"/>
      <c r="C325" s="103"/>
      <c r="D325" s="103"/>
      <c r="E325" s="104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230</v>
      </c>
      <c r="O325" s="48">
        <f>IFERROR(O311+O324,"")</f>
        <v>1209300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7" t="s">
        <v>251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70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251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292</v>
      </c>
      <c r="O327" s="60"/>
    </row>
    <row r="328" spans="1:15" ht="15" customHeight="1">
      <c r="A328" s="69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251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70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251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9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224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70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251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9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251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70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251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9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251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70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251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9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251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70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251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9" t="s">
        <v>226</v>
      </c>
      <c r="B338" s="100"/>
      <c r="C338" s="100"/>
      <c r="D338" s="100"/>
      <c r="E338" s="101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227</v>
      </c>
      <c r="O338" s="39">
        <v>780000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251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251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251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251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251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251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335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251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251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251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336</v>
      </c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251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251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251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9" t="s">
        <v>228</v>
      </c>
      <c r="B351" s="100"/>
      <c r="C351" s="100"/>
      <c r="D351" s="100"/>
      <c r="E351" s="101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227</v>
      </c>
      <c r="O351" s="39">
        <v>696140</v>
      </c>
    </row>
    <row r="352" spans="1:15" ht="18" customHeight="1">
      <c r="A352" s="102" t="s">
        <v>229</v>
      </c>
      <c r="B352" s="103"/>
      <c r="C352" s="103"/>
      <c r="D352" s="103"/>
      <c r="E352" s="104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230</v>
      </c>
      <c r="O352" s="48">
        <f>IFERROR(O338+O351,"")</f>
        <v>1476140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251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251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251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294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251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251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251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251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251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251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251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251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251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8" t="s">
        <v>226</v>
      </c>
      <c r="B365" s="89"/>
      <c r="C365" s="89"/>
      <c r="D365" s="89"/>
      <c r="E365" s="90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227</v>
      </c>
      <c r="O365" s="39">
        <v>597930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46</v>
      </c>
      <c r="E366" s="59" t="s">
        <v>251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251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251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337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251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251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251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251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251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251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251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251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251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9" t="s">
        <v>228</v>
      </c>
      <c r="B378" s="100"/>
      <c r="C378" s="100"/>
      <c r="D378" s="100"/>
      <c r="E378" s="101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227</v>
      </c>
      <c r="O378" s="39">
        <v>704750</v>
      </c>
    </row>
    <row r="379" spans="1:15" ht="18" customHeight="1">
      <c r="A379" s="102" t="s">
        <v>229</v>
      </c>
      <c r="B379" s="103"/>
      <c r="C379" s="103"/>
      <c r="D379" s="103"/>
      <c r="E379" s="104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230</v>
      </c>
      <c r="O379" s="48">
        <f>IFERROR(O365+O378,"")</f>
        <v>1302680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251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338</v>
      </c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251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251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325</v>
      </c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251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251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251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251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251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251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251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251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251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9" t="s">
        <v>226</v>
      </c>
      <c r="B392" s="100"/>
      <c r="C392" s="100"/>
      <c r="D392" s="100"/>
      <c r="E392" s="101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227</v>
      </c>
      <c r="O392" s="39">
        <v>565570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224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251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339</v>
      </c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251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251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251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251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340</v>
      </c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251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251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251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251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251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251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9" t="s">
        <v>228</v>
      </c>
      <c r="B405" s="100"/>
      <c r="C405" s="100"/>
      <c r="D405" s="100"/>
      <c r="E405" s="101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227</v>
      </c>
      <c r="O405" s="39">
        <v>958130</v>
      </c>
    </row>
    <row r="406" spans="1:15" ht="18" customHeight="1">
      <c r="A406" s="102" t="s">
        <v>229</v>
      </c>
      <c r="B406" s="103"/>
      <c r="C406" s="103"/>
      <c r="D406" s="103"/>
      <c r="E406" s="104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230</v>
      </c>
      <c r="O406" s="48">
        <f>IFERROR(O392+O405,"")</f>
        <v>1523700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251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251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251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251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251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251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251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251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224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251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251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224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9" t="s">
        <v>226</v>
      </c>
      <c r="B419" s="100"/>
      <c r="C419" s="100"/>
      <c r="D419" s="100"/>
      <c r="E419" s="101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227</v>
      </c>
      <c r="O419" s="39">
        <v>491520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251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210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251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251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251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251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251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341</v>
      </c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251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251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251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251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251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251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9" t="s">
        <v>228</v>
      </c>
      <c r="B432" s="100"/>
      <c r="C432" s="100"/>
      <c r="D432" s="100"/>
      <c r="E432" s="101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227</v>
      </c>
      <c r="O432" s="39">
        <v>605220</v>
      </c>
    </row>
    <row r="433" spans="1:17" ht="18" customHeight="1">
      <c r="A433" s="102" t="s">
        <v>229</v>
      </c>
      <c r="B433" s="103"/>
      <c r="C433" s="103"/>
      <c r="D433" s="103"/>
      <c r="E433" s="104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230</v>
      </c>
      <c r="O433" s="48">
        <f>IFERROR(O419+O432,"")</f>
        <v>1096740</v>
      </c>
    </row>
    <row r="434" spans="1:17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251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211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251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251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251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251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251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251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251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251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251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251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251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9" t="s">
        <v>226</v>
      </c>
      <c r="B446" s="100"/>
      <c r="C446" s="100"/>
      <c r="D446" s="100"/>
      <c r="E446" s="101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227</v>
      </c>
      <c r="O446" s="39">
        <v>738370</v>
      </c>
    </row>
    <row r="447" spans="1:17" ht="15" customHeight="1">
      <c r="A447" s="70">
        <v>46220</v>
      </c>
      <c r="B447" s="32">
        <v>0.83333333333333304</v>
      </c>
      <c r="C447" s="33" t="s">
        <v>45</v>
      </c>
      <c r="D447" s="62"/>
      <c r="E447" s="62" t="s">
        <v>224</v>
      </c>
      <c r="F447" s="27"/>
      <c r="G447" s="34" t="str">
        <f t="shared" ref="G447:G458" si="99">IF(F447="","",IF(E447="PC 17",F447*4.2,IF(E447="PC 19",F447*5,"")))</f>
        <v/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/>
      <c r="E448" s="62" t="s">
        <v>224</v>
      </c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/>
      <c r="E449" s="62" t="s">
        <v>224</v>
      </c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/>
      <c r="E451" s="62"/>
      <c r="F451" s="27"/>
      <c r="G451" s="34" t="str">
        <f>IF(F451="","",IF(#REF!="PC 17",F451*4.2,IF(#REF!="PC 19",F451*5,"")))</f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9" t="s">
        <v>228</v>
      </c>
      <c r="B459" s="100"/>
      <c r="C459" s="100"/>
      <c r="D459" s="100"/>
      <c r="E459" s="101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1.5277777777777835E-2</v>
      </c>
      <c r="N459" s="36" t="s">
        <v>227</v>
      </c>
      <c r="O459" s="39"/>
    </row>
    <row r="460" spans="1:15" ht="18" customHeight="1">
      <c r="A460" s="102" t="s">
        <v>229</v>
      </c>
      <c r="B460" s="103"/>
      <c r="C460" s="103"/>
      <c r="D460" s="103"/>
      <c r="E460" s="104">
        <f>E446+E459</f>
        <v>0</v>
      </c>
      <c r="F460" s="40">
        <f>F446+F459</f>
        <v>195</v>
      </c>
      <c r="G460" s="40">
        <f>G446+G459</f>
        <v>819</v>
      </c>
      <c r="H460" s="41"/>
      <c r="I460" s="41"/>
      <c r="J460" s="41"/>
      <c r="K460" s="63"/>
      <c r="L460" s="63"/>
      <c r="M460" s="42">
        <f ca="1">IFERROR(M446+M459,"")</f>
        <v>6.5972222222222432E-2</v>
      </c>
      <c r="N460" s="40" t="s">
        <v>230</v>
      </c>
      <c r="O460" s="48">
        <f>IFERROR(O446+O459,"")</f>
        <v>738370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9" t="s">
        <v>226</v>
      </c>
      <c r="B473" s="100"/>
      <c r="C473" s="100"/>
      <c r="D473" s="100"/>
      <c r="E473" s="101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227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9" t="s">
        <v>228</v>
      </c>
      <c r="B486" s="100"/>
      <c r="C486" s="100"/>
      <c r="D486" s="100"/>
      <c r="E486" s="10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227</v>
      </c>
      <c r="O486" s="39"/>
    </row>
    <row r="487" spans="1:15" ht="18" customHeight="1">
      <c r="A487" s="102" t="s">
        <v>229</v>
      </c>
      <c r="B487" s="103"/>
      <c r="C487" s="103"/>
      <c r="D487" s="103"/>
      <c r="E487" s="10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230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9" t="s">
        <v>226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227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9" t="s">
        <v>228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227</v>
      </c>
      <c r="O513" s="39"/>
    </row>
    <row r="514" spans="1:15" ht="18" customHeight="1">
      <c r="A514" s="102" t="s">
        <v>229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230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9" t="s">
        <v>226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227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9" t="s">
        <v>228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227</v>
      </c>
      <c r="O540" s="39"/>
    </row>
    <row r="541" spans="1:15" ht="18" customHeight="1">
      <c r="A541" s="102" t="s">
        <v>229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230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9" t="s">
        <v>226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227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9" t="s">
        <v>228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227</v>
      </c>
      <c r="O567" s="39"/>
    </row>
    <row r="568" spans="1:15" ht="18" customHeight="1">
      <c r="A568" s="102" t="s">
        <v>229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230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9" t="s">
        <v>226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227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9" t="s">
        <v>228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227</v>
      </c>
      <c r="O594" s="39"/>
    </row>
    <row r="595" spans="1:15" ht="18" customHeight="1">
      <c r="A595" s="102" t="s">
        <v>229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230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9" t="s">
        <v>226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227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9" t="s">
        <v>228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227</v>
      </c>
      <c r="O621" s="39"/>
    </row>
    <row r="622" spans="1:15" ht="18" customHeight="1">
      <c r="A622" s="102" t="s">
        <v>229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230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9" t="s">
        <v>226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227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9" t="s">
        <v>228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227</v>
      </c>
      <c r="O648" s="39"/>
    </row>
    <row r="649" spans="1:15" ht="18" customHeight="1">
      <c r="A649" s="102" t="s">
        <v>229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230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9" t="s">
        <v>226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227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9" t="s">
        <v>228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227</v>
      </c>
      <c r="O675" s="39"/>
    </row>
    <row r="676" spans="1:15" ht="18" customHeight="1">
      <c r="A676" s="102" t="s">
        <v>229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230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9" t="s">
        <v>226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227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9" t="s">
        <v>228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227</v>
      </c>
      <c r="O702" s="39"/>
    </row>
    <row r="703" spans="1:15" ht="18" customHeight="1">
      <c r="A703" s="102" t="s">
        <v>229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230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9" t="s">
        <v>226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227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9" t="s">
        <v>228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227</v>
      </c>
      <c r="O729" s="39"/>
    </row>
    <row r="730" spans="1:15" ht="18" customHeight="1">
      <c r="A730" s="102" t="s">
        <v>229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230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9" t="s">
        <v>226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227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9" t="s">
        <v>228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227</v>
      </c>
      <c r="O756" s="39"/>
    </row>
    <row r="757" spans="1:15" ht="18" customHeight="1">
      <c r="A757" s="102" t="s">
        <v>229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230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9" t="s">
        <v>226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227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9" t="s">
        <v>228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227</v>
      </c>
      <c r="O783" s="39"/>
    </row>
    <row r="784" spans="1:15" ht="18" customHeight="1">
      <c r="A784" s="102" t="s">
        <v>229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230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9" t="s">
        <v>226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227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9" t="s">
        <v>228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227</v>
      </c>
      <c r="O810" s="39"/>
    </row>
    <row r="811" spans="1:15" ht="18" customHeight="1">
      <c r="A811" s="102" t="s">
        <v>229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230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2026-07-17T23:27:56Z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