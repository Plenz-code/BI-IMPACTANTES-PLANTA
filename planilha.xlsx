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0" documentId="13_ncr:1_{0A10D8D4-8450-4366-8075-B53B08E6B7EA}" xr6:coauthVersionLast="47" xr6:coauthVersionMax="47" xr10:uidLastSave="{0EE1E45D-93AD-49DF-87DA-65F0BE7DF176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7" i="6" s="1"/>
  <c r="J387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6" i="5" l="1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<sst xmlns="http://schemas.openxmlformats.org/spreadsheetml/2006/main" count="6749" uniqueCount="350">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</sst>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5" t="s">
        <v>14</v>
      </c>
      <c r="B35" s="165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E9" sqref="E9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9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1" activePane="bottomLeft" state="frozen"/>
      <selection pane="bottomLeft" activeCell="F387" sqref="F387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2" t="s">
        <v>243</v>
      </c>
      <c r="B230" s="163"/>
      <c r="C230" s="163"/>
      <c r="D230" s="163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25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153</v>
      </c>
      <c r="G392" s="36">
        <f>SUM(G380:G391)</f>
        <v>780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153</v>
      </c>
      <c r="G406" s="40">
        <f>G392+G405</f>
        <v>780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66" activePane="bottomLeft" state="frozen"/>
      <selection pane="bottomLeft" activeCell="P386" sqref="P38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0.50491284721647389</v>
      </c>
      <c r="R53" s="46" t="s">
        <v>278</v>
      </c>
      <c r="S53" s="31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0.64380173610536273</v>
      </c>
      <c r="R54" s="36" t="s">
        <v>244</v>
      </c>
      <c r="S54" s="75">
        <v>352430</v>
      </c>
      <c r="T54" s="117"/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0.7285239583275851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2" t="s">
        <v>243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453.60000000000008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453.60000000000008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76" activePane="bottomLeft" state="frozen"/>
      <selection pane="bottomLeft" activeCell="G387" sqref="G387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205.79999999999998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205.79999999999998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387" sqref="G387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436.8</v>
      </c>
      <c r="L392" s="37"/>
      <c r="M392" s="37"/>
      <c r="N392" s="37"/>
      <c r="O392" s="61"/>
      <c r="P392" s="61"/>
      <c r="Q392" s="38">
        <f ca="1">IFERROR(SUM(Q380:Q391),"")</f>
        <v>6.458333333333327E-2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436.8</v>
      </c>
      <c r="L406" s="41"/>
      <c r="M406" s="41"/>
      <c r="N406" s="41"/>
      <c r="O406" s="63"/>
      <c r="P406" s="63"/>
      <c r="Q406" s="42">
        <f ca="1">IFERROR(Q392+Q405,"")</f>
        <v>6.458333333333327E-2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2026-08-15T19:02:50Z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