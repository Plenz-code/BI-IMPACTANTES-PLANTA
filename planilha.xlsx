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81" documentId="13_ncr:1_{A6DBCFB4-28D9-4249-9038-216934055CA6}" xr6:coauthVersionLast="47" xr6:coauthVersionMax="47" xr10:uidLastSave="{DB112575-C1B7-4F42-856F-54951F63DC47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<sst xmlns="http://schemas.openxmlformats.org/spreadsheetml/2006/main" count="9245" uniqueCount="405">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</sst>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6042.6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3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0.30698344907432329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0.30698344907432329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0.30698344907432329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G549" sqref="G54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0.4771223379575531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0.61601122684644083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0.70073344906866364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274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338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339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42</v>
      </c>
      <c r="L543" s="70" t="s">
        <v>27</v>
      </c>
      <c r="M543" s="70" t="s">
        <v>48</v>
      </c>
      <c r="N543" s="70" t="s">
        <v>51</v>
      </c>
      <c r="O543" s="65">
        <v>0.4465277777777778</v>
      </c>
      <c r="P543" s="65"/>
      <c r="Q543" s="71">
        <f t="shared" ca="1" si="140"/>
        <v>0.15212233796046348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29.400000000000002</v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25.200000000000003</v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28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117.60000000000001</v>
      </c>
      <c r="L554" s="72"/>
      <c r="M554" s="72"/>
      <c r="N554" s="72"/>
      <c r="O554" s="72"/>
      <c r="P554" s="72"/>
      <c r="Q554" s="73">
        <f ca="1">IFERROR(SUM(Q542:Q553),"")</f>
        <v>0.16601122684935238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117.60000000000001</v>
      </c>
      <c r="L568" s="76"/>
      <c r="M568" s="76"/>
      <c r="N568" s="76"/>
      <c r="O568" s="76"/>
      <c r="P568" s="76"/>
      <c r="Q568" s="77">
        <f ca="1">IFERROR(Q554+Q567,"")</f>
        <v>0.16601122684935238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1" activePane="bottomLeft" state="frozen"/>
      <selection pane="bottomLeft" activeCell="G546" sqref="G54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353</v>
      </c>
      <c r="Q222" s="66" t="str">
        <f t="shared" ca="1" si="49"/>
        <v/>
      </c>
      <c r="R222" s="63" t="s">
        <v>354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0</v>
      </c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/>
      <c r="Q542" s="66">
        <f t="shared" ref="Q542:Q553" ca="1" si="137">IFERROR(IF(O542="","",IF(P542="",MOD(NOW()-O542,1),IF(P542&gt;=O542,P542-O542,P542+1-O542))),"")</f>
        <v>0.30698344907432329</v>
      </c>
      <c r="R542" s="63" t="s">
        <v>367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0</v>
      </c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>
        <f t="shared" si="136"/>
        <v>0</v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0</v>
      </c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>
        <f t="shared" si="136"/>
        <v>0</v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0</v>
      </c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>
        <f t="shared" si="136"/>
        <v>0</v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0.30698344907432329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0.30698344907432329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23" activePane="bottomLeft" state="frozen"/>
      <selection pane="bottomLeft" activeCell="G549" sqref="G54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/>
      <c r="Q552" s="66">
        <f t="shared" ca="1" si="140"/>
        <v>2.2261226848058868E-2</v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82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344.40000000000003</v>
      </c>
      <c r="L554" s="72"/>
      <c r="M554" s="72"/>
      <c r="N554" s="72"/>
      <c r="O554" s="134"/>
      <c r="P554" s="134"/>
      <c r="Q554" s="73">
        <f ca="1">IFERROR(SUM(Q542:Q553),"")</f>
        <v>0.11809456018139225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82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344.40000000000003</v>
      </c>
      <c r="L568" s="76"/>
      <c r="M568" s="76"/>
      <c r="N568" s="76"/>
      <c r="O568" s="135"/>
      <c r="P568" s="135"/>
      <c r="Q568" s="77">
        <f ca="1">IFERROR(Q554+Q567,"")</f>
        <v>0.11809456018139225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2026-08-21T18:24:05Z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