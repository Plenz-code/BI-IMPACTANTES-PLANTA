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838" documentId="8_{1D11E9C4-FEA4-4128-910F-91CB6BBF9255}" xr6:coauthVersionLast="47" xr6:coauthVersionMax="47" xr10:uidLastSave="{B7B177C4-3372-42BB-89C1-E728C4A3C79F}"/>
  <bookViews>
    <workbookView xWindow="-110" yWindow="-110" windowWidth="25820" windowHeight="15500" tabRatio="500" firstSheet="5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7" i="5" l="1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<sst xmlns="http://schemas.openxmlformats.org/spreadsheetml/2006/main" count="8182" uniqueCount="368">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</sst>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1" t="s">
        <v>0</v>
      </c>
      <c r="B1" s="101"/>
      <c r="C1" s="101"/>
      <c r="D1" s="101"/>
      <c r="E1" s="101"/>
      <c r="F1" s="101"/>
      <c r="G1" s="101"/>
    </row>
    <row r="2" spans="1:7" ht="25.35" customHeight="1">
      <c r="A2" s="102"/>
      <c r="B2" s="102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1209410</v>
      </c>
      <c r="D31" s="53">
        <f>IFERROR('Linha 1'!N757,"")</f>
        <v>427230</v>
      </c>
      <c r="E31" s="53">
        <f>IFERROR('Linha 2'!N757,"")</f>
        <v>180990</v>
      </c>
      <c r="F31" s="53">
        <f>IFERROR('Linha 3'!N757,"")</f>
        <v>471600</v>
      </c>
      <c r="G31" s="54">
        <f t="shared" si="0"/>
        <v>1079820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3" t="s">
        <v>9</v>
      </c>
      <c r="B34" s="103"/>
      <c r="C34" s="55">
        <f t="shared" ref="C34:G34" si="1">IFERROR(SUM(C4:C33),"")</f>
        <v>47155240</v>
      </c>
      <c r="D34" s="55">
        <f t="shared" si="1"/>
        <v>23817730</v>
      </c>
      <c r="E34" s="55">
        <f t="shared" si="1"/>
        <v>9392360</v>
      </c>
      <c r="F34" s="55">
        <f t="shared" si="1"/>
        <v>26813055</v>
      </c>
      <c r="G34" s="55">
        <f t="shared" si="1"/>
        <v>60023145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L19" sqref="L1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4" t="s">
        <v>10</v>
      </c>
      <c r="B1" s="104"/>
      <c r="C1" s="104"/>
      <c r="D1" s="104"/>
      <c r="E1" s="104"/>
      <c r="F1" s="104"/>
      <c r="G1" s="104"/>
      <c r="H1" s="105"/>
      <c r="I1" s="106" t="s">
        <v>11</v>
      </c>
      <c r="J1" s="106"/>
      <c r="K1" s="106"/>
      <c r="L1" s="106"/>
      <c r="M1" s="106"/>
    </row>
    <row r="2" spans="1:13" ht="4.5" customHeight="1">
      <c r="H2" s="105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5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5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5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5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5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5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5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5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5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5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5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5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5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5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5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5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5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5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5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5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5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5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5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5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5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5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5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5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5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5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5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5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5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5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5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5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5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5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5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5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5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5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5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5"/>
      <c r="I46" s="3"/>
      <c r="J46" s="3"/>
      <c r="K46" s="3" t="s">
        <v>174</v>
      </c>
      <c r="L46" s="3"/>
      <c r="M46" s="3"/>
    </row>
    <row r="47" spans="1:13" ht="15.75" customHeight="1">
      <c r="A47" s="4"/>
      <c r="C47" s="4"/>
      <c r="E47" s="4"/>
      <c r="G47" s="4"/>
      <c r="H47" s="105"/>
      <c r="I47" s="4"/>
      <c r="J47" s="4"/>
      <c r="K47" s="4" t="s">
        <v>175</v>
      </c>
      <c r="L47" s="4"/>
      <c r="M47" s="4"/>
    </row>
    <row r="48" spans="1:13" ht="15.75" customHeight="1">
      <c r="A48" s="3"/>
      <c r="C48" s="3"/>
      <c r="E48" s="3"/>
      <c r="G48" s="3"/>
      <c r="H48" s="105"/>
      <c r="I48" s="3"/>
      <c r="J48" s="3"/>
      <c r="K48" s="3" t="s">
        <v>176</v>
      </c>
      <c r="L48" s="3"/>
      <c r="M48" s="3"/>
    </row>
    <row r="49" spans="1:13" ht="18" customHeight="1">
      <c r="H49" s="105"/>
      <c r="I49" s="4"/>
      <c r="J49" s="4"/>
      <c r="K49" s="4" t="s">
        <v>177</v>
      </c>
      <c r="L49" s="4"/>
      <c r="M49" s="4"/>
    </row>
    <row r="50" spans="1:13" ht="21" customHeight="1">
      <c r="A50" s="6" t="s">
        <v>178</v>
      </c>
      <c r="B50" s="6"/>
      <c r="C50" s="6"/>
      <c r="D50" s="6"/>
      <c r="E50" s="6"/>
      <c r="F50" s="6"/>
      <c r="G50" s="6"/>
      <c r="H50" s="105"/>
      <c r="I50" s="3"/>
      <c r="J50" s="3"/>
      <c r="K50" s="3"/>
      <c r="L50" s="3"/>
      <c r="M50" s="3"/>
    </row>
    <row r="51" spans="1:13" ht="24" customHeight="1">
      <c r="H51" s="105"/>
      <c r="I51" s="4"/>
      <c r="J51" s="4"/>
      <c r="K51" s="4"/>
      <c r="L51" s="4"/>
      <c r="M51" s="4"/>
    </row>
    <row r="52" spans="1:13" ht="24" customHeight="1">
      <c r="H52" s="105"/>
      <c r="I52" s="3"/>
      <c r="J52" s="3"/>
      <c r="K52" s="3"/>
      <c r="L52" s="3"/>
      <c r="M52" s="3"/>
    </row>
    <row r="53" spans="1:13" ht="36" customHeight="1">
      <c r="H53" s="105"/>
      <c r="I53" s="4"/>
      <c r="J53" s="4"/>
      <c r="K53" s="4"/>
      <c r="L53" s="4"/>
      <c r="M53" s="4"/>
    </row>
    <row r="54" spans="1:13" ht="15" customHeight="1">
      <c r="H54" s="105"/>
      <c r="I54" s="3"/>
      <c r="J54" s="3"/>
      <c r="K54" s="3"/>
      <c r="L54" s="3"/>
      <c r="M54" s="3"/>
    </row>
    <row r="55" spans="1:13" ht="15" customHeight="1">
      <c r="H55" s="105"/>
      <c r="I55" s="4"/>
      <c r="J55" s="4"/>
      <c r="K55" s="4"/>
      <c r="L55" s="4"/>
      <c r="M55" s="4"/>
    </row>
    <row r="56" spans="1:13" ht="15" customHeight="1">
      <c r="H56" s="105"/>
      <c r="I56" s="3"/>
      <c r="J56" s="3"/>
      <c r="K56" s="3"/>
      <c r="L56" s="3"/>
      <c r="M56" s="3"/>
    </row>
    <row r="57" spans="1:13" ht="15" customHeight="1">
      <c r="H57" s="105"/>
      <c r="I57" s="4"/>
      <c r="J57" s="4"/>
      <c r="K57" s="4"/>
      <c r="L57" s="4"/>
      <c r="M57" s="4"/>
    </row>
    <row r="58" spans="1:13" ht="15" customHeight="1">
      <c r="H58" s="105"/>
      <c r="I58" s="3"/>
      <c r="J58" s="3"/>
      <c r="K58" s="3"/>
      <c r="L58" s="3"/>
      <c r="M58" s="3"/>
    </row>
    <row r="59" spans="1:13" ht="15" customHeight="1">
      <c r="H59" s="105"/>
      <c r="I59" s="4"/>
      <c r="J59" s="4"/>
      <c r="K59" s="4"/>
      <c r="L59" s="4"/>
      <c r="M59" s="4"/>
    </row>
    <row r="60" spans="1:13" ht="15" customHeight="1">
      <c r="H60" s="105"/>
      <c r="I60" s="3"/>
      <c r="J60" s="3"/>
      <c r="K60" s="3"/>
      <c r="L60" s="3"/>
      <c r="M60" s="3"/>
    </row>
    <row r="61" spans="1:13" ht="15" customHeight="1">
      <c r="H61" s="105"/>
      <c r="I61" s="4"/>
      <c r="J61" s="4"/>
      <c r="K61" s="4"/>
      <c r="L61" s="4"/>
      <c r="M61" s="4"/>
    </row>
    <row r="62" spans="1:13" ht="15" customHeight="1">
      <c r="H62" s="105"/>
      <c r="I62" s="3"/>
      <c r="J62" s="3"/>
      <c r="K62" s="3"/>
      <c r="L62" s="3"/>
      <c r="M62" s="3"/>
    </row>
    <row r="63" spans="1:13" ht="15" customHeight="1">
      <c r="H63" s="105"/>
      <c r="I63" s="4"/>
      <c r="J63" s="4"/>
      <c r="K63" s="4"/>
      <c r="L63" s="4"/>
      <c r="M63" s="4"/>
    </row>
    <row r="64" spans="1:13" ht="15" customHeight="1">
      <c r="H64" s="105"/>
      <c r="I64" s="3"/>
      <c r="J64" s="3"/>
      <c r="K64" s="3"/>
      <c r="L64" s="3"/>
      <c r="M64" s="3"/>
    </row>
    <row r="65" spans="8:13" ht="15" customHeight="1">
      <c r="H65" s="105"/>
      <c r="I65" s="4"/>
      <c r="J65" s="4"/>
      <c r="K65" s="4"/>
      <c r="L65" s="4"/>
      <c r="M65" s="4"/>
    </row>
    <row r="66" spans="8:13" ht="15" customHeight="1">
      <c r="H66" s="105"/>
      <c r="I66" s="3"/>
      <c r="J66" s="3"/>
      <c r="K66" s="3"/>
      <c r="L66" s="3"/>
      <c r="M66" s="3"/>
    </row>
    <row r="67" spans="8:13" ht="15" customHeight="1">
      <c r="H67" s="105"/>
      <c r="I67" s="4"/>
      <c r="J67" s="4"/>
      <c r="K67" s="4"/>
      <c r="L67" s="4"/>
      <c r="M67" s="4"/>
    </row>
    <row r="68" spans="8:13" ht="15" customHeight="1">
      <c r="H68" s="105"/>
      <c r="I68" s="3"/>
      <c r="J68" s="3"/>
      <c r="K68" s="3"/>
      <c r="L68" s="3"/>
      <c r="M68" s="3"/>
    </row>
    <row r="69" spans="8:13" ht="15" customHeight="1">
      <c r="H69" s="105"/>
      <c r="I69" s="4"/>
      <c r="J69" s="4"/>
      <c r="K69" s="4"/>
      <c r="L69" s="4"/>
      <c r="M69" s="4"/>
    </row>
    <row r="70" spans="8:13" ht="15" customHeight="1">
      <c r="H70" s="105"/>
      <c r="I70" s="3"/>
      <c r="J70" s="3"/>
      <c r="K70" s="3"/>
      <c r="L70" s="3"/>
      <c r="M70" s="3"/>
    </row>
    <row r="71" spans="8:13" ht="15" customHeight="1">
      <c r="H71" s="105"/>
      <c r="I71" s="4"/>
      <c r="J71" s="4"/>
      <c r="K71" s="4"/>
      <c r="L71" s="4"/>
      <c r="M71" s="4"/>
    </row>
    <row r="72" spans="8:13" ht="15" customHeight="1">
      <c r="H72" s="105"/>
      <c r="I72" s="3"/>
      <c r="J72" s="3"/>
      <c r="K72" s="3"/>
      <c r="L72" s="3"/>
      <c r="M72" s="3"/>
    </row>
    <row r="73" spans="8:13" ht="15" customHeight="1">
      <c r="H73" s="105"/>
      <c r="I73" s="4"/>
      <c r="J73" s="4"/>
      <c r="K73" s="4"/>
      <c r="L73" s="4"/>
      <c r="M73" s="4"/>
    </row>
    <row r="74" spans="8:13" ht="15" customHeight="1">
      <c r="H74" s="105"/>
      <c r="I74" s="3"/>
      <c r="J74" s="3"/>
      <c r="K74" s="3"/>
      <c r="L74" s="3"/>
      <c r="M74" s="3"/>
    </row>
    <row r="75" spans="8:13" ht="15" customHeight="1">
      <c r="H75" s="105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38" activePane="bottomLeft" state="frozen"/>
      <selection pane="bottomLeft" activeCell="E754" sqref="E754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8" t="s">
        <v>13</v>
      </c>
      <c r="E1" s="8" t="s">
        <v>180</v>
      </c>
      <c r="F1" s="8" t="s">
        <v>181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188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7" t="s">
        <v>189</v>
      </c>
      <c r="B14" s="107"/>
      <c r="C14" s="107"/>
      <c r="D14" s="10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190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7" t="s">
        <v>191</v>
      </c>
      <c r="B27" s="107"/>
      <c r="C27" s="107"/>
      <c r="D27" s="10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190</v>
      </c>
      <c r="N27" s="20">
        <v>0</v>
      </c>
    </row>
    <row r="28" spans="1:14" ht="18" customHeight="1">
      <c r="A28" s="98" t="s">
        <v>192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193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194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7" t="s">
        <v>189</v>
      </c>
      <c r="B41" s="107"/>
      <c r="C41" s="107"/>
      <c r="D41" s="10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190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7" t="s">
        <v>191</v>
      </c>
      <c r="B54" s="107"/>
      <c r="C54" s="107"/>
      <c r="D54" s="10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190</v>
      </c>
      <c r="N54" s="20">
        <v>125660</v>
      </c>
    </row>
    <row r="55" spans="1:14" ht="18" customHeight="1">
      <c r="A55" s="98" t="s">
        <v>192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193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7" t="s">
        <v>189</v>
      </c>
      <c r="B68" s="107"/>
      <c r="C68" s="107"/>
      <c r="D68" s="10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190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7" t="s">
        <v>191</v>
      </c>
      <c r="B81" s="107"/>
      <c r="C81" s="107"/>
      <c r="D81" s="10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190</v>
      </c>
      <c r="N81" s="20">
        <v>580300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193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188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7" t="s">
        <v>189</v>
      </c>
      <c r="B95" s="107"/>
      <c r="C95" s="107"/>
      <c r="D95" s="10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190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195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194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7" t="s">
        <v>191</v>
      </c>
      <c r="B108" s="107"/>
      <c r="C108" s="107"/>
      <c r="D108" s="10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190</v>
      </c>
      <c r="N108" s="20">
        <v>652520</v>
      </c>
    </row>
    <row r="109" spans="1:14" ht="18" customHeight="1">
      <c r="A109" s="98" t="s">
        <v>192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193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196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7" t="s">
        <v>189</v>
      </c>
      <c r="B122" s="107"/>
      <c r="C122" s="107"/>
      <c r="D122" s="10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190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7" t="s">
        <v>191</v>
      </c>
      <c r="B135" s="107"/>
      <c r="C135" s="107"/>
      <c r="D135" s="10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190</v>
      </c>
      <c r="N135" s="20">
        <v>909050</v>
      </c>
    </row>
    <row r="136" spans="1:14" ht="18" customHeight="1">
      <c r="A136" s="98" t="s">
        <v>192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193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188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7" t="s">
        <v>189</v>
      </c>
      <c r="B149" s="107"/>
      <c r="C149" s="107"/>
      <c r="D149" s="10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190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7" t="s">
        <v>191</v>
      </c>
      <c r="B162" s="107"/>
      <c r="C162" s="107"/>
      <c r="D162" s="10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190</v>
      </c>
      <c r="N162" s="27">
        <v>1048880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193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196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197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7" t="s">
        <v>189</v>
      </c>
      <c r="B176" s="107"/>
      <c r="C176" s="107"/>
      <c r="D176" s="10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190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7" t="s">
        <v>191</v>
      </c>
      <c r="B189" s="107"/>
      <c r="C189" s="107"/>
      <c r="D189" s="10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190</v>
      </c>
      <c r="N189" s="20">
        <v>797540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193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196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198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7" t="s">
        <v>189</v>
      </c>
      <c r="B203" s="107"/>
      <c r="C203" s="107"/>
      <c r="D203" s="10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190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7" t="s">
        <v>191</v>
      </c>
      <c r="B216" s="107"/>
      <c r="C216" s="107"/>
      <c r="D216" s="10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190</v>
      </c>
      <c r="N216" s="28">
        <v>203080</v>
      </c>
    </row>
    <row r="217" spans="1:14" ht="18" customHeight="1">
      <c r="A217" s="98" t="s">
        <v>192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193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7" t="s">
        <v>189</v>
      </c>
      <c r="B230" s="107"/>
      <c r="C230" s="107"/>
      <c r="D230" s="10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190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7" t="s">
        <v>191</v>
      </c>
      <c r="B243" s="107"/>
      <c r="C243" s="107"/>
      <c r="D243" s="10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190</v>
      </c>
      <c r="N243" s="20">
        <v>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193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7" t="s">
        <v>189</v>
      </c>
      <c r="B257" s="107"/>
      <c r="C257" s="107"/>
      <c r="D257" s="10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190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7" t="s">
        <v>191</v>
      </c>
      <c r="B270" s="107"/>
      <c r="C270" s="107"/>
      <c r="D270" s="10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190</v>
      </c>
      <c r="N270" s="20">
        <f>346400+269080</f>
        <v>615480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193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199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7" t="s">
        <v>189</v>
      </c>
      <c r="B284" s="107"/>
      <c r="C284" s="107"/>
      <c r="D284" s="10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190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7" t="s">
        <v>191</v>
      </c>
      <c r="B297" s="107"/>
      <c r="C297" s="107"/>
      <c r="D297" s="10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190</v>
      </c>
      <c r="N297" s="20">
        <f>35160+383610</f>
        <v>418770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193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200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7" t="s">
        <v>189</v>
      </c>
      <c r="B311" s="107"/>
      <c r="C311" s="107"/>
      <c r="D311" s="10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190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201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7" t="s">
        <v>191</v>
      </c>
      <c r="B324" s="107"/>
      <c r="C324" s="107"/>
      <c r="D324" s="10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190</v>
      </c>
      <c r="N324" s="20">
        <f>411220+466620</f>
        <v>877840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193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202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7" t="s">
        <v>189</v>
      </c>
      <c r="B338" s="107"/>
      <c r="C338" s="107"/>
      <c r="D338" s="10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190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7" t="s">
        <v>191</v>
      </c>
      <c r="B351" s="107"/>
      <c r="C351" s="107"/>
      <c r="D351" s="10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190</v>
      </c>
      <c r="N351" s="20"/>
    </row>
    <row r="352" spans="1:14" ht="18" customHeight="1">
      <c r="A352" s="98" t="s">
        <v>192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193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203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7" t="s">
        <v>189</v>
      </c>
      <c r="B365" s="107"/>
      <c r="C365" s="107"/>
      <c r="D365" s="10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190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204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205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7" t="s">
        <v>191</v>
      </c>
      <c r="B378" s="107"/>
      <c r="C378" s="107"/>
      <c r="D378" s="10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190</v>
      </c>
      <c r="N378" s="20">
        <v>1299920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193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7" t="s">
        <v>189</v>
      </c>
      <c r="B392" s="107"/>
      <c r="C392" s="107"/>
      <c r="D392" s="10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190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7" t="s">
        <v>191</v>
      </c>
      <c r="B405" s="107"/>
      <c r="C405" s="107"/>
      <c r="D405" s="10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190</v>
      </c>
      <c r="N405" s="20">
        <v>1342790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193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206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7" t="s">
        <v>189</v>
      </c>
      <c r="B419" s="107"/>
      <c r="C419" s="107"/>
      <c r="D419" s="10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190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207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7" t="s">
        <v>191</v>
      </c>
      <c r="B432" s="107"/>
      <c r="C432" s="107"/>
      <c r="D432" s="10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190</v>
      </c>
      <c r="N432" s="20">
        <v>963120</v>
      </c>
    </row>
    <row r="433" spans="1:14" ht="18" customHeight="1">
      <c r="A433" s="98" t="s">
        <v>192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193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189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190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7" t="s">
        <v>191</v>
      </c>
      <c r="B459" s="107"/>
      <c r="C459" s="107"/>
      <c r="D459" s="10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190</v>
      </c>
      <c r="N459" s="20">
        <v>534910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193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208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209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7" t="s">
        <v>189</v>
      </c>
      <c r="B473" s="107"/>
      <c r="C473" s="107"/>
      <c r="D473" s="10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190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7" t="s">
        <v>191</v>
      </c>
      <c r="B486" s="107"/>
      <c r="C486" s="107"/>
      <c r="D486" s="10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190</v>
      </c>
      <c r="N486" s="20">
        <v>557170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193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7" t="s">
        <v>189</v>
      </c>
      <c r="B500" s="107"/>
      <c r="C500" s="107"/>
      <c r="D500" s="10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190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210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7" t="s">
        <v>191</v>
      </c>
      <c r="B513" s="107"/>
      <c r="C513" s="107"/>
      <c r="D513" s="10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190</v>
      </c>
      <c r="N513" s="20">
        <v>701090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193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211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211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212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7" t="s">
        <v>189</v>
      </c>
      <c r="B527" s="107"/>
      <c r="C527" s="107"/>
      <c r="D527" s="10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190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7" t="s">
        <v>191</v>
      </c>
      <c r="B540" s="107"/>
      <c r="C540" s="107"/>
      <c r="D540" s="10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190</v>
      </c>
      <c r="N540" s="20">
        <v>915770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193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213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214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215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7" t="s">
        <v>189</v>
      </c>
      <c r="B554" s="107"/>
      <c r="C554" s="107"/>
      <c r="D554" s="10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190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7" t="s">
        <v>191</v>
      </c>
      <c r="B567" s="107"/>
      <c r="C567" s="107"/>
      <c r="D567" s="10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190</v>
      </c>
      <c r="N567" s="20">
        <v>636740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193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216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217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7" t="s">
        <v>189</v>
      </c>
      <c r="B581" s="107"/>
      <c r="C581" s="107"/>
      <c r="D581" s="10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190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218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7" t="s">
        <v>191</v>
      </c>
      <c r="B594" s="107"/>
      <c r="C594" s="107"/>
      <c r="D594" s="10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190</v>
      </c>
      <c r="N594" s="20">
        <v>394820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193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219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220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220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221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7" t="s">
        <v>189</v>
      </c>
      <c r="B608" s="107"/>
      <c r="C608" s="107"/>
      <c r="D608" s="10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190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222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174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7" t="s">
        <v>191</v>
      </c>
      <c r="B621" s="107"/>
      <c r="C621" s="107"/>
      <c r="D621" s="10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190</v>
      </c>
      <c r="N621" s="20">
        <v>587370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193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175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7" t="s">
        <v>189</v>
      </c>
      <c r="B635" s="107"/>
      <c r="C635" s="107"/>
      <c r="D635" s="10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190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223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7" t="s">
        <v>191</v>
      </c>
      <c r="B648" s="107"/>
      <c r="C648" s="107"/>
      <c r="D648" s="10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190</v>
      </c>
      <c r="N648" s="20">
        <v>635110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193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7" t="s">
        <v>189</v>
      </c>
      <c r="B662" s="107"/>
      <c r="C662" s="107"/>
      <c r="D662" s="10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190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7" t="s">
        <v>191</v>
      </c>
      <c r="B675" s="107"/>
      <c r="C675" s="107"/>
      <c r="D675" s="10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190</v>
      </c>
      <c r="N675" s="20">
        <v>1608610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193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175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177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224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225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7" t="s">
        <v>189</v>
      </c>
      <c r="B689" s="107"/>
      <c r="C689" s="107"/>
      <c r="D689" s="10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190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7" t="s">
        <v>191</v>
      </c>
      <c r="B702" s="107"/>
      <c r="C702" s="107"/>
      <c r="D702" s="10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190</v>
      </c>
      <c r="N702" s="20">
        <f>316300+609860</f>
        <v>926160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193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226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227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7" t="s">
        <v>189</v>
      </c>
      <c r="B716" s="107"/>
      <c r="C716" s="107"/>
      <c r="D716" s="10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190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7" t="s">
        <v>191</v>
      </c>
      <c r="B729" s="107"/>
      <c r="C729" s="107"/>
      <c r="D729" s="10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190</v>
      </c>
      <c r="N729" s="20">
        <v>706600</v>
      </c>
    </row>
    <row r="730" spans="1:14" ht="18" customHeight="1">
      <c r="A730" s="98" t="s">
        <v>192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193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7" t="s">
        <v>189</v>
      </c>
      <c r="B743" s="107"/>
      <c r="C743" s="107"/>
      <c r="D743" s="10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190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191</v>
      </c>
      <c r="B756" s="82"/>
      <c r="C756" s="82"/>
      <c r="D756" s="82"/>
      <c r="E756" s="19">
        <f>SUM(E744:E755)</f>
        <v>284</v>
      </c>
      <c r="F756" s="19">
        <f>SUM(F744:F755)</f>
        <v>1420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190</v>
      </c>
      <c r="N756" s="20"/>
    </row>
    <row r="757" spans="1:14" ht="18" customHeight="1">
      <c r="A757" s="22" t="s">
        <v>192</v>
      </c>
      <c r="B757" s="22"/>
      <c r="C757" s="22"/>
      <c r="D757" s="22"/>
      <c r="E757" s="22">
        <f>E743+E756</f>
        <v>512</v>
      </c>
      <c r="F757" s="22">
        <f>F743+F756</f>
        <v>2560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193</v>
      </c>
      <c r="N757" s="31">
        <f>IFERROR(N743+N756,"")</f>
        <v>1209410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189</v>
      </c>
      <c r="B770" s="82"/>
      <c r="C770" s="82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7" t="s">
        <v>191</v>
      </c>
      <c r="B783" s="107"/>
      <c r="C783" s="107"/>
      <c r="D783" s="10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7" t="s">
        <v>189</v>
      </c>
      <c r="B797" s="107"/>
      <c r="C797" s="107"/>
      <c r="D797" s="10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190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7" t="s">
        <v>191</v>
      </c>
      <c r="B810" s="107"/>
      <c r="C810" s="107"/>
      <c r="D810" s="10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190</v>
      </c>
      <c r="N810" s="20"/>
    </row>
    <row r="811" spans="1:14" ht="18" customHeight="1">
      <c r="A811" s="98" t="s">
        <v>192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193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C447:C756 D756 C759:C769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D757:D900 C757 C770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A734" zoomScale="85" zoomScaleNormal="85" workbookViewId="0">
      <selection activeCell="J746" sqref="J746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8" t="s">
        <v>13</v>
      </c>
      <c r="E1" s="8" t="s">
        <v>180</v>
      </c>
      <c r="F1" s="8" t="s">
        <v>228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189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190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191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190</v>
      </c>
      <c r="N27" s="20">
        <v>1035240</v>
      </c>
    </row>
    <row r="28" spans="1:14" ht="18" customHeight="1">
      <c r="A28" s="98" t="s">
        <v>192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193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229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189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190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191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190</v>
      </c>
      <c r="N54" s="20">
        <v>871960</v>
      </c>
    </row>
    <row r="55" spans="1:14" ht="18" customHeight="1">
      <c r="A55" s="98" t="s">
        <v>192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193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230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189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190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231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191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190</v>
      </c>
      <c r="N81" s="20">
        <v>482250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193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232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189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190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233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191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190</v>
      </c>
      <c r="N108" s="20">
        <v>529500</v>
      </c>
    </row>
    <row r="109" spans="1:14" ht="18" customHeight="1">
      <c r="A109" s="98" t="s">
        <v>192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193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233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233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189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190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233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234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191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190</v>
      </c>
      <c r="N135" s="20">
        <v>666150</v>
      </c>
    </row>
    <row r="136" spans="1:14" ht="18" customHeight="1">
      <c r="A136" s="98" t="s">
        <v>192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193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232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235</v>
      </c>
      <c r="I139" s="16" t="s">
        <v>236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233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189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190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191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190</v>
      </c>
      <c r="N162" s="35">
        <v>183240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193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189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190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237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237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237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237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237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237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237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237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191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190</v>
      </c>
      <c r="N189" s="20">
        <v>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193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237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238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189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190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191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190</v>
      </c>
      <c r="N216" s="28">
        <v>525070</v>
      </c>
    </row>
    <row r="217" spans="1:14" ht="18" customHeight="1">
      <c r="A217" s="98" t="s">
        <v>192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193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239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189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190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191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190</v>
      </c>
      <c r="N243" s="20">
        <v>244000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193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240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241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189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190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242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191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190</v>
      </c>
      <c r="N270" s="20">
        <v>8130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193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243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189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190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191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190</v>
      </c>
      <c r="N297" s="20">
        <f>229280+228660</f>
        <v>457940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193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244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245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245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246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189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190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247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248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249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250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191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190</v>
      </c>
      <c r="N324" s="20">
        <f>217310+197670</f>
        <v>414980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193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251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252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189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190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253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254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191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190</v>
      </c>
      <c r="N351" s="20">
        <f>135270+304860</f>
        <v>440130</v>
      </c>
    </row>
    <row r="352" spans="1:14" ht="18" customHeight="1">
      <c r="A352" s="98" t="s">
        <v>192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193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255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256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257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189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190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191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190</v>
      </c>
      <c r="N378" s="20">
        <f>291750+291000</f>
        <v>582750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193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189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190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258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259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191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190</v>
      </c>
      <c r="N405" s="20">
        <v>305810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193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260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261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262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189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190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263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264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191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190</v>
      </c>
      <c r="N432" s="20">
        <v>522180</v>
      </c>
    </row>
    <row r="433" spans="1:14" ht="18" customHeight="1">
      <c r="A433" s="98" t="s">
        <v>192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193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265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266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267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189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190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268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191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190</v>
      </c>
      <c r="N459" s="20">
        <v>560220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193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269</v>
      </c>
      <c r="J465" s="13">
        <v>0.70833333333333337</v>
      </c>
      <c r="K465" s="13" t="s">
        <v>270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271</v>
      </c>
      <c r="N472" s="30"/>
    </row>
    <row r="473" spans="1:14" ht="15.75" customHeight="1">
      <c r="A473" s="97" t="s">
        <v>189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190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272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273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191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190</v>
      </c>
      <c r="N486" s="20">
        <v>400000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193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189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190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274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191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190</v>
      </c>
      <c r="N513" s="20">
        <f>1031250+71560</f>
        <v>1102810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193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211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211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189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190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277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278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279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279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191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190</v>
      </c>
      <c r="N540" s="20">
        <v>504470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193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280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189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190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191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190</v>
      </c>
      <c r="N567" s="20">
        <v>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193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189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190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281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191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190</v>
      </c>
      <c r="N594" s="20">
        <v>258960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193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282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283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284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189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190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285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286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191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190</v>
      </c>
      <c r="N621" s="20">
        <v>687740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193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287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189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190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288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289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290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191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190</v>
      </c>
      <c r="N648" s="20">
        <f>47050+58630</f>
        <v>105680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193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189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190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291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292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293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191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190</v>
      </c>
      <c r="N675" s="20">
        <v>546550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193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294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189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190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295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296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191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190</v>
      </c>
      <c r="N702" s="20">
        <f>430070+116100</f>
        <v>546170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193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297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8" t="s">
        <v>189</v>
      </c>
      <c r="B716" s="109"/>
      <c r="C716" s="109"/>
      <c r="D716" s="110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190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191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190</v>
      </c>
      <c r="N729" s="20">
        <v>477920</v>
      </c>
    </row>
    <row r="730" spans="1:14" ht="18" customHeight="1">
      <c r="A730" s="98" t="s">
        <v>192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193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298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189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190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299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/>
      <c r="F754" s="12" t="str">
        <f t="shared" si="166"/>
        <v/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191</v>
      </c>
      <c r="B756" s="97"/>
      <c r="C756" s="97"/>
      <c r="D756" s="97"/>
      <c r="E756" s="19">
        <f>SUM(E744:E755)</f>
        <v>53</v>
      </c>
      <c r="F756" s="19">
        <f>SUM(F744:F755)</f>
        <v>212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190</v>
      </c>
      <c r="N756" s="20"/>
    </row>
    <row r="757" spans="1:14" ht="18" customHeight="1">
      <c r="A757" s="98" t="s">
        <v>192</v>
      </c>
      <c r="B757" s="98"/>
      <c r="C757" s="98"/>
      <c r="D757" s="98"/>
      <c r="E757" s="22">
        <f>E743+E756</f>
        <v>166</v>
      </c>
      <c r="F757" s="22">
        <f>F743+F756</f>
        <v>664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193</v>
      </c>
      <c r="N757" s="31">
        <f>IFERROR(N743+N756,"")</f>
        <v>427230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189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191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189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190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191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190</v>
      </c>
      <c r="N810" s="20"/>
    </row>
    <row r="811" spans="1:14" ht="18" customHeight="1">
      <c r="A811" s="98" t="s">
        <v>192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193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42" activePane="bottomLeft" state="frozen"/>
      <selection pane="bottomLeft" activeCell="E754" sqref="E75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8" t="s">
        <v>13</v>
      </c>
      <c r="E1" s="8" t="s">
        <v>180</v>
      </c>
      <c r="F1" s="8" t="s">
        <v>300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189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190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191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190</v>
      </c>
      <c r="N27" s="20"/>
    </row>
    <row r="28" spans="1:14" ht="18" customHeight="1">
      <c r="A28" s="98" t="s">
        <v>192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193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189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190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191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190</v>
      </c>
      <c r="N54" s="20"/>
    </row>
    <row r="55" spans="1:14" ht="18" customHeight="1">
      <c r="A55" s="98" t="s">
        <v>192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193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189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190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301</v>
      </c>
      <c r="I80" s="10" t="s">
        <v>231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191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190</v>
      </c>
      <c r="N81" s="20">
        <v>206440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193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189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190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191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190</v>
      </c>
      <c r="N108" s="20"/>
    </row>
    <row r="109" spans="1:14" ht="18" customHeight="1">
      <c r="A109" s="98" t="s">
        <v>192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193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189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190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191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190</v>
      </c>
      <c r="N135" s="20"/>
    </row>
    <row r="136" spans="1:14" ht="18" customHeight="1">
      <c r="A136" s="98" t="s">
        <v>192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193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189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190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191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190</v>
      </c>
      <c r="N162" s="20">
        <v>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193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189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190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191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190</v>
      </c>
      <c r="N189" s="20">
        <v>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193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189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190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191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190</v>
      </c>
      <c r="N216" s="20"/>
    </row>
    <row r="217" spans="1:14" ht="18" customHeight="1">
      <c r="A217" s="98" t="s">
        <v>192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193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189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190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191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190</v>
      </c>
      <c r="N243" s="20">
        <v>180000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193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302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302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189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190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242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191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190</v>
      </c>
      <c r="N270" s="20">
        <f>103170+137770</f>
        <v>240940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193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189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190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303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191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190</v>
      </c>
      <c r="N297" s="20">
        <f>110740+118380</f>
        <v>229120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193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304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189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190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305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249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191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190</v>
      </c>
      <c r="N324" s="20">
        <f>119730+227060</f>
        <v>346790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193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189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190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254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191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190</v>
      </c>
      <c r="N351" s="20">
        <f>50730+24450</f>
        <v>75180</v>
      </c>
    </row>
    <row r="352" spans="1:14" ht="18" customHeight="1">
      <c r="A352" s="98" t="s">
        <v>192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193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257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306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189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190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191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190</v>
      </c>
      <c r="N378" s="20">
        <f>151130+160740</f>
        <v>311870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193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189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190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191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190</v>
      </c>
      <c r="N405" s="20">
        <v>340530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193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189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190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191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190</v>
      </c>
      <c r="N432" s="20">
        <v>169230</v>
      </c>
    </row>
    <row r="433" spans="1:14" ht="18" customHeight="1">
      <c r="A433" s="98" t="s">
        <v>192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193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307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267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189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190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308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191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190</v>
      </c>
      <c r="N459" s="20">
        <v>221750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193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269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271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271</v>
      </c>
      <c r="N472" s="30"/>
    </row>
    <row r="473" spans="1:14" ht="15.75" customHeight="1">
      <c r="A473" s="97" t="s">
        <v>189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190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191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190</v>
      </c>
      <c r="N486" s="20">
        <v>240000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193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189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190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191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190</v>
      </c>
      <c r="N513" s="20">
        <v>3930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193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189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190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309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277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191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190</v>
      </c>
      <c r="N540" s="20">
        <v>304230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193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265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189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190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191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190</v>
      </c>
      <c r="N567" s="20">
        <v>437260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193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310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189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190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311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249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191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190</v>
      </c>
      <c r="N594" s="20">
        <v>269570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193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189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190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312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191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190</v>
      </c>
      <c r="N621" s="20">
        <v>176650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193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313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189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190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314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191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190</v>
      </c>
      <c r="N648" s="20">
        <f>154590+56700</f>
        <v>211290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193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189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190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191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190</v>
      </c>
      <c r="N675" s="20">
        <v>234010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193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315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189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190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191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190</v>
      </c>
      <c r="N702" s="20">
        <f>151740+85690</f>
        <v>237430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193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221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189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190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191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190</v>
      </c>
      <c r="N729" s="20">
        <v>377030</v>
      </c>
    </row>
    <row r="730" spans="1:14" ht="18" customHeight="1">
      <c r="A730" s="98" t="s">
        <v>192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193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298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316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189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190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299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191</v>
      </c>
      <c r="B756" s="97"/>
      <c r="C756" s="97"/>
      <c r="D756" s="97"/>
      <c r="E756" s="19">
        <f>SUM(E744:E755)</f>
        <v>35</v>
      </c>
      <c r="F756" s="19">
        <f>SUM(F744:F755)</f>
        <v>140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190</v>
      </c>
      <c r="N756" s="20"/>
    </row>
    <row r="757" spans="1:14" ht="18" customHeight="1">
      <c r="A757" s="98" t="s">
        <v>192</v>
      </c>
      <c r="B757" s="98"/>
      <c r="C757" s="98"/>
      <c r="D757" s="98"/>
      <c r="E757" s="22">
        <f>E743+E756</f>
        <v>76</v>
      </c>
      <c r="F757" s="22">
        <f>F743+F756</f>
        <v>304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193</v>
      </c>
      <c r="N757" s="31">
        <f>IFERROR(N743+N756,"")</f>
        <v>180990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189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191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189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190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191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190</v>
      </c>
      <c r="N810" s="20"/>
    </row>
    <row r="811" spans="1:14" ht="18" customHeight="1">
      <c r="A811" s="98" t="s">
        <v>192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193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35" activePane="bottomLeft" state="frozen"/>
      <selection pane="bottomLeft" activeCell="E754" sqref="E754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57" t="s">
        <v>13</v>
      </c>
      <c r="E1" s="8" t="s">
        <v>180</v>
      </c>
      <c r="F1" s="8" t="s">
        <v>317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318</v>
      </c>
      <c r="I2" s="10" t="s">
        <v>319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318</v>
      </c>
      <c r="I3" s="16" t="s">
        <v>319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318</v>
      </c>
      <c r="I4" s="10" t="s">
        <v>319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318</v>
      </c>
      <c r="I5" s="16" t="s">
        <v>319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318</v>
      </c>
      <c r="I6" s="10" t="s">
        <v>319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318</v>
      </c>
      <c r="I7" s="16" t="s">
        <v>319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318</v>
      </c>
      <c r="I8" s="10" t="s">
        <v>319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318</v>
      </c>
      <c r="I9" s="16" t="s">
        <v>319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318</v>
      </c>
      <c r="I10" s="10" t="s">
        <v>319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318</v>
      </c>
      <c r="I11" s="16" t="s">
        <v>319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318</v>
      </c>
      <c r="I12" s="10" t="s">
        <v>319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318</v>
      </c>
      <c r="I13" s="16" t="s">
        <v>319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189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190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320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191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190</v>
      </c>
      <c r="N27" s="20">
        <v>537710</v>
      </c>
    </row>
    <row r="28" spans="1:14" ht="18" customHeight="1">
      <c r="A28" s="98" t="s">
        <v>192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193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321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322</v>
      </c>
      <c r="I33" s="16" t="s">
        <v>323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188</v>
      </c>
      <c r="H36" s="10" t="s">
        <v>324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189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190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231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191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190</v>
      </c>
      <c r="N54" s="20">
        <v>800250</v>
      </c>
    </row>
    <row r="55" spans="1:14" ht="18" customHeight="1">
      <c r="A55" s="98" t="s">
        <v>192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193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189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190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324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191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190</v>
      </c>
      <c r="N81" s="20">
        <v>423590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193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189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190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325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191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190</v>
      </c>
      <c r="N108" s="20">
        <v>784300</v>
      </c>
    </row>
    <row r="109" spans="1:14" ht="18" customHeight="1">
      <c r="A109" s="98" t="s">
        <v>192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193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189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190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188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191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190</v>
      </c>
      <c r="N135" s="20">
        <v>527600</v>
      </c>
    </row>
    <row r="136" spans="1:14" ht="18" customHeight="1">
      <c r="A136" s="98" t="s">
        <v>192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193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188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189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190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191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190</v>
      </c>
      <c r="N162" s="20">
        <v>215370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193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189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190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191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190</v>
      </c>
      <c r="N189" s="20">
        <v>400530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193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326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189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190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234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191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190</v>
      </c>
      <c r="N216" s="28">
        <v>704110</v>
      </c>
    </row>
    <row r="217" spans="1:14" ht="18" customHeight="1">
      <c r="A217" s="98" t="s">
        <v>192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193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327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249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189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190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191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190</v>
      </c>
      <c r="N243" s="20">
        <v>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193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328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189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190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191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190</v>
      </c>
      <c r="N270" s="20">
        <f>214250+252630</f>
        <v>466880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193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329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189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190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330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331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332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191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190</v>
      </c>
      <c r="N297" s="20">
        <f>124260+105220</f>
        <v>229480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193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331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333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304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189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190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334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334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334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335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191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190</v>
      </c>
      <c r="N324" s="20">
        <f>311920+165290</f>
        <v>477210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193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189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190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336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254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191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190</v>
      </c>
      <c r="N351" s="20">
        <f>117790+390790</f>
        <v>508580</v>
      </c>
    </row>
    <row r="352" spans="1:14" ht="18" customHeight="1">
      <c r="A352" s="98" t="s">
        <v>192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193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337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338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306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189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190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191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190</v>
      </c>
      <c r="N378" s="20">
        <f>490380+390690</f>
        <v>881070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193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189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190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191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190</v>
      </c>
      <c r="N405" s="20">
        <v>745910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193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339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340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341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189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190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191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190</v>
      </c>
      <c r="N432" s="20">
        <v>669300</v>
      </c>
    </row>
    <row r="433" spans="1:16" ht="18" customHeight="1">
      <c r="A433" s="98" t="s">
        <v>192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193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189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190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331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331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191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190</v>
      </c>
      <c r="N459" s="20">
        <v>561580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193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271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271</v>
      </c>
      <c r="N472" s="41"/>
    </row>
    <row r="473" spans="1:14" ht="15.75" customHeight="1">
      <c r="A473" s="97" t="s">
        <v>189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190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342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343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344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191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190</v>
      </c>
      <c r="N486" s="20">
        <v>508000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193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189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190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345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346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191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190</v>
      </c>
      <c r="N513" s="20">
        <v>745760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193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189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190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347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348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249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191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190</v>
      </c>
      <c r="N540" s="20">
        <v>426450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193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349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350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189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190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351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191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190</v>
      </c>
      <c r="N567" s="20">
        <v>652080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193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352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353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189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190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354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275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249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191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190</v>
      </c>
      <c r="N594" s="20">
        <v>800310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193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355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189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190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356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191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190</v>
      </c>
      <c r="N621" s="20">
        <v>141320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193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343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189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190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357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176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358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191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190</v>
      </c>
      <c r="N648" s="20">
        <f>89640+153770</f>
        <v>243410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193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189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190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359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191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190</v>
      </c>
      <c r="N675" s="20">
        <v>425320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193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189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190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360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361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191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190</v>
      </c>
      <c r="N702" s="20">
        <f>626540+94190</f>
        <v>720730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193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362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363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364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189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190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365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366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191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190</v>
      </c>
      <c r="N729" s="20">
        <v>874110</v>
      </c>
    </row>
    <row r="730" spans="1:14" ht="18" customHeight="1">
      <c r="A730" s="98" t="s">
        <v>192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193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367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298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316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189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190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299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191</v>
      </c>
      <c r="B756" s="97"/>
      <c r="C756" s="97"/>
      <c r="D756" s="97"/>
      <c r="E756" s="19">
        <f>SUM(E744:E755)</f>
        <v>135</v>
      </c>
      <c r="F756" s="19">
        <f>SUM(F744:F755)</f>
        <v>540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190</v>
      </c>
      <c r="N756" s="20"/>
    </row>
    <row r="757" spans="1:14" ht="18" customHeight="1">
      <c r="A757" s="98" t="s">
        <v>192</v>
      </c>
      <c r="B757" s="98"/>
      <c r="C757" s="98"/>
      <c r="D757" s="98"/>
      <c r="E757" s="22">
        <f>E743+E756</f>
        <v>259</v>
      </c>
      <c r="F757" s="22">
        <f>F743+F756</f>
        <v>1036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193</v>
      </c>
      <c r="N757" s="31">
        <f>IFERROR(N743+N756,"")</f>
        <v>471600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189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191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99" t="s">
        <v>189</v>
      </c>
      <c r="B797" s="99"/>
      <c r="C797" s="99"/>
      <c r="D797" s="9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190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99" t="s">
        <v>191</v>
      </c>
      <c r="B810" s="99"/>
      <c r="C810" s="99"/>
      <c r="D810" s="9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190</v>
      </c>
      <c r="N810" s="20"/>
    </row>
    <row r="811" spans="1:14" ht="18" customHeight="1">
      <c r="A811" s="100" t="s">
        <v>192</v>
      </c>
      <c r="B811" s="100"/>
      <c r="C811" s="100"/>
      <c r="D811" s="10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193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914D07B3-4831-4991-A053-ED05E81548EC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2026-06-29T09:14:17Z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