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950" documentId="8_{AF585B22-221D-4780-BB9C-493D365A6A02}" xr6:coauthVersionLast="47" xr6:coauthVersionMax="47" xr10:uidLastSave="{75628113-EE5A-4CB1-8E56-AC4CE021B726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<sst xmlns="http://schemas.openxmlformats.org/spreadsheetml/2006/main" count="4551" uniqueCount="287">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</sst>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2070060</v>
      </c>
      <c r="D13" s="11">
        <f>IFERROR('Linha 1'!O271,"")</f>
        <v>631580</v>
      </c>
      <c r="E13" s="11">
        <f>IFERROR('Linha 2'!O271,"")</f>
        <v>456270</v>
      </c>
      <c r="F13" s="11">
        <f>IFERROR('Linha 3'!O271,"")</f>
        <v>874480</v>
      </c>
      <c r="G13" s="12">
        <f t="shared" si="0"/>
        <v>1962330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28393390</v>
      </c>
      <c r="D35" s="13">
        <f>IFERROR(SUM(D4:D34),"")</f>
        <v>9850090</v>
      </c>
      <c r="E35" s="13">
        <f>IFERROR(SUM(E4:E34),"")</f>
        <v>6933540</v>
      </c>
      <c r="F35" s="13">
        <f>IFERROR(SUM(F4:F34),"")</f>
        <v>12384660</v>
      </c>
      <c r="G35" s="13">
        <f>IFERROR(SUM(G4:G34),"")</f>
        <v>29168290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41" activePane="bottomLeft" state="frozen"/>
      <selection pane="bottomLeft" activeCell="F269" sqref="F26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2070060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39" activePane="bottomLeft" state="frozen"/>
      <selection pane="bottomLeft" activeCell="F269" sqref="F26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114</v>
      </c>
      <c r="G270" s="36">
        <f>SUM(G258:G269)</f>
        <v>485.20000000000005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279</v>
      </c>
      <c r="G271" s="40">
        <f>G257+G270</f>
        <v>1178.1999999999998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631580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39" zoomScale="50" zoomScaleNormal="50" workbookViewId="0">
      <selection activeCell="F269" sqref="F26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257</v>
      </c>
      <c r="N166" s="27" t="s">
        <v>258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110</v>
      </c>
      <c r="G270" s="36">
        <f>SUM(G258:G269)</f>
        <v>462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249</v>
      </c>
      <c r="G271" s="40">
        <f>G257+G270</f>
        <v>1045.8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456270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42" activePane="bottomLeft" state="frozen"/>
      <selection pane="bottomLeft" activeCell="F269" sqref="F26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266</v>
      </c>
      <c r="L58" s="29">
        <v>0.54097222222222219</v>
      </c>
      <c r="M58" s="30" t="str">
        <f t="shared" ca="1" si="13"/>
        <v/>
      </c>
      <c r="N58" s="27" t="s">
        <v>267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1.7900810184073634E-2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0.21720636573962926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0.58456747685074029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283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285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286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210</v>
      </c>
      <c r="G270" s="36">
        <f>SUM(G258:G269)</f>
        <v>882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400</v>
      </c>
      <c r="G271" s="40">
        <f>G257+G270</f>
        <v>1680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874480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2026-07-11T10:25:19Z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