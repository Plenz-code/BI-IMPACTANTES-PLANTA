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96" documentId="8_{AF585B22-221D-4780-BB9C-493D365A6A02}" xr6:coauthVersionLast="47" xr6:coauthVersionMax="47" xr10:uidLastSave="{F1B1C9DE-20F0-4F01-A9A2-3975FAB2079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<sst xmlns="http://schemas.openxmlformats.org/spreadsheetml/2006/main" count="9647" uniqueCount="383">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</sst>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06" activePane="bottomLeft" state="frozen"/>
      <selection pane="bottomLeft" activeCell="F624" sqref="F6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20</v>
      </c>
      <c r="G635" s="36">
        <f>SUM(G623:G634)</f>
        <v>100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</v>
      </c>
      <c r="G649" s="40">
        <f>G635+G648</f>
        <v>100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0.12250393518479541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0.28014282407368429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0.38986504629590646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0.10097615740960464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0.27180949074293803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0.4169483796318269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7.0420601856312715E-2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</v>
      </c>
      <c r="G635" s="36">
        <f>SUM(G623:G634)</f>
        <v>37.800000000000004</v>
      </c>
      <c r="H635" s="37"/>
      <c r="I635" s="37"/>
      <c r="J635" s="37"/>
      <c r="K635" s="37"/>
      <c r="L635" s="37"/>
      <c r="M635" s="38">
        <f ca="1">IFERROR(SUM(M623:M634),"")</f>
        <v>7.0420601856312715E-2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</v>
      </c>
      <c r="G649" s="40">
        <f>G635+G648</f>
        <v>37.800000000000004</v>
      </c>
      <c r="H649" s="41"/>
      <c r="I649" s="41"/>
      <c r="J649" s="41"/>
      <c r="K649" s="41"/>
      <c r="L649" s="41"/>
      <c r="M649" s="42">
        <f ca="1">IFERROR(M635+M648,"")</f>
        <v>7.0420601856312715E-2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17</v>
      </c>
      <c r="G635" s="36">
        <f>SUM(G623:G634)</f>
        <v>71.400000000000006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</v>
      </c>
      <c r="G649" s="40">
        <f>G635+G648</f>
        <v>71.400000000000006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L624" sqref="L6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0.11278171296726214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0.31208726852281776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0.67944837963392879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0.65375393518479541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0.70861504629590666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0.82528171296257335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20</v>
      </c>
      <c r="I623" s="33" t="s">
        <v>154</v>
      </c>
      <c r="J623" s="33" t="s">
        <v>74</v>
      </c>
      <c r="K623" s="29">
        <v>0.35347222222222224</v>
      </c>
      <c r="L623" s="29">
        <v>0.36180555555555555</v>
      </c>
      <c r="M623" s="35">
        <f t="shared" ref="M623:M634" ca="1" si="139">IFERROR(IF(K623="","",IF(L623="",MOD(NOW()-K623,1),IF(L623&gt;=K623,L623-K623,L623+1-K623))),"")</f>
        <v>8.3333333333333037E-3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18</v>
      </c>
      <c r="G635" s="36">
        <f>SUM(G623:G634)</f>
        <v>75.600000000000009</v>
      </c>
      <c r="H635" s="37"/>
      <c r="I635" s="37"/>
      <c r="J635" s="37"/>
      <c r="K635" s="61"/>
      <c r="L635" s="61"/>
      <c r="M635" s="38">
        <f ca="1">IFERROR(SUM(M623:M634),"")</f>
        <v>8.3333333333333037E-3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</v>
      </c>
      <c r="G649" s="40">
        <f>G635+G648</f>
        <v>75.600000000000009</v>
      </c>
      <c r="H649" s="41"/>
      <c r="I649" s="41"/>
      <c r="J649" s="41"/>
      <c r="K649" s="63"/>
      <c r="L649" s="63"/>
      <c r="M649" s="42">
        <f ca="1">IFERROR(M635+M648,"")</f>
        <v>8.3333333333333037E-3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2026-07-24T12:41:37Z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