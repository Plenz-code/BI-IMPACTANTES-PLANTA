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479" documentId="8_{C51EB6CB-002B-4D6B-B68F-DDEBDB4460C0}" xr6:coauthVersionLast="47" xr6:coauthVersionMax="47" xr10:uidLastSave="{3BCC71B6-336B-41C2-845F-EDFA247C8FED}"/>
  <bookViews>
    <workbookView xWindow="-108" yWindow="-108" windowWidth="23256" windowHeight="12456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<sst xmlns="http://schemas.openxmlformats.org/spreadsheetml/2006/main" count="2142" uniqueCount="263">
  <si>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</si>
  <si>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</si>
  <si>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</si>
  <si>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</si>
  <si>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</si>
  <si>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</si>
  <si>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</si>
  <si>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</si>
  <si>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</si>
  <si>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</si>
  <si>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</si>
  <si>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</si>
  <si>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</si>
  <si>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</si>
  <si>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</si>
  <si>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</si>
  <si>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</si>
  <si>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</si>
  <si>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</si>
  <si>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</si>
  <si>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</si>
  <si>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</si>
  <si>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</si>
  <si>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</si>
  <si>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</si>
  <si>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</si>
  <si>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</si>
  <si>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</si>
  <si>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</si>
  <si>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</si>
  <si>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</si>
  <si>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</si>
  <si>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</si>
  <si>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</si>
  <si>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</si>
  <si>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</si>
  <si>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</si>
  <si>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</si>
  <si>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</si>
  <si>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</si>
  <si>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</si>
  <si>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</si>
  <si>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</si>
  <si>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</si>
  <si>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</si>
  <si>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</si>
  <si>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</si>
  <si>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</si>
  <si>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</si>
  <si>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</si>
  <si>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</si>
  <si>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</si>
  <si>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</si>
  <si>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</si>
  <si>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</si>
  <si>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</si>
  <si>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</si>
  <si>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</si>
  <si>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</si>
  <si>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</si>
  <si>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</si>
  <si>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</si>
  <si>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</si>
  <si>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</si>
  <si>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</si>
  <si>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</si>
  <si>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</si>
  <si>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</si>
  <si>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</si>
  <si>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</si>
  <si>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</si>
  <si>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</si>
  <si>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</si>
  <si>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</si>
  <si>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</si>
  <si>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</si>
  <si>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</si>
  <si>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</si>
  <si>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</si>
  <si>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</si>
  <si>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</si>
  <si>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</si>
  <si>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</si>
  <si>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</si>
  <si>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</si>
  <si>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</si>
  <si>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</si>
  <si>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</si>
  <si>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</si>
  <si>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</si>
  <si>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</si>
  <si>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</si>
  <si>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</si>
  <si>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</si>
  <si>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</si>
  <si>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</si>
  <si>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</si>
  <si>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</si>
  <si>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</si>
  <si>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</si>
  <si>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</si>
  <si>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</si>
  <si>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</si>
  <si>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</si>
  <si>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</si>
  <si>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</si>
  <si>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</si>
  <si>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</si>
  <si>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</si>
  <si>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</si>
  <si>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</si>
  <si>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</si>
  <si>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</si>
  <si>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</si>
  <si>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</si>
  <si>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</si>
  <si>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</si>
  <si>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</si>
  <si>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</si>
  <si>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</si>
  <si>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</si>
  <si>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</si>
  <si>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</si>
  <si>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</si>
  <si>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</si>
  <si>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</si>
  <si>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</si>
  <si>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</si>
  <si>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</si>
  <si>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</si>
  <si>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</si>
  <si>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</si>
  <si>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</si>
  <si>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</si>
  <si>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</si>
  <si>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</si>
  <si>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</si>
  <si>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</si>
  <si>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</si>
  <si>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</si>
  <si>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</si>
  <si>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</si>
  <si>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</si>
  <si>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</si>
  <si>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</si>
  <si>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</si>
  <si>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</si>
  <si>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</si>
  <si>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</si>
  <si>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</si>
  <si>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</si>
  <si>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</si>
  <si>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</si>
  <si>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</si>
  <si>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</si>
  <si>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</si>
  <si>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</si>
  <si>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</si>
  <si>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</si>
  <si>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</si>
  <si>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</si>
  <si>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</si>
  <si>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</si>
  <si>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</si>
  <si>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</si>
  <si>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</si>
  <si>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</si>
  <si>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</si>
  <si>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</si>
  <si>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</si>
  <si>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</si>
  <si>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</si>
  <si>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</si>
  <si>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</si>
  <si>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</si>
  <si>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</si>
  <si>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</si>
  <si>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</si>
  <si>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</si>
  <si>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</si>
  <si>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</si>
  <si>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</si>
  <si>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</si>
  <si>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</si>
  <si>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</si>
  <si>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</si>
  <si>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</si>
  <si>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</si>
  <si>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</si>
  <si>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</si>
  <si>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</si>
  <si>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</si>
  <si>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</si>
  <si>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</si>
  <si>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</si>
  <si>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</si>
  <si>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</si>
  <si>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</si>
  <si>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</si>
  <si>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</si>
  <si>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</si>
  <si>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</si>
  <si>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</si>
  <si>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</si>
  <si>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</si>
  <si>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</si>
  <si>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</si>
  <si>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</si>
  <si>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</si>
  <si>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</si>
  <si>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</si>
  <si>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</si>
  <si>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</si>
  <si>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</si>
  <si>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</si>
  <si>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</si>
  <si>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</si>
  <si>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</si>
  <si>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</si>
  <si>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</si>
  <si>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</si>
  <si>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</si>
  <si>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</si>
  <si>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</si>
  <si>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</si>
  <si>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</si>
  <si>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</si>
  <si>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</si>
  <si>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</si>
  <si>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</si>
  <si>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</si>
  <si>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</si>
  <si>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</si>
  <si>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</si>
  <si>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</si>
  <si>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</si>
  <si>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</si>
  <si>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</si>
  <si>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</si>
  <si>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</si>
  <si>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</si>
  <si>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</si>
  <si>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</si>
  <si>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</si>
  <si>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</si>
  <si>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</si>
  <si>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</si>
  <si>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</si>
  <si>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</si>
  <si>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</si>
  <si>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</si>
  <si>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</si>
  <si>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</si>
  <si>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</si>
  <si>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</si>
  <si>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</si>
  <si>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bomba 01 parada pra  manutencao eletrica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</si>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</sst>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2102950</v>
      </c>
      <c r="D6" s="8">
        <f>IFERROR('Linha 1'!O82,"")</f>
        <v>565230</v>
      </c>
      <c r="E6" s="8">
        <f>IFERROR('Linha 2'!O82,"")</f>
        <v>221380</v>
      </c>
      <c r="F6" s="8">
        <f>IFERROR('Linha 3'!O82,"")</f>
        <v>477090</v>
      </c>
      <c r="G6" s="9">
        <f t="shared" si="0"/>
        <v>1263700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6231495</v>
      </c>
      <c r="D35" s="13">
        <f>IFERROR(SUM(D4:D34),"")</f>
        <v>2259870</v>
      </c>
      <c r="E35" s="13">
        <f>IFERROR(SUM(E4:E34),"")</f>
        <v>1422960</v>
      </c>
      <c r="F35" s="13">
        <f>IFERROR(SUM(F4:F34),"")</f>
        <v>2649260</v>
      </c>
      <c r="G35" s="13">
        <f>IFERROR(SUM(G4:G34),"")</f>
        <v>6332090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60" activePane="bottomLeft" state="frozen"/>
      <selection pane="bottomLeft" activeCell="E75" sqref="E7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236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237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238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240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375</v>
      </c>
      <c r="G82" s="40">
        <f>G68+G81</f>
        <v>1875</v>
      </c>
      <c r="H82" s="41"/>
      <c r="I82" s="41"/>
      <c r="J82" s="41"/>
      <c r="K82" s="41"/>
      <c r="L82" s="41"/>
      <c r="M82" s="42">
        <f ca="1">IFERROR(M68+M81,"")</f>
        <v>3.2638888888888995E-2</v>
      </c>
      <c r="N82" s="40" t="s">
        <v>234</v>
      </c>
      <c r="O82" s="43">
        <f>IFERROR(O68+O81,"")</f>
        <v>2102950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66" activePane="bottomLeft" state="frozen"/>
      <selection pane="bottomLeft" activeCell="D77" sqref="D7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243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243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243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243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247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243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248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243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243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243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243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243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243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243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243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243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243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243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243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243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243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243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243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243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243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243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243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243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249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243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250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243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243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251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243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0.66348981481132796</v>
      </c>
      <c r="N53" s="46" t="s">
        <v>252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0.8023787037002168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0.88710092592243917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243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243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243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243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243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243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244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243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243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243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243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26"/>
      <c r="K69" s="33"/>
      <c r="L69" s="29"/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ref="M70:M80" ca="1" si="17">IFERROR(IF(K70="","",IF(L70="",MOD(NOW()-K70,1),IF(L70&gt;=K70,L70-K70,L70+1-K70))),"")</f>
        <v/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7"/>
        <v/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7"/>
        <v/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7"/>
        <v/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7"/>
        <v/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7"/>
        <v/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7"/>
        <v/>
      </c>
      <c r="N76" s="46"/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230</v>
      </c>
      <c r="O81" s="54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136</v>
      </c>
      <c r="G82" s="40">
        <f>G68+G81</f>
        <v>571.20000000000005</v>
      </c>
      <c r="H82" s="41"/>
      <c r="I82" s="41"/>
      <c r="J82" s="41"/>
      <c r="K82" s="41"/>
      <c r="L82" s="41"/>
      <c r="M82" s="42">
        <f ca="1">IFERROR(M68+M81,"")</f>
        <v>0.1159722222222222</v>
      </c>
      <c r="N82" s="40" t="s">
        <v>234</v>
      </c>
      <c r="O82" s="82">
        <f>IFERROR(O68+O81,"")</f>
        <v>565230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61" zoomScale="50" zoomScaleNormal="50" workbookViewId="0">
      <selection activeCell="C69" sqref="C69:C8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243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243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243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247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243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243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243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243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243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243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243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243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243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243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243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243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243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243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243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243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243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243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255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243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243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243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243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243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243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243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243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243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243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243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243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243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243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243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243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243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243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243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50</v>
      </c>
      <c r="G82" s="40">
        <f>G68+G81</f>
        <v>210</v>
      </c>
      <c r="H82" s="41"/>
      <c r="I82" s="41"/>
      <c r="J82" s="41"/>
      <c r="K82" s="41"/>
      <c r="L82" s="41"/>
      <c r="M82" s="42">
        <f ca="1">IFERROR(M68+M81,"")</f>
        <v>8.3333333333333426E-2</v>
      </c>
      <c r="N82" s="40" t="s">
        <v>234</v>
      </c>
      <c r="O82" s="43">
        <f>IFERROR(O68+O81,"")</f>
        <v>221380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58" activePane="bottomLeft" state="frozen"/>
      <selection pane="bottomLeft" activeCell="K70" sqref="K7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243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243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243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243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258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243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243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243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259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243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243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243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243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243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243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243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243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243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243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243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243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243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243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260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243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243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243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243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243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243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243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243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243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261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243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262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243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243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243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243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243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243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>
        <v>0.79166666666666663</v>
      </c>
      <c r="L69" s="29"/>
      <c r="M69" s="35">
        <f t="shared" ref="M69:M80" ca="1" si="16">IFERROR(IF(K69="","",IF(L69="",MOD(NOW()-K69,1),IF(L69&gt;=K69,L69-K69,L69+1-K69))),"")</f>
        <v>0.99335092592809815</v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0.99335092592809815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115</v>
      </c>
      <c r="G82" s="40">
        <f>G68+G81</f>
        <v>482.99999999999994</v>
      </c>
      <c r="H82" s="41"/>
      <c r="I82" s="41"/>
      <c r="J82" s="41"/>
      <c r="K82" s="63"/>
      <c r="L82" s="63"/>
      <c r="M82" s="42">
        <f ca="1">IFERROR(M68+M81,"")</f>
        <v>1.1384898148169871</v>
      </c>
      <c r="N82" s="40" t="s">
        <v>234</v>
      </c>
      <c r="O82" s="48">
        <f>IFERROR(O68+O81,"")</f>
        <v>477090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2026-08-03T22:50:29Z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