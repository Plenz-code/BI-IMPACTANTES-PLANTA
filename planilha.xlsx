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386" documentId="8_{AF585B22-221D-4780-BB9C-493D365A6A02}" xr6:coauthVersionLast="47" xr6:coauthVersionMax="47" xr10:uidLastSave="{5942F4B5-4565-4A7D-8CD1-C6708906D267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<sst xmlns="http://schemas.openxmlformats.org/spreadsheetml/2006/main" count="3309" uniqueCount="260">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</sst>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41" activePane="bottomLeft" state="frozen"/>
      <selection pane="bottomLeft" activeCell="F175" sqref="F17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330</v>
      </c>
      <c r="G176" s="36">
        <f>SUM(G164:G175)</f>
        <v>1650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330</v>
      </c>
      <c r="G190" s="40">
        <f>G176+G189</f>
        <v>1650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6" sqref="F1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0.46373819444852415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0.46373819444852415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78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0.46373819444852415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4" activePane="bottomLeft" state="frozen"/>
      <selection pane="bottomLeft" activeCell="F175" sqref="F1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78</v>
      </c>
      <c r="G176" s="36">
        <f>SUM(G164:G175)</f>
        <v>330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78</v>
      </c>
      <c r="G190" s="40">
        <f>G176+G189</f>
        <v>330</v>
      </c>
      <c r="H190" s="41"/>
      <c r="I190" s="41"/>
      <c r="J190" s="41"/>
      <c r="K190" s="41"/>
      <c r="L190" s="41"/>
      <c r="M190" s="42">
        <f ca="1">IFERROR(M176+M189,"")</f>
        <v>3.2638888888888939E-2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32" activePane="bottomLeft" state="frozen"/>
      <selection pane="bottomLeft" activeCell="J168" sqref="J16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208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210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90" t="s">
        <v>211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208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210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90" t="s">
        <v>211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208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210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90" t="s">
        <v>211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208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210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90" t="s">
        <v>211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208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0.50609930555947358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210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0.7054048611150292</v>
      </c>
      <c r="N135" s="36" t="s">
        <v>209</v>
      </c>
      <c r="O135" s="39">
        <v>729290</v>
      </c>
    </row>
    <row r="136" spans="1:18" ht="18" customHeight="1">
      <c r="A136" s="90" t="s">
        <v>211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1.0727659722261402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208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210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90" t="s">
        <v>211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/>
      <c r="M168" s="30">
        <f t="shared" ca="1" si="37"/>
        <v>5.437500003608875E-4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208</v>
      </c>
      <c r="B176" s="88"/>
      <c r="C176" s="88"/>
      <c r="D176" s="88"/>
      <c r="E176" s="8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4.7765972222583053E-2</v>
      </c>
      <c r="N176" s="36" t="s">
        <v>209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210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90" t="s">
        <v>211</v>
      </c>
      <c r="B190" s="91"/>
      <c r="C190" s="91"/>
      <c r="D190" s="91"/>
      <c r="E190" s="92">
        <f>E176+E189</f>
        <v>0</v>
      </c>
      <c r="F190" s="40">
        <f>F176+F189</f>
        <v>169</v>
      </c>
      <c r="G190" s="40">
        <f>G176+G189</f>
        <v>720.2</v>
      </c>
      <c r="H190" s="41"/>
      <c r="I190" s="41"/>
      <c r="J190" s="41"/>
      <c r="K190" s="63"/>
      <c r="L190" s="63"/>
      <c r="M190" s="42">
        <f ca="1">IFERROR(M176+M189,"")</f>
        <v>4.7765972222583053E-2</v>
      </c>
      <c r="N190" s="40" t="s">
        <v>212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208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210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90" t="s">
        <v>211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208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210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90" t="s">
        <v>211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208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210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90" t="s">
        <v>211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208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210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90" t="s">
        <v>211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208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210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90" t="s">
        <v>211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208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210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90" t="s">
        <v>211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210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90" t="s">
        <v>211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208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210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90" t="s">
        <v>211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208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210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90" t="s">
        <v>211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208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210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90" t="s">
        <v>211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208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210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90" t="s">
        <v>211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208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210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90" t="s">
        <v>211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208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210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90" t="s">
        <v>211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208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210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90" t="s">
        <v>211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208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210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90" t="s">
        <v>211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208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210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90" t="s">
        <v>211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208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210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90" t="s">
        <v>211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208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210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90" t="s">
        <v>211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208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210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90" t="s">
        <v>211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208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210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90" t="s">
        <v>211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208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210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90" t="s">
        <v>211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208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210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90" t="s">
        <v>211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208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210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90" t="s">
        <v>211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2026-07-07T22:08:17Z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