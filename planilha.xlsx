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72" documentId="8_{AF585B22-221D-4780-BB9C-493D365A6A02}" xr6:coauthVersionLast="47" xr6:coauthVersionMax="47" xr10:uidLastSave="{C695C449-141A-4275-90E1-BB773927AC81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<sst xmlns="http://schemas.openxmlformats.org/spreadsheetml/2006/main" count="12367" uniqueCount="441">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</sst>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G818" sqref="G8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/>
      <c r="M812" s="78">
        <f ca="1">IFERROR(IF(K812="","",IF(L812="",MOD(NOW()-K812,1),IF(L812&gt;=K812,L812-K812,L812+1-K812))),"")</f>
        <v>5.9221180556050967E-2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5.9221180556050967E-2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5.9221180556050967E-2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98" activePane="bottomLeft" state="frozen"/>
      <selection pane="bottomLeft" activeCell="L814" sqref="L8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0.31963784722029231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0.4772767361091812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0.58699895833140336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0.29811006944510154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0.46894340277843494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0.61408229166732387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337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338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340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341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342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343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346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347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348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103</v>
      </c>
      <c r="G824" s="109">
        <f>SUM(G812:G823)</f>
        <v>432.6</v>
      </c>
      <c r="H824" s="37"/>
      <c r="I824" s="37"/>
      <c r="J824" s="37"/>
      <c r="K824" s="37"/>
      <c r="L824" s="37"/>
      <c r="M824" s="110">
        <f ca="1">IFERROR(SUM(M812:M823),"")</f>
        <v>5.9722222222222177E-2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103</v>
      </c>
      <c r="G838" s="111">
        <f>G824+G837</f>
        <v>432.6</v>
      </c>
      <c r="H838" s="41"/>
      <c r="I838" s="41"/>
      <c r="J838" s="41"/>
      <c r="K838" s="41"/>
      <c r="L838" s="41"/>
      <c r="M838" s="112">
        <f ca="1">IFERROR(M824+M837,"")</f>
        <v>5.9722222222222177E-2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8" sqref="F8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291</v>
      </c>
      <c r="K141" s="29">
        <v>0.71597222222222223</v>
      </c>
      <c r="L141" s="29" t="s">
        <v>354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356</v>
      </c>
      <c r="N166" s="27" t="s">
        <v>357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328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381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382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328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62</v>
      </c>
      <c r="G824" s="109">
        <f>SUM(G812:G823)</f>
        <v>260.39999999999998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62</v>
      </c>
      <c r="G838" s="111">
        <f>G824+G837</f>
        <v>260.39999999999998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8" sqref="F8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387</v>
      </c>
      <c r="L58" s="29">
        <v>0.54097222222222219</v>
      </c>
      <c r="M58" s="30" t="str">
        <f t="shared" ca="1" si="13"/>
        <v/>
      </c>
      <c r="N58" s="27" t="s">
        <v>388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0.30991585648735054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0.50922141204290616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0.87658252315401719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436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437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438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439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440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58</v>
      </c>
      <c r="G824" s="109">
        <f>SUM(G812:G823)</f>
        <v>243.60000000000002</v>
      </c>
      <c r="H824" s="37"/>
      <c r="I824" s="37"/>
      <c r="J824" s="37"/>
      <c r="K824" s="37"/>
      <c r="L824" s="37"/>
      <c r="M824" s="110">
        <f ca="1">IFERROR(SUM(M812:M823),"")</f>
        <v>7.0833333333333304E-2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58</v>
      </c>
      <c r="G838" s="111">
        <f>G824+G837</f>
        <v>243.60000000000002</v>
      </c>
      <c r="H838" s="41"/>
      <c r="I838" s="41"/>
      <c r="J838" s="41"/>
      <c r="K838" s="41"/>
      <c r="L838" s="41"/>
      <c r="M838" s="112">
        <f ca="1">IFERROR(M824+M837,"")</f>
        <v>7.0833333333333304E-2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2026-07-31T17:27:20Z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