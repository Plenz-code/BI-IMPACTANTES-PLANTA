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01" documentId="8_{C51EB6CB-002B-4D6B-B68F-DDEBDB4460C0}" xr6:coauthVersionLast="47" xr6:coauthVersionMax="47" xr10:uidLastSave="{06F1A9FB-53CB-4C1A-8609-D9DBADD0D0DC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<sst xmlns="http://schemas.openxmlformats.org/spreadsheetml/2006/main" count="4845" uniqueCount="318">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</sst>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G248" sqref="G248:G2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252</v>
      </c>
      <c r="F245" s="27">
        <v>3</v>
      </c>
      <c r="G245" s="28">
        <f t="shared" ref="G245:G256" si="54">IF(F245="","",IF(E245="PC 17",F245*4.2,IF(E245="PC 19",F245*5,IF(E245="CB",F245*35,""))))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252</v>
      </c>
      <c r="F246" s="27">
        <v>4</v>
      </c>
      <c r="G246" s="34">
        <f t="shared" si="54"/>
        <v>140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252</v>
      </c>
      <c r="F247" s="27">
        <v>2</v>
      </c>
      <c r="G247" s="28">
        <f t="shared" si="54"/>
        <v>70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9</v>
      </c>
      <c r="G257" s="36">
        <f>SUM(G245:G256)</f>
        <v>315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9</v>
      </c>
      <c r="G271" s="40">
        <f>G257+G270</f>
        <v>315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6" activePane="bottomLeft" state="frozen"/>
      <selection pane="bottomLeft" activeCell="F247" sqref="F2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0.30135567129036644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0.44024456017925534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0.52496678240147765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57</v>
      </c>
      <c r="G257" s="36">
        <f>SUM(G245:G256)</f>
        <v>285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57</v>
      </c>
      <c r="G271" s="40">
        <f>G257+G270</f>
        <v>285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F247" sqref="F2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103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103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19</v>
      </c>
      <c r="G257" s="36">
        <f>SUM(G245:G256)</f>
        <v>95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19</v>
      </c>
      <c r="G271" s="40">
        <f>G257+G270</f>
        <v>95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8" activePane="bottomLeft" state="frozen"/>
      <selection pane="bottomLeft" activeCell="G262" sqref="G2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49</v>
      </c>
      <c r="G257" s="36">
        <f>SUM(G245:G256)</f>
        <v>245</v>
      </c>
      <c r="H257" s="37"/>
      <c r="I257" s="37"/>
      <c r="J257" s="37"/>
      <c r="K257" s="61"/>
      <c r="L257" s="61"/>
      <c r="M257" s="38">
        <f ca="1">IFERROR(SUM(M245:M256),"")</f>
        <v>1.8055555555555547E-2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49</v>
      </c>
      <c r="G271" s="40">
        <f>G257+G270</f>
        <v>245</v>
      </c>
      <c r="H271" s="41"/>
      <c r="I271" s="41"/>
      <c r="J271" s="41"/>
      <c r="K271" s="63"/>
      <c r="L271" s="63"/>
      <c r="M271" s="42">
        <f ca="1">IFERROR(M257+M270,"")</f>
        <v>1.8055555555555547E-2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2026-08-10T14:10:47Z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