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" documentId="13_ncr:1_{B1DD3461-F335-4A60-AF7C-8BA747A0A6BD}" xr6:coauthVersionLast="47" xr6:coauthVersionMax="47" xr10:uidLastSave="{1DE5FF8D-9B07-4109-BF2E-DFE6D8DCC454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4" i="7" l="1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I54" i="7"/>
  <c r="H52" i="7"/>
  <c r="G52" i="7"/>
  <c r="E52" i="7"/>
  <c r="I51" i="7"/>
  <c r="I50" i="7"/>
  <c r="F52" i="7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6" i="7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3" i="7"/>
  <c r="L7" i="1" s="1"/>
  <c r="H10" i="7"/>
  <c r="G10" i="7"/>
  <c r="I10" i="7" s="1"/>
  <c r="E10" i="7"/>
  <c r="I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K500" i="6" s="1"/>
  <c r="K514" i="6" s="1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F387" i="6"/>
  <c r="J387" i="6" s="1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J353" i="6"/>
  <c r="J365" i="6" s="1"/>
  <c r="I353" i="6"/>
  <c r="H353" i="6"/>
  <c r="H365" i="6" s="1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G838" i="5" s="1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F828" i="5"/>
  <c r="Q827" i="5"/>
  <c r="K827" i="5"/>
  <c r="K837" i="5" s="1"/>
  <c r="J827" i="5"/>
  <c r="I827" i="5"/>
  <c r="H827" i="5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J825" i="5" s="1"/>
  <c r="F825" i="5"/>
  <c r="G824" i="5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C34" i="1" s="1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C33" i="1" s="1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C31" i="1" s="1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C30" i="1" s="1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C29" i="1" s="1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G689" i="3" s="1"/>
  <c r="G703" i="3" s="1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G500" i="3" s="1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F35" i="1" s="1"/>
  <c r="E4" i="1"/>
  <c r="E35" i="1" s="1"/>
  <c r="D4" i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J831" i="4"/>
  <c r="I831" i="4"/>
  <c r="H831" i="4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J821" i="4"/>
  <c r="I821" i="4"/>
  <c r="H821" i="4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J744" i="4"/>
  <c r="J756" i="4" s="1"/>
  <c r="T756" i="4" s="1"/>
  <c r="I744" i="4"/>
  <c r="H744" i="4"/>
  <c r="H756" i="4" s="1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J704" i="4"/>
  <c r="J716" i="4" s="1"/>
  <c r="I704" i="4"/>
  <c r="H704" i="4"/>
  <c r="H716" i="4" s="1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J658" i="4"/>
  <c r="I658" i="4"/>
  <c r="H658" i="4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J615" i="4"/>
  <c r="I615" i="4"/>
  <c r="H615" i="4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J585" i="4"/>
  <c r="I585" i="4"/>
  <c r="H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J544" i="4"/>
  <c r="I544" i="4"/>
  <c r="H544" i="4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J534" i="4"/>
  <c r="I534" i="4"/>
  <c r="H534" i="4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J491" i="4" s="1"/>
  <c r="F491" i="4"/>
  <c r="Q490" i="4"/>
  <c r="K490" i="4"/>
  <c r="I490" i="4"/>
  <c r="H490" i="4"/>
  <c r="J490" i="4" s="1"/>
  <c r="F490" i="4"/>
  <c r="Q489" i="4"/>
  <c r="K489" i="4"/>
  <c r="I489" i="4"/>
  <c r="H489" i="4"/>
  <c r="J489" i="4" s="1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J458" i="4"/>
  <c r="I458" i="4"/>
  <c r="H458" i="4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Q445" i="4"/>
  <c r="K445" i="4"/>
  <c r="I445" i="4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783" i="6" l="1"/>
  <c r="M324" i="3"/>
  <c r="M311" i="3"/>
  <c r="M41" i="3"/>
  <c r="M108" i="3"/>
  <c r="Q540" i="5"/>
  <c r="Q81" i="4"/>
  <c r="Q257" i="4"/>
  <c r="M432" i="3"/>
  <c r="Q621" i="5"/>
  <c r="Q702" i="5"/>
  <c r="Q608" i="6"/>
  <c r="Q810" i="6"/>
  <c r="M365" i="3"/>
  <c r="M500" i="3"/>
  <c r="Q783" i="5"/>
  <c r="Q203" i="4"/>
  <c r="M122" i="3"/>
  <c r="Q527" i="5"/>
  <c r="Q541" i="5" s="1"/>
  <c r="Q149" i="4"/>
  <c r="Q270" i="4"/>
  <c r="M257" i="3"/>
  <c r="Q608" i="5"/>
  <c r="Q622" i="5" s="1"/>
  <c r="Q689" i="5"/>
  <c r="Q703" i="5" s="1"/>
  <c r="Q756" i="6"/>
  <c r="M325" i="3"/>
  <c r="Q770" i="5"/>
  <c r="Q95" i="4"/>
  <c r="Q216" i="4"/>
  <c r="M68" i="3"/>
  <c r="M135" i="3"/>
  <c r="Q594" i="5"/>
  <c r="M203" i="3"/>
  <c r="Q756" i="5"/>
  <c r="Q581" i="6"/>
  <c r="Q743" i="6"/>
  <c r="Q108" i="4"/>
  <c r="Q109" i="4" s="1"/>
  <c r="Q284" i="4"/>
  <c r="M392" i="3"/>
  <c r="Q581" i="5"/>
  <c r="Q595" i="5" s="1"/>
  <c r="Q662" i="5"/>
  <c r="Q729" i="6"/>
  <c r="Q230" i="4"/>
  <c r="Q311" i="6"/>
  <c r="M405" i="3"/>
  <c r="Q837" i="6"/>
  <c r="Q594" i="6"/>
  <c r="M473" i="3"/>
  <c r="Q648" i="5"/>
  <c r="M338" i="3"/>
  <c r="M352" i="3" s="1"/>
  <c r="Q729" i="5"/>
  <c r="Q554" i="6"/>
  <c r="Q68" i="4"/>
  <c r="Q82" i="4" s="1"/>
  <c r="Q176" i="4"/>
  <c r="Q297" i="4"/>
  <c r="Q567" i="6"/>
  <c r="Q824" i="6"/>
  <c r="Q189" i="4"/>
  <c r="M284" i="3"/>
  <c r="M419" i="3"/>
  <c r="M433" i="3" s="1"/>
  <c r="M486" i="3"/>
  <c r="Q635" i="5"/>
  <c r="Q649" i="5" s="1"/>
  <c r="Q770" i="6"/>
  <c r="M446" i="3"/>
  <c r="M297" i="3"/>
  <c r="M298" i="3" s="1"/>
  <c r="Q162" i="4"/>
  <c r="Q163" i="4" s="1"/>
  <c r="M378" i="3"/>
  <c r="M379" i="3" s="1"/>
  <c r="Q784" i="6"/>
  <c r="Q662" i="6"/>
  <c r="Q743" i="5"/>
  <c r="Q716" i="5"/>
  <c r="Q675" i="5"/>
  <c r="Q675" i="6"/>
  <c r="Q540" i="6"/>
  <c r="Q500" i="6"/>
  <c r="Q567" i="5"/>
  <c r="M243" i="3"/>
  <c r="Q135" i="4"/>
  <c r="Q689" i="6"/>
  <c r="M270" i="3"/>
  <c r="M459" i="3"/>
  <c r="M189" i="3"/>
  <c r="Q311" i="4"/>
  <c r="Q243" i="4"/>
  <c r="Q122" i="4"/>
  <c r="Q351" i="5"/>
  <c r="Q216" i="5"/>
  <c r="Q554" i="5"/>
  <c r="Q405" i="5"/>
  <c r="Q27" i="4"/>
  <c r="M230" i="3"/>
  <c r="M162" i="3"/>
  <c r="Q513" i="4"/>
  <c r="M513" i="3"/>
  <c r="I52" i="7"/>
  <c r="Q473" i="4"/>
  <c r="Q378" i="4"/>
  <c r="Q54" i="4"/>
  <c r="Q176" i="5"/>
  <c r="Q14" i="5"/>
  <c r="Q41" i="4"/>
  <c r="Q55" i="4" s="1"/>
  <c r="Q14" i="4"/>
  <c r="Q68" i="5"/>
  <c r="Q324" i="5"/>
  <c r="Q378" i="6"/>
  <c r="Q162" i="6"/>
  <c r="Q756" i="4"/>
  <c r="Q338" i="6"/>
  <c r="Q324" i="6"/>
  <c r="Q108" i="6"/>
  <c r="Q837" i="4"/>
  <c r="M648" i="3"/>
  <c r="M662" i="3"/>
  <c r="M540" i="3"/>
  <c r="Q162" i="5"/>
  <c r="M675" i="3"/>
  <c r="Q824" i="4"/>
  <c r="Q689" i="4"/>
  <c r="Q122" i="6"/>
  <c r="Q824" i="5"/>
  <c r="Q432" i="5"/>
  <c r="Q419" i="5"/>
  <c r="Q433" i="5" s="1"/>
  <c r="Q378" i="5"/>
  <c r="Q365" i="5"/>
  <c r="Q243" i="5"/>
  <c r="Q189" i="5"/>
  <c r="Q284" i="6"/>
  <c r="M216" i="3"/>
  <c r="M217" i="3" s="1"/>
  <c r="M54" i="3"/>
  <c r="Q702" i="4"/>
  <c r="Q703" i="4" s="1"/>
  <c r="M527" i="3"/>
  <c r="Q810" i="4"/>
  <c r="Q419" i="4"/>
  <c r="Q270" i="6"/>
  <c r="M176" i="3"/>
  <c r="Q797" i="4"/>
  <c r="Q783" i="4"/>
  <c r="Q446" i="6"/>
  <c r="Q419" i="6"/>
  <c r="Q189" i="6"/>
  <c r="Q324" i="4"/>
  <c r="Q149" i="5"/>
  <c r="Q122" i="5"/>
  <c r="Q108" i="5"/>
  <c r="Q95" i="5"/>
  <c r="Q54" i="6"/>
  <c r="Q41" i="6"/>
  <c r="Q27" i="6"/>
  <c r="Q81" i="5"/>
  <c r="Q729" i="4"/>
  <c r="Q338" i="4"/>
  <c r="Q716" i="6"/>
  <c r="Q730" i="6" s="1"/>
  <c r="Q702" i="6"/>
  <c r="Q635" i="6"/>
  <c r="Q297" i="6"/>
  <c r="Q230" i="6"/>
  <c r="Q135" i="6"/>
  <c r="Q473" i="5"/>
  <c r="Q446" i="5"/>
  <c r="Q284" i="5"/>
  <c r="M837" i="3"/>
  <c r="M824" i="3"/>
  <c r="M810" i="3"/>
  <c r="M621" i="3"/>
  <c r="Q270" i="5"/>
  <c r="Q230" i="5"/>
  <c r="M783" i="3"/>
  <c r="M770" i="3"/>
  <c r="M784" i="3" s="1"/>
  <c r="M729" i="3"/>
  <c r="Q743" i="4"/>
  <c r="Q554" i="4"/>
  <c r="Q527" i="4"/>
  <c r="Q405" i="4"/>
  <c r="Q243" i="6"/>
  <c r="Q338" i="5"/>
  <c r="Q311" i="5"/>
  <c r="Q297" i="5"/>
  <c r="Q257" i="5"/>
  <c r="Q135" i="5"/>
  <c r="M756" i="3"/>
  <c r="Q608" i="4"/>
  <c r="Q581" i="4"/>
  <c r="Q540" i="4"/>
  <c r="Q513" i="5"/>
  <c r="Q500" i="5"/>
  <c r="Q514" i="5" s="1"/>
  <c r="Q203" i="5"/>
  <c r="Q54" i="5"/>
  <c r="Q41" i="5"/>
  <c r="Q27" i="5"/>
  <c r="M797" i="3"/>
  <c r="M743" i="3"/>
  <c r="M635" i="3"/>
  <c r="M608" i="3"/>
  <c r="Q675" i="4"/>
  <c r="Q662" i="4"/>
  <c r="Q648" i="4"/>
  <c r="Q635" i="4"/>
  <c r="Q621" i="4"/>
  <c r="Q594" i="4"/>
  <c r="Q432" i="4"/>
  <c r="Q716" i="4"/>
  <c r="Q486" i="5"/>
  <c r="Q392" i="5"/>
  <c r="M716" i="3"/>
  <c r="M702" i="3"/>
  <c r="Q446" i="4"/>
  <c r="Q459" i="5"/>
  <c r="Q797" i="5"/>
  <c r="M554" i="3"/>
  <c r="Q837" i="5"/>
  <c r="Q838" i="5" s="1"/>
  <c r="Q648" i="6"/>
  <c r="Q216" i="6"/>
  <c r="Q486" i="6"/>
  <c r="Q459" i="6"/>
  <c r="Q460" i="6" s="1"/>
  <c r="Q365" i="6"/>
  <c r="Q95" i="6"/>
  <c r="M594" i="3"/>
  <c r="M581" i="3"/>
  <c r="Q203" i="6"/>
  <c r="Q217" i="6" s="1"/>
  <c r="Q810" i="5"/>
  <c r="M689" i="3"/>
  <c r="M149" i="3"/>
  <c r="M95" i="3"/>
  <c r="M81" i="3"/>
  <c r="M27" i="3"/>
  <c r="Q567" i="4"/>
  <c r="Q500" i="4"/>
  <c r="Q486" i="4"/>
  <c r="Q459" i="4"/>
  <c r="M567" i="3"/>
  <c r="Q351" i="4"/>
  <c r="Q257" i="6"/>
  <c r="Q149" i="6"/>
  <c r="Q81" i="6"/>
  <c r="M14" i="3"/>
  <c r="M28" i="3" s="1"/>
  <c r="Q365" i="4"/>
  <c r="Q770" i="4"/>
  <c r="Q784" i="4" s="1"/>
  <c r="Q797" i="6"/>
  <c r="Q811" i="6" s="1"/>
  <c r="Q621" i="6"/>
  <c r="Q622" i="6" s="1"/>
  <c r="Q527" i="6"/>
  <c r="Q513" i="6"/>
  <c r="Q473" i="6"/>
  <c r="Q432" i="6"/>
  <c r="Q405" i="6"/>
  <c r="Q392" i="6"/>
  <c r="Q351" i="6"/>
  <c r="Q176" i="6"/>
  <c r="Q68" i="6"/>
  <c r="Q14" i="6"/>
  <c r="Q392" i="4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1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H689" i="6"/>
  <c r="H703" i="6" s="1"/>
  <c r="J677" i="6"/>
  <c r="J689" i="6" s="1"/>
  <c r="H675" i="6"/>
  <c r="J663" i="6"/>
  <c r="J675" i="6" s="1"/>
  <c r="T675" i="6" s="1"/>
  <c r="H662" i="6"/>
  <c r="H676" i="6" s="1"/>
  <c r="J650" i="6"/>
  <c r="J662" i="6" s="1"/>
  <c r="H648" i="6"/>
  <c r="J636" i="6"/>
  <c r="J648" i="6" s="1"/>
  <c r="T648" i="6" s="1"/>
  <c r="H635" i="6"/>
  <c r="J623" i="6"/>
  <c r="J635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H554" i="6"/>
  <c r="H568" i="6" s="1"/>
  <c r="J542" i="6"/>
  <c r="J554" i="6" s="1"/>
  <c r="H540" i="6"/>
  <c r="J528" i="6"/>
  <c r="J540" i="6" s="1"/>
  <c r="T540" i="6" s="1"/>
  <c r="H527" i="6"/>
  <c r="H541" i="6" s="1"/>
  <c r="J515" i="6"/>
  <c r="J527" i="6" s="1"/>
  <c r="H513" i="6"/>
  <c r="J501" i="6"/>
  <c r="J513" i="6" s="1"/>
  <c r="T513" i="6" s="1"/>
  <c r="H500" i="6"/>
  <c r="H514" i="6" s="1"/>
  <c r="J488" i="6"/>
  <c r="J500" i="6" s="1"/>
  <c r="H486" i="6"/>
  <c r="J474" i="6"/>
  <c r="J486" i="6" s="1"/>
  <c r="T486" i="6" s="1"/>
  <c r="H473" i="6"/>
  <c r="H487" i="6" s="1"/>
  <c r="J461" i="6"/>
  <c r="J473" i="6" s="1"/>
  <c r="H459" i="6"/>
  <c r="J447" i="6"/>
  <c r="J459" i="6" s="1"/>
  <c r="T459" i="6" s="1"/>
  <c r="H446" i="6"/>
  <c r="H460" i="6" s="1"/>
  <c r="J434" i="6"/>
  <c r="J446" i="6" s="1"/>
  <c r="H432" i="6"/>
  <c r="J420" i="6"/>
  <c r="J432" i="6" s="1"/>
  <c r="T432" i="6" s="1"/>
  <c r="H419" i="6"/>
  <c r="H433" i="6" s="1"/>
  <c r="J407" i="6"/>
  <c r="J419" i="6" s="1"/>
  <c r="H405" i="6"/>
  <c r="J393" i="6"/>
  <c r="J405" i="6" s="1"/>
  <c r="T405" i="6" s="1"/>
  <c r="H392" i="6"/>
  <c r="H406" i="6" s="1"/>
  <c r="J380" i="6"/>
  <c r="J392" i="6" s="1"/>
  <c r="H378" i="6"/>
  <c r="H379" i="6" s="1"/>
  <c r="J366" i="6"/>
  <c r="J378" i="6" s="1"/>
  <c r="T365" i="6"/>
  <c r="H351" i="6"/>
  <c r="J339" i="6"/>
  <c r="J351" i="6" s="1"/>
  <c r="T351" i="6" s="1"/>
  <c r="H338" i="6"/>
  <c r="H352" i="6" s="1"/>
  <c r="J326" i="6"/>
  <c r="J338" i="6" s="1"/>
  <c r="H324" i="6"/>
  <c r="J312" i="6"/>
  <c r="J324" i="6" s="1"/>
  <c r="T324" i="6" s="1"/>
  <c r="H311" i="6"/>
  <c r="H325" i="6" s="1"/>
  <c r="J299" i="6"/>
  <c r="J311" i="6" s="1"/>
  <c r="J828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H797" i="5"/>
  <c r="H811" i="5" s="1"/>
  <c r="J785" i="5"/>
  <c r="J797" i="5" s="1"/>
  <c r="H783" i="5"/>
  <c r="J771" i="5"/>
  <c r="J783" i="5" s="1"/>
  <c r="T783" i="5" s="1"/>
  <c r="H770" i="5"/>
  <c r="H784" i="5" s="1"/>
  <c r="J758" i="5"/>
  <c r="J770" i="5" s="1"/>
  <c r="H756" i="5"/>
  <c r="J744" i="5"/>
  <c r="J756" i="5" s="1"/>
  <c r="T756" i="5" s="1"/>
  <c r="H743" i="5"/>
  <c r="H757" i="5" s="1"/>
  <c r="J731" i="5"/>
  <c r="J743" i="5" s="1"/>
  <c r="H729" i="5"/>
  <c r="J717" i="5"/>
  <c r="J729" i="5" s="1"/>
  <c r="T729" i="5" s="1"/>
  <c r="H716" i="5"/>
  <c r="H730" i="5" s="1"/>
  <c r="J704" i="5"/>
  <c r="J716" i="5" s="1"/>
  <c r="J690" i="5"/>
  <c r="J702" i="5" s="1"/>
  <c r="T702" i="5" s="1"/>
  <c r="H702" i="5"/>
  <c r="H689" i="5"/>
  <c r="H703" i="5" s="1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H621" i="5"/>
  <c r="J609" i="5"/>
  <c r="J621" i="5" s="1"/>
  <c r="T621" i="5" s="1"/>
  <c r="H608" i="5"/>
  <c r="H622" i="5" s="1"/>
  <c r="J596" i="5"/>
  <c r="J608" i="5" s="1"/>
  <c r="J582" i="5"/>
  <c r="J594" i="5" s="1"/>
  <c r="T594" i="5" s="1"/>
  <c r="H594" i="5"/>
  <c r="J569" i="5"/>
  <c r="J581" i="5" s="1"/>
  <c r="H581" i="5"/>
  <c r="H595" i="5" s="1"/>
  <c r="J555" i="5"/>
  <c r="J567" i="5" s="1"/>
  <c r="T567" i="5" s="1"/>
  <c r="H567" i="5"/>
  <c r="J542" i="5"/>
  <c r="J554" i="5" s="1"/>
  <c r="H554" i="5"/>
  <c r="H568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J461" i="5"/>
  <c r="J473" i="5" s="1"/>
  <c r="H473" i="5"/>
  <c r="H487" i="5" s="1"/>
  <c r="J447" i="5"/>
  <c r="J459" i="5" s="1"/>
  <c r="T459" i="5" s="1"/>
  <c r="H459" i="5"/>
  <c r="H446" i="5"/>
  <c r="H460" i="5" s="1"/>
  <c r="J434" i="5"/>
  <c r="J446" i="5" s="1"/>
  <c r="J420" i="5"/>
  <c r="J432" i="5" s="1"/>
  <c r="T432" i="5" s="1"/>
  <c r="H432" i="5"/>
  <c r="J407" i="5"/>
  <c r="J419" i="5" s="1"/>
  <c r="H419" i="5"/>
  <c r="H433" i="5" s="1"/>
  <c r="H405" i="5"/>
  <c r="J393" i="5"/>
  <c r="J405" i="5" s="1"/>
  <c r="T405" i="5" s="1"/>
  <c r="J380" i="5"/>
  <c r="J392" i="5" s="1"/>
  <c r="H392" i="5"/>
  <c r="H406" i="5" s="1"/>
  <c r="J366" i="5"/>
  <c r="J378" i="5" s="1"/>
  <c r="T378" i="5" s="1"/>
  <c r="H378" i="5"/>
  <c r="H365" i="5"/>
  <c r="H379" i="5" s="1"/>
  <c r="J353" i="5"/>
  <c r="J365" i="5" s="1"/>
  <c r="J339" i="5"/>
  <c r="J351" i="5" s="1"/>
  <c r="T351" i="5" s="1"/>
  <c r="H351" i="5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G4" i="1"/>
  <c r="G35" i="1" s="1"/>
  <c r="D35" i="1"/>
  <c r="J825" i="4"/>
  <c r="J837" i="4" s="1"/>
  <c r="T837" i="4" s="1"/>
  <c r="H837" i="4"/>
  <c r="J812" i="4"/>
  <c r="J824" i="4" s="1"/>
  <c r="H824" i="4"/>
  <c r="J798" i="4"/>
  <c r="J810" i="4" s="1"/>
  <c r="T810" i="4" s="1"/>
  <c r="H810" i="4"/>
  <c r="J785" i="4"/>
  <c r="J797" i="4" s="1"/>
  <c r="H797" i="4"/>
  <c r="H811" i="4" s="1"/>
  <c r="H783" i="4"/>
  <c r="J771" i="4"/>
  <c r="J783" i="4" s="1"/>
  <c r="T783" i="4" s="1"/>
  <c r="H770" i="4"/>
  <c r="H784" i="4" s="1"/>
  <c r="J758" i="4"/>
  <c r="J770" i="4" s="1"/>
  <c r="J731" i="4"/>
  <c r="J743" i="4" s="1"/>
  <c r="H743" i="4"/>
  <c r="H757" i="4" s="1"/>
  <c r="H729" i="4"/>
  <c r="H730" i="4" s="1"/>
  <c r="J717" i="4"/>
  <c r="J729" i="4" s="1"/>
  <c r="T716" i="4"/>
  <c r="H702" i="4"/>
  <c r="J690" i="4"/>
  <c r="J702" i="4" s="1"/>
  <c r="T702" i="4" s="1"/>
  <c r="H689" i="4"/>
  <c r="J677" i="4"/>
  <c r="J689" i="4" s="1"/>
  <c r="H675" i="4"/>
  <c r="J663" i="4"/>
  <c r="J675" i="4" s="1"/>
  <c r="T675" i="4" s="1"/>
  <c r="J650" i="4"/>
  <c r="J662" i="4" s="1"/>
  <c r="H662" i="4"/>
  <c r="H676" i="4" s="1"/>
  <c r="J636" i="4"/>
  <c r="J648" i="4" s="1"/>
  <c r="T648" i="4" s="1"/>
  <c r="H648" i="4"/>
  <c r="J623" i="4"/>
  <c r="J635" i="4" s="1"/>
  <c r="H635" i="4"/>
  <c r="H649" i="4" s="1"/>
  <c r="H621" i="4"/>
  <c r="J609" i="4"/>
  <c r="J621" i="4" s="1"/>
  <c r="T621" i="4" s="1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J555" i="4"/>
  <c r="J567" i="4" s="1"/>
  <c r="T567" i="4" s="1"/>
  <c r="H567" i="4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J488" i="4"/>
  <c r="J500" i="4" s="1"/>
  <c r="H500" i="4"/>
  <c r="H514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G460" i="4"/>
  <c r="H445" i="4"/>
  <c r="J434" i="4"/>
  <c r="J420" i="4"/>
  <c r="J432" i="4" s="1"/>
  <c r="T432" i="4" s="1"/>
  <c r="H432" i="4"/>
  <c r="J407" i="4"/>
  <c r="J419" i="4" s="1"/>
  <c r="H419" i="4"/>
  <c r="H433" i="4" s="1"/>
  <c r="J393" i="4"/>
  <c r="J405" i="4" s="1"/>
  <c r="T405" i="4" s="1"/>
  <c r="H405" i="4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52" i="4" s="1"/>
  <c r="H324" i="4"/>
  <c r="J312" i="4"/>
  <c r="J324" i="4" s="1"/>
  <c r="T324" i="4" s="1"/>
  <c r="J299" i="4"/>
  <c r="J311" i="4" s="1"/>
  <c r="H311" i="4"/>
  <c r="H325" i="4" s="1"/>
  <c r="Q838" i="6" l="1"/>
  <c r="Q298" i="4"/>
  <c r="M136" i="3"/>
  <c r="Q217" i="4"/>
  <c r="Q784" i="5"/>
  <c r="M55" i="3"/>
  <c r="M757" i="3"/>
  <c r="Q325" i="6"/>
  <c r="Q28" i="4"/>
  <c r="Q271" i="6"/>
  <c r="Q838" i="4"/>
  <c r="Q730" i="5"/>
  <c r="M82" i="3"/>
  <c r="M109" i="3"/>
  <c r="Q244" i="4"/>
  <c r="M460" i="3"/>
  <c r="Q352" i="4"/>
  <c r="Q757" i="6"/>
  <c r="Q190" i="4"/>
  <c r="Q190" i="6"/>
  <c r="Q676" i="5"/>
  <c r="Q136" i="6"/>
  <c r="Q244" i="5"/>
  <c r="M568" i="3"/>
  <c r="Q595" i="6"/>
  <c r="M514" i="3"/>
  <c r="Q271" i="4"/>
  <c r="Q811" i="4"/>
  <c r="M703" i="3"/>
  <c r="Q757" i="5"/>
  <c r="M406" i="3"/>
  <c r="M271" i="3"/>
  <c r="Q568" i="4"/>
  <c r="M730" i="3"/>
  <c r="Q568" i="6"/>
  <c r="Q433" i="6"/>
  <c r="Q811" i="5"/>
  <c r="Q298" i="6"/>
  <c r="M487" i="3"/>
  <c r="Q136" i="4"/>
  <c r="Q568" i="5"/>
  <c r="M244" i="3"/>
  <c r="Q487" i="6"/>
  <c r="Q82" i="6"/>
  <c r="Q433" i="4"/>
  <c r="M541" i="3"/>
  <c r="Q190" i="5"/>
  <c r="M190" i="3"/>
  <c r="Q325" i="4"/>
  <c r="Q163" i="5"/>
  <c r="Q82" i="5"/>
  <c r="Q703" i="6"/>
  <c r="Q163" i="6"/>
  <c r="Q514" i="6"/>
  <c r="Q757" i="4"/>
  <c r="Q352" i="5"/>
  <c r="Q325" i="5"/>
  <c r="Q271" i="5"/>
  <c r="Q136" i="5"/>
  <c r="Q217" i="5"/>
  <c r="Q28" i="5"/>
  <c r="M811" i="3"/>
  <c r="M649" i="3"/>
  <c r="M622" i="3"/>
  <c r="Q730" i="4"/>
  <c r="Q406" i="5"/>
  <c r="Q649" i="6"/>
  <c r="Q379" i="6"/>
  <c r="Q109" i="6"/>
  <c r="M163" i="3"/>
  <c r="Q514" i="4"/>
  <c r="Q487" i="4"/>
  <c r="Q379" i="4"/>
  <c r="Q541" i="6"/>
  <c r="Q352" i="6"/>
  <c r="Q676" i="6"/>
  <c r="Q28" i="6"/>
  <c r="Q406" i="4"/>
  <c r="M595" i="3"/>
  <c r="Q55" i="5"/>
  <c r="Q55" i="6"/>
  <c r="Q109" i="5"/>
  <c r="Q379" i="5"/>
  <c r="M676" i="3"/>
  <c r="Q406" i="6"/>
  <c r="M838" i="3"/>
  <c r="Q649" i="4"/>
  <c r="Q460" i="4"/>
  <c r="Q676" i="4"/>
  <c r="Q244" i="6"/>
  <c r="Q487" i="5"/>
  <c r="Q541" i="4"/>
  <c r="Q460" i="5"/>
  <c r="Q622" i="4"/>
  <c r="Q298" i="5"/>
  <c r="Q595" i="4"/>
  <c r="I55" i="7"/>
  <c r="L21" i="1"/>
  <c r="L35" i="1" s="1"/>
  <c r="T824" i="6"/>
  <c r="J838" i="6"/>
  <c r="T838" i="6" s="1"/>
  <c r="T797" i="6"/>
  <c r="J811" i="6"/>
  <c r="T811" i="6" s="1"/>
  <c r="T770" i="6"/>
  <c r="J784" i="6"/>
  <c r="T784" i="6" s="1"/>
  <c r="T743" i="6"/>
  <c r="J757" i="6"/>
  <c r="T757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38" i="6"/>
  <c r="J352" i="6"/>
  <c r="T352" i="6" s="1"/>
  <c r="T311" i="6"/>
  <c r="J325" i="6"/>
  <c r="T325" i="6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824" i="4"/>
  <c r="J838" i="4"/>
  <c r="T838" i="4" s="1"/>
  <c r="H34" i="1" s="1"/>
  <c r="J34" i="1" s="1"/>
  <c r="J811" i="4"/>
  <c r="T811" i="4" s="1"/>
  <c r="H33" i="1" s="1"/>
  <c r="J33" i="1" s="1"/>
  <c r="T797" i="4"/>
  <c r="T770" i="4"/>
  <c r="J784" i="4"/>
  <c r="T784" i="4" s="1"/>
  <c r="H32" i="1" s="1"/>
  <c r="J32" i="1" s="1"/>
  <c r="J757" i="4"/>
  <c r="T757" i="4" s="1"/>
  <c r="H31" i="1" s="1"/>
  <c r="J31" i="1" s="1"/>
  <c r="T743" i="4"/>
  <c r="J703" i="4"/>
  <c r="T703" i="4" s="1"/>
  <c r="H29" i="1" s="1"/>
  <c r="J29" i="1" s="1"/>
  <c r="T689" i="4"/>
  <c r="T662" i="4"/>
  <c r="J676" i="4"/>
  <c r="T676" i="4" s="1"/>
  <c r="H28" i="1" s="1"/>
  <c r="J28" i="1" s="1"/>
  <c r="T635" i="4"/>
  <c r="J649" i="4"/>
  <c r="T649" i="4" s="1"/>
  <c r="H27" i="1" s="1"/>
  <c r="J27" i="1" s="1"/>
  <c r="T608" i="4"/>
  <c r="J622" i="4"/>
  <c r="T622" i="4" s="1"/>
  <c r="H26" i="1" s="1"/>
  <c r="J26" i="1" s="1"/>
  <c r="T581" i="4"/>
  <c r="J595" i="4"/>
  <c r="T595" i="4" s="1"/>
  <c r="H25" i="1" s="1"/>
  <c r="J25" i="1" s="1"/>
  <c r="T554" i="4"/>
  <c r="J568" i="4"/>
  <c r="T568" i="4" s="1"/>
  <c r="H24" i="1" s="1"/>
  <c r="J24" i="1" s="1"/>
  <c r="T527" i="4"/>
  <c r="J541" i="4"/>
  <c r="T541" i="4" s="1"/>
  <c r="H23" i="1" s="1"/>
  <c r="J23" i="1" s="1"/>
  <c r="J514" i="4"/>
  <c r="T514" i="4" s="1"/>
  <c r="H22" i="1" s="1"/>
  <c r="J22" i="1" s="1"/>
  <c r="T500" i="4"/>
  <c r="T473" i="4"/>
  <c r="J487" i="4"/>
  <c r="T487" i="4" s="1"/>
  <c r="H21" i="1" s="1"/>
  <c r="J21" i="1" s="1"/>
  <c r="T419" i="4"/>
  <c r="J433" i="4"/>
  <c r="T433" i="4" s="1"/>
  <c r="H19" i="1" s="1"/>
  <c r="J19" i="1" s="1"/>
  <c r="T392" i="4"/>
  <c r="J406" i="4"/>
  <c r="T406" i="4" s="1"/>
  <c r="H18" i="1" s="1"/>
  <c r="J18" i="1" s="1"/>
  <c r="T365" i="4"/>
  <c r="J379" i="4"/>
  <c r="T379" i="4" s="1"/>
  <c r="T338" i="4"/>
  <c r="J352" i="4"/>
  <c r="T352" i="4" s="1"/>
  <c r="T311" i="4"/>
  <c r="J325" i="4"/>
  <c r="T325" i="4" s="1"/>
  <c r="H703" i="4"/>
  <c r="H838" i="4"/>
  <c r="H649" i="6"/>
  <c r="T378" i="6"/>
  <c r="J379" i="6"/>
  <c r="T379" i="6" s="1"/>
  <c r="T729" i="4"/>
  <c r="J730" i="4"/>
  <c r="T730" i="4" s="1"/>
  <c r="J445" i="4"/>
  <c r="J446" i="4" s="1"/>
  <c r="H446" i="4"/>
  <c r="H460" i="4" s="1"/>
  <c r="J460" i="4" l="1"/>
  <c r="T460" i="4" s="1"/>
  <c r="H20" i="1" s="1"/>
  <c r="J20" i="1" s="1"/>
  <c r="T446" i="4"/>
  <c r="H17" i="1"/>
  <c r="J17" i="1" s="1"/>
  <c r="H16" i="1"/>
  <c r="J16" i="1" s="1"/>
  <c r="H15" i="1"/>
  <c r="H30" i="1"/>
  <c r="J30" i="1" s="1"/>
  <c r="H35" i="1" l="1"/>
  <c r="J1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<sst xmlns="http://schemas.openxmlformats.org/spreadsheetml/2006/main" count="8419" uniqueCount="394">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</sst>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3" fillId="3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14" fontId="4" fillId="2" borderId="3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14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3" fontId="10" fillId="10" borderId="3" xfId="0" applyNumberFormat="1" applyFont="1" applyFill="1" applyBorder="1" applyAlignment="1">
      <alignment horizontal="center" vertical="center"/>
    </xf>
    <xf numFmtId="4" fontId="10" fillId="10" borderId="3" xfId="0" applyNumberFormat="1" applyFont="1" applyFill="1" applyBorder="1" applyAlignment="1">
      <alignment horizontal="center" vertical="center"/>
    </xf>
    <xf numFmtId="9" fontId="10" fillId="10" borderId="3" xfId="0" applyNumberFormat="1" applyFont="1" applyFill="1" applyBorder="1" applyAlignment="1">
      <alignment horizontal="center" vertical="center"/>
    </xf>
    <xf numFmtId="165" fontId="11" fillId="10" borderId="5" xfId="0" applyNumberFormat="1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/>
    </xf>
    <xf numFmtId="14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3" fontId="10" fillId="11" borderId="3" xfId="0" applyNumberFormat="1" applyFont="1" applyFill="1" applyBorder="1" applyAlignment="1">
      <alignment horizontal="center" vertical="center"/>
    </xf>
    <xf numFmtId="165" fontId="11" fillId="11" borderId="5" xfId="0" applyNumberFormat="1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/>
    </xf>
    <xf numFmtId="3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9" fontId="3" fillId="2" borderId="3" xfId="0" applyNumberFormat="1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165" fontId="6" fillId="2" borderId="5" xfId="0" applyNumberFormat="1" applyFont="1" applyFill="1" applyBorder="1" applyAlignment="1">
      <alignment horizontal="center" vertical="center" wrapText="1"/>
    </xf>
    <xf numFmtId="9" fontId="10" fillId="10" borderId="4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left" vertical="center"/>
    </xf>
    <xf numFmtId="166" fontId="8" fillId="10" borderId="3" xfId="0" applyNumberFormat="1" applyFont="1" applyFill="1" applyBorder="1" applyAlignment="1">
      <alignment horizontal="center" vertical="center"/>
    </xf>
    <xf numFmtId="10" fontId="8" fillId="10" borderId="3" xfId="0" applyNumberFormat="1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left" vertical="center"/>
    </xf>
    <xf numFmtId="166" fontId="8" fillId="12" borderId="3" xfId="0" applyNumberFormat="1" applyFont="1" applyFill="1" applyBorder="1" applyAlignment="1">
      <alignment horizontal="center" vertical="center"/>
    </xf>
    <xf numFmtId="10" fontId="8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3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67" fontId="3" fillId="2" borderId="3" xfId="0" applyNumberFormat="1" applyFont="1" applyFill="1" applyBorder="1" applyAlignment="1">
      <alignment horizontal="center" vertical="center" wrapText="1"/>
    </xf>
    <xf numFmtId="14" fontId="8" fillId="12" borderId="3" xfId="0" applyNumberFormat="1" applyFont="1" applyFill="1" applyBorder="1" applyAlignment="1">
      <alignment horizontal="center" vertical="center"/>
    </xf>
    <xf numFmtId="168" fontId="8" fillId="12" borderId="3" xfId="0" applyNumberFormat="1" applyFont="1" applyFill="1" applyBorder="1" applyAlignment="1">
      <alignment horizontal="center" vertical="center"/>
    </xf>
    <xf numFmtId="0" fontId="8" fillId="12" borderId="3" xfId="0" applyFont="1" applyFill="1" applyBorder="1" applyAlignment="1" applyProtection="1">
      <alignment horizontal="center" vertical="center"/>
      <protection locked="0"/>
    </xf>
    <xf numFmtId="14" fontId="8" fillId="12" borderId="3" xfId="0" applyNumberFormat="1" applyFont="1" applyFill="1" applyBorder="1" applyAlignment="1" applyProtection="1">
      <alignment horizontal="center" vertical="center"/>
      <protection locked="0"/>
    </xf>
    <xf numFmtId="0" fontId="8" fillId="15" borderId="3" xfId="0" applyFont="1" applyFill="1" applyBorder="1" applyAlignment="1" applyProtection="1">
      <alignment horizontal="center" vertical="center"/>
      <protection locked="0"/>
    </xf>
    <xf numFmtId="3" fontId="8" fillId="12" borderId="3" xfId="0" applyNumberFormat="1" applyFont="1" applyFill="1" applyBorder="1" applyAlignment="1">
      <alignment horizontal="center" vertical="center"/>
    </xf>
    <xf numFmtId="168" fontId="8" fillId="15" borderId="3" xfId="0" applyNumberFormat="1" applyFont="1" applyFill="1" applyBorder="1" applyAlignment="1" applyProtection="1">
      <alignment horizontal="center" vertical="center"/>
      <protection locked="0"/>
    </xf>
    <xf numFmtId="167" fontId="8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8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0" fontId="8" fillId="10" borderId="3" xfId="0" applyFont="1" applyFill="1" applyBorder="1" applyAlignment="1" applyProtection="1">
      <alignment horizontal="center" vertical="center"/>
      <protection locked="0"/>
    </xf>
    <xf numFmtId="167" fontId="8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4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8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4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3" fillId="2" borderId="8" xfId="0" applyNumberFormat="1" applyFont="1" applyFill="1" applyBorder="1" applyAlignment="1">
      <alignment horizontal="center" vertical="center"/>
    </xf>
    <xf numFmtId="3" fontId="4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14" fontId="8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8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4" fillId="3" borderId="3" xfId="0" applyNumberFormat="1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4" fontId="4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8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8" fillId="15" borderId="9" xfId="0" applyFont="1" applyFill="1" applyBorder="1" applyAlignment="1" applyProtection="1">
      <alignment horizontal="center" vertical="center" wrapText="1"/>
      <protection locked="0"/>
    </xf>
    <xf numFmtId="2" fontId="4" fillId="3" borderId="8" xfId="0" applyNumberFormat="1" applyFont="1" applyFill="1" applyBorder="1" applyAlignment="1">
      <alignment horizontal="center" vertical="center"/>
    </xf>
    <xf numFmtId="10" fontId="4" fillId="3" borderId="8" xfId="0" applyNumberFormat="1" applyFont="1" applyFill="1" applyBorder="1" applyAlignment="1">
      <alignment horizontal="center" vertical="center"/>
    </xf>
    <xf numFmtId="4" fontId="4" fillId="3" borderId="8" xfId="0" applyNumberFormat="1" applyFont="1" applyFill="1" applyBorder="1" applyAlignment="1">
      <alignment horizontal="center" vertical="center"/>
    </xf>
    <xf numFmtId="2" fontId="4" fillId="2" borderId="3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10" fontId="4" fillId="2" borderId="3" xfId="0" applyNumberFormat="1" applyFont="1" applyFill="1" applyBorder="1" applyAlignment="1">
      <alignment horizontal="center" vertical="center"/>
    </xf>
    <xf numFmtId="4" fontId="4" fillId="2" borderId="3" xfId="0" applyNumberFormat="1" applyFont="1" applyFill="1" applyBorder="1" applyAlignment="1">
      <alignment horizontal="center" vertical="center"/>
    </xf>
    <xf numFmtId="169" fontId="8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8" fillId="15" borderId="2" xfId="0" applyNumberFormat="1" applyFont="1" applyFill="1" applyBorder="1" applyAlignment="1" applyProtection="1">
      <alignment horizontal="center" vertical="center"/>
      <protection locked="0"/>
    </xf>
    <xf numFmtId="4" fontId="3" fillId="2" borderId="8" xfId="0" applyNumberFormat="1" applyFont="1" applyFill="1" applyBorder="1" applyAlignment="1">
      <alignment horizontal="center" vertical="center"/>
    </xf>
    <xf numFmtId="0" fontId="8" fillId="15" borderId="3" xfId="0" applyFont="1" applyFill="1" applyBorder="1" applyAlignment="1" applyProtection="1">
      <alignment horizontal="center" vertical="center" wrapText="1"/>
      <protection locked="0"/>
    </xf>
    <xf numFmtId="14" fontId="4" fillId="3" borderId="2" xfId="0" applyNumberFormat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14" fontId="4" fillId="2" borderId="2" xfId="0" applyNumberFormat="1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4" fillId="2" borderId="3" xfId="0" applyNumberFormat="1" applyFont="1" applyFill="1" applyBorder="1" applyAlignment="1">
      <alignment horizontal="center" vertical="center"/>
    </xf>
    <xf numFmtId="0" fontId="8" fillId="15" borderId="8" xfId="0" applyFont="1" applyFill="1" applyBorder="1" applyAlignment="1" applyProtection="1">
      <alignment horizontal="center" vertical="center"/>
      <protection locked="0"/>
    </xf>
    <xf numFmtId="167" fontId="8" fillId="10" borderId="2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 applyProtection="1">
      <alignment horizontal="center" vertical="center"/>
      <protection locked="0"/>
    </xf>
    <xf numFmtId="0" fontId="8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4" fillId="3" borderId="11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14" fontId="8" fillId="12" borderId="5" xfId="0" applyNumberFormat="1" applyFont="1" applyFill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vertical="center" wrapText="1"/>
    </xf>
    <xf numFmtId="168" fontId="8" fillId="12" borderId="5" xfId="0" applyNumberFormat="1" applyFont="1" applyFill="1" applyBorder="1" applyAlignment="1">
      <alignment horizontal="center" vertical="center" wrapText="1"/>
    </xf>
    <xf numFmtId="165" fontId="8" fillId="12" borderId="5" xfId="0" applyNumberFormat="1" applyFont="1" applyFill="1" applyBorder="1" applyAlignment="1">
      <alignment horizontal="center" vertical="center" wrapText="1"/>
    </xf>
    <xf numFmtId="4" fontId="8" fillId="12" borderId="5" xfId="0" applyNumberFormat="1" applyFont="1" applyFill="1" applyBorder="1" applyAlignment="1">
      <alignment horizontal="center" vertical="center" wrapText="1"/>
    </xf>
    <xf numFmtId="14" fontId="8" fillId="10" borderId="5" xfId="0" applyNumberFormat="1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168" fontId="8" fillId="10" borderId="5" xfId="0" applyNumberFormat="1" applyFont="1" applyFill="1" applyBorder="1" applyAlignment="1">
      <alignment horizontal="center" vertical="center" wrapText="1"/>
    </xf>
    <xf numFmtId="165" fontId="8" fillId="10" borderId="5" xfId="0" applyNumberFormat="1" applyFont="1" applyFill="1" applyBorder="1" applyAlignment="1">
      <alignment horizontal="center" vertical="center" wrapText="1"/>
    </xf>
    <xf numFmtId="4" fontId="8" fillId="10" borderId="5" xfId="0" applyNumberFormat="1" applyFont="1" applyFill="1" applyBorder="1" applyAlignment="1">
      <alignment horizontal="center" vertical="center" wrapText="1"/>
    </xf>
    <xf numFmtId="3" fontId="4" fillId="2" borderId="5" xfId="0" applyNumberFormat="1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 wrapText="1"/>
    </xf>
    <xf numFmtId="4" fontId="4" fillId="2" borderId="5" xfId="0" applyNumberFormat="1" applyFont="1" applyFill="1" applyBorder="1" applyAlignment="1">
      <alignment horizontal="center" vertical="center" wrapText="1"/>
    </xf>
    <xf numFmtId="0" fontId="4" fillId="2" borderId="5" xfId="0" applyFont="1" applyFill="1" applyBorder="1"/>
    <xf numFmtId="0" fontId="4" fillId="3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4" fillId="2" borderId="5" xfId="0" applyFont="1" applyFill="1" applyBorder="1" applyAlignment="1">
      <alignment horizontal="left" vertical="center" indent="1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O19" sqref="O1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28515625" hidden="1" customWidth="1"/>
    <col min="11" max="11" width="22.28515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523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56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1017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629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2764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1976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6965</v>
      </c>
    </row>
    <row r="36" spans="1:12" ht="15" customHeight="1">
      <c r="J36" s="35"/>
    </row>
  </sheetData>
  <sheetProtection algorithmName="SHA-512" hashValue="wlLa4NGYVVDHpdzs7xH9GGFCmZjUYV+aheOdDkxJFGI4sc/3+Y1OBBpIC1hGI3CBKCi/XE7HCYckaHSHIo22cA==" saltValue="u7j37gUY3RSKjiCzmprY+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71093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I54" sqref="I54"/>
    </sheetView>
  </sheetViews>
  <sheetFormatPr defaultColWidth="8.710937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>
        <v>523</v>
      </c>
      <c r="G9" s="145">
        <v>6</v>
      </c>
      <c r="H9" s="145">
        <v>6</v>
      </c>
      <c r="I9" s="148">
        <f>IFERROR(IF(G9="","",F9/G9),"")</f>
        <v>87.166666666666671</v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523</v>
      </c>
      <c r="G10" s="150">
        <f>SUM(G8:G9)</f>
        <v>6</v>
      </c>
      <c r="H10" s="150">
        <f>SUM(H8:H9)</f>
        <v>6</v>
      </c>
      <c r="I10" s="151">
        <f>IFERROR(IF(G10=0,"",F10/G10),"")</f>
        <v>87.166666666666671</v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>
        <v>56</v>
      </c>
      <c r="G11" s="140">
        <v>1</v>
      </c>
      <c r="H11" s="140">
        <v>11</v>
      </c>
      <c r="I11" s="143">
        <f>IFERROR(IF(G11="","",F11/G11),"")</f>
        <v>56</v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56</v>
      </c>
      <c r="G13" s="150">
        <f>SUM(G11:G12)</f>
        <v>1</v>
      </c>
      <c r="H13" s="150">
        <f>SUM(H11:H12)</f>
        <v>11</v>
      </c>
      <c r="I13" s="151">
        <f>IFERROR(IF(G13=0,"",F13/G13),"")</f>
        <v>56</v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>
        <v>1017</v>
      </c>
      <c r="G36" s="145">
        <v>9</v>
      </c>
      <c r="H36" s="145">
        <v>3</v>
      </c>
      <c r="I36" s="148">
        <f>IFERROR(IF(G36="","",F36/G36),"")</f>
        <v>113</v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1017</v>
      </c>
      <c r="G37" s="150">
        <f>SUM(G35:G36)</f>
        <v>9</v>
      </c>
      <c r="H37" s="150">
        <f>SUM(H35:H36)</f>
        <v>3</v>
      </c>
      <c r="I37" s="151">
        <f>IFERROR(IF(G37=0,"",F37/G37),"")</f>
        <v>113</v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>
        <v>629</v>
      </c>
      <c r="G44" s="140">
        <v>6</v>
      </c>
      <c r="H44" s="140">
        <v>6</v>
      </c>
      <c r="I44" s="143">
        <f>IFERROR(IF(G44="","",F44/G44),"")</f>
        <v>104.83333333333333</v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629</v>
      </c>
      <c r="G46" s="150">
        <f>SUM(G44:G45)</f>
        <v>6</v>
      </c>
      <c r="H46" s="150">
        <f>SUM(H44:H45)</f>
        <v>6</v>
      </c>
      <c r="I46" s="151">
        <f>IFERROR(IF(G46=0,"",F46/G46),"")</f>
        <v>104.83333333333333</v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>
        <v>1385</v>
      </c>
      <c r="G50" s="140">
        <v>8</v>
      </c>
      <c r="H50" s="140">
        <v>2</v>
      </c>
      <c r="I50" s="143">
        <f>IFERROR(IF(G50="","",F50/G50),"")</f>
        <v>173.125</v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>
        <v>1379</v>
      </c>
      <c r="G51" s="145">
        <v>11</v>
      </c>
      <c r="H51" s="145">
        <v>1</v>
      </c>
      <c r="I51" s="148">
        <f>IFERROR(IF(G51="","",F51/G51),"")</f>
        <v>125.36363636363636</v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2764</v>
      </c>
      <c r="G52" s="150">
        <f>SUM(G50:G51)</f>
        <v>19</v>
      </c>
      <c r="H52" s="150">
        <f>SUM(H50:H51)</f>
        <v>3</v>
      </c>
      <c r="I52" s="151">
        <f>IFERROR(IF(G52=0,"",F52/G52),"")</f>
        <v>145.47368421052633</v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/>
      <c r="F53" s="142">
        <v>243</v>
      </c>
      <c r="G53" s="140">
        <v>3.5</v>
      </c>
      <c r="H53" s="140">
        <v>6.5</v>
      </c>
      <c r="I53" s="143">
        <f>IFERROR(IF(G53="","",F53/G53),"")</f>
        <v>69.428571428571431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/>
      <c r="F54" s="147">
        <v>1733</v>
      </c>
      <c r="G54" s="145">
        <v>10</v>
      </c>
      <c r="H54" s="145">
        <v>2</v>
      </c>
      <c r="I54" s="148">
        <f>IFERROR(IF(G54="","",F54/G54),"")</f>
        <v>173.3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0</v>
      </c>
      <c r="F55" s="150">
        <f>IFERROR(SUM(F53:F54),"")</f>
        <v>1976</v>
      </c>
      <c r="G55" s="150">
        <f>SUM(G53:G54)</f>
        <v>13.5</v>
      </c>
      <c r="H55" s="150">
        <f>SUM(H53:H54)</f>
        <v>8.5</v>
      </c>
      <c r="I55" s="151">
        <f>IFERROR(IF(G55=0,"",F55/G55),"")</f>
        <v>146.37037037037038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2" sqref="F492"/>
    </sheetView>
  </sheetViews>
  <sheetFormatPr defaultColWidth="8.5703125" defaultRowHeight="14.45"/>
  <cols>
    <col min="1" max="1" width="18.28515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71093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28515625" style="55" customWidth="1"/>
    <col min="13" max="13" width="14" style="54" customWidth="1"/>
    <col min="14" max="14" width="37.28515625" style="54" customWidth="1"/>
    <col min="15" max="15" width="19.71093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3" t="s">
        <v>260</v>
      </c>
      <c r="B14" s="153"/>
      <c r="C14" s="153"/>
      <c r="D14" s="153"/>
      <c r="E14" s="15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3" t="s">
        <v>263</v>
      </c>
      <c r="B27" s="153"/>
      <c r="C27" s="153"/>
      <c r="D27" s="153"/>
      <c r="E27" s="15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4" t="s">
        <v>249</v>
      </c>
      <c r="B28" s="154"/>
      <c r="C28" s="154"/>
      <c r="D28" s="154"/>
      <c r="E28" s="15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3" t="s">
        <v>260</v>
      </c>
      <c r="B41" s="153"/>
      <c r="C41" s="153"/>
      <c r="D41" s="153"/>
      <c r="E41" s="15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3" t="s">
        <v>263</v>
      </c>
      <c r="B54" s="153"/>
      <c r="C54" s="153"/>
      <c r="D54" s="153"/>
      <c r="E54" s="15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4" t="s">
        <v>249</v>
      </c>
      <c r="B55" s="154"/>
      <c r="C55" s="154"/>
      <c r="D55" s="154"/>
      <c r="E55" s="15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3" t="s">
        <v>260</v>
      </c>
      <c r="B68" s="153"/>
      <c r="C68" s="153"/>
      <c r="D68" s="153"/>
      <c r="E68" s="15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3" t="s">
        <v>263</v>
      </c>
      <c r="B81" s="153"/>
      <c r="C81" s="153"/>
      <c r="D81" s="153"/>
      <c r="E81" s="15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4" t="s">
        <v>249</v>
      </c>
      <c r="B82" s="154"/>
      <c r="C82" s="154"/>
      <c r="D82" s="154"/>
      <c r="E82" s="15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3" t="s">
        <v>260</v>
      </c>
      <c r="B95" s="153"/>
      <c r="C95" s="153"/>
      <c r="D95" s="153"/>
      <c r="E95" s="15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3" t="s">
        <v>263</v>
      </c>
      <c r="B108" s="153"/>
      <c r="C108" s="153"/>
      <c r="D108" s="153"/>
      <c r="E108" s="15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4" t="s">
        <v>249</v>
      </c>
      <c r="B109" s="154"/>
      <c r="C109" s="154"/>
      <c r="D109" s="154"/>
      <c r="E109" s="15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3" t="s">
        <v>260</v>
      </c>
      <c r="B122" s="153"/>
      <c r="C122" s="153"/>
      <c r="D122" s="153"/>
      <c r="E122" s="15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3" t="s">
        <v>263</v>
      </c>
      <c r="B135" s="153"/>
      <c r="C135" s="153"/>
      <c r="D135" s="153"/>
      <c r="E135" s="15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4" t="s">
        <v>249</v>
      </c>
      <c r="B136" s="154"/>
      <c r="C136" s="154"/>
      <c r="D136" s="154"/>
      <c r="E136" s="15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3" t="s">
        <v>260</v>
      </c>
      <c r="B149" s="153"/>
      <c r="C149" s="153"/>
      <c r="D149" s="153"/>
      <c r="E149" s="15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3" t="s">
        <v>263</v>
      </c>
      <c r="B162" s="153"/>
      <c r="C162" s="153"/>
      <c r="D162" s="153"/>
      <c r="E162" s="15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4" t="s">
        <v>249</v>
      </c>
      <c r="B163" s="154"/>
      <c r="C163" s="154"/>
      <c r="D163" s="154"/>
      <c r="E163" s="15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3" t="s">
        <v>260</v>
      </c>
      <c r="B176" s="153"/>
      <c r="C176" s="153"/>
      <c r="D176" s="153"/>
      <c r="E176" s="15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3" t="s">
        <v>263</v>
      </c>
      <c r="B189" s="153"/>
      <c r="C189" s="153"/>
      <c r="D189" s="153"/>
      <c r="E189" s="15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4" t="s">
        <v>249</v>
      </c>
      <c r="B190" s="154"/>
      <c r="C190" s="154"/>
      <c r="D190" s="154"/>
      <c r="E190" s="15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3" t="s">
        <v>260</v>
      </c>
      <c r="B203" s="153"/>
      <c r="C203" s="153"/>
      <c r="D203" s="153"/>
      <c r="E203" s="15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3" t="s">
        <v>263</v>
      </c>
      <c r="B216" s="153"/>
      <c r="C216" s="153"/>
      <c r="D216" s="153"/>
      <c r="E216" s="15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4" t="s">
        <v>249</v>
      </c>
      <c r="B217" s="154"/>
      <c r="C217" s="154"/>
      <c r="D217" s="154"/>
      <c r="E217" s="15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3" t="s">
        <v>260</v>
      </c>
      <c r="B230" s="153"/>
      <c r="C230" s="153"/>
      <c r="D230" s="153"/>
      <c r="E230" s="15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3" t="s">
        <v>263</v>
      </c>
      <c r="B243" s="153"/>
      <c r="C243" s="153"/>
      <c r="D243" s="153"/>
      <c r="E243" s="15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4" t="s">
        <v>249</v>
      </c>
      <c r="B244" s="154"/>
      <c r="C244" s="154"/>
      <c r="D244" s="154"/>
      <c r="E244" s="15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3" t="s">
        <v>260</v>
      </c>
      <c r="B257" s="153"/>
      <c r="C257" s="153"/>
      <c r="D257" s="153"/>
      <c r="E257" s="15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3" t="s">
        <v>263</v>
      </c>
      <c r="B270" s="153"/>
      <c r="C270" s="153"/>
      <c r="D270" s="153"/>
      <c r="E270" s="15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4" t="s">
        <v>249</v>
      </c>
      <c r="B271" s="154"/>
      <c r="C271" s="154"/>
      <c r="D271" s="154"/>
      <c r="E271" s="15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3" t="s">
        <v>260</v>
      </c>
      <c r="B284" s="153"/>
      <c r="C284" s="153"/>
      <c r="D284" s="153"/>
      <c r="E284" s="15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3" t="s">
        <v>263</v>
      </c>
      <c r="B297" s="153"/>
      <c r="C297" s="153"/>
      <c r="D297" s="153"/>
      <c r="E297" s="15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4" t="s">
        <v>249</v>
      </c>
      <c r="B298" s="154"/>
      <c r="C298" s="154"/>
      <c r="D298" s="154"/>
      <c r="E298" s="15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3" t="s">
        <v>260</v>
      </c>
      <c r="B311" s="153"/>
      <c r="C311" s="153"/>
      <c r="D311" s="153"/>
      <c r="E311" s="15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3" t="s">
        <v>263</v>
      </c>
      <c r="B324" s="153"/>
      <c r="C324" s="153"/>
      <c r="D324" s="153"/>
      <c r="E324" s="15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4" t="s">
        <v>249</v>
      </c>
      <c r="B325" s="154"/>
      <c r="C325" s="154"/>
      <c r="D325" s="154"/>
      <c r="E325" s="15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3" t="s">
        <v>260</v>
      </c>
      <c r="B338" s="153"/>
      <c r="C338" s="153"/>
      <c r="D338" s="153"/>
      <c r="E338" s="15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3" t="s">
        <v>263</v>
      </c>
      <c r="B351" s="153"/>
      <c r="C351" s="153"/>
      <c r="D351" s="153"/>
      <c r="E351" s="15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4" t="s">
        <v>249</v>
      </c>
      <c r="B352" s="154"/>
      <c r="C352" s="154"/>
      <c r="D352" s="154"/>
      <c r="E352" s="15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3" t="s">
        <v>260</v>
      </c>
      <c r="B365" s="153"/>
      <c r="C365" s="153"/>
      <c r="D365" s="153"/>
      <c r="E365" s="15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3" t="s">
        <v>263</v>
      </c>
      <c r="B378" s="153"/>
      <c r="C378" s="153"/>
      <c r="D378" s="153"/>
      <c r="E378" s="15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4" t="s">
        <v>249</v>
      </c>
      <c r="B379" s="154"/>
      <c r="C379" s="154"/>
      <c r="D379" s="154"/>
      <c r="E379" s="15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3" t="s">
        <v>260</v>
      </c>
      <c r="B392" s="153"/>
      <c r="C392" s="153"/>
      <c r="D392" s="153"/>
      <c r="E392" s="15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3" t="s">
        <v>263</v>
      </c>
      <c r="B405" s="153"/>
      <c r="C405" s="153"/>
      <c r="D405" s="153"/>
      <c r="E405" s="15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4" t="s">
        <v>249</v>
      </c>
      <c r="B406" s="154"/>
      <c r="C406" s="154"/>
      <c r="D406" s="154"/>
      <c r="E406" s="15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3" t="s">
        <v>260</v>
      </c>
      <c r="B419" s="153"/>
      <c r="C419" s="153"/>
      <c r="D419" s="153"/>
      <c r="E419" s="15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3" t="s">
        <v>263</v>
      </c>
      <c r="B432" s="153"/>
      <c r="C432" s="153"/>
      <c r="D432" s="153"/>
      <c r="E432" s="15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4" t="s">
        <v>249</v>
      </c>
      <c r="B433" s="154"/>
      <c r="C433" s="154"/>
      <c r="D433" s="154"/>
      <c r="E433" s="15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3" t="s">
        <v>260</v>
      </c>
      <c r="B446" s="153"/>
      <c r="C446" s="153"/>
      <c r="D446" s="153"/>
      <c r="E446" s="15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3" t="s">
        <v>263</v>
      </c>
      <c r="B459" s="153"/>
      <c r="C459" s="153"/>
      <c r="D459" s="153"/>
      <c r="E459" s="15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4" t="s">
        <v>249</v>
      </c>
      <c r="B460" s="154"/>
      <c r="C460" s="154"/>
      <c r="D460" s="154"/>
      <c r="E460" s="15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3" t="s">
        <v>260</v>
      </c>
      <c r="B473" s="153"/>
      <c r="C473" s="153"/>
      <c r="D473" s="153"/>
      <c r="E473" s="15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3" t="s">
        <v>263</v>
      </c>
      <c r="B486" s="153"/>
      <c r="C486" s="153"/>
      <c r="D486" s="153"/>
      <c r="E486" s="15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4" t="s">
        <v>249</v>
      </c>
      <c r="B487" s="154"/>
      <c r="C487" s="154"/>
      <c r="D487" s="154"/>
      <c r="E487" s="15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9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/>
      <c r="G492" s="64" t="str">
        <f t="shared" si="103"/>
        <v/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3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3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3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3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3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3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3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3" t="s">
        <v>260</v>
      </c>
      <c r="B500" s="153"/>
      <c r="C500" s="153"/>
      <c r="D500" s="153"/>
      <c r="E500" s="153"/>
      <c r="F500" s="2">
        <f>SUM(F488:F499)</f>
        <v>36</v>
      </c>
      <c r="G500" s="2">
        <f>SUM(G488:G499)</f>
        <v>180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6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7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8">B501+TIME(0,60,0)</f>
        <v>0.87499999999999967</v>
      </c>
      <c r="C502" s="70"/>
      <c r="D502" s="75"/>
      <c r="E502" s="75"/>
      <c r="F502" s="63"/>
      <c r="G502" s="64" t="str">
        <f t="shared" si="106"/>
        <v/>
      </c>
      <c r="H502" s="61"/>
      <c r="I502" s="61"/>
      <c r="J502" s="61"/>
      <c r="K502" s="65"/>
      <c r="L502" s="65"/>
      <c r="M502" s="66" t="str">
        <f t="shared" ca="1" si="107"/>
        <v/>
      </c>
      <c r="N502" s="80"/>
      <c r="O502" s="81"/>
    </row>
    <row r="503" spans="1:15" ht="15" customHeight="1">
      <c r="A503" s="18">
        <v>46253</v>
      </c>
      <c r="B503" s="68">
        <f t="shared" si="108"/>
        <v>0.9166666666666663</v>
      </c>
      <c r="C503" s="70"/>
      <c r="D503" s="75"/>
      <c r="E503" s="75"/>
      <c r="F503" s="63"/>
      <c r="G503" s="69" t="str">
        <f t="shared" si="106"/>
        <v/>
      </c>
      <c r="H503" s="70"/>
      <c r="I503" s="70"/>
      <c r="J503" s="70"/>
      <c r="K503" s="65"/>
      <c r="L503" s="65"/>
      <c r="M503" s="71" t="str">
        <f t="shared" ca="1" si="107"/>
        <v/>
      </c>
      <c r="N503" s="80"/>
      <c r="O503" s="81"/>
    </row>
    <row r="504" spans="1:15" ht="15" customHeight="1">
      <c r="A504" s="59">
        <v>46253</v>
      </c>
      <c r="B504" s="60">
        <f t="shared" si="108"/>
        <v>0.95833333333333293</v>
      </c>
      <c r="C504" s="70"/>
      <c r="D504" s="75"/>
      <c r="E504" s="75"/>
      <c r="F504" s="63"/>
      <c r="G504" s="64" t="str">
        <f t="shared" si="106"/>
        <v/>
      </c>
      <c r="H504" s="61"/>
      <c r="I504" s="61"/>
      <c r="J504" s="61"/>
      <c r="K504" s="65"/>
      <c r="L504" s="65"/>
      <c r="M504" s="66" t="str">
        <f t="shared" ca="1" si="107"/>
        <v/>
      </c>
      <c r="N504" s="80"/>
      <c r="O504" s="81"/>
    </row>
    <row r="505" spans="1:15" ht="15" customHeight="1">
      <c r="A505" s="18">
        <v>46253</v>
      </c>
      <c r="B505" s="68">
        <f t="shared" si="108"/>
        <v>0.99999999999999956</v>
      </c>
      <c r="C505" s="70"/>
      <c r="D505" s="75"/>
      <c r="E505" s="75"/>
      <c r="F505" s="63"/>
      <c r="G505" s="69" t="str">
        <f t="shared" si="106"/>
        <v/>
      </c>
      <c r="H505" s="70"/>
      <c r="I505" s="70"/>
      <c r="J505" s="70"/>
      <c r="K505" s="65"/>
      <c r="L505" s="65"/>
      <c r="M505" s="71" t="str">
        <f t="shared" ca="1" si="107"/>
        <v/>
      </c>
      <c r="N505" s="80"/>
      <c r="O505" s="81"/>
    </row>
    <row r="506" spans="1:15" ht="15" customHeight="1">
      <c r="A506" s="59">
        <v>46253</v>
      </c>
      <c r="B506" s="60">
        <f t="shared" si="108"/>
        <v>1.0416666666666663</v>
      </c>
      <c r="C506" s="70"/>
      <c r="D506" s="75"/>
      <c r="E506" s="75"/>
      <c r="F506" s="63"/>
      <c r="G506" s="64" t="str">
        <f t="shared" si="106"/>
        <v/>
      </c>
      <c r="H506" s="61"/>
      <c r="I506" s="61"/>
      <c r="J506" s="61"/>
      <c r="K506" s="65"/>
      <c r="L506" s="65"/>
      <c r="M506" s="66" t="str">
        <f t="shared" ca="1" si="107"/>
        <v/>
      </c>
      <c r="N506" s="80"/>
      <c r="O506" s="81"/>
    </row>
    <row r="507" spans="1:15" ht="15" customHeight="1">
      <c r="A507" s="18">
        <v>46253</v>
      </c>
      <c r="B507" s="68">
        <f t="shared" si="108"/>
        <v>1.083333333333333</v>
      </c>
      <c r="C507" s="70"/>
      <c r="D507" s="75"/>
      <c r="E507" s="75"/>
      <c r="F507" s="63"/>
      <c r="G507" s="69" t="str">
        <f t="shared" si="106"/>
        <v/>
      </c>
      <c r="H507" s="70"/>
      <c r="I507" s="70"/>
      <c r="J507" s="70"/>
      <c r="K507" s="65"/>
      <c r="L507" s="65"/>
      <c r="M507" s="71" t="str">
        <f t="shared" ca="1" si="107"/>
        <v/>
      </c>
      <c r="N507" s="80"/>
      <c r="O507" s="81"/>
    </row>
    <row r="508" spans="1:15" ht="15" customHeight="1">
      <c r="A508" s="59">
        <v>46253</v>
      </c>
      <c r="B508" s="60">
        <f t="shared" si="108"/>
        <v>1.1249999999999998</v>
      </c>
      <c r="C508" s="70"/>
      <c r="D508" s="75"/>
      <c r="E508" s="75"/>
      <c r="F508" s="63"/>
      <c r="G508" s="64" t="str">
        <f t="shared" si="106"/>
        <v/>
      </c>
      <c r="H508" s="61"/>
      <c r="I508" s="61"/>
      <c r="J508" s="61"/>
      <c r="K508" s="65"/>
      <c r="L508" s="65"/>
      <c r="M508" s="66" t="str">
        <f t="shared" ca="1" si="107"/>
        <v/>
      </c>
      <c r="N508" s="80"/>
      <c r="O508" s="81"/>
    </row>
    <row r="509" spans="1:15" ht="15" customHeight="1">
      <c r="A509" s="18">
        <v>46253</v>
      </c>
      <c r="B509" s="68">
        <f t="shared" si="108"/>
        <v>1.1666666666666665</v>
      </c>
      <c r="C509" s="70"/>
      <c r="D509" s="75"/>
      <c r="E509" s="75"/>
      <c r="F509" s="63"/>
      <c r="G509" s="69" t="str">
        <f t="shared" si="106"/>
        <v/>
      </c>
      <c r="H509" s="70"/>
      <c r="I509" s="70"/>
      <c r="J509" s="70"/>
      <c r="K509" s="65"/>
      <c r="L509" s="65"/>
      <c r="M509" s="71" t="str">
        <f t="shared" ca="1" si="107"/>
        <v/>
      </c>
      <c r="N509" s="80"/>
      <c r="O509" s="81"/>
    </row>
    <row r="510" spans="1:15" ht="15" customHeight="1">
      <c r="A510" s="59">
        <v>46253</v>
      </c>
      <c r="B510" s="60">
        <f t="shared" si="108"/>
        <v>1.2083333333333333</v>
      </c>
      <c r="C510" s="70"/>
      <c r="D510" s="75"/>
      <c r="E510" s="75"/>
      <c r="F510" s="63"/>
      <c r="G510" s="64" t="str">
        <f t="shared" si="106"/>
        <v/>
      </c>
      <c r="H510" s="61"/>
      <c r="I510" s="61"/>
      <c r="J510" s="61"/>
      <c r="K510" s="65"/>
      <c r="L510" s="65"/>
      <c r="M510" s="66" t="str">
        <f t="shared" ca="1" si="107"/>
        <v/>
      </c>
      <c r="N510" s="80"/>
      <c r="O510" s="81"/>
    </row>
    <row r="511" spans="1:15" ht="15" customHeight="1">
      <c r="A511" s="18">
        <v>46253</v>
      </c>
      <c r="B511" s="68">
        <f t="shared" si="108"/>
        <v>1.25</v>
      </c>
      <c r="C511" s="70"/>
      <c r="D511" s="75"/>
      <c r="E511" s="75"/>
      <c r="F511" s="63"/>
      <c r="G511" s="69" t="str">
        <f t="shared" si="106"/>
        <v/>
      </c>
      <c r="H511" s="70"/>
      <c r="I511" s="70"/>
      <c r="J511" s="70"/>
      <c r="K511" s="65"/>
      <c r="L511" s="65"/>
      <c r="M511" s="71" t="str">
        <f t="shared" ca="1" si="107"/>
        <v/>
      </c>
      <c r="N511" s="80"/>
      <c r="O511" s="81"/>
    </row>
    <row r="512" spans="1:15" ht="15" customHeight="1">
      <c r="A512" s="59">
        <v>46253</v>
      </c>
      <c r="B512" s="60">
        <f t="shared" si="108"/>
        <v>1.2916666666666667</v>
      </c>
      <c r="C512" s="70"/>
      <c r="D512" s="75"/>
      <c r="E512" s="75"/>
      <c r="F512" s="63"/>
      <c r="G512" s="64" t="str">
        <f t="shared" si="106"/>
        <v/>
      </c>
      <c r="H512" s="61"/>
      <c r="I512" s="61"/>
      <c r="J512" s="61"/>
      <c r="K512" s="65"/>
      <c r="L512" s="65"/>
      <c r="M512" s="66" t="str">
        <f t="shared" ca="1" si="107"/>
        <v/>
      </c>
      <c r="N512" s="80"/>
      <c r="O512" s="81"/>
    </row>
    <row r="513" spans="1:15" ht="15.75" customHeight="1">
      <c r="A513" s="153" t="s">
        <v>263</v>
      </c>
      <c r="B513" s="153"/>
      <c r="C513" s="153"/>
      <c r="D513" s="153"/>
      <c r="E513" s="153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54" t="s">
        <v>249</v>
      </c>
      <c r="B514" s="154"/>
      <c r="C514" s="154"/>
      <c r="D514" s="154"/>
      <c r="E514" s="154"/>
      <c r="F514" s="1">
        <f>F500+F513</f>
        <v>36</v>
      </c>
      <c r="G514" s="1">
        <f>G500+G513</f>
        <v>180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09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0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1">B515+TIME(0,60,0)</f>
        <v>0.37499999999999967</v>
      </c>
      <c r="C516" s="70"/>
      <c r="D516" s="75"/>
      <c r="E516" s="75"/>
      <c r="F516" s="63"/>
      <c r="G516" s="64" t="str">
        <f t="shared" si="109"/>
        <v/>
      </c>
      <c r="H516" s="70"/>
      <c r="I516" s="61"/>
      <c r="J516" s="70"/>
      <c r="K516" s="65"/>
      <c r="L516" s="65"/>
      <c r="M516" s="66" t="str">
        <f t="shared" ca="1" si="110"/>
        <v/>
      </c>
      <c r="N516" s="80"/>
      <c r="O516" s="81"/>
    </row>
    <row r="517" spans="1:15" ht="15" customHeight="1">
      <c r="A517" s="18">
        <v>46254</v>
      </c>
      <c r="B517" s="68">
        <f t="shared" si="111"/>
        <v>0.41666666666666635</v>
      </c>
      <c r="C517" s="70"/>
      <c r="D517" s="75"/>
      <c r="E517" s="75"/>
      <c r="F517" s="63"/>
      <c r="G517" s="69" t="str">
        <f t="shared" si="109"/>
        <v/>
      </c>
      <c r="H517" s="70"/>
      <c r="I517" s="70"/>
      <c r="J517" s="70"/>
      <c r="K517" s="65"/>
      <c r="L517" s="65"/>
      <c r="M517" s="71" t="str">
        <f t="shared" ca="1" si="110"/>
        <v/>
      </c>
      <c r="N517" s="80"/>
      <c r="O517" s="81"/>
    </row>
    <row r="518" spans="1:15" ht="15" customHeight="1">
      <c r="A518" s="59">
        <v>46254</v>
      </c>
      <c r="B518" s="60">
        <f t="shared" si="111"/>
        <v>0.45833333333333304</v>
      </c>
      <c r="C518" s="70"/>
      <c r="D518" s="75"/>
      <c r="E518" s="75"/>
      <c r="F518" s="63"/>
      <c r="G518" s="64" t="str">
        <f t="shared" si="109"/>
        <v/>
      </c>
      <c r="H518" s="70"/>
      <c r="I518" s="61"/>
      <c r="J518" s="61"/>
      <c r="K518" s="65"/>
      <c r="L518" s="65"/>
      <c r="M518" s="66" t="str">
        <f t="shared" ca="1" si="110"/>
        <v/>
      </c>
      <c r="N518" s="80"/>
      <c r="O518" s="81"/>
    </row>
    <row r="519" spans="1:15" ht="15" customHeight="1">
      <c r="A519" s="18">
        <v>46254</v>
      </c>
      <c r="B519" s="68">
        <f t="shared" si="111"/>
        <v>0.49999999999999972</v>
      </c>
      <c r="C519" s="70"/>
      <c r="D519" s="75"/>
      <c r="E519" s="75"/>
      <c r="F519" s="63"/>
      <c r="G519" s="69" t="str">
        <f t="shared" si="109"/>
        <v/>
      </c>
      <c r="H519" s="70"/>
      <c r="I519" s="70"/>
      <c r="J519" s="70"/>
      <c r="K519" s="65"/>
      <c r="L519" s="65"/>
      <c r="M519" s="71" t="str">
        <f t="shared" ca="1" si="110"/>
        <v/>
      </c>
      <c r="N519" s="80"/>
      <c r="O519" s="81"/>
    </row>
    <row r="520" spans="1:15" ht="15" customHeight="1">
      <c r="A520" s="59">
        <v>46254</v>
      </c>
      <c r="B520" s="60">
        <f t="shared" si="111"/>
        <v>0.54166666666666641</v>
      </c>
      <c r="C520" s="70"/>
      <c r="D520" s="75"/>
      <c r="E520" s="75"/>
      <c r="F520" s="63"/>
      <c r="G520" s="64" t="str">
        <f t="shared" si="109"/>
        <v/>
      </c>
      <c r="H520" s="61"/>
      <c r="I520" s="61"/>
      <c r="J520" s="61"/>
      <c r="K520" s="65"/>
      <c r="L520" s="65"/>
      <c r="M520" s="66" t="str">
        <f t="shared" ca="1" si="110"/>
        <v/>
      </c>
      <c r="N520" s="80"/>
      <c r="O520" s="81"/>
    </row>
    <row r="521" spans="1:15" ht="15" customHeight="1">
      <c r="A521" s="18">
        <v>46254</v>
      </c>
      <c r="B521" s="68">
        <f t="shared" si="111"/>
        <v>0.58333333333333304</v>
      </c>
      <c r="C521" s="70"/>
      <c r="D521" s="75"/>
      <c r="E521" s="75"/>
      <c r="F521" s="63"/>
      <c r="G521" s="69" t="str">
        <f t="shared" si="109"/>
        <v/>
      </c>
      <c r="H521" s="70"/>
      <c r="I521" s="70"/>
      <c r="J521" s="70"/>
      <c r="K521" s="65"/>
      <c r="L521" s="65"/>
      <c r="M521" s="71" t="str">
        <f t="shared" ca="1" si="110"/>
        <v/>
      </c>
      <c r="N521" s="80"/>
      <c r="O521" s="81"/>
    </row>
    <row r="522" spans="1:15" ht="15" customHeight="1">
      <c r="A522" s="59">
        <v>46254</v>
      </c>
      <c r="B522" s="60">
        <f t="shared" si="111"/>
        <v>0.62499999999999967</v>
      </c>
      <c r="C522" s="70"/>
      <c r="D522" s="75"/>
      <c r="E522" s="75"/>
      <c r="F522" s="63"/>
      <c r="G522" s="64" t="str">
        <f t="shared" si="109"/>
        <v/>
      </c>
      <c r="H522" s="61"/>
      <c r="I522" s="61"/>
      <c r="J522" s="61"/>
      <c r="K522" s="65"/>
      <c r="L522" s="65"/>
      <c r="M522" s="66" t="str">
        <f t="shared" ca="1" si="110"/>
        <v/>
      </c>
      <c r="N522" s="80"/>
      <c r="O522" s="81"/>
    </row>
    <row r="523" spans="1:15" ht="15" customHeight="1">
      <c r="A523" s="18">
        <v>46254</v>
      </c>
      <c r="B523" s="68">
        <f t="shared" si="111"/>
        <v>0.6666666666666663</v>
      </c>
      <c r="C523" s="70"/>
      <c r="D523" s="75"/>
      <c r="E523" s="75"/>
      <c r="F523" s="63"/>
      <c r="G523" s="69" t="str">
        <f t="shared" si="109"/>
        <v/>
      </c>
      <c r="H523" s="70"/>
      <c r="I523" s="70"/>
      <c r="J523" s="70"/>
      <c r="K523" s="65"/>
      <c r="L523" s="65"/>
      <c r="M523" s="71" t="str">
        <f t="shared" ca="1" si="110"/>
        <v/>
      </c>
      <c r="N523" s="80"/>
      <c r="O523" s="81"/>
    </row>
    <row r="524" spans="1:15" ht="15" customHeight="1">
      <c r="A524" s="59">
        <v>46254</v>
      </c>
      <c r="B524" s="60">
        <f t="shared" si="111"/>
        <v>0.70833333333333293</v>
      </c>
      <c r="C524" s="70"/>
      <c r="D524" s="75"/>
      <c r="E524" s="75"/>
      <c r="F524" s="63"/>
      <c r="G524" s="64" t="str">
        <f t="shared" si="109"/>
        <v/>
      </c>
      <c r="H524" s="61"/>
      <c r="I524" s="61"/>
      <c r="J524" s="61"/>
      <c r="K524" s="65"/>
      <c r="L524" s="65"/>
      <c r="M524" s="66" t="str">
        <f t="shared" ca="1" si="110"/>
        <v/>
      </c>
      <c r="N524" s="80"/>
      <c r="O524" s="81"/>
    </row>
    <row r="525" spans="1:15" ht="15" customHeight="1">
      <c r="A525" s="18">
        <v>46254</v>
      </c>
      <c r="B525" s="68">
        <f t="shared" si="111"/>
        <v>0.74999999999999956</v>
      </c>
      <c r="C525" s="70"/>
      <c r="D525" s="75"/>
      <c r="E525" s="75"/>
      <c r="F525" s="63"/>
      <c r="G525" s="69" t="str">
        <f t="shared" si="109"/>
        <v/>
      </c>
      <c r="H525" s="70"/>
      <c r="I525" s="70"/>
      <c r="J525" s="70"/>
      <c r="K525" s="65"/>
      <c r="L525" s="65"/>
      <c r="M525" s="71" t="str">
        <f t="shared" ca="1" si="110"/>
        <v/>
      </c>
      <c r="N525" s="80"/>
      <c r="O525" s="81"/>
    </row>
    <row r="526" spans="1:15" ht="15" customHeight="1">
      <c r="A526" s="59">
        <v>46254</v>
      </c>
      <c r="B526" s="60">
        <f t="shared" si="111"/>
        <v>0.79166666666666619</v>
      </c>
      <c r="C526" s="70"/>
      <c r="D526" s="75"/>
      <c r="E526" s="75"/>
      <c r="F526" s="63"/>
      <c r="G526" s="64" t="str">
        <f t="shared" si="109"/>
        <v/>
      </c>
      <c r="H526" s="61"/>
      <c r="I526" s="61"/>
      <c r="J526" s="61"/>
      <c r="K526" s="65"/>
      <c r="L526" s="65"/>
      <c r="M526" s="66" t="str">
        <f t="shared" ca="1" si="110"/>
        <v/>
      </c>
      <c r="N526" s="80"/>
      <c r="O526" s="81"/>
    </row>
    <row r="527" spans="1:15" ht="15.75" customHeight="1">
      <c r="A527" s="153" t="s">
        <v>260</v>
      </c>
      <c r="B527" s="153"/>
      <c r="C527" s="153"/>
      <c r="D527" s="153"/>
      <c r="E527" s="15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2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3">B528+TIME(0,60,0)</f>
        <v>0.87499999999999967</v>
      </c>
      <c r="C529" s="61"/>
      <c r="D529" s="62"/>
      <c r="E529" s="62"/>
      <c r="F529" s="63"/>
      <c r="G529" s="69" t="str">
        <f t="shared" si="112"/>
        <v/>
      </c>
      <c r="H529" s="70"/>
      <c r="I529" s="70"/>
      <c r="J529" s="70"/>
      <c r="K529" s="65"/>
      <c r="L529" s="65"/>
      <c r="M529" s="71" t="str">
        <f t="shared" ref="M529:M539" ca="1" si="114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3"/>
        <v>0.9166666666666663</v>
      </c>
      <c r="C530" s="61"/>
      <c r="D530" s="62"/>
      <c r="E530" s="62"/>
      <c r="F530" s="63"/>
      <c r="G530" s="64" t="str">
        <f t="shared" si="112"/>
        <v/>
      </c>
      <c r="H530" s="61"/>
      <c r="I530" s="61"/>
      <c r="J530" s="61"/>
      <c r="K530" s="65"/>
      <c r="L530" s="65"/>
      <c r="M530" s="66" t="str">
        <f t="shared" ca="1" si="114"/>
        <v/>
      </c>
      <c r="N530" s="80"/>
      <c r="O530" s="81"/>
    </row>
    <row r="531" spans="1:15" ht="15" customHeight="1">
      <c r="A531" s="18">
        <v>46254</v>
      </c>
      <c r="B531" s="68">
        <f t="shared" si="113"/>
        <v>0.95833333333333293</v>
      </c>
      <c r="C531" s="61"/>
      <c r="D531" s="62"/>
      <c r="E531" s="62"/>
      <c r="F531" s="63"/>
      <c r="G531" s="69" t="str">
        <f t="shared" si="112"/>
        <v/>
      </c>
      <c r="H531" s="70"/>
      <c r="I531" s="70"/>
      <c r="J531" s="70"/>
      <c r="K531" s="65"/>
      <c r="L531" s="65"/>
      <c r="M531" s="71" t="str">
        <f t="shared" ca="1" si="114"/>
        <v/>
      </c>
      <c r="N531" s="80"/>
      <c r="O531" s="81"/>
    </row>
    <row r="532" spans="1:15" ht="15" customHeight="1">
      <c r="A532" s="59">
        <v>46254</v>
      </c>
      <c r="B532" s="60">
        <f t="shared" si="113"/>
        <v>0.99999999999999956</v>
      </c>
      <c r="C532" s="61"/>
      <c r="D532" s="62"/>
      <c r="E532" s="62"/>
      <c r="F532" s="63"/>
      <c r="G532" s="64" t="str">
        <f t="shared" si="112"/>
        <v/>
      </c>
      <c r="H532" s="61"/>
      <c r="I532" s="61"/>
      <c r="J532" s="61"/>
      <c r="K532" s="65"/>
      <c r="L532" s="65"/>
      <c r="M532" s="66" t="str">
        <f t="shared" ca="1" si="114"/>
        <v/>
      </c>
      <c r="N532" s="80"/>
      <c r="O532" s="81"/>
    </row>
    <row r="533" spans="1:15" ht="15" customHeight="1">
      <c r="A533" s="18">
        <v>46254</v>
      </c>
      <c r="B533" s="68">
        <f t="shared" si="113"/>
        <v>1.0416666666666663</v>
      </c>
      <c r="C533" s="61"/>
      <c r="D533" s="62"/>
      <c r="E533" s="62"/>
      <c r="F533" s="63"/>
      <c r="G533" s="69" t="str">
        <f t="shared" si="112"/>
        <v/>
      </c>
      <c r="H533" s="70"/>
      <c r="I533" s="70"/>
      <c r="J533" s="70"/>
      <c r="K533" s="65"/>
      <c r="L533" s="65"/>
      <c r="M533" s="71" t="str">
        <f t="shared" ca="1" si="114"/>
        <v/>
      </c>
      <c r="N533" s="80"/>
      <c r="O533" s="81"/>
    </row>
    <row r="534" spans="1:15" ht="15" customHeight="1">
      <c r="A534" s="59">
        <v>46254</v>
      </c>
      <c r="B534" s="60">
        <f t="shared" si="113"/>
        <v>1.083333333333333</v>
      </c>
      <c r="C534" s="61"/>
      <c r="D534" s="62"/>
      <c r="E534" s="62"/>
      <c r="F534" s="63"/>
      <c r="G534" s="64" t="str">
        <f t="shared" si="112"/>
        <v/>
      </c>
      <c r="H534" s="61"/>
      <c r="I534" s="61"/>
      <c r="J534" s="61"/>
      <c r="K534" s="65"/>
      <c r="L534" s="65"/>
      <c r="M534" s="66" t="str">
        <f t="shared" ca="1" si="114"/>
        <v/>
      </c>
      <c r="N534" s="80"/>
      <c r="O534" s="81"/>
    </row>
    <row r="535" spans="1:15" ht="15" customHeight="1">
      <c r="A535" s="18">
        <v>46254</v>
      </c>
      <c r="B535" s="68">
        <f t="shared" si="113"/>
        <v>1.1249999999999998</v>
      </c>
      <c r="C535" s="61"/>
      <c r="D535" s="62"/>
      <c r="E535" s="62"/>
      <c r="F535" s="63"/>
      <c r="G535" s="69" t="str">
        <f t="shared" si="112"/>
        <v/>
      </c>
      <c r="H535" s="70"/>
      <c r="I535" s="70"/>
      <c r="J535" s="70"/>
      <c r="K535" s="65"/>
      <c r="L535" s="65"/>
      <c r="M535" s="71" t="str">
        <f t="shared" ca="1" si="114"/>
        <v/>
      </c>
      <c r="N535" s="80"/>
      <c r="O535" s="81"/>
    </row>
    <row r="536" spans="1:15" ht="15" customHeight="1">
      <c r="A536" s="59">
        <v>46254</v>
      </c>
      <c r="B536" s="60">
        <f t="shared" si="113"/>
        <v>1.1666666666666665</v>
      </c>
      <c r="C536" s="61"/>
      <c r="D536" s="62"/>
      <c r="E536" s="62"/>
      <c r="F536" s="63"/>
      <c r="G536" s="64" t="str">
        <f t="shared" si="112"/>
        <v/>
      </c>
      <c r="H536" s="61"/>
      <c r="I536" s="61"/>
      <c r="J536" s="61"/>
      <c r="K536" s="65"/>
      <c r="L536" s="65"/>
      <c r="M536" s="66" t="str">
        <f t="shared" ca="1" si="114"/>
        <v/>
      </c>
      <c r="N536" s="80"/>
      <c r="O536" s="81"/>
    </row>
    <row r="537" spans="1:15" ht="15" customHeight="1">
      <c r="A537" s="18">
        <v>46254</v>
      </c>
      <c r="B537" s="68">
        <f t="shared" si="113"/>
        <v>1.2083333333333333</v>
      </c>
      <c r="C537" s="61"/>
      <c r="D537" s="62"/>
      <c r="E537" s="62"/>
      <c r="F537" s="63"/>
      <c r="G537" s="69" t="str">
        <f t="shared" si="112"/>
        <v/>
      </c>
      <c r="H537" s="70"/>
      <c r="I537" s="70"/>
      <c r="J537" s="70"/>
      <c r="K537" s="65"/>
      <c r="L537" s="65"/>
      <c r="M537" s="71" t="str">
        <f t="shared" ca="1" si="114"/>
        <v/>
      </c>
      <c r="N537" s="80"/>
      <c r="O537" s="81"/>
    </row>
    <row r="538" spans="1:15" ht="15" customHeight="1">
      <c r="A538" s="59">
        <v>46254</v>
      </c>
      <c r="B538" s="60">
        <f t="shared" si="113"/>
        <v>1.25</v>
      </c>
      <c r="C538" s="61"/>
      <c r="D538" s="62"/>
      <c r="E538" s="62"/>
      <c r="F538" s="63"/>
      <c r="G538" s="64" t="str">
        <f t="shared" si="112"/>
        <v/>
      </c>
      <c r="H538" s="61"/>
      <c r="I538" s="61"/>
      <c r="J538" s="61"/>
      <c r="K538" s="65"/>
      <c r="L538" s="65"/>
      <c r="M538" s="66" t="str">
        <f t="shared" ca="1" si="114"/>
        <v/>
      </c>
      <c r="N538" s="80"/>
      <c r="O538" s="81"/>
    </row>
    <row r="539" spans="1:15" ht="15" customHeight="1">
      <c r="A539" s="18">
        <v>46254</v>
      </c>
      <c r="B539" s="68">
        <f t="shared" si="113"/>
        <v>1.2916666666666667</v>
      </c>
      <c r="C539" s="61"/>
      <c r="D539" s="62"/>
      <c r="E539" s="62"/>
      <c r="F539" s="63"/>
      <c r="G539" s="69" t="str">
        <f t="shared" si="112"/>
        <v/>
      </c>
      <c r="H539" s="70"/>
      <c r="I539" s="70"/>
      <c r="J539" s="70"/>
      <c r="K539" s="65"/>
      <c r="L539" s="65"/>
      <c r="M539" s="71" t="str">
        <f t="shared" ca="1" si="114"/>
        <v/>
      </c>
      <c r="N539" s="80"/>
      <c r="O539" s="81"/>
    </row>
    <row r="540" spans="1:15" ht="15.75" customHeight="1">
      <c r="A540" s="153" t="s">
        <v>263</v>
      </c>
      <c r="B540" s="153"/>
      <c r="C540" s="153"/>
      <c r="D540" s="153"/>
      <c r="E540" s="15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4" t="s">
        <v>249</v>
      </c>
      <c r="B541" s="154"/>
      <c r="C541" s="154"/>
      <c r="D541" s="154"/>
      <c r="E541" s="15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5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6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7">B542+TIME(0,60,0)</f>
        <v>0.37499999999999967</v>
      </c>
      <c r="C543" s="61"/>
      <c r="D543" s="62"/>
      <c r="E543" s="62"/>
      <c r="F543" s="63"/>
      <c r="G543" s="69" t="str">
        <f t="shared" si="115"/>
        <v/>
      </c>
      <c r="H543" s="70"/>
      <c r="I543" s="70"/>
      <c r="J543" s="70"/>
      <c r="K543" s="65"/>
      <c r="L543" s="65"/>
      <c r="M543" s="71" t="str">
        <f t="shared" ca="1" si="116"/>
        <v/>
      </c>
      <c r="N543" s="80"/>
      <c r="O543" s="81"/>
    </row>
    <row r="544" spans="1:15" ht="15" customHeight="1">
      <c r="A544" s="59">
        <v>46255</v>
      </c>
      <c r="B544" s="60">
        <f t="shared" si="117"/>
        <v>0.41666666666666635</v>
      </c>
      <c r="C544" s="61"/>
      <c r="D544" s="62"/>
      <c r="E544" s="62"/>
      <c r="F544" s="63"/>
      <c r="G544" s="64" t="str">
        <f t="shared" si="115"/>
        <v/>
      </c>
      <c r="H544" s="61"/>
      <c r="I544" s="61"/>
      <c r="J544" s="61"/>
      <c r="K544" s="65"/>
      <c r="L544" s="65"/>
      <c r="M544" s="66" t="str">
        <f t="shared" ca="1" si="116"/>
        <v/>
      </c>
      <c r="N544" s="80"/>
      <c r="O544" s="81"/>
    </row>
    <row r="545" spans="1:15" ht="15" customHeight="1">
      <c r="A545" s="18">
        <v>46255</v>
      </c>
      <c r="B545" s="68">
        <f t="shared" si="117"/>
        <v>0.45833333333333304</v>
      </c>
      <c r="C545" s="61"/>
      <c r="D545" s="62"/>
      <c r="E545" s="62"/>
      <c r="F545" s="63"/>
      <c r="G545" s="69" t="str">
        <f t="shared" si="115"/>
        <v/>
      </c>
      <c r="H545" s="70"/>
      <c r="I545" s="70"/>
      <c r="J545" s="70"/>
      <c r="K545" s="65"/>
      <c r="L545" s="65"/>
      <c r="M545" s="71" t="str">
        <f t="shared" ca="1" si="116"/>
        <v/>
      </c>
      <c r="N545" s="80"/>
      <c r="O545" s="81"/>
    </row>
    <row r="546" spans="1:15" ht="15" customHeight="1">
      <c r="A546" s="59">
        <v>46255</v>
      </c>
      <c r="B546" s="60">
        <f t="shared" si="117"/>
        <v>0.49999999999999972</v>
      </c>
      <c r="C546" s="61"/>
      <c r="D546" s="62"/>
      <c r="E546" s="62"/>
      <c r="F546" s="63"/>
      <c r="G546" s="64" t="str">
        <f t="shared" si="115"/>
        <v/>
      </c>
      <c r="H546" s="61"/>
      <c r="I546" s="61"/>
      <c r="J546" s="61"/>
      <c r="K546" s="65"/>
      <c r="L546" s="65"/>
      <c r="M546" s="66" t="str">
        <f t="shared" ca="1" si="116"/>
        <v/>
      </c>
      <c r="N546" s="80"/>
      <c r="O546" s="81"/>
    </row>
    <row r="547" spans="1:15" ht="15" customHeight="1">
      <c r="A547" s="18">
        <v>46255</v>
      </c>
      <c r="B547" s="68">
        <f t="shared" si="117"/>
        <v>0.54166666666666641</v>
      </c>
      <c r="C547" s="61"/>
      <c r="D547" s="62"/>
      <c r="E547" s="62"/>
      <c r="F547" s="63"/>
      <c r="G547" s="69" t="str">
        <f t="shared" si="115"/>
        <v/>
      </c>
      <c r="H547" s="70"/>
      <c r="I547" s="70"/>
      <c r="J547" s="70"/>
      <c r="K547" s="65"/>
      <c r="L547" s="65"/>
      <c r="M547" s="71" t="str">
        <f t="shared" ca="1" si="116"/>
        <v/>
      </c>
      <c r="N547" s="80"/>
      <c r="O547" s="81"/>
    </row>
    <row r="548" spans="1:15" ht="15" customHeight="1">
      <c r="A548" s="59">
        <v>46255</v>
      </c>
      <c r="B548" s="60">
        <f t="shared" si="117"/>
        <v>0.58333333333333304</v>
      </c>
      <c r="C548" s="61"/>
      <c r="D548" s="62"/>
      <c r="E548" s="62"/>
      <c r="F548" s="63"/>
      <c r="G548" s="64" t="str">
        <f t="shared" si="115"/>
        <v/>
      </c>
      <c r="H548" s="61"/>
      <c r="I548" s="61"/>
      <c r="J548" s="61"/>
      <c r="K548" s="65"/>
      <c r="L548" s="65"/>
      <c r="M548" s="66" t="str">
        <f t="shared" ca="1" si="116"/>
        <v/>
      </c>
      <c r="N548" s="80"/>
      <c r="O548" s="81"/>
    </row>
    <row r="549" spans="1:15" ht="15" customHeight="1">
      <c r="A549" s="18">
        <v>46255</v>
      </c>
      <c r="B549" s="68">
        <f t="shared" si="117"/>
        <v>0.62499999999999967</v>
      </c>
      <c r="C549" s="61"/>
      <c r="D549" s="62"/>
      <c r="E549" s="62"/>
      <c r="F549" s="63"/>
      <c r="G549" s="69" t="str">
        <f t="shared" si="115"/>
        <v/>
      </c>
      <c r="H549" s="70"/>
      <c r="I549" s="70"/>
      <c r="J549" s="70"/>
      <c r="K549" s="65"/>
      <c r="L549" s="65"/>
      <c r="M549" s="71" t="str">
        <f t="shared" ca="1" si="116"/>
        <v/>
      </c>
      <c r="N549" s="80"/>
      <c r="O549" s="81"/>
    </row>
    <row r="550" spans="1:15" ht="15" customHeight="1">
      <c r="A550" s="59">
        <v>46255</v>
      </c>
      <c r="B550" s="60">
        <f t="shared" si="117"/>
        <v>0.6666666666666663</v>
      </c>
      <c r="C550" s="61"/>
      <c r="D550" s="62"/>
      <c r="E550" s="62"/>
      <c r="F550" s="63"/>
      <c r="G550" s="64" t="str">
        <f t="shared" si="115"/>
        <v/>
      </c>
      <c r="H550" s="61"/>
      <c r="I550" s="61"/>
      <c r="J550" s="61"/>
      <c r="K550" s="65"/>
      <c r="L550" s="65"/>
      <c r="M550" s="66" t="str">
        <f t="shared" ca="1" si="116"/>
        <v/>
      </c>
      <c r="N550" s="80"/>
      <c r="O550" s="81"/>
    </row>
    <row r="551" spans="1:15" ht="15" customHeight="1">
      <c r="A551" s="18">
        <v>46255</v>
      </c>
      <c r="B551" s="68">
        <f t="shared" si="117"/>
        <v>0.70833333333333293</v>
      </c>
      <c r="C551" s="61"/>
      <c r="D551" s="62"/>
      <c r="E551" s="62"/>
      <c r="F551" s="63"/>
      <c r="G551" s="69" t="str">
        <f t="shared" si="115"/>
        <v/>
      </c>
      <c r="H551" s="70"/>
      <c r="I551" s="70"/>
      <c r="J551" s="70"/>
      <c r="K551" s="65"/>
      <c r="L551" s="65"/>
      <c r="M551" s="71" t="str">
        <f t="shared" ca="1" si="116"/>
        <v/>
      </c>
      <c r="N551" s="80"/>
      <c r="O551" s="81"/>
    </row>
    <row r="552" spans="1:15" ht="15" customHeight="1">
      <c r="A552" s="59">
        <v>46255</v>
      </c>
      <c r="B552" s="60">
        <f t="shared" si="117"/>
        <v>0.74999999999999956</v>
      </c>
      <c r="C552" s="61"/>
      <c r="D552" s="62"/>
      <c r="E552" s="62"/>
      <c r="F552" s="63"/>
      <c r="G552" s="64" t="str">
        <f t="shared" si="115"/>
        <v/>
      </c>
      <c r="H552" s="61"/>
      <c r="I552" s="61"/>
      <c r="J552" s="61"/>
      <c r="K552" s="65"/>
      <c r="L552" s="65"/>
      <c r="M552" s="66" t="str">
        <f t="shared" ca="1" si="116"/>
        <v/>
      </c>
      <c r="N552" s="80"/>
      <c r="O552" s="81"/>
    </row>
    <row r="553" spans="1:15" ht="15" customHeight="1">
      <c r="A553" s="18">
        <v>46255</v>
      </c>
      <c r="B553" s="68">
        <f t="shared" si="117"/>
        <v>0.79166666666666619</v>
      </c>
      <c r="C553" s="61"/>
      <c r="D553" s="62"/>
      <c r="E553" s="62"/>
      <c r="F553" s="63"/>
      <c r="G553" s="69" t="str">
        <f t="shared" si="115"/>
        <v/>
      </c>
      <c r="H553" s="70"/>
      <c r="I553" s="70"/>
      <c r="J553" s="70"/>
      <c r="K553" s="65"/>
      <c r="L553" s="65"/>
      <c r="M553" s="71" t="str">
        <f t="shared" ca="1" si="116"/>
        <v/>
      </c>
      <c r="N553" s="80"/>
      <c r="O553" s="81"/>
    </row>
    <row r="554" spans="1:15" ht="15.75" customHeight="1">
      <c r="A554" s="153" t="s">
        <v>260</v>
      </c>
      <c r="B554" s="153"/>
      <c r="C554" s="153"/>
      <c r="D554" s="153"/>
      <c r="E554" s="15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8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19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0">B555+TIME(0,60,0)</f>
        <v>0.87499999999999967</v>
      </c>
      <c r="C556" s="70"/>
      <c r="D556" s="75"/>
      <c r="E556" s="75"/>
      <c r="F556" s="63"/>
      <c r="G556" s="64" t="str">
        <f t="shared" si="118"/>
        <v/>
      </c>
      <c r="H556" s="61"/>
      <c r="I556" s="61"/>
      <c r="J556" s="61"/>
      <c r="K556" s="65"/>
      <c r="L556" s="65"/>
      <c r="M556" s="66" t="str">
        <f t="shared" ca="1" si="119"/>
        <v/>
      </c>
      <c r="N556" s="80"/>
      <c r="O556" s="81"/>
    </row>
    <row r="557" spans="1:15" ht="15" customHeight="1">
      <c r="A557" s="18">
        <v>46255</v>
      </c>
      <c r="B557" s="68">
        <f t="shared" si="120"/>
        <v>0.9166666666666663</v>
      </c>
      <c r="C557" s="70"/>
      <c r="D557" s="75"/>
      <c r="E557" s="75"/>
      <c r="F557" s="63"/>
      <c r="G557" s="69" t="str">
        <f t="shared" si="118"/>
        <v/>
      </c>
      <c r="H557" s="70"/>
      <c r="I557" s="70"/>
      <c r="J557" s="70"/>
      <c r="K557" s="65"/>
      <c r="L557" s="65"/>
      <c r="M557" s="71" t="str">
        <f t="shared" ca="1" si="119"/>
        <v/>
      </c>
      <c r="N557" s="80"/>
      <c r="O557" s="81"/>
    </row>
    <row r="558" spans="1:15" ht="15" customHeight="1">
      <c r="A558" s="59">
        <v>46255</v>
      </c>
      <c r="B558" s="60">
        <f t="shared" si="120"/>
        <v>0.95833333333333293</v>
      </c>
      <c r="C558" s="70"/>
      <c r="D558" s="75"/>
      <c r="E558" s="75"/>
      <c r="F558" s="63"/>
      <c r="G558" s="64" t="str">
        <f t="shared" si="118"/>
        <v/>
      </c>
      <c r="H558" s="61"/>
      <c r="I558" s="61"/>
      <c r="J558" s="61"/>
      <c r="K558" s="65"/>
      <c r="L558" s="65"/>
      <c r="M558" s="66" t="str">
        <f t="shared" ca="1" si="119"/>
        <v/>
      </c>
      <c r="N558" s="80"/>
      <c r="O558" s="81"/>
    </row>
    <row r="559" spans="1:15" ht="15" customHeight="1">
      <c r="A559" s="18">
        <v>46255</v>
      </c>
      <c r="B559" s="68">
        <f t="shared" si="120"/>
        <v>0.99999999999999956</v>
      </c>
      <c r="C559" s="70"/>
      <c r="D559" s="75"/>
      <c r="E559" s="75"/>
      <c r="F559" s="63"/>
      <c r="G559" s="69" t="str">
        <f t="shared" si="118"/>
        <v/>
      </c>
      <c r="H559" s="70"/>
      <c r="I559" s="70"/>
      <c r="J559" s="70"/>
      <c r="K559" s="65"/>
      <c r="L559" s="65"/>
      <c r="M559" s="71" t="str">
        <f t="shared" ca="1" si="119"/>
        <v/>
      </c>
      <c r="N559" s="80"/>
      <c r="O559" s="81"/>
    </row>
    <row r="560" spans="1:15" ht="15" customHeight="1">
      <c r="A560" s="59">
        <v>46255</v>
      </c>
      <c r="B560" s="60">
        <f t="shared" si="120"/>
        <v>1.0416666666666663</v>
      </c>
      <c r="C560" s="70"/>
      <c r="D560" s="75"/>
      <c r="E560" s="75"/>
      <c r="F560" s="63"/>
      <c r="G560" s="64" t="str">
        <f t="shared" si="118"/>
        <v/>
      </c>
      <c r="H560" s="61"/>
      <c r="I560" s="61"/>
      <c r="J560" s="61"/>
      <c r="K560" s="65"/>
      <c r="L560" s="65"/>
      <c r="M560" s="66" t="str">
        <f t="shared" ca="1" si="119"/>
        <v/>
      </c>
      <c r="N560" s="80"/>
      <c r="O560" s="81"/>
    </row>
    <row r="561" spans="1:15" ht="15" customHeight="1">
      <c r="A561" s="18">
        <v>46255</v>
      </c>
      <c r="B561" s="68">
        <f t="shared" si="120"/>
        <v>1.083333333333333</v>
      </c>
      <c r="C561" s="70"/>
      <c r="D561" s="75"/>
      <c r="E561" s="75"/>
      <c r="F561" s="63"/>
      <c r="G561" s="69" t="str">
        <f t="shared" si="118"/>
        <v/>
      </c>
      <c r="H561" s="70"/>
      <c r="I561" s="70"/>
      <c r="J561" s="70"/>
      <c r="K561" s="65"/>
      <c r="L561" s="65"/>
      <c r="M561" s="71" t="str">
        <f t="shared" ca="1" si="119"/>
        <v/>
      </c>
      <c r="N561" s="80"/>
      <c r="O561" s="81"/>
    </row>
    <row r="562" spans="1:15" ht="15" customHeight="1">
      <c r="A562" s="59">
        <v>46255</v>
      </c>
      <c r="B562" s="60">
        <f t="shared" si="120"/>
        <v>1.1249999999999998</v>
      </c>
      <c r="C562" s="70"/>
      <c r="D562" s="75"/>
      <c r="E562" s="75"/>
      <c r="F562" s="63"/>
      <c r="G562" s="64" t="str">
        <f t="shared" si="118"/>
        <v/>
      </c>
      <c r="H562" s="61"/>
      <c r="I562" s="61"/>
      <c r="J562" s="61"/>
      <c r="K562" s="65"/>
      <c r="L562" s="65"/>
      <c r="M562" s="66" t="str">
        <f t="shared" ca="1" si="119"/>
        <v/>
      </c>
      <c r="N562" s="80"/>
      <c r="O562" s="81"/>
    </row>
    <row r="563" spans="1:15" ht="15" customHeight="1">
      <c r="A563" s="18">
        <v>46255</v>
      </c>
      <c r="B563" s="68">
        <f t="shared" si="120"/>
        <v>1.1666666666666665</v>
      </c>
      <c r="C563" s="70"/>
      <c r="D563" s="75"/>
      <c r="E563" s="75"/>
      <c r="F563" s="63"/>
      <c r="G563" s="69" t="str">
        <f t="shared" si="118"/>
        <v/>
      </c>
      <c r="H563" s="70"/>
      <c r="I563" s="70"/>
      <c r="J563" s="70"/>
      <c r="K563" s="65"/>
      <c r="L563" s="65"/>
      <c r="M563" s="71" t="str">
        <f t="shared" ca="1" si="119"/>
        <v/>
      </c>
      <c r="N563" s="80"/>
      <c r="O563" s="81"/>
    </row>
    <row r="564" spans="1:15" ht="15" customHeight="1">
      <c r="A564" s="59">
        <v>46255</v>
      </c>
      <c r="B564" s="60">
        <f t="shared" si="120"/>
        <v>1.2083333333333333</v>
      </c>
      <c r="C564" s="70"/>
      <c r="D564" s="75"/>
      <c r="E564" s="75"/>
      <c r="F564" s="63"/>
      <c r="G564" s="64" t="str">
        <f t="shared" si="118"/>
        <v/>
      </c>
      <c r="H564" s="61"/>
      <c r="I564" s="61"/>
      <c r="J564" s="61"/>
      <c r="K564" s="65"/>
      <c r="L564" s="65"/>
      <c r="M564" s="66" t="str">
        <f t="shared" ca="1" si="119"/>
        <v/>
      </c>
      <c r="N564" s="80"/>
      <c r="O564" s="81"/>
    </row>
    <row r="565" spans="1:15" ht="15" customHeight="1">
      <c r="A565" s="18">
        <v>46255</v>
      </c>
      <c r="B565" s="68">
        <f t="shared" si="120"/>
        <v>1.25</v>
      </c>
      <c r="C565" s="70"/>
      <c r="D565" s="75"/>
      <c r="E565" s="75"/>
      <c r="F565" s="63"/>
      <c r="G565" s="69" t="str">
        <f t="shared" si="118"/>
        <v/>
      </c>
      <c r="H565" s="70"/>
      <c r="I565" s="70"/>
      <c r="J565" s="70"/>
      <c r="K565" s="65"/>
      <c r="L565" s="65"/>
      <c r="M565" s="71" t="str">
        <f t="shared" ca="1" si="119"/>
        <v/>
      </c>
      <c r="N565" s="80"/>
      <c r="O565" s="81"/>
    </row>
    <row r="566" spans="1:15" ht="15" customHeight="1">
      <c r="A566" s="59">
        <v>46255</v>
      </c>
      <c r="B566" s="60">
        <f t="shared" si="120"/>
        <v>1.2916666666666667</v>
      </c>
      <c r="C566" s="70"/>
      <c r="D566" s="75"/>
      <c r="E566" s="75"/>
      <c r="F566" s="63"/>
      <c r="G566" s="64" t="str">
        <f t="shared" si="118"/>
        <v/>
      </c>
      <c r="H566" s="61"/>
      <c r="I566" s="61"/>
      <c r="J566" s="61"/>
      <c r="K566" s="65"/>
      <c r="L566" s="65"/>
      <c r="M566" s="66" t="str">
        <f t="shared" ca="1" si="119"/>
        <v/>
      </c>
      <c r="N566" s="80"/>
      <c r="O566" s="81"/>
    </row>
    <row r="567" spans="1:15" ht="15.75" customHeight="1">
      <c r="A567" s="153" t="s">
        <v>263</v>
      </c>
      <c r="B567" s="153"/>
      <c r="C567" s="153"/>
      <c r="D567" s="153"/>
      <c r="E567" s="15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4" t="s">
        <v>249</v>
      </c>
      <c r="B568" s="154"/>
      <c r="C568" s="154"/>
      <c r="D568" s="154"/>
      <c r="E568" s="15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1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2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3">B569+TIME(0,60,0)</f>
        <v>0.37499999999999967</v>
      </c>
      <c r="C570" s="70"/>
      <c r="D570" s="75"/>
      <c r="E570" s="75"/>
      <c r="F570" s="63"/>
      <c r="G570" s="69" t="str">
        <f t="shared" si="121"/>
        <v/>
      </c>
      <c r="H570" s="61"/>
      <c r="I570" s="61"/>
      <c r="J570" s="61"/>
      <c r="K570" s="65"/>
      <c r="L570" s="65"/>
      <c r="M570" s="66" t="str">
        <f t="shared" ca="1" si="122"/>
        <v/>
      </c>
      <c r="N570" s="80"/>
      <c r="O570" s="81"/>
    </row>
    <row r="571" spans="1:15" ht="15" customHeight="1">
      <c r="A571" s="18">
        <v>46256</v>
      </c>
      <c r="B571" s="68">
        <f t="shared" si="123"/>
        <v>0.41666666666666635</v>
      </c>
      <c r="C571" s="70"/>
      <c r="D571" s="75"/>
      <c r="E571" s="75"/>
      <c r="F571" s="63"/>
      <c r="G571" s="69" t="str">
        <f t="shared" si="121"/>
        <v/>
      </c>
      <c r="H571" s="70"/>
      <c r="I571" s="70"/>
      <c r="J571" s="70"/>
      <c r="K571" s="65"/>
      <c r="L571" s="65"/>
      <c r="M571" s="71" t="str">
        <f t="shared" ca="1" si="122"/>
        <v/>
      </c>
      <c r="N571" s="80"/>
      <c r="O571" s="81"/>
    </row>
    <row r="572" spans="1:15" ht="15" customHeight="1">
      <c r="A572" s="59">
        <v>46256</v>
      </c>
      <c r="B572" s="60">
        <f t="shared" si="123"/>
        <v>0.45833333333333304</v>
      </c>
      <c r="C572" s="70"/>
      <c r="D572" s="75"/>
      <c r="E572" s="75"/>
      <c r="F572" s="63"/>
      <c r="G572" s="69" t="str">
        <f t="shared" si="121"/>
        <v/>
      </c>
      <c r="H572" s="61"/>
      <c r="I572" s="61"/>
      <c r="J572" s="61"/>
      <c r="K572" s="65"/>
      <c r="L572" s="65"/>
      <c r="M572" s="66" t="str">
        <f t="shared" ca="1" si="122"/>
        <v/>
      </c>
      <c r="N572" s="80"/>
      <c r="O572" s="81"/>
    </row>
    <row r="573" spans="1:15" ht="15" customHeight="1">
      <c r="A573" s="18">
        <v>46256</v>
      </c>
      <c r="B573" s="68">
        <f t="shared" si="123"/>
        <v>0.49999999999999972</v>
      </c>
      <c r="C573" s="70"/>
      <c r="D573" s="75"/>
      <c r="E573" s="75"/>
      <c r="F573" s="63"/>
      <c r="G573" s="69" t="str">
        <f t="shared" si="121"/>
        <v/>
      </c>
      <c r="H573" s="70"/>
      <c r="I573" s="70"/>
      <c r="J573" s="70"/>
      <c r="K573" s="65"/>
      <c r="L573" s="65"/>
      <c r="M573" s="71" t="str">
        <f t="shared" ca="1" si="122"/>
        <v/>
      </c>
      <c r="N573" s="80"/>
      <c r="O573" s="81"/>
    </row>
    <row r="574" spans="1:15" ht="15" customHeight="1">
      <c r="A574" s="59">
        <v>46256</v>
      </c>
      <c r="B574" s="60">
        <f t="shared" si="123"/>
        <v>0.54166666666666641</v>
      </c>
      <c r="C574" s="70"/>
      <c r="D574" s="75"/>
      <c r="E574" s="75"/>
      <c r="F574" s="63"/>
      <c r="G574" s="69" t="str">
        <f t="shared" si="121"/>
        <v/>
      </c>
      <c r="H574" s="61"/>
      <c r="I574" s="61"/>
      <c r="J574" s="61"/>
      <c r="K574" s="65"/>
      <c r="L574" s="65"/>
      <c r="M574" s="66" t="str">
        <f t="shared" ca="1" si="122"/>
        <v/>
      </c>
      <c r="N574" s="80"/>
      <c r="O574" s="81"/>
    </row>
    <row r="575" spans="1:15" ht="15" customHeight="1">
      <c r="A575" s="18">
        <v>46256</v>
      </c>
      <c r="B575" s="68">
        <f t="shared" si="123"/>
        <v>0.58333333333333304</v>
      </c>
      <c r="C575" s="70"/>
      <c r="D575" s="75"/>
      <c r="E575" s="75"/>
      <c r="F575" s="63"/>
      <c r="G575" s="69" t="str">
        <f t="shared" si="121"/>
        <v/>
      </c>
      <c r="H575" s="70"/>
      <c r="I575" s="70"/>
      <c r="J575" s="70"/>
      <c r="K575" s="65"/>
      <c r="L575" s="65"/>
      <c r="M575" s="71" t="str">
        <f t="shared" ca="1" si="122"/>
        <v/>
      </c>
      <c r="N575" s="80"/>
      <c r="O575" s="81"/>
    </row>
    <row r="576" spans="1:15" ht="15" customHeight="1">
      <c r="A576" s="59">
        <v>46256</v>
      </c>
      <c r="B576" s="60">
        <f t="shared" si="123"/>
        <v>0.62499999999999967</v>
      </c>
      <c r="C576" s="70"/>
      <c r="D576" s="75"/>
      <c r="E576" s="75"/>
      <c r="F576" s="63"/>
      <c r="G576" s="69" t="str">
        <f t="shared" si="121"/>
        <v/>
      </c>
      <c r="H576" s="61"/>
      <c r="I576" s="61"/>
      <c r="J576" s="61"/>
      <c r="K576" s="65"/>
      <c r="L576" s="65"/>
      <c r="M576" s="66" t="str">
        <f t="shared" ca="1" si="122"/>
        <v/>
      </c>
      <c r="N576" s="80"/>
      <c r="O576" s="81"/>
    </row>
    <row r="577" spans="1:15" ht="15" customHeight="1">
      <c r="A577" s="18">
        <v>46256</v>
      </c>
      <c r="B577" s="68">
        <f t="shared" si="123"/>
        <v>0.6666666666666663</v>
      </c>
      <c r="C577" s="70"/>
      <c r="D577" s="75"/>
      <c r="E577" s="75"/>
      <c r="F577" s="63"/>
      <c r="G577" s="69" t="str">
        <f t="shared" si="121"/>
        <v/>
      </c>
      <c r="H577" s="70"/>
      <c r="I577" s="70"/>
      <c r="J577" s="70"/>
      <c r="K577" s="65"/>
      <c r="L577" s="65"/>
      <c r="M577" s="71" t="str">
        <f t="shared" ca="1" si="122"/>
        <v/>
      </c>
      <c r="N577" s="80"/>
      <c r="O577" s="81"/>
    </row>
    <row r="578" spans="1:15" ht="15" customHeight="1">
      <c r="A578" s="59">
        <v>46256</v>
      </c>
      <c r="B578" s="60">
        <f t="shared" si="123"/>
        <v>0.70833333333333293</v>
      </c>
      <c r="C578" s="70"/>
      <c r="D578" s="75"/>
      <c r="E578" s="75"/>
      <c r="F578" s="63"/>
      <c r="G578" s="69" t="str">
        <f t="shared" si="121"/>
        <v/>
      </c>
      <c r="H578" s="61"/>
      <c r="I578" s="61"/>
      <c r="J578" s="61"/>
      <c r="K578" s="65"/>
      <c r="L578" s="65"/>
      <c r="M578" s="66" t="str">
        <f t="shared" ca="1" si="122"/>
        <v/>
      </c>
      <c r="N578" s="80"/>
      <c r="O578" s="81"/>
    </row>
    <row r="579" spans="1:15" ht="15" customHeight="1">
      <c r="A579" s="18">
        <v>46256</v>
      </c>
      <c r="B579" s="68">
        <f t="shared" si="123"/>
        <v>0.74999999999999956</v>
      </c>
      <c r="C579" s="70"/>
      <c r="D579" s="75"/>
      <c r="E579" s="75"/>
      <c r="F579" s="63"/>
      <c r="G579" s="69" t="str">
        <f t="shared" si="121"/>
        <v/>
      </c>
      <c r="H579" s="70"/>
      <c r="I579" s="70"/>
      <c r="J579" s="70"/>
      <c r="K579" s="65"/>
      <c r="L579" s="65"/>
      <c r="M579" s="71" t="str">
        <f t="shared" ca="1" si="122"/>
        <v/>
      </c>
      <c r="N579" s="80"/>
      <c r="O579" s="81"/>
    </row>
    <row r="580" spans="1:15" ht="15" customHeight="1">
      <c r="A580" s="59">
        <v>46256</v>
      </c>
      <c r="B580" s="60">
        <f t="shared" si="123"/>
        <v>0.79166666666666619</v>
      </c>
      <c r="C580" s="70"/>
      <c r="D580" s="75"/>
      <c r="E580" s="75"/>
      <c r="F580" s="63"/>
      <c r="G580" s="69" t="str">
        <f t="shared" si="121"/>
        <v/>
      </c>
      <c r="H580" s="61"/>
      <c r="I580" s="61"/>
      <c r="J580" s="61"/>
      <c r="K580" s="65"/>
      <c r="L580" s="65"/>
      <c r="M580" s="66" t="str">
        <f t="shared" ca="1" si="122"/>
        <v/>
      </c>
      <c r="N580" s="80"/>
      <c r="O580" s="81"/>
    </row>
    <row r="581" spans="1:15" ht="15.75" customHeight="1">
      <c r="A581" s="153" t="s">
        <v>260</v>
      </c>
      <c r="B581" s="153"/>
      <c r="C581" s="153"/>
      <c r="D581" s="153"/>
      <c r="E581" s="15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4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5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6">B582+TIME(0,60,0)</f>
        <v>0.87499999999999967</v>
      </c>
      <c r="C583" s="61"/>
      <c r="D583" s="62"/>
      <c r="E583" s="62"/>
      <c r="F583" s="63"/>
      <c r="G583" s="69" t="str">
        <f t="shared" si="124"/>
        <v/>
      </c>
      <c r="H583" s="70"/>
      <c r="I583" s="70"/>
      <c r="J583" s="70"/>
      <c r="K583" s="65"/>
      <c r="L583" s="65"/>
      <c r="M583" s="71" t="str">
        <f t="shared" ca="1" si="125"/>
        <v/>
      </c>
      <c r="N583" s="80"/>
      <c r="O583" s="81"/>
    </row>
    <row r="584" spans="1:15" ht="15" customHeight="1">
      <c r="A584" s="59">
        <v>46256</v>
      </c>
      <c r="B584" s="60">
        <f t="shared" si="126"/>
        <v>0.9166666666666663</v>
      </c>
      <c r="C584" s="61"/>
      <c r="D584" s="62"/>
      <c r="E584" s="62"/>
      <c r="F584" s="63"/>
      <c r="G584" s="64" t="str">
        <f t="shared" si="124"/>
        <v/>
      </c>
      <c r="H584" s="61"/>
      <c r="I584" s="61"/>
      <c r="J584" s="61"/>
      <c r="K584" s="65"/>
      <c r="L584" s="65"/>
      <c r="M584" s="66" t="str">
        <f t="shared" ca="1" si="125"/>
        <v/>
      </c>
      <c r="N584" s="80"/>
      <c r="O584" s="81"/>
    </row>
    <row r="585" spans="1:15" ht="15" customHeight="1">
      <c r="A585" s="18">
        <v>46256</v>
      </c>
      <c r="B585" s="68">
        <f t="shared" si="126"/>
        <v>0.95833333333333293</v>
      </c>
      <c r="C585" s="61"/>
      <c r="D585" s="62"/>
      <c r="E585" s="62"/>
      <c r="F585" s="63"/>
      <c r="G585" s="69" t="str">
        <f t="shared" si="124"/>
        <v/>
      </c>
      <c r="H585" s="70"/>
      <c r="I585" s="70"/>
      <c r="J585" s="70"/>
      <c r="K585" s="65"/>
      <c r="L585" s="65"/>
      <c r="M585" s="71" t="str">
        <f t="shared" ca="1" si="125"/>
        <v/>
      </c>
      <c r="N585" s="80"/>
      <c r="O585" s="81"/>
    </row>
    <row r="586" spans="1:15" ht="15" customHeight="1">
      <c r="A586" s="59">
        <v>46256</v>
      </c>
      <c r="B586" s="60">
        <f t="shared" si="126"/>
        <v>0.99999999999999956</v>
      </c>
      <c r="C586" s="61"/>
      <c r="D586" s="62"/>
      <c r="E586" s="62"/>
      <c r="F586" s="63"/>
      <c r="G586" s="64" t="str">
        <f t="shared" si="124"/>
        <v/>
      </c>
      <c r="H586" s="61"/>
      <c r="I586" s="61"/>
      <c r="J586" s="61"/>
      <c r="K586" s="65"/>
      <c r="L586" s="65"/>
      <c r="M586" s="66" t="str">
        <f t="shared" ca="1" si="125"/>
        <v/>
      </c>
      <c r="N586" s="80"/>
      <c r="O586" s="81"/>
    </row>
    <row r="587" spans="1:15" ht="15" customHeight="1">
      <c r="A587" s="18">
        <v>46256</v>
      </c>
      <c r="B587" s="68">
        <f t="shared" si="126"/>
        <v>1.0416666666666663</v>
      </c>
      <c r="C587" s="61"/>
      <c r="D587" s="62"/>
      <c r="E587" s="62"/>
      <c r="F587" s="63"/>
      <c r="G587" s="69" t="str">
        <f t="shared" si="124"/>
        <v/>
      </c>
      <c r="H587" s="70"/>
      <c r="I587" s="70"/>
      <c r="J587" s="70"/>
      <c r="K587" s="65"/>
      <c r="L587" s="65"/>
      <c r="M587" s="71" t="str">
        <f t="shared" ca="1" si="125"/>
        <v/>
      </c>
      <c r="N587" s="80"/>
      <c r="O587" s="81"/>
    </row>
    <row r="588" spans="1:15" ht="15" customHeight="1">
      <c r="A588" s="59">
        <v>46256</v>
      </c>
      <c r="B588" s="60">
        <f t="shared" si="126"/>
        <v>1.083333333333333</v>
      </c>
      <c r="C588" s="61"/>
      <c r="D588" s="62"/>
      <c r="E588" s="62"/>
      <c r="F588" s="63"/>
      <c r="G588" s="64" t="str">
        <f t="shared" si="124"/>
        <v/>
      </c>
      <c r="H588" s="61"/>
      <c r="I588" s="61"/>
      <c r="J588" s="61"/>
      <c r="K588" s="65"/>
      <c r="L588" s="65"/>
      <c r="M588" s="66" t="str">
        <f t="shared" ca="1" si="125"/>
        <v/>
      </c>
      <c r="N588" s="80"/>
      <c r="O588" s="81"/>
    </row>
    <row r="589" spans="1:15" ht="15" customHeight="1">
      <c r="A589" s="18">
        <v>46256</v>
      </c>
      <c r="B589" s="68">
        <f t="shared" si="126"/>
        <v>1.1249999999999998</v>
      </c>
      <c r="C589" s="61"/>
      <c r="D589" s="62"/>
      <c r="E589" s="62"/>
      <c r="F589" s="63"/>
      <c r="G589" s="69" t="str">
        <f t="shared" si="124"/>
        <v/>
      </c>
      <c r="H589" s="70"/>
      <c r="I589" s="70"/>
      <c r="J589" s="70"/>
      <c r="K589" s="65"/>
      <c r="L589" s="65"/>
      <c r="M589" s="71" t="str">
        <f t="shared" ca="1" si="125"/>
        <v/>
      </c>
      <c r="N589" s="80"/>
      <c r="O589" s="81"/>
    </row>
    <row r="590" spans="1:15" ht="15" customHeight="1">
      <c r="A590" s="59">
        <v>46256</v>
      </c>
      <c r="B590" s="60">
        <f t="shared" si="126"/>
        <v>1.1666666666666665</v>
      </c>
      <c r="C590" s="61"/>
      <c r="D590" s="62"/>
      <c r="E590" s="62"/>
      <c r="F590" s="63"/>
      <c r="G590" s="64" t="str">
        <f t="shared" si="124"/>
        <v/>
      </c>
      <c r="H590" s="61"/>
      <c r="I590" s="61"/>
      <c r="J590" s="61"/>
      <c r="K590" s="65"/>
      <c r="L590" s="65"/>
      <c r="M590" s="66" t="str">
        <f t="shared" ca="1" si="125"/>
        <v/>
      </c>
      <c r="N590" s="80"/>
      <c r="O590" s="81"/>
    </row>
    <row r="591" spans="1:15" ht="15" customHeight="1">
      <c r="A591" s="18">
        <v>46256</v>
      </c>
      <c r="B591" s="68">
        <f t="shared" si="126"/>
        <v>1.2083333333333333</v>
      </c>
      <c r="C591" s="61"/>
      <c r="D591" s="62"/>
      <c r="E591" s="62"/>
      <c r="F591" s="63"/>
      <c r="G591" s="69" t="str">
        <f t="shared" si="124"/>
        <v/>
      </c>
      <c r="H591" s="70"/>
      <c r="I591" s="70"/>
      <c r="J591" s="70"/>
      <c r="K591" s="65"/>
      <c r="L591" s="65"/>
      <c r="M591" s="71" t="str">
        <f t="shared" ca="1" si="125"/>
        <v/>
      </c>
      <c r="N591" s="80"/>
      <c r="O591" s="81"/>
    </row>
    <row r="592" spans="1:15" ht="15" customHeight="1">
      <c r="A592" s="59">
        <v>46256</v>
      </c>
      <c r="B592" s="60">
        <f t="shared" si="126"/>
        <v>1.25</v>
      </c>
      <c r="C592" s="61"/>
      <c r="D592" s="62"/>
      <c r="E592" s="62"/>
      <c r="F592" s="63"/>
      <c r="G592" s="64" t="str">
        <f t="shared" si="124"/>
        <v/>
      </c>
      <c r="H592" s="61"/>
      <c r="I592" s="61"/>
      <c r="J592" s="61"/>
      <c r="K592" s="65"/>
      <c r="L592" s="65"/>
      <c r="M592" s="66" t="str">
        <f t="shared" ca="1" si="125"/>
        <v/>
      </c>
      <c r="N592" s="80"/>
      <c r="O592" s="81"/>
    </row>
    <row r="593" spans="1:15" ht="15" customHeight="1">
      <c r="A593" s="18">
        <v>46256</v>
      </c>
      <c r="B593" s="68">
        <f t="shared" si="126"/>
        <v>1.2916666666666667</v>
      </c>
      <c r="C593" s="61"/>
      <c r="D593" s="62"/>
      <c r="E593" s="62"/>
      <c r="F593" s="63"/>
      <c r="G593" s="69" t="str">
        <f t="shared" si="124"/>
        <v/>
      </c>
      <c r="H593" s="70"/>
      <c r="I593" s="70"/>
      <c r="J593" s="70"/>
      <c r="K593" s="65"/>
      <c r="L593" s="65"/>
      <c r="M593" s="71" t="str">
        <f t="shared" ca="1" si="125"/>
        <v/>
      </c>
      <c r="N593" s="80"/>
      <c r="O593" s="81"/>
    </row>
    <row r="594" spans="1:15" ht="15.75" customHeight="1">
      <c r="A594" s="153" t="s">
        <v>263</v>
      </c>
      <c r="B594" s="153"/>
      <c r="C594" s="153"/>
      <c r="D594" s="153"/>
      <c r="E594" s="15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4" t="s">
        <v>249</v>
      </c>
      <c r="B595" s="154"/>
      <c r="C595" s="154"/>
      <c r="D595" s="154"/>
      <c r="E595" s="15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7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8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29">B596+TIME(0,60,0)</f>
        <v>0.37499999999999967</v>
      </c>
      <c r="C597" s="61"/>
      <c r="D597" s="62"/>
      <c r="E597" s="62"/>
      <c r="F597" s="63"/>
      <c r="G597" s="69" t="str">
        <f t="shared" si="127"/>
        <v/>
      </c>
      <c r="H597" s="70"/>
      <c r="I597" s="70"/>
      <c r="J597" s="70"/>
      <c r="K597" s="65"/>
      <c r="L597" s="65"/>
      <c r="M597" s="71" t="str">
        <f t="shared" ca="1" si="128"/>
        <v/>
      </c>
      <c r="N597" s="80"/>
      <c r="O597" s="81"/>
    </row>
    <row r="598" spans="1:15" ht="15" customHeight="1">
      <c r="A598" s="59">
        <v>46257</v>
      </c>
      <c r="B598" s="60">
        <f t="shared" si="129"/>
        <v>0.41666666666666635</v>
      </c>
      <c r="C598" s="61"/>
      <c r="D598" s="62"/>
      <c r="E598" s="62"/>
      <c r="F598" s="63"/>
      <c r="G598" s="64" t="str">
        <f t="shared" si="127"/>
        <v/>
      </c>
      <c r="H598" s="61"/>
      <c r="I598" s="61"/>
      <c r="J598" s="61"/>
      <c r="K598" s="65"/>
      <c r="L598" s="65"/>
      <c r="M598" s="66" t="str">
        <f t="shared" ca="1" si="128"/>
        <v/>
      </c>
      <c r="N598" s="80"/>
      <c r="O598" s="81"/>
    </row>
    <row r="599" spans="1:15" ht="15" customHeight="1">
      <c r="A599" s="18">
        <v>46257</v>
      </c>
      <c r="B599" s="68">
        <f t="shared" si="129"/>
        <v>0.45833333333333304</v>
      </c>
      <c r="C599" s="61"/>
      <c r="D599" s="62"/>
      <c r="E599" s="62"/>
      <c r="F599" s="63"/>
      <c r="G599" s="69" t="str">
        <f t="shared" si="127"/>
        <v/>
      </c>
      <c r="H599" s="70"/>
      <c r="I599" s="70"/>
      <c r="J599" s="70"/>
      <c r="K599" s="65"/>
      <c r="L599" s="65"/>
      <c r="M599" s="71" t="str">
        <f t="shared" ca="1" si="128"/>
        <v/>
      </c>
      <c r="N599" s="80"/>
      <c r="O599" s="81"/>
    </row>
    <row r="600" spans="1:15" ht="15" customHeight="1">
      <c r="A600" s="59">
        <v>46257</v>
      </c>
      <c r="B600" s="60">
        <f t="shared" si="129"/>
        <v>0.49999999999999972</v>
      </c>
      <c r="C600" s="61"/>
      <c r="D600" s="62"/>
      <c r="E600" s="62"/>
      <c r="F600" s="63"/>
      <c r="G600" s="64" t="str">
        <f t="shared" si="127"/>
        <v/>
      </c>
      <c r="H600" s="61"/>
      <c r="I600" s="61"/>
      <c r="J600" s="61"/>
      <c r="K600" s="65"/>
      <c r="L600" s="65"/>
      <c r="M600" s="66" t="str">
        <f t="shared" ca="1" si="128"/>
        <v/>
      </c>
      <c r="N600" s="80"/>
      <c r="O600" s="81"/>
    </row>
    <row r="601" spans="1:15" ht="15" customHeight="1">
      <c r="A601" s="18">
        <v>46257</v>
      </c>
      <c r="B601" s="68">
        <f t="shared" si="129"/>
        <v>0.54166666666666641</v>
      </c>
      <c r="C601" s="61"/>
      <c r="D601" s="62"/>
      <c r="E601" s="62"/>
      <c r="F601" s="63"/>
      <c r="G601" s="69" t="str">
        <f t="shared" si="127"/>
        <v/>
      </c>
      <c r="H601" s="70"/>
      <c r="I601" s="70"/>
      <c r="J601" s="70"/>
      <c r="K601" s="65"/>
      <c r="L601" s="65"/>
      <c r="M601" s="71" t="str">
        <f t="shared" ca="1" si="128"/>
        <v/>
      </c>
      <c r="N601" s="80"/>
      <c r="O601" s="81"/>
    </row>
    <row r="602" spans="1:15" ht="15" customHeight="1">
      <c r="A602" s="59">
        <v>46257</v>
      </c>
      <c r="B602" s="60">
        <f t="shared" si="129"/>
        <v>0.58333333333333304</v>
      </c>
      <c r="C602" s="61"/>
      <c r="D602" s="62"/>
      <c r="E602" s="62"/>
      <c r="F602" s="63"/>
      <c r="G602" s="64" t="str">
        <f t="shared" si="127"/>
        <v/>
      </c>
      <c r="H602" s="61"/>
      <c r="I602" s="61"/>
      <c r="J602" s="61"/>
      <c r="K602" s="65"/>
      <c r="L602" s="65"/>
      <c r="M602" s="66" t="str">
        <f t="shared" ca="1" si="128"/>
        <v/>
      </c>
      <c r="N602" s="80"/>
      <c r="O602" s="81"/>
    </row>
    <row r="603" spans="1:15" ht="15" customHeight="1">
      <c r="A603" s="18">
        <v>46257</v>
      </c>
      <c r="B603" s="68">
        <f t="shared" si="129"/>
        <v>0.62499999999999967</v>
      </c>
      <c r="C603" s="61"/>
      <c r="D603" s="62"/>
      <c r="E603" s="62"/>
      <c r="F603" s="63"/>
      <c r="G603" s="69" t="str">
        <f t="shared" si="127"/>
        <v/>
      </c>
      <c r="H603" s="70"/>
      <c r="I603" s="70"/>
      <c r="J603" s="70"/>
      <c r="K603" s="65"/>
      <c r="L603" s="65"/>
      <c r="M603" s="71" t="str">
        <f t="shared" ca="1" si="128"/>
        <v/>
      </c>
      <c r="N603" s="80"/>
      <c r="O603" s="81"/>
    </row>
    <row r="604" spans="1:15" ht="15" customHeight="1">
      <c r="A604" s="59">
        <v>46257</v>
      </c>
      <c r="B604" s="60">
        <f t="shared" si="129"/>
        <v>0.6666666666666663</v>
      </c>
      <c r="C604" s="61"/>
      <c r="D604" s="62"/>
      <c r="E604" s="62"/>
      <c r="F604" s="63"/>
      <c r="G604" s="64" t="str">
        <f t="shared" si="127"/>
        <v/>
      </c>
      <c r="H604" s="61"/>
      <c r="I604" s="61"/>
      <c r="J604" s="61"/>
      <c r="K604" s="65"/>
      <c r="L604" s="65"/>
      <c r="M604" s="66" t="str">
        <f t="shared" ca="1" si="128"/>
        <v/>
      </c>
      <c r="N604" s="80"/>
      <c r="O604" s="81"/>
    </row>
    <row r="605" spans="1:15" ht="15" customHeight="1">
      <c r="A605" s="18">
        <v>46257</v>
      </c>
      <c r="B605" s="68">
        <f t="shared" si="129"/>
        <v>0.70833333333333293</v>
      </c>
      <c r="C605" s="61"/>
      <c r="D605" s="62"/>
      <c r="E605" s="62"/>
      <c r="F605" s="63"/>
      <c r="G605" s="69" t="str">
        <f t="shared" si="127"/>
        <v/>
      </c>
      <c r="H605" s="70"/>
      <c r="I605" s="70"/>
      <c r="J605" s="70"/>
      <c r="K605" s="65"/>
      <c r="L605" s="65"/>
      <c r="M605" s="71" t="str">
        <f t="shared" ca="1" si="128"/>
        <v/>
      </c>
      <c r="N605" s="80"/>
      <c r="O605" s="81"/>
    </row>
    <row r="606" spans="1:15" ht="15" customHeight="1">
      <c r="A606" s="59">
        <v>46257</v>
      </c>
      <c r="B606" s="60">
        <f t="shared" si="129"/>
        <v>0.74999999999999956</v>
      </c>
      <c r="C606" s="61"/>
      <c r="D606" s="62"/>
      <c r="E606" s="62"/>
      <c r="F606" s="63"/>
      <c r="G606" s="64" t="str">
        <f t="shared" si="127"/>
        <v/>
      </c>
      <c r="H606" s="61"/>
      <c r="I606" s="61"/>
      <c r="J606" s="61"/>
      <c r="K606" s="65"/>
      <c r="L606" s="65"/>
      <c r="M606" s="66" t="str">
        <f t="shared" ca="1" si="128"/>
        <v/>
      </c>
      <c r="N606" s="80"/>
      <c r="O606" s="81"/>
    </row>
    <row r="607" spans="1:15" ht="15" customHeight="1">
      <c r="A607" s="18">
        <v>46257</v>
      </c>
      <c r="B607" s="68">
        <f t="shared" si="129"/>
        <v>0.79166666666666619</v>
      </c>
      <c r="C607" s="61"/>
      <c r="D607" s="62"/>
      <c r="E607" s="62"/>
      <c r="F607" s="63"/>
      <c r="G607" s="69" t="str">
        <f t="shared" si="127"/>
        <v/>
      </c>
      <c r="H607" s="70"/>
      <c r="I607" s="70"/>
      <c r="J607" s="70"/>
      <c r="K607" s="65"/>
      <c r="L607" s="65"/>
      <c r="M607" s="71" t="str">
        <f t="shared" ca="1" si="128"/>
        <v/>
      </c>
      <c r="N607" s="80"/>
      <c r="O607" s="81"/>
    </row>
    <row r="608" spans="1:15" ht="15.75" customHeight="1">
      <c r="A608" s="153" t="s">
        <v>260</v>
      </c>
      <c r="B608" s="153"/>
      <c r="C608" s="153"/>
      <c r="D608" s="153"/>
      <c r="E608" s="15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0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1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2">B609+TIME(0,60,0)</f>
        <v>0.87499999999999967</v>
      </c>
      <c r="C610" s="70"/>
      <c r="D610" s="75"/>
      <c r="E610" s="75"/>
      <c r="F610" s="63"/>
      <c r="G610" s="64" t="str">
        <f t="shared" si="130"/>
        <v/>
      </c>
      <c r="H610" s="61"/>
      <c r="I610" s="61"/>
      <c r="J610" s="61"/>
      <c r="K610" s="65"/>
      <c r="L610" s="65"/>
      <c r="M610" s="66" t="str">
        <f t="shared" ca="1" si="131"/>
        <v/>
      </c>
      <c r="N610" s="80"/>
      <c r="O610" s="81"/>
    </row>
    <row r="611" spans="1:15" ht="15" customHeight="1">
      <c r="A611" s="18">
        <v>46257</v>
      </c>
      <c r="B611" s="68">
        <f t="shared" si="132"/>
        <v>0.9166666666666663</v>
      </c>
      <c r="C611" s="70"/>
      <c r="D611" s="75"/>
      <c r="E611" s="75"/>
      <c r="F611" s="63"/>
      <c r="G611" s="69" t="str">
        <f t="shared" si="130"/>
        <v/>
      </c>
      <c r="H611" s="70"/>
      <c r="I611" s="70"/>
      <c r="J611" s="70"/>
      <c r="K611" s="65"/>
      <c r="L611" s="65"/>
      <c r="M611" s="71" t="str">
        <f t="shared" ca="1" si="131"/>
        <v/>
      </c>
      <c r="N611" s="80"/>
      <c r="O611" s="81"/>
    </row>
    <row r="612" spans="1:15" ht="15" customHeight="1">
      <c r="A612" s="59">
        <v>46257</v>
      </c>
      <c r="B612" s="60">
        <f t="shared" si="132"/>
        <v>0.95833333333333293</v>
      </c>
      <c r="C612" s="70"/>
      <c r="D612" s="75"/>
      <c r="E612" s="75"/>
      <c r="F612" s="63"/>
      <c r="G612" s="64" t="str">
        <f t="shared" si="130"/>
        <v/>
      </c>
      <c r="H612" s="61"/>
      <c r="I612" s="61"/>
      <c r="J612" s="61"/>
      <c r="K612" s="65"/>
      <c r="L612" s="65"/>
      <c r="M612" s="66" t="str">
        <f t="shared" ca="1" si="131"/>
        <v/>
      </c>
      <c r="N612" s="80"/>
      <c r="O612" s="81"/>
    </row>
    <row r="613" spans="1:15" ht="15" customHeight="1">
      <c r="A613" s="18">
        <v>46257</v>
      </c>
      <c r="B613" s="68">
        <f t="shared" si="132"/>
        <v>0.99999999999999956</v>
      </c>
      <c r="C613" s="70"/>
      <c r="D613" s="75"/>
      <c r="E613" s="75"/>
      <c r="F613" s="63"/>
      <c r="G613" s="69" t="str">
        <f t="shared" si="130"/>
        <v/>
      </c>
      <c r="H613" s="70"/>
      <c r="I613" s="70"/>
      <c r="J613" s="70"/>
      <c r="K613" s="65"/>
      <c r="L613" s="65"/>
      <c r="M613" s="71" t="str">
        <f t="shared" ca="1" si="131"/>
        <v/>
      </c>
      <c r="N613" s="80"/>
      <c r="O613" s="81"/>
    </row>
    <row r="614" spans="1:15" ht="15" customHeight="1">
      <c r="A614" s="59">
        <v>46257</v>
      </c>
      <c r="B614" s="60">
        <f t="shared" si="132"/>
        <v>1.0416666666666663</v>
      </c>
      <c r="C614" s="70"/>
      <c r="D614" s="75"/>
      <c r="E614" s="75"/>
      <c r="F614" s="63"/>
      <c r="G614" s="64" t="str">
        <f t="shared" si="130"/>
        <v/>
      </c>
      <c r="H614" s="61"/>
      <c r="I614" s="61"/>
      <c r="J614" s="61"/>
      <c r="K614" s="65"/>
      <c r="L614" s="65"/>
      <c r="M614" s="66" t="str">
        <f t="shared" ca="1" si="131"/>
        <v/>
      </c>
      <c r="N614" s="80"/>
      <c r="O614" s="81"/>
    </row>
    <row r="615" spans="1:15" ht="15" customHeight="1">
      <c r="A615" s="18">
        <v>46257</v>
      </c>
      <c r="B615" s="68">
        <f t="shared" si="132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1"/>
        <v/>
      </c>
      <c r="N615" s="80"/>
      <c r="O615" s="81"/>
    </row>
    <row r="616" spans="1:15" ht="15" customHeight="1">
      <c r="A616" s="59">
        <v>46257</v>
      </c>
      <c r="B616" s="60">
        <f t="shared" si="132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1"/>
        <v/>
      </c>
      <c r="N616" s="80"/>
      <c r="O616" s="81"/>
    </row>
    <row r="617" spans="1:15" ht="15" customHeight="1">
      <c r="A617" s="18">
        <v>46257</v>
      </c>
      <c r="B617" s="68">
        <f t="shared" si="132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1"/>
        <v/>
      </c>
      <c r="N617" s="80"/>
      <c r="O617" s="81"/>
    </row>
    <row r="618" spans="1:15" ht="15" customHeight="1">
      <c r="A618" s="59">
        <v>46257</v>
      </c>
      <c r="B618" s="60">
        <f t="shared" si="132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1"/>
        <v/>
      </c>
      <c r="N618" s="80"/>
      <c r="O618" s="81"/>
    </row>
    <row r="619" spans="1:15" ht="15" customHeight="1">
      <c r="A619" s="18">
        <v>46257</v>
      </c>
      <c r="B619" s="68">
        <f t="shared" si="132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1"/>
        <v/>
      </c>
      <c r="N619" s="80"/>
      <c r="O619" s="81"/>
    </row>
    <row r="620" spans="1:15" ht="15" customHeight="1">
      <c r="A620" s="59">
        <v>46257</v>
      </c>
      <c r="B620" s="60">
        <f t="shared" si="132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1"/>
        <v/>
      </c>
      <c r="N620" s="80"/>
      <c r="O620" s="81"/>
    </row>
    <row r="621" spans="1:15" ht="15.75" customHeight="1">
      <c r="A621" s="153" t="s">
        <v>263</v>
      </c>
      <c r="B621" s="153"/>
      <c r="C621" s="153"/>
      <c r="D621" s="153"/>
      <c r="E621" s="15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4" t="s">
        <v>249</v>
      </c>
      <c r="B622" s="154"/>
      <c r="C622" s="154"/>
      <c r="D622" s="154"/>
      <c r="E622" s="15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3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4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5">B623+TIME(0,60,0)</f>
        <v>0.37499999999999967</v>
      </c>
      <c r="C624" s="70"/>
      <c r="D624" s="75"/>
      <c r="E624" s="75"/>
      <c r="F624" s="63"/>
      <c r="G624" s="64" t="str">
        <f t="shared" si="133"/>
        <v/>
      </c>
      <c r="H624" s="61"/>
      <c r="I624" s="61"/>
      <c r="J624" s="61"/>
      <c r="K624" s="65"/>
      <c r="L624" s="65"/>
      <c r="M624" s="66" t="str">
        <f t="shared" ca="1" si="134"/>
        <v/>
      </c>
      <c r="N624" s="80"/>
      <c r="O624" s="81"/>
    </row>
    <row r="625" spans="1:15" ht="15" customHeight="1">
      <c r="A625" s="18">
        <v>46258</v>
      </c>
      <c r="B625" s="68">
        <f t="shared" si="135"/>
        <v>0.41666666666666635</v>
      </c>
      <c r="C625" s="70"/>
      <c r="D625" s="75"/>
      <c r="E625" s="75"/>
      <c r="F625" s="63"/>
      <c r="G625" s="69" t="str">
        <f t="shared" si="133"/>
        <v/>
      </c>
      <c r="H625" s="70"/>
      <c r="I625" s="70"/>
      <c r="J625" s="70"/>
      <c r="K625" s="65"/>
      <c r="L625" s="65"/>
      <c r="M625" s="71" t="str">
        <f t="shared" ca="1" si="134"/>
        <v/>
      </c>
      <c r="N625" s="80"/>
      <c r="O625" s="81"/>
    </row>
    <row r="626" spans="1:15" ht="15" customHeight="1">
      <c r="A626" s="59">
        <v>46258</v>
      </c>
      <c r="B626" s="60">
        <f t="shared" si="135"/>
        <v>0.45833333333333304</v>
      </c>
      <c r="C626" s="70"/>
      <c r="D626" s="75"/>
      <c r="E626" s="75"/>
      <c r="F626" s="63"/>
      <c r="G626" s="64" t="str">
        <f t="shared" si="133"/>
        <v/>
      </c>
      <c r="H626" s="61"/>
      <c r="I626" s="61"/>
      <c r="J626" s="61"/>
      <c r="K626" s="65"/>
      <c r="L626" s="65"/>
      <c r="M626" s="66" t="str">
        <f t="shared" ca="1" si="134"/>
        <v/>
      </c>
      <c r="N626" s="80"/>
      <c r="O626" s="81"/>
    </row>
    <row r="627" spans="1:15" ht="15" customHeight="1">
      <c r="A627" s="18">
        <v>46258</v>
      </c>
      <c r="B627" s="68">
        <f t="shared" si="135"/>
        <v>0.49999999999999972</v>
      </c>
      <c r="C627" s="70"/>
      <c r="D627" s="75"/>
      <c r="E627" s="75"/>
      <c r="F627" s="63"/>
      <c r="G627" s="69" t="str">
        <f t="shared" si="133"/>
        <v/>
      </c>
      <c r="H627" s="70"/>
      <c r="I627" s="70"/>
      <c r="J627" s="70"/>
      <c r="K627" s="65"/>
      <c r="L627" s="65"/>
      <c r="M627" s="71" t="str">
        <f t="shared" ca="1" si="134"/>
        <v/>
      </c>
      <c r="N627" s="80"/>
      <c r="O627" s="81"/>
    </row>
    <row r="628" spans="1:15" ht="15" customHeight="1">
      <c r="A628" s="59">
        <v>46258</v>
      </c>
      <c r="B628" s="60">
        <f t="shared" si="135"/>
        <v>0.54166666666666641</v>
      </c>
      <c r="C628" s="70"/>
      <c r="D628" s="75"/>
      <c r="E628" s="75"/>
      <c r="F628" s="63"/>
      <c r="G628" s="64" t="str">
        <f t="shared" si="133"/>
        <v/>
      </c>
      <c r="H628" s="61"/>
      <c r="I628" s="61"/>
      <c r="J628" s="61"/>
      <c r="K628" s="65"/>
      <c r="L628" s="65"/>
      <c r="M628" s="66" t="str">
        <f t="shared" ca="1" si="134"/>
        <v/>
      </c>
      <c r="N628" s="80"/>
      <c r="O628" s="81"/>
    </row>
    <row r="629" spans="1:15" ht="15" customHeight="1">
      <c r="A629" s="18">
        <v>46258</v>
      </c>
      <c r="B629" s="68">
        <f t="shared" si="135"/>
        <v>0.58333333333333304</v>
      </c>
      <c r="C629" s="70"/>
      <c r="D629" s="75"/>
      <c r="E629" s="75"/>
      <c r="F629" s="63"/>
      <c r="G629" s="69" t="str">
        <f t="shared" si="133"/>
        <v/>
      </c>
      <c r="H629" s="70"/>
      <c r="I629" s="70"/>
      <c r="J629" s="70"/>
      <c r="K629" s="65"/>
      <c r="L629" s="65"/>
      <c r="M629" s="71" t="str">
        <f t="shared" ca="1" si="134"/>
        <v/>
      </c>
      <c r="N629" s="80"/>
      <c r="O629" s="81"/>
    </row>
    <row r="630" spans="1:15" ht="15" customHeight="1">
      <c r="A630" s="59">
        <v>46258</v>
      </c>
      <c r="B630" s="60">
        <f t="shared" si="135"/>
        <v>0.62499999999999967</v>
      </c>
      <c r="C630" s="70"/>
      <c r="D630" s="75"/>
      <c r="E630" s="75"/>
      <c r="F630" s="63"/>
      <c r="G630" s="64" t="str">
        <f t="shared" si="133"/>
        <v/>
      </c>
      <c r="H630" s="61"/>
      <c r="I630" s="61"/>
      <c r="J630" s="61"/>
      <c r="K630" s="65"/>
      <c r="L630" s="65"/>
      <c r="M630" s="66" t="str">
        <f t="shared" ca="1" si="134"/>
        <v/>
      </c>
      <c r="N630" s="80"/>
      <c r="O630" s="81"/>
    </row>
    <row r="631" spans="1:15" ht="15" customHeight="1">
      <c r="A631" s="18">
        <v>46258</v>
      </c>
      <c r="B631" s="68">
        <f t="shared" si="135"/>
        <v>0.6666666666666663</v>
      </c>
      <c r="C631" s="70"/>
      <c r="D631" s="75"/>
      <c r="E631" s="75"/>
      <c r="F631" s="63"/>
      <c r="G631" s="69" t="str">
        <f t="shared" si="133"/>
        <v/>
      </c>
      <c r="H631" s="70"/>
      <c r="I631" s="70"/>
      <c r="J631" s="70"/>
      <c r="K631" s="65"/>
      <c r="L631" s="65"/>
      <c r="M631" s="71" t="str">
        <f t="shared" ca="1" si="134"/>
        <v/>
      </c>
      <c r="N631" s="80"/>
      <c r="O631" s="81"/>
    </row>
    <row r="632" spans="1:15" ht="15" customHeight="1">
      <c r="A632" s="59">
        <v>46258</v>
      </c>
      <c r="B632" s="60">
        <f t="shared" si="135"/>
        <v>0.70833333333333293</v>
      </c>
      <c r="C632" s="70"/>
      <c r="D632" s="75"/>
      <c r="E632" s="75"/>
      <c r="F632" s="63"/>
      <c r="G632" s="64" t="str">
        <f t="shared" si="133"/>
        <v/>
      </c>
      <c r="H632" s="61"/>
      <c r="I632" s="61"/>
      <c r="J632" s="61"/>
      <c r="K632" s="65"/>
      <c r="L632" s="65"/>
      <c r="M632" s="66" t="str">
        <f t="shared" ca="1" si="134"/>
        <v/>
      </c>
      <c r="N632" s="80"/>
      <c r="O632" s="81"/>
    </row>
    <row r="633" spans="1:15" ht="15" customHeight="1">
      <c r="A633" s="18">
        <v>46258</v>
      </c>
      <c r="B633" s="68">
        <f t="shared" si="135"/>
        <v>0.74999999999999956</v>
      </c>
      <c r="C633" s="70"/>
      <c r="D633" s="75"/>
      <c r="E633" s="75"/>
      <c r="F633" s="63"/>
      <c r="G633" s="69" t="str">
        <f t="shared" si="133"/>
        <v/>
      </c>
      <c r="H633" s="70"/>
      <c r="I633" s="70"/>
      <c r="J633" s="70"/>
      <c r="K633" s="65"/>
      <c r="L633" s="65"/>
      <c r="M633" s="71" t="str">
        <f t="shared" ca="1" si="134"/>
        <v/>
      </c>
      <c r="N633" s="80"/>
      <c r="O633" s="81"/>
    </row>
    <row r="634" spans="1:15" ht="15" customHeight="1">
      <c r="A634" s="59">
        <v>46258</v>
      </c>
      <c r="B634" s="60">
        <f t="shared" si="135"/>
        <v>0.79166666666666619</v>
      </c>
      <c r="C634" s="70"/>
      <c r="D634" s="75"/>
      <c r="E634" s="75"/>
      <c r="F634" s="63"/>
      <c r="G634" s="64" t="str">
        <f t="shared" si="133"/>
        <v/>
      </c>
      <c r="H634" s="61"/>
      <c r="I634" s="61"/>
      <c r="J634" s="61"/>
      <c r="K634" s="65"/>
      <c r="L634" s="65"/>
      <c r="M634" s="66" t="str">
        <f t="shared" ca="1" si="134"/>
        <v/>
      </c>
      <c r="N634" s="80"/>
      <c r="O634" s="81"/>
    </row>
    <row r="635" spans="1:15" ht="15.75" customHeight="1">
      <c r="A635" s="153" t="s">
        <v>260</v>
      </c>
      <c r="B635" s="153"/>
      <c r="C635" s="153"/>
      <c r="D635" s="153"/>
      <c r="E635" s="15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6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7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8">B636+TIME(0,60,0)</f>
        <v>0.87499999999999967</v>
      </c>
      <c r="C637" s="61"/>
      <c r="D637" s="62"/>
      <c r="E637" s="62"/>
      <c r="F637" s="63"/>
      <c r="G637" s="69" t="str">
        <f t="shared" si="136"/>
        <v/>
      </c>
      <c r="H637" s="70"/>
      <c r="I637" s="70"/>
      <c r="J637" s="70"/>
      <c r="K637" s="65"/>
      <c r="L637" s="65"/>
      <c r="M637" s="71" t="str">
        <f t="shared" ca="1" si="137"/>
        <v/>
      </c>
      <c r="N637" s="80"/>
      <c r="O637" s="81"/>
    </row>
    <row r="638" spans="1:15" ht="15" customHeight="1">
      <c r="A638" s="59">
        <v>46258</v>
      </c>
      <c r="B638" s="60">
        <f t="shared" si="138"/>
        <v>0.9166666666666663</v>
      </c>
      <c r="C638" s="61"/>
      <c r="D638" s="62"/>
      <c r="E638" s="62"/>
      <c r="F638" s="63"/>
      <c r="G638" s="64" t="str">
        <f t="shared" si="136"/>
        <v/>
      </c>
      <c r="H638" s="61"/>
      <c r="I638" s="61"/>
      <c r="J638" s="61"/>
      <c r="K638" s="65"/>
      <c r="L638" s="65"/>
      <c r="M638" s="66" t="str">
        <f t="shared" ca="1" si="137"/>
        <v/>
      </c>
      <c r="N638" s="80"/>
      <c r="O638" s="81"/>
    </row>
    <row r="639" spans="1:15" ht="15" customHeight="1">
      <c r="A639" s="18">
        <v>46258</v>
      </c>
      <c r="B639" s="68">
        <f t="shared" si="138"/>
        <v>0.95833333333333293</v>
      </c>
      <c r="C639" s="61"/>
      <c r="D639" s="62"/>
      <c r="E639" s="62"/>
      <c r="F639" s="63"/>
      <c r="G639" s="69" t="str">
        <f t="shared" si="136"/>
        <v/>
      </c>
      <c r="H639" s="70"/>
      <c r="I639" s="70"/>
      <c r="J639" s="70"/>
      <c r="K639" s="65"/>
      <c r="L639" s="65"/>
      <c r="M639" s="71" t="str">
        <f t="shared" ca="1" si="137"/>
        <v/>
      </c>
      <c r="N639" s="80"/>
      <c r="O639" s="81"/>
    </row>
    <row r="640" spans="1:15" ht="15" customHeight="1">
      <c r="A640" s="59">
        <v>46258</v>
      </c>
      <c r="B640" s="60">
        <f t="shared" si="138"/>
        <v>0.99999999999999956</v>
      </c>
      <c r="C640" s="61"/>
      <c r="D640" s="62"/>
      <c r="E640" s="62"/>
      <c r="F640" s="63"/>
      <c r="G640" s="64" t="str">
        <f t="shared" si="136"/>
        <v/>
      </c>
      <c r="H640" s="61"/>
      <c r="I640" s="61"/>
      <c r="J640" s="61"/>
      <c r="K640" s="65"/>
      <c r="L640" s="65"/>
      <c r="M640" s="66" t="str">
        <f t="shared" ca="1" si="137"/>
        <v/>
      </c>
      <c r="N640" s="80"/>
      <c r="O640" s="81"/>
    </row>
    <row r="641" spans="1:15" ht="15" customHeight="1">
      <c r="A641" s="18">
        <v>46258</v>
      </c>
      <c r="B641" s="68">
        <f t="shared" si="138"/>
        <v>1.0416666666666663</v>
      </c>
      <c r="C641" s="61"/>
      <c r="D641" s="62"/>
      <c r="E641" s="62"/>
      <c r="F641" s="63"/>
      <c r="G641" s="69" t="str">
        <f t="shared" si="136"/>
        <v/>
      </c>
      <c r="H641" s="70"/>
      <c r="I641" s="70"/>
      <c r="J641" s="70"/>
      <c r="K641" s="65"/>
      <c r="L641" s="65"/>
      <c r="M641" s="71" t="str">
        <f t="shared" ca="1" si="137"/>
        <v/>
      </c>
      <c r="N641" s="80"/>
      <c r="O641" s="81"/>
    </row>
    <row r="642" spans="1:15" ht="15" customHeight="1">
      <c r="A642" s="59">
        <v>46258</v>
      </c>
      <c r="B642" s="60">
        <f t="shared" si="138"/>
        <v>1.083333333333333</v>
      </c>
      <c r="C642" s="61"/>
      <c r="D642" s="62"/>
      <c r="E642" s="62"/>
      <c r="F642" s="63"/>
      <c r="G642" s="64" t="str">
        <f t="shared" si="136"/>
        <v/>
      </c>
      <c r="H642" s="61"/>
      <c r="I642" s="61"/>
      <c r="J642" s="61"/>
      <c r="K642" s="65"/>
      <c r="L642" s="65"/>
      <c r="M642" s="66" t="str">
        <f t="shared" ca="1" si="137"/>
        <v/>
      </c>
      <c r="N642" s="80"/>
      <c r="O642" s="81"/>
    </row>
    <row r="643" spans="1:15" ht="15" customHeight="1">
      <c r="A643" s="18">
        <v>46258</v>
      </c>
      <c r="B643" s="68">
        <f t="shared" si="138"/>
        <v>1.1249999999999998</v>
      </c>
      <c r="C643" s="61"/>
      <c r="D643" s="62"/>
      <c r="E643" s="62"/>
      <c r="F643" s="63"/>
      <c r="G643" s="69" t="str">
        <f t="shared" si="136"/>
        <v/>
      </c>
      <c r="H643" s="70"/>
      <c r="I643" s="70"/>
      <c r="J643" s="70"/>
      <c r="K643" s="65"/>
      <c r="L643" s="65"/>
      <c r="M643" s="71" t="str">
        <f t="shared" ca="1" si="137"/>
        <v/>
      </c>
      <c r="N643" s="80"/>
      <c r="O643" s="81"/>
    </row>
    <row r="644" spans="1:15" ht="15" customHeight="1">
      <c r="A644" s="59">
        <v>46258</v>
      </c>
      <c r="B644" s="60">
        <f t="shared" si="138"/>
        <v>1.1666666666666665</v>
      </c>
      <c r="C644" s="61"/>
      <c r="D644" s="62"/>
      <c r="E644" s="62"/>
      <c r="F644" s="63"/>
      <c r="G644" s="64" t="str">
        <f t="shared" si="136"/>
        <v/>
      </c>
      <c r="H644" s="61"/>
      <c r="I644" s="61"/>
      <c r="J644" s="61"/>
      <c r="K644" s="65"/>
      <c r="L644" s="65"/>
      <c r="M644" s="66" t="str">
        <f t="shared" ca="1" si="137"/>
        <v/>
      </c>
      <c r="N644" s="80"/>
      <c r="O644" s="81"/>
    </row>
    <row r="645" spans="1:15" ht="15" customHeight="1">
      <c r="A645" s="18">
        <v>46258</v>
      </c>
      <c r="B645" s="68">
        <f t="shared" si="138"/>
        <v>1.2083333333333333</v>
      </c>
      <c r="C645" s="61"/>
      <c r="D645" s="62"/>
      <c r="E645" s="62"/>
      <c r="F645" s="63"/>
      <c r="G645" s="69" t="str">
        <f t="shared" si="136"/>
        <v/>
      </c>
      <c r="H645" s="70"/>
      <c r="I645" s="70"/>
      <c r="J645" s="70"/>
      <c r="K645" s="65"/>
      <c r="L645" s="65"/>
      <c r="M645" s="71" t="str">
        <f t="shared" ca="1" si="137"/>
        <v/>
      </c>
      <c r="N645" s="80"/>
      <c r="O645" s="81"/>
    </row>
    <row r="646" spans="1:15" ht="15" customHeight="1">
      <c r="A646" s="59">
        <v>46258</v>
      </c>
      <c r="B646" s="60">
        <f t="shared" si="138"/>
        <v>1.25</v>
      </c>
      <c r="C646" s="61"/>
      <c r="D646" s="62"/>
      <c r="E646" s="62"/>
      <c r="F646" s="63"/>
      <c r="G646" s="64" t="str">
        <f t="shared" si="136"/>
        <v/>
      </c>
      <c r="H646" s="61"/>
      <c r="I646" s="61"/>
      <c r="J646" s="61"/>
      <c r="K646" s="65"/>
      <c r="L646" s="65"/>
      <c r="M646" s="66" t="str">
        <f t="shared" ca="1" si="137"/>
        <v/>
      </c>
      <c r="N646" s="80"/>
      <c r="O646" s="81"/>
    </row>
    <row r="647" spans="1:15" ht="15" customHeight="1">
      <c r="A647" s="18">
        <v>46258</v>
      </c>
      <c r="B647" s="68">
        <f t="shared" si="138"/>
        <v>1.2916666666666667</v>
      </c>
      <c r="C647" s="61"/>
      <c r="D647" s="62"/>
      <c r="E647" s="62"/>
      <c r="F647" s="63"/>
      <c r="G647" s="69" t="str">
        <f t="shared" si="136"/>
        <v/>
      </c>
      <c r="H647" s="70"/>
      <c r="I647" s="70"/>
      <c r="J647" s="70"/>
      <c r="K647" s="65"/>
      <c r="L647" s="65"/>
      <c r="M647" s="71" t="str">
        <f t="shared" ca="1" si="137"/>
        <v/>
      </c>
      <c r="N647" s="80"/>
      <c r="O647" s="81"/>
    </row>
    <row r="648" spans="1:15" ht="15.75" customHeight="1">
      <c r="A648" s="153" t="s">
        <v>263</v>
      </c>
      <c r="B648" s="153"/>
      <c r="C648" s="153"/>
      <c r="D648" s="153"/>
      <c r="E648" s="15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4" t="s">
        <v>249</v>
      </c>
      <c r="B649" s="154"/>
      <c r="C649" s="154"/>
      <c r="D649" s="154"/>
      <c r="E649" s="15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39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0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1">B650+TIME(0,60,0)</f>
        <v>0.37499999999999967</v>
      </c>
      <c r="C651" s="61"/>
      <c r="D651" s="62"/>
      <c r="E651" s="62"/>
      <c r="F651" s="63"/>
      <c r="G651" s="69" t="str">
        <f t="shared" si="139"/>
        <v/>
      </c>
      <c r="H651" s="70"/>
      <c r="I651" s="70"/>
      <c r="J651" s="70"/>
      <c r="K651" s="65"/>
      <c r="L651" s="65"/>
      <c r="M651" s="71" t="str">
        <f t="shared" ca="1" si="140"/>
        <v/>
      </c>
      <c r="N651" s="80"/>
      <c r="O651" s="81"/>
    </row>
    <row r="652" spans="1:15" ht="15" customHeight="1">
      <c r="A652" s="59">
        <v>46259</v>
      </c>
      <c r="B652" s="60">
        <f t="shared" si="141"/>
        <v>0.41666666666666635</v>
      </c>
      <c r="C652" s="61"/>
      <c r="D652" s="62"/>
      <c r="E652" s="62"/>
      <c r="F652" s="63"/>
      <c r="G652" s="69" t="str">
        <f t="shared" si="139"/>
        <v/>
      </c>
      <c r="H652" s="61"/>
      <c r="I652" s="61"/>
      <c r="J652" s="61"/>
      <c r="K652" s="65"/>
      <c r="L652" s="65"/>
      <c r="M652" s="66" t="str">
        <f t="shared" ca="1" si="140"/>
        <v/>
      </c>
      <c r="N652" s="80"/>
      <c r="O652" s="81"/>
    </row>
    <row r="653" spans="1:15" ht="15" customHeight="1">
      <c r="A653" s="18">
        <v>46259</v>
      </c>
      <c r="B653" s="68">
        <f t="shared" si="141"/>
        <v>0.45833333333333304</v>
      </c>
      <c r="C653" s="61"/>
      <c r="D653" s="62"/>
      <c r="E653" s="62"/>
      <c r="F653" s="63"/>
      <c r="G653" s="69" t="str">
        <f t="shared" si="139"/>
        <v/>
      </c>
      <c r="H653" s="70"/>
      <c r="I653" s="70"/>
      <c r="J653" s="70"/>
      <c r="K653" s="65"/>
      <c r="L653" s="65"/>
      <c r="M653" s="71" t="str">
        <f t="shared" ca="1" si="140"/>
        <v/>
      </c>
      <c r="N653" s="80"/>
      <c r="O653" s="81"/>
    </row>
    <row r="654" spans="1:15" ht="15" customHeight="1">
      <c r="A654" s="59">
        <v>46259</v>
      </c>
      <c r="B654" s="60">
        <f t="shared" si="141"/>
        <v>0.49999999999999972</v>
      </c>
      <c r="C654" s="61"/>
      <c r="D654" s="62"/>
      <c r="E654" s="62"/>
      <c r="F654" s="63"/>
      <c r="G654" s="64" t="str">
        <f t="shared" si="139"/>
        <v/>
      </c>
      <c r="H654" s="61"/>
      <c r="I654" s="61"/>
      <c r="J654" s="61"/>
      <c r="K654" s="65"/>
      <c r="L654" s="65"/>
      <c r="M654" s="66" t="str">
        <f t="shared" ca="1" si="140"/>
        <v/>
      </c>
      <c r="N654" s="80"/>
      <c r="O654" s="81"/>
    </row>
    <row r="655" spans="1:15" ht="15" customHeight="1">
      <c r="A655" s="18">
        <v>46259</v>
      </c>
      <c r="B655" s="68">
        <f t="shared" si="141"/>
        <v>0.54166666666666641</v>
      </c>
      <c r="C655" s="61"/>
      <c r="D655" s="62"/>
      <c r="E655" s="62"/>
      <c r="F655" s="63"/>
      <c r="G655" s="69" t="str">
        <f t="shared" si="139"/>
        <v/>
      </c>
      <c r="H655" s="70"/>
      <c r="I655" s="70"/>
      <c r="J655" s="70"/>
      <c r="K655" s="65"/>
      <c r="L655" s="65"/>
      <c r="M655" s="71" t="str">
        <f t="shared" ca="1" si="140"/>
        <v/>
      </c>
      <c r="N655" s="80"/>
      <c r="O655" s="81"/>
    </row>
    <row r="656" spans="1:15" ht="15" customHeight="1">
      <c r="A656" s="59">
        <v>46259</v>
      </c>
      <c r="B656" s="60">
        <f t="shared" si="141"/>
        <v>0.58333333333333304</v>
      </c>
      <c r="C656" s="61"/>
      <c r="D656" s="62"/>
      <c r="E656" s="62"/>
      <c r="F656" s="63"/>
      <c r="G656" s="64" t="str">
        <f t="shared" si="139"/>
        <v/>
      </c>
      <c r="H656" s="61"/>
      <c r="I656" s="61"/>
      <c r="J656" s="61"/>
      <c r="K656" s="65"/>
      <c r="L656" s="65"/>
      <c r="M656" s="66" t="str">
        <f t="shared" ca="1" si="140"/>
        <v/>
      </c>
      <c r="N656" s="80"/>
      <c r="O656" s="81"/>
    </row>
    <row r="657" spans="1:15" ht="15" customHeight="1">
      <c r="A657" s="18">
        <v>46259</v>
      </c>
      <c r="B657" s="68">
        <f t="shared" si="141"/>
        <v>0.62499999999999967</v>
      </c>
      <c r="C657" s="61"/>
      <c r="D657" s="62"/>
      <c r="E657" s="62"/>
      <c r="F657" s="63"/>
      <c r="G657" s="69" t="str">
        <f t="shared" si="139"/>
        <v/>
      </c>
      <c r="H657" s="70"/>
      <c r="I657" s="70"/>
      <c r="J657" s="70"/>
      <c r="K657" s="65"/>
      <c r="L657" s="65"/>
      <c r="M657" s="71" t="str">
        <f t="shared" ca="1" si="140"/>
        <v/>
      </c>
      <c r="N657" s="80"/>
      <c r="O657" s="81"/>
    </row>
    <row r="658" spans="1:15" ht="15" customHeight="1">
      <c r="A658" s="59">
        <v>46259</v>
      </c>
      <c r="B658" s="60">
        <f t="shared" si="141"/>
        <v>0.6666666666666663</v>
      </c>
      <c r="C658" s="61"/>
      <c r="D658" s="62"/>
      <c r="E658" s="62"/>
      <c r="F658" s="63"/>
      <c r="G658" s="64" t="str">
        <f t="shared" si="139"/>
        <v/>
      </c>
      <c r="H658" s="61"/>
      <c r="I658" s="61"/>
      <c r="J658" s="61"/>
      <c r="K658" s="65"/>
      <c r="L658" s="65"/>
      <c r="M658" s="66" t="str">
        <f t="shared" ca="1" si="140"/>
        <v/>
      </c>
      <c r="N658" s="80"/>
      <c r="O658" s="81"/>
    </row>
    <row r="659" spans="1:15" ht="15" customHeight="1">
      <c r="A659" s="18">
        <v>46259</v>
      </c>
      <c r="B659" s="68">
        <f t="shared" si="141"/>
        <v>0.70833333333333293</v>
      </c>
      <c r="C659" s="61"/>
      <c r="D659" s="62"/>
      <c r="E659" s="62"/>
      <c r="F659" s="63"/>
      <c r="G659" s="69" t="str">
        <f t="shared" si="139"/>
        <v/>
      </c>
      <c r="H659" s="70"/>
      <c r="I659" s="70"/>
      <c r="J659" s="70"/>
      <c r="K659" s="65"/>
      <c r="L659" s="65"/>
      <c r="M659" s="71" t="str">
        <f t="shared" ca="1" si="140"/>
        <v/>
      </c>
      <c r="N659" s="80"/>
      <c r="O659" s="81"/>
    </row>
    <row r="660" spans="1:15" ht="15" customHeight="1">
      <c r="A660" s="59">
        <v>46259</v>
      </c>
      <c r="B660" s="60">
        <f t="shared" si="141"/>
        <v>0.74999999999999956</v>
      </c>
      <c r="C660" s="61"/>
      <c r="D660" s="62"/>
      <c r="E660" s="62"/>
      <c r="F660" s="63"/>
      <c r="G660" s="64" t="str">
        <f t="shared" si="139"/>
        <v/>
      </c>
      <c r="H660" s="61"/>
      <c r="I660" s="61"/>
      <c r="J660" s="61"/>
      <c r="K660" s="65"/>
      <c r="L660" s="65"/>
      <c r="M660" s="66" t="str">
        <f t="shared" ca="1" si="140"/>
        <v/>
      </c>
      <c r="N660" s="80"/>
      <c r="O660" s="81"/>
    </row>
    <row r="661" spans="1:15" ht="15" customHeight="1">
      <c r="A661" s="18">
        <v>46259</v>
      </c>
      <c r="B661" s="68">
        <f t="shared" si="141"/>
        <v>0.79166666666666619</v>
      </c>
      <c r="C661" s="61"/>
      <c r="D661" s="62"/>
      <c r="E661" s="62"/>
      <c r="F661" s="63"/>
      <c r="G661" s="69" t="str">
        <f t="shared" si="139"/>
        <v/>
      </c>
      <c r="H661" s="70"/>
      <c r="I661" s="70"/>
      <c r="J661" s="70"/>
      <c r="K661" s="65"/>
      <c r="L661" s="65"/>
      <c r="M661" s="71" t="str">
        <f t="shared" ca="1" si="140"/>
        <v/>
      </c>
      <c r="N661" s="80"/>
      <c r="O661" s="81"/>
    </row>
    <row r="662" spans="1:15" ht="15.75" customHeight="1">
      <c r="A662" s="153" t="s">
        <v>260</v>
      </c>
      <c r="B662" s="153"/>
      <c r="C662" s="153"/>
      <c r="D662" s="153"/>
      <c r="E662" s="15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2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3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4">B663+TIME(0,60,0)</f>
        <v>0.87499999999999967</v>
      </c>
      <c r="C664" s="70"/>
      <c r="D664" s="75"/>
      <c r="E664" s="75"/>
      <c r="F664" s="63"/>
      <c r="G664" s="64" t="str">
        <f t="shared" si="142"/>
        <v/>
      </c>
      <c r="H664" s="61"/>
      <c r="I664" s="61"/>
      <c r="J664" s="61"/>
      <c r="K664" s="65"/>
      <c r="L664" s="65"/>
      <c r="M664" s="66" t="str">
        <f t="shared" ca="1" si="143"/>
        <v/>
      </c>
      <c r="N664" s="80"/>
      <c r="O664" s="81"/>
    </row>
    <row r="665" spans="1:15" ht="15" customHeight="1">
      <c r="A665" s="18">
        <v>46259</v>
      </c>
      <c r="B665" s="68">
        <f t="shared" si="144"/>
        <v>0.9166666666666663</v>
      </c>
      <c r="C665" s="70"/>
      <c r="D665" s="75"/>
      <c r="E665" s="75"/>
      <c r="F665" s="63"/>
      <c r="G665" s="69" t="str">
        <f t="shared" si="142"/>
        <v/>
      </c>
      <c r="H665" s="70"/>
      <c r="I665" s="70"/>
      <c r="J665" s="70"/>
      <c r="K665" s="65"/>
      <c r="L665" s="65"/>
      <c r="M665" s="71" t="str">
        <f t="shared" ca="1" si="143"/>
        <v/>
      </c>
      <c r="N665" s="80"/>
      <c r="O665" s="81"/>
    </row>
    <row r="666" spans="1:15" ht="15" customHeight="1">
      <c r="A666" s="59">
        <v>46259</v>
      </c>
      <c r="B666" s="60">
        <f t="shared" si="144"/>
        <v>0.95833333333333293</v>
      </c>
      <c r="C666" s="70"/>
      <c r="D666" s="75"/>
      <c r="E666" s="75"/>
      <c r="F666" s="63"/>
      <c r="G666" s="64" t="str">
        <f t="shared" si="142"/>
        <v/>
      </c>
      <c r="H666" s="61"/>
      <c r="I666" s="61"/>
      <c r="J666" s="61"/>
      <c r="K666" s="65"/>
      <c r="L666" s="65"/>
      <c r="M666" s="66" t="str">
        <f t="shared" ca="1" si="143"/>
        <v/>
      </c>
      <c r="N666" s="80"/>
      <c r="O666" s="81"/>
    </row>
    <row r="667" spans="1:15" ht="15" customHeight="1">
      <c r="A667" s="18">
        <v>46259</v>
      </c>
      <c r="B667" s="68">
        <f t="shared" si="144"/>
        <v>0.99999999999999956</v>
      </c>
      <c r="C667" s="70"/>
      <c r="D667" s="75"/>
      <c r="E667" s="75"/>
      <c r="F667" s="63"/>
      <c r="G667" s="69" t="str">
        <f t="shared" si="142"/>
        <v/>
      </c>
      <c r="H667" s="70"/>
      <c r="I667" s="70"/>
      <c r="J667" s="70"/>
      <c r="K667" s="65"/>
      <c r="L667" s="65"/>
      <c r="M667" s="71" t="str">
        <f t="shared" ca="1" si="143"/>
        <v/>
      </c>
      <c r="N667" s="80"/>
      <c r="O667" s="81"/>
    </row>
    <row r="668" spans="1:15" ht="15" customHeight="1">
      <c r="A668" s="59">
        <v>46259</v>
      </c>
      <c r="B668" s="60">
        <f t="shared" si="144"/>
        <v>1.0416666666666663</v>
      </c>
      <c r="C668" s="70"/>
      <c r="D668" s="75"/>
      <c r="E668" s="75"/>
      <c r="F668" s="63"/>
      <c r="G668" s="64" t="str">
        <f t="shared" si="142"/>
        <v/>
      </c>
      <c r="H668" s="61"/>
      <c r="I668" s="61"/>
      <c r="J668" s="61"/>
      <c r="K668" s="65"/>
      <c r="L668" s="65"/>
      <c r="M668" s="66" t="str">
        <f t="shared" ca="1" si="143"/>
        <v/>
      </c>
      <c r="N668" s="80"/>
      <c r="O668" s="81"/>
    </row>
    <row r="669" spans="1:15" ht="15" customHeight="1">
      <c r="A669" s="18">
        <v>46259</v>
      </c>
      <c r="B669" s="68">
        <f t="shared" si="144"/>
        <v>1.083333333333333</v>
      </c>
      <c r="C669" s="70"/>
      <c r="D669" s="75"/>
      <c r="E669" s="75"/>
      <c r="F669" s="63"/>
      <c r="G669" s="69" t="str">
        <f t="shared" si="142"/>
        <v/>
      </c>
      <c r="H669" s="70"/>
      <c r="I669" s="70"/>
      <c r="J669" s="70"/>
      <c r="K669" s="65"/>
      <c r="L669" s="65"/>
      <c r="M669" s="71" t="str">
        <f t="shared" ca="1" si="143"/>
        <v/>
      </c>
      <c r="N669" s="80"/>
      <c r="O669" s="81"/>
    </row>
    <row r="670" spans="1:15" ht="15" customHeight="1">
      <c r="A670" s="59">
        <v>46259</v>
      </c>
      <c r="B670" s="60">
        <f t="shared" si="144"/>
        <v>1.1249999999999998</v>
      </c>
      <c r="C670" s="70"/>
      <c r="D670" s="75"/>
      <c r="E670" s="75"/>
      <c r="F670" s="63"/>
      <c r="G670" s="64" t="str">
        <f t="shared" si="142"/>
        <v/>
      </c>
      <c r="H670" s="61"/>
      <c r="I670" s="61"/>
      <c r="J670" s="61"/>
      <c r="K670" s="65"/>
      <c r="L670" s="65"/>
      <c r="M670" s="66" t="str">
        <f t="shared" ca="1" si="143"/>
        <v/>
      </c>
      <c r="N670" s="80"/>
      <c r="O670" s="81"/>
    </row>
    <row r="671" spans="1:15" ht="15" customHeight="1">
      <c r="A671" s="18">
        <v>46259</v>
      </c>
      <c r="B671" s="68">
        <f t="shared" si="144"/>
        <v>1.1666666666666665</v>
      </c>
      <c r="C671" s="70"/>
      <c r="D671" s="75"/>
      <c r="E671" s="75"/>
      <c r="F671" s="63"/>
      <c r="G671" s="69" t="str">
        <f t="shared" si="142"/>
        <v/>
      </c>
      <c r="H671" s="70"/>
      <c r="I671" s="70"/>
      <c r="J671" s="70"/>
      <c r="K671" s="65"/>
      <c r="L671" s="65"/>
      <c r="M671" s="71" t="str">
        <f t="shared" ca="1" si="143"/>
        <v/>
      </c>
      <c r="N671" s="80"/>
      <c r="O671" s="81"/>
    </row>
    <row r="672" spans="1:15" ht="15" customHeight="1">
      <c r="A672" s="59">
        <v>46259</v>
      </c>
      <c r="B672" s="60">
        <f t="shared" si="144"/>
        <v>1.2083333333333333</v>
      </c>
      <c r="C672" s="70"/>
      <c r="D672" s="75"/>
      <c r="E672" s="75"/>
      <c r="F672" s="63"/>
      <c r="G672" s="64" t="str">
        <f t="shared" si="142"/>
        <v/>
      </c>
      <c r="H672" s="61"/>
      <c r="I672" s="61"/>
      <c r="J672" s="61"/>
      <c r="K672" s="65"/>
      <c r="L672" s="65"/>
      <c r="M672" s="66" t="str">
        <f t="shared" ca="1" si="143"/>
        <v/>
      </c>
      <c r="N672" s="80"/>
      <c r="O672" s="81"/>
    </row>
    <row r="673" spans="1:15" ht="15" customHeight="1">
      <c r="A673" s="18">
        <v>46259</v>
      </c>
      <c r="B673" s="68">
        <f t="shared" si="144"/>
        <v>1.25</v>
      </c>
      <c r="C673" s="70"/>
      <c r="D673" s="75"/>
      <c r="E673" s="75"/>
      <c r="F673" s="63"/>
      <c r="G673" s="69" t="str">
        <f t="shared" si="142"/>
        <v/>
      </c>
      <c r="H673" s="70"/>
      <c r="I673" s="70"/>
      <c r="J673" s="70"/>
      <c r="K673" s="65"/>
      <c r="L673" s="65"/>
      <c r="M673" s="71" t="str">
        <f t="shared" ca="1" si="143"/>
        <v/>
      </c>
      <c r="N673" s="80"/>
      <c r="O673" s="81"/>
    </row>
    <row r="674" spans="1:15" ht="15" customHeight="1">
      <c r="A674" s="59">
        <v>46259</v>
      </c>
      <c r="B674" s="60">
        <f t="shared" si="144"/>
        <v>1.2916666666666667</v>
      </c>
      <c r="C674" s="61"/>
      <c r="D674" s="62"/>
      <c r="E674" s="62"/>
      <c r="F674" s="63"/>
      <c r="G674" s="64" t="str">
        <f t="shared" si="142"/>
        <v/>
      </c>
      <c r="H674" s="61"/>
      <c r="I674" s="61"/>
      <c r="J674" s="61"/>
      <c r="K674" s="65"/>
      <c r="L674" s="65"/>
      <c r="M674" s="66" t="str">
        <f t="shared" ca="1" si="143"/>
        <v/>
      </c>
      <c r="N674" s="80"/>
      <c r="O674" s="81"/>
    </row>
    <row r="675" spans="1:15" ht="15.75" customHeight="1">
      <c r="A675" s="153" t="s">
        <v>263</v>
      </c>
      <c r="B675" s="153"/>
      <c r="C675" s="153"/>
      <c r="D675" s="153"/>
      <c r="E675" s="15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4" t="s">
        <v>249</v>
      </c>
      <c r="B676" s="154"/>
      <c r="C676" s="154"/>
      <c r="D676" s="154"/>
      <c r="E676" s="15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5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6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7">B677+TIME(0,60,0)</f>
        <v>0.37499999999999967</v>
      </c>
      <c r="C678" s="70"/>
      <c r="D678" s="75"/>
      <c r="E678" s="75"/>
      <c r="F678" s="63"/>
      <c r="G678" s="64" t="str">
        <f t="shared" si="145"/>
        <v/>
      </c>
      <c r="H678" s="61"/>
      <c r="I678" s="61"/>
      <c r="J678" s="61"/>
      <c r="K678" s="65"/>
      <c r="L678" s="65"/>
      <c r="M678" s="66" t="str">
        <f t="shared" ca="1" si="146"/>
        <v/>
      </c>
      <c r="N678" s="80"/>
      <c r="O678" s="81"/>
    </row>
    <row r="679" spans="1:15" ht="15" customHeight="1">
      <c r="A679" s="18">
        <v>46260</v>
      </c>
      <c r="B679" s="68">
        <f t="shared" si="147"/>
        <v>0.41666666666666635</v>
      </c>
      <c r="C679" s="70"/>
      <c r="D679" s="75"/>
      <c r="E679" s="75"/>
      <c r="F679" s="63"/>
      <c r="G679" s="69" t="str">
        <f t="shared" si="145"/>
        <v/>
      </c>
      <c r="H679" s="70"/>
      <c r="I679" s="70"/>
      <c r="J679" s="70"/>
      <c r="K679" s="65"/>
      <c r="L679" s="65"/>
      <c r="M679" s="71" t="str">
        <f t="shared" ca="1" si="146"/>
        <v/>
      </c>
      <c r="N679" s="80"/>
      <c r="O679" s="81"/>
    </row>
    <row r="680" spans="1:15" ht="15" customHeight="1">
      <c r="A680" s="59">
        <v>46260</v>
      </c>
      <c r="B680" s="60">
        <f t="shared" si="147"/>
        <v>0.45833333333333304</v>
      </c>
      <c r="C680" s="70"/>
      <c r="D680" s="75"/>
      <c r="E680" s="75"/>
      <c r="F680" s="63"/>
      <c r="G680" s="64" t="str">
        <f t="shared" si="145"/>
        <v/>
      </c>
      <c r="H680" s="61"/>
      <c r="I680" s="61"/>
      <c r="J680" s="61"/>
      <c r="K680" s="65"/>
      <c r="L680" s="65"/>
      <c r="M680" s="66" t="str">
        <f t="shared" ca="1" si="146"/>
        <v/>
      </c>
      <c r="N680" s="80"/>
      <c r="O680" s="81"/>
    </row>
    <row r="681" spans="1:15" ht="15" customHeight="1">
      <c r="A681" s="18">
        <v>46260</v>
      </c>
      <c r="B681" s="68">
        <f t="shared" si="147"/>
        <v>0.49999999999999972</v>
      </c>
      <c r="C681" s="70"/>
      <c r="D681" s="75"/>
      <c r="E681" s="75"/>
      <c r="F681" s="63"/>
      <c r="G681" s="69" t="str">
        <f t="shared" si="145"/>
        <v/>
      </c>
      <c r="H681" s="70"/>
      <c r="I681" s="70"/>
      <c r="J681" s="70"/>
      <c r="K681" s="65"/>
      <c r="L681" s="65"/>
      <c r="M681" s="71" t="str">
        <f t="shared" ca="1" si="146"/>
        <v/>
      </c>
      <c r="N681" s="80"/>
      <c r="O681" s="81"/>
    </row>
    <row r="682" spans="1:15" ht="15" customHeight="1">
      <c r="A682" s="59">
        <v>46260</v>
      </c>
      <c r="B682" s="60">
        <f t="shared" si="147"/>
        <v>0.54166666666666641</v>
      </c>
      <c r="C682" s="70"/>
      <c r="D682" s="75"/>
      <c r="E682" s="75"/>
      <c r="F682" s="63"/>
      <c r="G682" s="64" t="str">
        <f t="shared" si="145"/>
        <v/>
      </c>
      <c r="H682" s="61"/>
      <c r="I682" s="61"/>
      <c r="J682" s="61"/>
      <c r="K682" s="65"/>
      <c r="L682" s="65"/>
      <c r="M682" s="66" t="str">
        <f t="shared" ca="1" si="146"/>
        <v/>
      </c>
      <c r="N682" s="80"/>
      <c r="O682" s="81"/>
    </row>
    <row r="683" spans="1:15" ht="15" customHeight="1">
      <c r="A683" s="18">
        <v>46260</v>
      </c>
      <c r="B683" s="68">
        <f t="shared" si="147"/>
        <v>0.58333333333333304</v>
      </c>
      <c r="C683" s="70"/>
      <c r="D683" s="75"/>
      <c r="E683" s="75"/>
      <c r="F683" s="63"/>
      <c r="G683" s="69" t="str">
        <f t="shared" si="145"/>
        <v/>
      </c>
      <c r="H683" s="70"/>
      <c r="I683" s="70"/>
      <c r="J683" s="70"/>
      <c r="K683" s="65"/>
      <c r="L683" s="65"/>
      <c r="M683" s="71" t="str">
        <f t="shared" ca="1" si="146"/>
        <v/>
      </c>
      <c r="N683" s="80"/>
      <c r="O683" s="81"/>
    </row>
    <row r="684" spans="1:15" ht="15" customHeight="1">
      <c r="A684" s="59">
        <v>46260</v>
      </c>
      <c r="B684" s="60">
        <f t="shared" si="147"/>
        <v>0.62499999999999967</v>
      </c>
      <c r="C684" s="70"/>
      <c r="D684" s="75"/>
      <c r="E684" s="75"/>
      <c r="F684" s="63"/>
      <c r="G684" s="64" t="str">
        <f t="shared" si="145"/>
        <v/>
      </c>
      <c r="H684" s="61"/>
      <c r="I684" s="61"/>
      <c r="J684" s="61"/>
      <c r="K684" s="65"/>
      <c r="L684" s="65"/>
      <c r="M684" s="66" t="str">
        <f t="shared" ca="1" si="146"/>
        <v/>
      </c>
      <c r="N684" s="80"/>
      <c r="O684" s="81"/>
    </row>
    <row r="685" spans="1:15" ht="15" customHeight="1">
      <c r="A685" s="18">
        <v>46260</v>
      </c>
      <c r="B685" s="68">
        <f t="shared" si="147"/>
        <v>0.6666666666666663</v>
      </c>
      <c r="C685" s="70"/>
      <c r="D685" s="75"/>
      <c r="E685" s="75"/>
      <c r="F685" s="63"/>
      <c r="G685" s="69" t="str">
        <f t="shared" si="145"/>
        <v/>
      </c>
      <c r="H685" s="70"/>
      <c r="I685" s="70"/>
      <c r="J685" s="70"/>
      <c r="K685" s="65"/>
      <c r="L685" s="65"/>
      <c r="M685" s="71" t="str">
        <f t="shared" ca="1" si="146"/>
        <v/>
      </c>
      <c r="N685" s="80"/>
      <c r="O685" s="81"/>
    </row>
    <row r="686" spans="1:15" ht="15" customHeight="1">
      <c r="A686" s="59">
        <v>46260</v>
      </c>
      <c r="B686" s="60">
        <f t="shared" si="147"/>
        <v>0.70833333333333293</v>
      </c>
      <c r="C686" s="70"/>
      <c r="D686" s="75"/>
      <c r="E686" s="75"/>
      <c r="F686" s="63"/>
      <c r="G686" s="64" t="str">
        <f t="shared" si="145"/>
        <v/>
      </c>
      <c r="H686" s="61"/>
      <c r="I686" s="61"/>
      <c r="J686" s="61"/>
      <c r="K686" s="65"/>
      <c r="L686" s="65"/>
      <c r="M686" s="66" t="str">
        <f t="shared" ca="1" si="146"/>
        <v/>
      </c>
      <c r="N686" s="80"/>
      <c r="O686" s="81"/>
    </row>
    <row r="687" spans="1:15" ht="15" customHeight="1">
      <c r="A687" s="18">
        <v>46260</v>
      </c>
      <c r="B687" s="68">
        <f t="shared" si="147"/>
        <v>0.74999999999999956</v>
      </c>
      <c r="C687" s="70"/>
      <c r="D687" s="75"/>
      <c r="E687" s="75"/>
      <c r="F687" s="63"/>
      <c r="G687" s="69" t="str">
        <f t="shared" si="145"/>
        <v/>
      </c>
      <c r="H687" s="70"/>
      <c r="I687" s="70"/>
      <c r="J687" s="70"/>
      <c r="K687" s="65"/>
      <c r="L687" s="65"/>
      <c r="M687" s="71" t="str">
        <f t="shared" ca="1" si="146"/>
        <v/>
      </c>
      <c r="N687" s="80"/>
      <c r="O687" s="81"/>
    </row>
    <row r="688" spans="1:15" ht="15" customHeight="1">
      <c r="A688" s="59">
        <v>46260</v>
      </c>
      <c r="B688" s="60">
        <f t="shared" si="147"/>
        <v>0.79166666666666619</v>
      </c>
      <c r="C688" s="70"/>
      <c r="D688" s="75"/>
      <c r="E688" s="75"/>
      <c r="F688" s="63"/>
      <c r="G688" s="64" t="str">
        <f t="shared" si="145"/>
        <v/>
      </c>
      <c r="H688" s="61"/>
      <c r="I688" s="61"/>
      <c r="J688" s="61"/>
      <c r="K688" s="65"/>
      <c r="L688" s="65"/>
      <c r="M688" s="66" t="str">
        <f t="shared" ca="1" si="146"/>
        <v/>
      </c>
      <c r="N688" s="80"/>
      <c r="O688" s="81"/>
    </row>
    <row r="689" spans="1:15" ht="15.75" customHeight="1">
      <c r="A689" s="153" t="s">
        <v>260</v>
      </c>
      <c r="B689" s="153"/>
      <c r="C689" s="153"/>
      <c r="D689" s="153"/>
      <c r="E689" s="15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8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49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0">B690+TIME(0,60,0)</f>
        <v>0.87499999999999967</v>
      </c>
      <c r="C691" s="61"/>
      <c r="D691" s="62"/>
      <c r="E691" s="62"/>
      <c r="F691" s="63"/>
      <c r="G691" s="69" t="str">
        <f t="shared" si="148"/>
        <v/>
      </c>
      <c r="H691" s="70"/>
      <c r="I691" s="70"/>
      <c r="J691" s="70"/>
      <c r="K691" s="65"/>
      <c r="L691" s="65"/>
      <c r="M691" s="71" t="str">
        <f t="shared" ca="1" si="149"/>
        <v/>
      </c>
      <c r="N691" s="80"/>
      <c r="O691" s="81"/>
    </row>
    <row r="692" spans="1:15" ht="15" customHeight="1">
      <c r="A692" s="59">
        <v>46260</v>
      </c>
      <c r="B692" s="60">
        <f t="shared" si="150"/>
        <v>0.9166666666666663</v>
      </c>
      <c r="C692" s="61"/>
      <c r="D692" s="62"/>
      <c r="E692" s="62"/>
      <c r="F692" s="63"/>
      <c r="G692" s="64" t="str">
        <f t="shared" si="148"/>
        <v/>
      </c>
      <c r="H692" s="61"/>
      <c r="I692" s="61"/>
      <c r="J692" s="61"/>
      <c r="K692" s="65"/>
      <c r="L692" s="65"/>
      <c r="M692" s="66" t="str">
        <f t="shared" ca="1" si="149"/>
        <v/>
      </c>
      <c r="N692" s="80"/>
      <c r="O692" s="81"/>
    </row>
    <row r="693" spans="1:15" ht="15" customHeight="1">
      <c r="A693" s="18">
        <v>46260</v>
      </c>
      <c r="B693" s="68">
        <f t="shared" si="150"/>
        <v>0.95833333333333293</v>
      </c>
      <c r="C693" s="61"/>
      <c r="D693" s="62"/>
      <c r="E693" s="62"/>
      <c r="F693" s="63"/>
      <c r="G693" s="69" t="str">
        <f t="shared" si="148"/>
        <v/>
      </c>
      <c r="H693" s="70"/>
      <c r="I693" s="70"/>
      <c r="J693" s="70"/>
      <c r="K693" s="65"/>
      <c r="L693" s="65"/>
      <c r="M693" s="71" t="str">
        <f t="shared" ca="1" si="149"/>
        <v/>
      </c>
      <c r="N693" s="80"/>
      <c r="O693" s="81"/>
    </row>
    <row r="694" spans="1:15" ht="15" customHeight="1">
      <c r="A694" s="59">
        <v>46260</v>
      </c>
      <c r="B694" s="60">
        <f t="shared" si="150"/>
        <v>0.99999999999999956</v>
      </c>
      <c r="C694" s="61"/>
      <c r="D694" s="62"/>
      <c r="E694" s="62"/>
      <c r="F694" s="63"/>
      <c r="G694" s="64" t="str">
        <f t="shared" si="148"/>
        <v/>
      </c>
      <c r="H694" s="61"/>
      <c r="I694" s="61"/>
      <c r="J694" s="61"/>
      <c r="K694" s="65"/>
      <c r="L694" s="65"/>
      <c r="M694" s="66" t="str">
        <f t="shared" ca="1" si="149"/>
        <v/>
      </c>
      <c r="N694" s="80"/>
      <c r="O694" s="81"/>
    </row>
    <row r="695" spans="1:15" ht="15" customHeight="1">
      <c r="A695" s="18">
        <v>46260</v>
      </c>
      <c r="B695" s="68">
        <f t="shared" si="150"/>
        <v>1.0416666666666663</v>
      </c>
      <c r="C695" s="61"/>
      <c r="D695" s="62"/>
      <c r="E695" s="62"/>
      <c r="F695" s="63"/>
      <c r="G695" s="69" t="str">
        <f t="shared" si="148"/>
        <v/>
      </c>
      <c r="H695" s="70"/>
      <c r="I695" s="70"/>
      <c r="J695" s="70"/>
      <c r="K695" s="65"/>
      <c r="L695" s="65"/>
      <c r="M695" s="71" t="str">
        <f t="shared" ca="1" si="149"/>
        <v/>
      </c>
      <c r="N695" s="80"/>
      <c r="O695" s="81"/>
    </row>
    <row r="696" spans="1:15" ht="15" customHeight="1">
      <c r="A696" s="59">
        <v>46260</v>
      </c>
      <c r="B696" s="60">
        <f t="shared" si="150"/>
        <v>1.083333333333333</v>
      </c>
      <c r="C696" s="61"/>
      <c r="D696" s="62"/>
      <c r="E696" s="62"/>
      <c r="F696" s="63"/>
      <c r="G696" s="64" t="str">
        <f t="shared" si="148"/>
        <v/>
      </c>
      <c r="H696" s="61"/>
      <c r="I696" s="61"/>
      <c r="J696" s="61"/>
      <c r="K696" s="65"/>
      <c r="L696" s="65"/>
      <c r="M696" s="66" t="str">
        <f t="shared" ca="1" si="149"/>
        <v/>
      </c>
      <c r="N696" s="80"/>
      <c r="O696" s="81"/>
    </row>
    <row r="697" spans="1:15" ht="15" customHeight="1">
      <c r="A697" s="18">
        <v>46260</v>
      </c>
      <c r="B697" s="68">
        <f t="shared" si="150"/>
        <v>1.1249999999999998</v>
      </c>
      <c r="C697" s="61"/>
      <c r="D697" s="62"/>
      <c r="E697" s="62"/>
      <c r="F697" s="63"/>
      <c r="G697" s="69" t="str">
        <f t="shared" si="148"/>
        <v/>
      </c>
      <c r="H697" s="70"/>
      <c r="I697" s="70"/>
      <c r="J697" s="70"/>
      <c r="K697" s="65"/>
      <c r="L697" s="65"/>
      <c r="M697" s="71" t="str">
        <f t="shared" ca="1" si="149"/>
        <v/>
      </c>
      <c r="N697" s="80"/>
      <c r="O697" s="81"/>
    </row>
    <row r="698" spans="1:15" ht="15" customHeight="1">
      <c r="A698" s="59">
        <v>46260</v>
      </c>
      <c r="B698" s="60">
        <f t="shared" si="150"/>
        <v>1.1666666666666665</v>
      </c>
      <c r="C698" s="61"/>
      <c r="D698" s="62"/>
      <c r="E698" s="62"/>
      <c r="F698" s="63"/>
      <c r="G698" s="64" t="str">
        <f t="shared" si="148"/>
        <v/>
      </c>
      <c r="H698" s="61"/>
      <c r="I698" s="61"/>
      <c r="J698" s="61"/>
      <c r="K698" s="65"/>
      <c r="L698" s="65"/>
      <c r="M698" s="66" t="str">
        <f t="shared" ca="1" si="149"/>
        <v/>
      </c>
      <c r="N698" s="80"/>
      <c r="O698" s="81"/>
    </row>
    <row r="699" spans="1:15" ht="15" customHeight="1">
      <c r="A699" s="18">
        <v>46260</v>
      </c>
      <c r="B699" s="68">
        <f t="shared" si="150"/>
        <v>1.2083333333333333</v>
      </c>
      <c r="C699" s="61"/>
      <c r="D699" s="62"/>
      <c r="E699" s="62"/>
      <c r="F699" s="63"/>
      <c r="G699" s="69" t="str">
        <f t="shared" si="148"/>
        <v/>
      </c>
      <c r="H699" s="70"/>
      <c r="I699" s="70"/>
      <c r="J699" s="70"/>
      <c r="K699" s="65"/>
      <c r="L699" s="65"/>
      <c r="M699" s="71" t="str">
        <f t="shared" ca="1" si="149"/>
        <v/>
      </c>
      <c r="N699" s="80"/>
      <c r="O699" s="81"/>
    </row>
    <row r="700" spans="1:15" ht="15" customHeight="1">
      <c r="A700" s="59">
        <v>46260</v>
      </c>
      <c r="B700" s="60">
        <f t="shared" si="150"/>
        <v>1.25</v>
      </c>
      <c r="C700" s="61"/>
      <c r="D700" s="62"/>
      <c r="E700" s="62"/>
      <c r="F700" s="63"/>
      <c r="G700" s="64" t="str">
        <f t="shared" si="148"/>
        <v/>
      </c>
      <c r="H700" s="61"/>
      <c r="I700" s="61"/>
      <c r="J700" s="61"/>
      <c r="K700" s="65"/>
      <c r="L700" s="65"/>
      <c r="M700" s="66" t="str">
        <f t="shared" ca="1" si="149"/>
        <v/>
      </c>
      <c r="N700" s="80"/>
      <c r="O700" s="81"/>
    </row>
    <row r="701" spans="1:15" ht="15" customHeight="1">
      <c r="A701" s="18">
        <v>46260</v>
      </c>
      <c r="B701" s="68">
        <f t="shared" si="150"/>
        <v>1.2916666666666667</v>
      </c>
      <c r="C701" s="61"/>
      <c r="D701" s="62"/>
      <c r="E701" s="62"/>
      <c r="F701" s="63"/>
      <c r="G701" s="69" t="str">
        <f t="shared" si="148"/>
        <v/>
      </c>
      <c r="H701" s="70"/>
      <c r="I701" s="70"/>
      <c r="J701" s="70"/>
      <c r="K701" s="65"/>
      <c r="L701" s="65"/>
      <c r="M701" s="71" t="str">
        <f t="shared" ca="1" si="149"/>
        <v/>
      </c>
      <c r="N701" s="80"/>
      <c r="O701" s="81"/>
    </row>
    <row r="702" spans="1:15" ht="15.75" customHeight="1">
      <c r="A702" s="153" t="s">
        <v>263</v>
      </c>
      <c r="B702" s="153"/>
      <c r="C702" s="153"/>
      <c r="D702" s="153"/>
      <c r="E702" s="15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4" t="s">
        <v>249</v>
      </c>
      <c r="B703" s="154"/>
      <c r="C703" s="154"/>
      <c r="D703" s="154"/>
      <c r="E703" s="15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1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2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3">B704+TIME(0,60,0)</f>
        <v>0.37499999999999967</v>
      </c>
      <c r="C705" s="61"/>
      <c r="D705" s="62"/>
      <c r="E705" s="62"/>
      <c r="F705" s="63"/>
      <c r="G705" s="69" t="str">
        <f t="shared" si="151"/>
        <v/>
      </c>
      <c r="H705" s="70"/>
      <c r="I705" s="70"/>
      <c r="J705" s="70"/>
      <c r="K705" s="65"/>
      <c r="L705" s="65"/>
      <c r="M705" s="71" t="str">
        <f t="shared" ca="1" si="152"/>
        <v/>
      </c>
      <c r="N705" s="80"/>
      <c r="O705" s="81"/>
    </row>
    <row r="706" spans="1:15" ht="15" customHeight="1">
      <c r="A706" s="59">
        <v>46261</v>
      </c>
      <c r="B706" s="60">
        <f t="shared" si="153"/>
        <v>0.41666666666666635</v>
      </c>
      <c r="C706" s="61"/>
      <c r="D706" s="62"/>
      <c r="E706" s="62"/>
      <c r="F706" s="63"/>
      <c r="G706" s="64" t="str">
        <f t="shared" si="151"/>
        <v/>
      </c>
      <c r="H706" s="61"/>
      <c r="I706" s="61"/>
      <c r="J706" s="61"/>
      <c r="K706" s="65"/>
      <c r="L706" s="65"/>
      <c r="M706" s="66" t="str">
        <f t="shared" ca="1" si="152"/>
        <v/>
      </c>
      <c r="N706" s="80"/>
      <c r="O706" s="81"/>
    </row>
    <row r="707" spans="1:15" ht="15" customHeight="1">
      <c r="A707" s="18">
        <v>46261</v>
      </c>
      <c r="B707" s="68">
        <f t="shared" si="153"/>
        <v>0.45833333333333304</v>
      </c>
      <c r="C707" s="61"/>
      <c r="D707" s="62"/>
      <c r="E707" s="62"/>
      <c r="F707" s="63"/>
      <c r="G707" s="69" t="str">
        <f t="shared" si="151"/>
        <v/>
      </c>
      <c r="H707" s="70"/>
      <c r="I707" s="70"/>
      <c r="J707" s="70"/>
      <c r="K707" s="65"/>
      <c r="L707" s="65"/>
      <c r="M707" s="71" t="str">
        <f t="shared" ca="1" si="152"/>
        <v/>
      </c>
      <c r="N707" s="80"/>
      <c r="O707" s="81"/>
    </row>
    <row r="708" spans="1:15" ht="15" customHeight="1">
      <c r="A708" s="59">
        <v>46261</v>
      </c>
      <c r="B708" s="60">
        <f t="shared" si="153"/>
        <v>0.49999999999999972</v>
      </c>
      <c r="C708" s="61"/>
      <c r="D708" s="62"/>
      <c r="E708" s="62"/>
      <c r="F708" s="63"/>
      <c r="G708" s="64" t="str">
        <f t="shared" si="151"/>
        <v/>
      </c>
      <c r="H708" s="61"/>
      <c r="I708" s="61"/>
      <c r="J708" s="61"/>
      <c r="K708" s="65"/>
      <c r="L708" s="65"/>
      <c r="M708" s="66" t="str">
        <f t="shared" ca="1" si="152"/>
        <v/>
      </c>
      <c r="N708" s="80"/>
      <c r="O708" s="81"/>
    </row>
    <row r="709" spans="1:15" ht="15" customHeight="1">
      <c r="A709" s="18">
        <v>46261</v>
      </c>
      <c r="B709" s="68">
        <f t="shared" si="153"/>
        <v>0.54166666666666641</v>
      </c>
      <c r="C709" s="61"/>
      <c r="D709" s="62"/>
      <c r="E709" s="62"/>
      <c r="F709" s="63"/>
      <c r="G709" s="69" t="str">
        <f t="shared" si="151"/>
        <v/>
      </c>
      <c r="H709" s="70"/>
      <c r="I709" s="70"/>
      <c r="J709" s="70"/>
      <c r="K709" s="65"/>
      <c r="L709" s="65"/>
      <c r="M709" s="71" t="str">
        <f t="shared" ca="1" si="152"/>
        <v/>
      </c>
      <c r="N709" s="80"/>
      <c r="O709" s="81"/>
    </row>
    <row r="710" spans="1:15" ht="15" customHeight="1">
      <c r="A710" s="59">
        <v>46261</v>
      </c>
      <c r="B710" s="60">
        <f t="shared" si="153"/>
        <v>0.58333333333333304</v>
      </c>
      <c r="C710" s="61"/>
      <c r="D710" s="62"/>
      <c r="E710" s="62"/>
      <c r="F710" s="63"/>
      <c r="G710" s="64" t="str">
        <f t="shared" si="151"/>
        <v/>
      </c>
      <c r="H710" s="61"/>
      <c r="I710" s="61"/>
      <c r="J710" s="61"/>
      <c r="K710" s="65"/>
      <c r="L710" s="65"/>
      <c r="M710" s="66" t="str">
        <f t="shared" ca="1" si="152"/>
        <v/>
      </c>
      <c r="N710" s="80"/>
      <c r="O710" s="81"/>
    </row>
    <row r="711" spans="1:15" ht="15" customHeight="1">
      <c r="A711" s="18">
        <v>46261</v>
      </c>
      <c r="B711" s="68">
        <f t="shared" si="153"/>
        <v>0.62499999999999967</v>
      </c>
      <c r="C711" s="61"/>
      <c r="D711" s="62"/>
      <c r="E711" s="62"/>
      <c r="F711" s="63"/>
      <c r="G711" s="69" t="str">
        <f t="shared" si="151"/>
        <v/>
      </c>
      <c r="H711" s="70"/>
      <c r="I711" s="70"/>
      <c r="J711" s="70"/>
      <c r="K711" s="65"/>
      <c r="L711" s="65"/>
      <c r="M711" s="71" t="str">
        <f t="shared" ca="1" si="152"/>
        <v/>
      </c>
      <c r="N711" s="80"/>
      <c r="O711" s="81"/>
    </row>
    <row r="712" spans="1:15" ht="15" customHeight="1">
      <c r="A712" s="59">
        <v>46261</v>
      </c>
      <c r="B712" s="60">
        <f t="shared" si="153"/>
        <v>0.6666666666666663</v>
      </c>
      <c r="C712" s="61"/>
      <c r="D712" s="62"/>
      <c r="E712" s="62"/>
      <c r="F712" s="63"/>
      <c r="G712" s="64" t="str">
        <f t="shared" si="151"/>
        <v/>
      </c>
      <c r="H712" s="61"/>
      <c r="I712" s="61"/>
      <c r="J712" s="61"/>
      <c r="K712" s="65"/>
      <c r="L712" s="65"/>
      <c r="M712" s="66" t="str">
        <f t="shared" ca="1" si="152"/>
        <v/>
      </c>
      <c r="N712" s="80"/>
      <c r="O712" s="81"/>
    </row>
    <row r="713" spans="1:15" ht="15" customHeight="1">
      <c r="A713" s="18">
        <v>46261</v>
      </c>
      <c r="B713" s="68">
        <f t="shared" si="153"/>
        <v>0.70833333333333293</v>
      </c>
      <c r="C713" s="61"/>
      <c r="D713" s="62"/>
      <c r="E713" s="62"/>
      <c r="F713" s="63"/>
      <c r="G713" s="69" t="str">
        <f t="shared" si="151"/>
        <v/>
      </c>
      <c r="H713" s="70"/>
      <c r="I713" s="70"/>
      <c r="J713" s="70"/>
      <c r="K713" s="65"/>
      <c r="L713" s="65"/>
      <c r="M713" s="71" t="str">
        <f t="shared" ca="1" si="152"/>
        <v/>
      </c>
      <c r="N713" s="80"/>
      <c r="O713" s="81"/>
    </row>
    <row r="714" spans="1:15" ht="15" customHeight="1">
      <c r="A714" s="59">
        <v>46261</v>
      </c>
      <c r="B714" s="60">
        <f t="shared" si="153"/>
        <v>0.74999999999999956</v>
      </c>
      <c r="C714" s="61"/>
      <c r="D714" s="62"/>
      <c r="E714" s="62"/>
      <c r="F714" s="63"/>
      <c r="G714" s="64" t="str">
        <f t="shared" si="151"/>
        <v/>
      </c>
      <c r="H714" s="61"/>
      <c r="I714" s="61"/>
      <c r="J714" s="61"/>
      <c r="K714" s="65"/>
      <c r="L714" s="65"/>
      <c r="M714" s="66" t="str">
        <f t="shared" ca="1" si="152"/>
        <v/>
      </c>
      <c r="N714" s="80"/>
      <c r="O714" s="81"/>
    </row>
    <row r="715" spans="1:15" ht="15" customHeight="1">
      <c r="A715" s="18">
        <v>46261</v>
      </c>
      <c r="B715" s="68">
        <f t="shared" si="153"/>
        <v>0.79166666666666619</v>
      </c>
      <c r="C715" s="61"/>
      <c r="D715" s="62"/>
      <c r="E715" s="62"/>
      <c r="F715" s="63"/>
      <c r="G715" s="69" t="str">
        <f t="shared" si="151"/>
        <v/>
      </c>
      <c r="H715" s="70"/>
      <c r="I715" s="70"/>
      <c r="J715" s="70"/>
      <c r="K715" s="65"/>
      <c r="L715" s="65"/>
      <c r="M715" s="71" t="str">
        <f t="shared" ca="1" si="152"/>
        <v/>
      </c>
      <c r="N715" s="80"/>
      <c r="O715" s="81"/>
    </row>
    <row r="716" spans="1:15" ht="15.75" customHeight="1">
      <c r="A716" s="153" t="s">
        <v>260</v>
      </c>
      <c r="B716" s="153"/>
      <c r="C716" s="153"/>
      <c r="D716" s="153"/>
      <c r="E716" s="15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4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5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6">B717+TIME(0,60,0)</f>
        <v>0.87499999999999967</v>
      </c>
      <c r="C718" s="61"/>
      <c r="D718" s="62"/>
      <c r="E718" s="62"/>
      <c r="F718" s="63"/>
      <c r="G718" s="64" t="str">
        <f t="shared" si="154"/>
        <v/>
      </c>
      <c r="H718" s="61"/>
      <c r="I718" s="61"/>
      <c r="J718" s="61"/>
      <c r="K718" s="65"/>
      <c r="L718" s="65"/>
      <c r="M718" s="66" t="str">
        <f t="shared" ca="1" si="155"/>
        <v/>
      </c>
      <c r="N718" s="80"/>
      <c r="O718" s="81"/>
    </row>
    <row r="719" spans="1:15" ht="15" customHeight="1">
      <c r="A719" s="18">
        <v>46261</v>
      </c>
      <c r="B719" s="68">
        <f t="shared" si="156"/>
        <v>0.9166666666666663</v>
      </c>
      <c r="C719" s="70"/>
      <c r="D719" s="75"/>
      <c r="E719" s="75"/>
      <c r="F719" s="63"/>
      <c r="G719" s="69" t="str">
        <f t="shared" si="154"/>
        <v/>
      </c>
      <c r="H719" s="70"/>
      <c r="I719" s="70"/>
      <c r="J719" s="70"/>
      <c r="K719" s="65"/>
      <c r="L719" s="65"/>
      <c r="M719" s="71" t="str">
        <f t="shared" ca="1" si="155"/>
        <v/>
      </c>
      <c r="N719" s="80"/>
      <c r="O719" s="81"/>
    </row>
    <row r="720" spans="1:15" ht="15" customHeight="1">
      <c r="A720" s="59">
        <v>46261</v>
      </c>
      <c r="B720" s="60">
        <f t="shared" si="156"/>
        <v>0.95833333333333293</v>
      </c>
      <c r="C720" s="61"/>
      <c r="D720" s="62"/>
      <c r="E720" s="62"/>
      <c r="F720" s="63"/>
      <c r="G720" s="64" t="str">
        <f t="shared" si="154"/>
        <v/>
      </c>
      <c r="H720" s="61"/>
      <c r="I720" s="61"/>
      <c r="J720" s="61"/>
      <c r="K720" s="65"/>
      <c r="L720" s="65"/>
      <c r="M720" s="66" t="str">
        <f t="shared" ca="1" si="155"/>
        <v/>
      </c>
      <c r="N720" s="80"/>
      <c r="O720" s="81"/>
    </row>
    <row r="721" spans="1:15" ht="15" customHeight="1">
      <c r="A721" s="18">
        <v>46261</v>
      </c>
      <c r="B721" s="68">
        <f t="shared" si="156"/>
        <v>0.99999999999999956</v>
      </c>
      <c r="C721" s="70"/>
      <c r="D721" s="75"/>
      <c r="E721" s="75"/>
      <c r="F721" s="63"/>
      <c r="G721" s="69" t="str">
        <f t="shared" si="154"/>
        <v/>
      </c>
      <c r="H721" s="70"/>
      <c r="I721" s="70"/>
      <c r="J721" s="70"/>
      <c r="K721" s="65"/>
      <c r="L721" s="65"/>
      <c r="M721" s="71" t="str">
        <f t="shared" ca="1" si="155"/>
        <v/>
      </c>
      <c r="N721" s="80"/>
      <c r="O721" s="81"/>
    </row>
    <row r="722" spans="1:15" ht="15" customHeight="1">
      <c r="A722" s="59">
        <v>46261</v>
      </c>
      <c r="B722" s="60">
        <f t="shared" si="156"/>
        <v>1.0416666666666663</v>
      </c>
      <c r="C722" s="61"/>
      <c r="D722" s="62"/>
      <c r="E722" s="62"/>
      <c r="F722" s="63"/>
      <c r="G722" s="64" t="str">
        <f t="shared" si="154"/>
        <v/>
      </c>
      <c r="H722" s="61"/>
      <c r="I722" s="61"/>
      <c r="J722" s="61"/>
      <c r="K722" s="65"/>
      <c r="L722" s="65"/>
      <c r="M722" s="66" t="str">
        <f t="shared" ca="1" si="155"/>
        <v/>
      </c>
      <c r="N722" s="80"/>
      <c r="O722" s="81"/>
    </row>
    <row r="723" spans="1:15" ht="15" customHeight="1">
      <c r="A723" s="18">
        <v>46261</v>
      </c>
      <c r="B723" s="68">
        <f t="shared" si="156"/>
        <v>1.083333333333333</v>
      </c>
      <c r="C723" s="70"/>
      <c r="D723" s="75"/>
      <c r="E723" s="75"/>
      <c r="F723" s="63"/>
      <c r="G723" s="69" t="str">
        <f t="shared" si="154"/>
        <v/>
      </c>
      <c r="H723" s="70"/>
      <c r="I723" s="70"/>
      <c r="J723" s="70"/>
      <c r="K723" s="65"/>
      <c r="L723" s="65"/>
      <c r="M723" s="71" t="str">
        <f t="shared" ca="1" si="155"/>
        <v/>
      </c>
      <c r="N723" s="80"/>
      <c r="O723" s="81"/>
    </row>
    <row r="724" spans="1:15" ht="15" customHeight="1">
      <c r="A724" s="59">
        <v>46261</v>
      </c>
      <c r="B724" s="60">
        <f t="shared" si="156"/>
        <v>1.1249999999999998</v>
      </c>
      <c r="C724" s="61"/>
      <c r="D724" s="62"/>
      <c r="E724" s="62"/>
      <c r="F724" s="63"/>
      <c r="G724" s="64" t="str">
        <f t="shared" si="154"/>
        <v/>
      </c>
      <c r="H724" s="61"/>
      <c r="I724" s="61"/>
      <c r="J724" s="61"/>
      <c r="K724" s="65"/>
      <c r="L724" s="65"/>
      <c r="M724" s="66" t="str">
        <f t="shared" ca="1" si="155"/>
        <v/>
      </c>
      <c r="N724" s="80"/>
      <c r="O724" s="81"/>
    </row>
    <row r="725" spans="1:15" ht="15" customHeight="1">
      <c r="A725" s="18">
        <v>46261</v>
      </c>
      <c r="B725" s="68">
        <f t="shared" si="156"/>
        <v>1.1666666666666665</v>
      </c>
      <c r="C725" s="70"/>
      <c r="D725" s="75"/>
      <c r="E725" s="75"/>
      <c r="F725" s="63"/>
      <c r="G725" s="69" t="str">
        <f t="shared" si="154"/>
        <v/>
      </c>
      <c r="H725" s="70"/>
      <c r="I725" s="70"/>
      <c r="J725" s="70"/>
      <c r="K725" s="65"/>
      <c r="L725" s="65"/>
      <c r="M725" s="71" t="str">
        <f t="shared" ca="1" si="155"/>
        <v/>
      </c>
      <c r="N725" s="80"/>
      <c r="O725" s="81"/>
    </row>
    <row r="726" spans="1:15" ht="15" customHeight="1">
      <c r="A726" s="59">
        <v>46261</v>
      </c>
      <c r="B726" s="60">
        <f t="shared" si="156"/>
        <v>1.2083333333333333</v>
      </c>
      <c r="C726" s="61"/>
      <c r="D726" s="62"/>
      <c r="E726" s="62"/>
      <c r="F726" s="63"/>
      <c r="G726" s="64" t="str">
        <f t="shared" si="154"/>
        <v/>
      </c>
      <c r="H726" s="61"/>
      <c r="I726" s="61"/>
      <c r="J726" s="61"/>
      <c r="K726" s="65"/>
      <c r="L726" s="65"/>
      <c r="M726" s="66" t="str">
        <f t="shared" ca="1" si="155"/>
        <v/>
      </c>
      <c r="N726" s="80"/>
      <c r="O726" s="81"/>
    </row>
    <row r="727" spans="1:15" ht="15" customHeight="1">
      <c r="A727" s="18">
        <v>46261</v>
      </c>
      <c r="B727" s="68">
        <f t="shared" si="156"/>
        <v>1.25</v>
      </c>
      <c r="C727" s="70"/>
      <c r="D727" s="75"/>
      <c r="E727" s="75"/>
      <c r="F727" s="63"/>
      <c r="G727" s="69" t="str">
        <f t="shared" si="154"/>
        <v/>
      </c>
      <c r="H727" s="70"/>
      <c r="I727" s="70"/>
      <c r="J727" s="70"/>
      <c r="K727" s="65"/>
      <c r="L727" s="65"/>
      <c r="M727" s="71" t="str">
        <f t="shared" ca="1" si="155"/>
        <v/>
      </c>
      <c r="N727" s="80"/>
      <c r="O727" s="81"/>
    </row>
    <row r="728" spans="1:15" ht="15" customHeight="1">
      <c r="A728" s="59">
        <v>46261</v>
      </c>
      <c r="B728" s="60">
        <f t="shared" si="156"/>
        <v>1.2916666666666667</v>
      </c>
      <c r="C728" s="61"/>
      <c r="D728" s="62"/>
      <c r="E728" s="62"/>
      <c r="F728" s="63"/>
      <c r="G728" s="64" t="str">
        <f t="shared" si="154"/>
        <v/>
      </c>
      <c r="H728" s="61"/>
      <c r="I728" s="61"/>
      <c r="J728" s="61"/>
      <c r="K728" s="65"/>
      <c r="L728" s="65"/>
      <c r="M728" s="66" t="str">
        <f t="shared" ca="1" si="155"/>
        <v/>
      </c>
      <c r="N728" s="80"/>
      <c r="O728" s="81"/>
    </row>
    <row r="729" spans="1:15" ht="15.75" customHeight="1">
      <c r="A729" s="153" t="s">
        <v>263</v>
      </c>
      <c r="B729" s="153"/>
      <c r="C729" s="153"/>
      <c r="D729" s="153"/>
      <c r="E729" s="15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4" t="s">
        <v>249</v>
      </c>
      <c r="B730" s="154"/>
      <c r="C730" s="154"/>
      <c r="D730" s="154"/>
      <c r="E730" s="15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7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8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59">B731+TIME(0,60,0)</f>
        <v>0.37499999999999967</v>
      </c>
      <c r="C732" s="61"/>
      <c r="D732" s="62"/>
      <c r="E732" s="62"/>
      <c r="F732" s="63"/>
      <c r="G732" s="64" t="str">
        <f t="shared" si="157"/>
        <v/>
      </c>
      <c r="H732" s="61"/>
      <c r="I732" s="61"/>
      <c r="J732" s="61"/>
      <c r="K732" s="65"/>
      <c r="L732" s="65"/>
      <c r="M732" s="66" t="str">
        <f t="shared" ca="1" si="158"/>
        <v/>
      </c>
      <c r="N732" s="80"/>
      <c r="O732" s="81"/>
    </row>
    <row r="733" spans="1:15" ht="15" customHeight="1">
      <c r="A733" s="18">
        <v>46262</v>
      </c>
      <c r="B733" s="68">
        <f t="shared" si="159"/>
        <v>0.41666666666666635</v>
      </c>
      <c r="C733" s="70"/>
      <c r="D733" s="75"/>
      <c r="E733" s="75"/>
      <c r="F733" s="63"/>
      <c r="G733" s="69" t="str">
        <f t="shared" si="157"/>
        <v/>
      </c>
      <c r="H733" s="70"/>
      <c r="I733" s="70"/>
      <c r="J733" s="70"/>
      <c r="K733" s="65"/>
      <c r="L733" s="65"/>
      <c r="M733" s="71" t="str">
        <f t="shared" ca="1" si="158"/>
        <v/>
      </c>
      <c r="N733" s="80"/>
      <c r="O733" s="81"/>
    </row>
    <row r="734" spans="1:15" ht="15" customHeight="1">
      <c r="A734" s="59">
        <v>46262</v>
      </c>
      <c r="B734" s="60">
        <f t="shared" si="159"/>
        <v>0.45833333333333304</v>
      </c>
      <c r="C734" s="61"/>
      <c r="D734" s="62"/>
      <c r="E734" s="62"/>
      <c r="F734" s="63"/>
      <c r="G734" s="64" t="str">
        <f t="shared" si="157"/>
        <v/>
      </c>
      <c r="H734" s="61"/>
      <c r="I734" s="61"/>
      <c r="J734" s="61"/>
      <c r="K734" s="65"/>
      <c r="L734" s="65"/>
      <c r="M734" s="66" t="str">
        <f t="shared" ca="1" si="158"/>
        <v/>
      </c>
      <c r="N734" s="80"/>
      <c r="O734" s="81"/>
    </row>
    <row r="735" spans="1:15" ht="15" customHeight="1">
      <c r="A735" s="18">
        <v>46262</v>
      </c>
      <c r="B735" s="68">
        <f t="shared" si="159"/>
        <v>0.49999999999999972</v>
      </c>
      <c r="C735" s="70"/>
      <c r="D735" s="75"/>
      <c r="E735" s="75"/>
      <c r="F735" s="63"/>
      <c r="G735" s="69" t="str">
        <f t="shared" si="157"/>
        <v/>
      </c>
      <c r="H735" s="70"/>
      <c r="I735" s="70"/>
      <c r="J735" s="70"/>
      <c r="K735" s="65"/>
      <c r="L735" s="65"/>
      <c r="M735" s="71" t="str">
        <f t="shared" ca="1" si="158"/>
        <v/>
      </c>
      <c r="N735" s="80"/>
      <c r="O735" s="81"/>
    </row>
    <row r="736" spans="1:15" ht="15" customHeight="1">
      <c r="A736" s="59">
        <v>46262</v>
      </c>
      <c r="B736" s="60">
        <f t="shared" si="159"/>
        <v>0.54166666666666641</v>
      </c>
      <c r="C736" s="61"/>
      <c r="D736" s="62"/>
      <c r="E736" s="62"/>
      <c r="F736" s="63"/>
      <c r="G736" s="64" t="str">
        <f t="shared" si="157"/>
        <v/>
      </c>
      <c r="H736" s="61"/>
      <c r="I736" s="61"/>
      <c r="J736" s="61"/>
      <c r="K736" s="65"/>
      <c r="L736" s="65"/>
      <c r="M736" s="66" t="str">
        <f t="shared" ca="1" si="158"/>
        <v/>
      </c>
      <c r="N736" s="80"/>
      <c r="O736" s="81"/>
    </row>
    <row r="737" spans="1:15" ht="15" customHeight="1">
      <c r="A737" s="18">
        <v>46262</v>
      </c>
      <c r="B737" s="68">
        <f t="shared" si="159"/>
        <v>0.58333333333333304</v>
      </c>
      <c r="C737" s="70"/>
      <c r="D737" s="75"/>
      <c r="E737" s="75"/>
      <c r="F737" s="63"/>
      <c r="G737" s="69" t="str">
        <f t="shared" si="157"/>
        <v/>
      </c>
      <c r="H737" s="70"/>
      <c r="I737" s="70"/>
      <c r="J737" s="70"/>
      <c r="K737" s="65"/>
      <c r="L737" s="65"/>
      <c r="M737" s="71" t="str">
        <f t="shared" ca="1" si="158"/>
        <v/>
      </c>
      <c r="N737" s="80"/>
      <c r="O737" s="81"/>
    </row>
    <row r="738" spans="1:15" ht="15" customHeight="1">
      <c r="A738" s="59">
        <v>46262</v>
      </c>
      <c r="B738" s="60">
        <f t="shared" si="159"/>
        <v>0.62499999999999967</v>
      </c>
      <c r="C738" s="61"/>
      <c r="D738" s="62"/>
      <c r="E738" s="62"/>
      <c r="F738" s="63"/>
      <c r="G738" s="64" t="str">
        <f t="shared" si="157"/>
        <v/>
      </c>
      <c r="H738" s="61"/>
      <c r="I738" s="61"/>
      <c r="J738" s="61"/>
      <c r="K738" s="65"/>
      <c r="L738" s="65"/>
      <c r="M738" s="66" t="str">
        <f t="shared" ca="1" si="158"/>
        <v/>
      </c>
      <c r="N738" s="80"/>
      <c r="O738" s="81"/>
    </row>
    <row r="739" spans="1:15" ht="15" customHeight="1">
      <c r="A739" s="18">
        <v>46262</v>
      </c>
      <c r="B739" s="68">
        <f t="shared" si="159"/>
        <v>0.6666666666666663</v>
      </c>
      <c r="C739" s="70"/>
      <c r="D739" s="75"/>
      <c r="E739" s="75"/>
      <c r="F739" s="63"/>
      <c r="G739" s="69" t="str">
        <f t="shared" si="157"/>
        <v/>
      </c>
      <c r="H739" s="70"/>
      <c r="I739" s="70"/>
      <c r="J739" s="70"/>
      <c r="K739" s="65"/>
      <c r="L739" s="65"/>
      <c r="M739" s="71" t="str">
        <f t="shared" ca="1" si="158"/>
        <v/>
      </c>
      <c r="N739" s="80"/>
      <c r="O739" s="81"/>
    </row>
    <row r="740" spans="1:15" ht="15" customHeight="1">
      <c r="A740" s="59">
        <v>46262</v>
      </c>
      <c r="B740" s="60">
        <f t="shared" si="159"/>
        <v>0.70833333333333293</v>
      </c>
      <c r="C740" s="61"/>
      <c r="D740" s="62"/>
      <c r="E740" s="62"/>
      <c r="F740" s="63"/>
      <c r="G740" s="64" t="str">
        <f t="shared" si="157"/>
        <v/>
      </c>
      <c r="H740" s="61"/>
      <c r="I740" s="61"/>
      <c r="J740" s="61"/>
      <c r="K740" s="65"/>
      <c r="L740" s="65"/>
      <c r="M740" s="66" t="str">
        <f t="shared" ca="1" si="158"/>
        <v/>
      </c>
      <c r="N740" s="80"/>
      <c r="O740" s="81"/>
    </row>
    <row r="741" spans="1:15" ht="15" customHeight="1">
      <c r="A741" s="18">
        <v>46262</v>
      </c>
      <c r="B741" s="68">
        <f t="shared" si="159"/>
        <v>0.74999999999999956</v>
      </c>
      <c r="C741" s="70"/>
      <c r="D741" s="75"/>
      <c r="E741" s="75"/>
      <c r="F741" s="63"/>
      <c r="G741" s="69" t="str">
        <f t="shared" si="157"/>
        <v/>
      </c>
      <c r="H741" s="70"/>
      <c r="I741" s="70"/>
      <c r="J741" s="70"/>
      <c r="K741" s="65"/>
      <c r="L741" s="65"/>
      <c r="M741" s="71" t="str">
        <f t="shared" ca="1" si="158"/>
        <v/>
      </c>
      <c r="N741" s="80"/>
      <c r="O741" s="81"/>
    </row>
    <row r="742" spans="1:15" ht="15" customHeight="1">
      <c r="A742" s="59">
        <v>46262</v>
      </c>
      <c r="B742" s="60">
        <f t="shared" si="159"/>
        <v>0.79166666666666619</v>
      </c>
      <c r="C742" s="61"/>
      <c r="D742" s="62"/>
      <c r="E742" s="62"/>
      <c r="F742" s="63"/>
      <c r="G742" s="64" t="str">
        <f t="shared" si="157"/>
        <v/>
      </c>
      <c r="H742" s="61"/>
      <c r="I742" s="61"/>
      <c r="J742" s="61"/>
      <c r="K742" s="65"/>
      <c r="L742" s="65"/>
      <c r="M742" s="66" t="str">
        <f t="shared" ca="1" si="158"/>
        <v/>
      </c>
      <c r="N742" s="80"/>
      <c r="O742" s="81"/>
    </row>
    <row r="743" spans="1:15" ht="15.75" customHeight="1">
      <c r="A743" s="153" t="s">
        <v>260</v>
      </c>
      <c r="B743" s="153"/>
      <c r="C743" s="153"/>
      <c r="D743" s="153"/>
      <c r="E743" s="15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0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1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2">B744+TIME(0,60,0)</f>
        <v>0.87499999999999967</v>
      </c>
      <c r="C745" s="70"/>
      <c r="D745" s="75"/>
      <c r="E745" s="75"/>
      <c r="F745" s="63"/>
      <c r="G745" s="69" t="str">
        <f t="shared" si="160"/>
        <v/>
      </c>
      <c r="H745" s="70"/>
      <c r="I745" s="70"/>
      <c r="J745" s="70"/>
      <c r="K745" s="65"/>
      <c r="L745" s="65"/>
      <c r="M745" s="71" t="str">
        <f t="shared" ca="1" si="161"/>
        <v/>
      </c>
      <c r="N745" s="80"/>
      <c r="O745" s="81"/>
    </row>
    <row r="746" spans="1:15" ht="15" customHeight="1">
      <c r="A746" s="59">
        <v>46262</v>
      </c>
      <c r="B746" s="60">
        <f t="shared" si="162"/>
        <v>0.9166666666666663</v>
      </c>
      <c r="C746" s="61"/>
      <c r="D746" s="62"/>
      <c r="E746" s="62"/>
      <c r="F746" s="63"/>
      <c r="G746" s="64" t="str">
        <f t="shared" si="160"/>
        <v/>
      </c>
      <c r="H746" s="61"/>
      <c r="I746" s="61"/>
      <c r="J746" s="61"/>
      <c r="K746" s="65"/>
      <c r="L746" s="65"/>
      <c r="M746" s="66" t="str">
        <f t="shared" ca="1" si="161"/>
        <v/>
      </c>
      <c r="N746" s="80"/>
      <c r="O746" s="81"/>
    </row>
    <row r="747" spans="1:15" ht="15" customHeight="1">
      <c r="A747" s="18">
        <v>46262</v>
      </c>
      <c r="B747" s="68">
        <f t="shared" si="162"/>
        <v>0.95833333333333293</v>
      </c>
      <c r="C747" s="70"/>
      <c r="D747" s="75"/>
      <c r="E747" s="75"/>
      <c r="F747" s="63"/>
      <c r="G747" s="69" t="str">
        <f t="shared" si="160"/>
        <v/>
      </c>
      <c r="H747" s="70"/>
      <c r="I747" s="70"/>
      <c r="J747" s="70"/>
      <c r="K747" s="65"/>
      <c r="L747" s="65"/>
      <c r="M747" s="71" t="str">
        <f t="shared" ca="1" si="161"/>
        <v/>
      </c>
      <c r="N747" s="80"/>
      <c r="O747" s="81"/>
    </row>
    <row r="748" spans="1:15" ht="15" customHeight="1">
      <c r="A748" s="59">
        <v>46262</v>
      </c>
      <c r="B748" s="60">
        <f t="shared" si="162"/>
        <v>0.99999999999999956</v>
      </c>
      <c r="C748" s="61"/>
      <c r="D748" s="62"/>
      <c r="E748" s="62"/>
      <c r="F748" s="63"/>
      <c r="G748" s="64" t="str">
        <f t="shared" si="160"/>
        <v/>
      </c>
      <c r="H748" s="61"/>
      <c r="I748" s="61"/>
      <c r="J748" s="61"/>
      <c r="K748" s="65"/>
      <c r="L748" s="65"/>
      <c r="M748" s="66" t="str">
        <f t="shared" ca="1" si="161"/>
        <v/>
      </c>
      <c r="N748" s="80"/>
      <c r="O748" s="81"/>
    </row>
    <row r="749" spans="1:15" ht="15" customHeight="1">
      <c r="A749" s="18">
        <v>46262</v>
      </c>
      <c r="B749" s="68">
        <f t="shared" si="162"/>
        <v>1.0416666666666663</v>
      </c>
      <c r="C749" s="70"/>
      <c r="D749" s="75"/>
      <c r="E749" s="75"/>
      <c r="F749" s="63"/>
      <c r="G749" s="69" t="str">
        <f t="shared" si="160"/>
        <v/>
      </c>
      <c r="H749" s="70"/>
      <c r="I749" s="70"/>
      <c r="J749" s="70"/>
      <c r="K749" s="65"/>
      <c r="L749" s="65"/>
      <c r="M749" s="71" t="str">
        <f t="shared" ca="1" si="161"/>
        <v/>
      </c>
      <c r="N749" s="80"/>
      <c r="O749" s="81"/>
    </row>
    <row r="750" spans="1:15" ht="15" customHeight="1">
      <c r="A750" s="59">
        <v>46262</v>
      </c>
      <c r="B750" s="60">
        <f t="shared" si="162"/>
        <v>1.083333333333333</v>
      </c>
      <c r="C750" s="61"/>
      <c r="D750" s="62"/>
      <c r="E750" s="62"/>
      <c r="F750" s="63"/>
      <c r="G750" s="64" t="str">
        <f t="shared" si="160"/>
        <v/>
      </c>
      <c r="H750" s="61"/>
      <c r="I750" s="61"/>
      <c r="J750" s="61"/>
      <c r="K750" s="65"/>
      <c r="L750" s="65"/>
      <c r="M750" s="66" t="str">
        <f t="shared" ca="1" si="161"/>
        <v/>
      </c>
      <c r="N750" s="80"/>
      <c r="O750" s="81"/>
    </row>
    <row r="751" spans="1:15" ht="15" customHeight="1">
      <c r="A751" s="18">
        <v>46262</v>
      </c>
      <c r="B751" s="68">
        <f t="shared" si="162"/>
        <v>1.1249999999999998</v>
      </c>
      <c r="C751" s="70"/>
      <c r="D751" s="75"/>
      <c r="E751" s="75"/>
      <c r="F751" s="63"/>
      <c r="G751" s="69" t="str">
        <f t="shared" si="160"/>
        <v/>
      </c>
      <c r="H751" s="70"/>
      <c r="I751" s="70"/>
      <c r="J751" s="70"/>
      <c r="K751" s="65"/>
      <c r="L751" s="65"/>
      <c r="M751" s="71" t="str">
        <f t="shared" ca="1" si="161"/>
        <v/>
      </c>
      <c r="N751" s="80"/>
      <c r="O751" s="81"/>
    </row>
    <row r="752" spans="1:15" ht="15" customHeight="1">
      <c r="A752" s="59">
        <v>46262</v>
      </c>
      <c r="B752" s="60">
        <f t="shared" si="162"/>
        <v>1.1666666666666665</v>
      </c>
      <c r="C752" s="61"/>
      <c r="D752" s="62"/>
      <c r="E752" s="62"/>
      <c r="F752" s="63"/>
      <c r="G752" s="64" t="str">
        <f t="shared" si="160"/>
        <v/>
      </c>
      <c r="H752" s="61"/>
      <c r="I752" s="61"/>
      <c r="J752" s="61"/>
      <c r="K752" s="65"/>
      <c r="L752" s="65"/>
      <c r="M752" s="66" t="str">
        <f t="shared" ca="1" si="161"/>
        <v/>
      </c>
      <c r="N752" s="80"/>
      <c r="O752" s="81"/>
    </row>
    <row r="753" spans="1:15" ht="15" customHeight="1">
      <c r="A753" s="18">
        <v>46262</v>
      </c>
      <c r="B753" s="68">
        <f t="shared" si="162"/>
        <v>1.2083333333333333</v>
      </c>
      <c r="C753" s="70"/>
      <c r="D753" s="75"/>
      <c r="E753" s="75"/>
      <c r="F753" s="63"/>
      <c r="G753" s="69" t="str">
        <f t="shared" si="160"/>
        <v/>
      </c>
      <c r="H753" s="70"/>
      <c r="I753" s="70"/>
      <c r="J753" s="70"/>
      <c r="K753" s="65"/>
      <c r="L753" s="65"/>
      <c r="M753" s="71" t="str">
        <f t="shared" ca="1" si="161"/>
        <v/>
      </c>
      <c r="N753" s="80"/>
      <c r="O753" s="81"/>
    </row>
    <row r="754" spans="1:15" ht="15" customHeight="1">
      <c r="A754" s="59">
        <v>46262</v>
      </c>
      <c r="B754" s="60">
        <f t="shared" si="162"/>
        <v>1.25</v>
      </c>
      <c r="C754" s="61"/>
      <c r="D754" s="62"/>
      <c r="E754" s="62"/>
      <c r="F754" s="63"/>
      <c r="G754" s="64" t="str">
        <f t="shared" si="160"/>
        <v/>
      </c>
      <c r="H754" s="61"/>
      <c r="I754" s="61"/>
      <c r="J754" s="61"/>
      <c r="K754" s="65"/>
      <c r="L754" s="65"/>
      <c r="M754" s="66" t="str">
        <f t="shared" ca="1" si="161"/>
        <v/>
      </c>
      <c r="N754" s="80"/>
      <c r="O754" s="81"/>
    </row>
    <row r="755" spans="1:15" ht="15" customHeight="1">
      <c r="A755" s="18">
        <v>46262</v>
      </c>
      <c r="B755" s="68">
        <f t="shared" si="162"/>
        <v>1.2916666666666667</v>
      </c>
      <c r="C755" s="70"/>
      <c r="D755" s="75"/>
      <c r="E755" s="75"/>
      <c r="F755" s="63"/>
      <c r="G755" s="69" t="str">
        <f t="shared" si="160"/>
        <v/>
      </c>
      <c r="H755" s="70"/>
      <c r="I755" s="70"/>
      <c r="J755" s="70"/>
      <c r="K755" s="65"/>
      <c r="L755" s="65"/>
      <c r="M755" s="71" t="str">
        <f t="shared" ca="1" si="161"/>
        <v/>
      </c>
      <c r="N755" s="80"/>
      <c r="O755" s="81"/>
    </row>
    <row r="756" spans="1:15" ht="15.75" customHeight="1">
      <c r="A756" s="153" t="s">
        <v>263</v>
      </c>
      <c r="B756" s="153"/>
      <c r="C756" s="153"/>
      <c r="D756" s="153"/>
      <c r="E756" s="15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4" t="s">
        <v>249</v>
      </c>
      <c r="B757" s="154"/>
      <c r="C757" s="154"/>
      <c r="D757" s="154"/>
      <c r="E757" s="15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3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4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5">B758+TIME(0,60,0)</f>
        <v>0.37499999999999967</v>
      </c>
      <c r="C759" s="70"/>
      <c r="D759" s="75"/>
      <c r="E759" s="75"/>
      <c r="F759" s="63"/>
      <c r="G759" s="69" t="str">
        <f t="shared" si="163"/>
        <v/>
      </c>
      <c r="H759" s="70"/>
      <c r="I759" s="70"/>
      <c r="J759" s="70"/>
      <c r="K759" s="65"/>
      <c r="L759" s="65"/>
      <c r="M759" s="71" t="str">
        <f t="shared" ca="1" si="164"/>
        <v/>
      </c>
      <c r="N759" s="80"/>
      <c r="O759" s="81"/>
    </row>
    <row r="760" spans="1:15" ht="15" customHeight="1">
      <c r="A760" s="59">
        <v>46263</v>
      </c>
      <c r="B760" s="60">
        <f t="shared" si="165"/>
        <v>0.41666666666666635</v>
      </c>
      <c r="C760" s="61"/>
      <c r="D760" s="62"/>
      <c r="E760" s="62"/>
      <c r="F760" s="63"/>
      <c r="G760" s="64" t="str">
        <f t="shared" si="163"/>
        <v/>
      </c>
      <c r="H760" s="61"/>
      <c r="I760" s="61"/>
      <c r="J760" s="61"/>
      <c r="K760" s="65"/>
      <c r="L760" s="65"/>
      <c r="M760" s="66" t="str">
        <f t="shared" ca="1" si="164"/>
        <v/>
      </c>
      <c r="N760" s="80"/>
      <c r="O760" s="81"/>
    </row>
    <row r="761" spans="1:15" ht="15" customHeight="1">
      <c r="A761" s="18">
        <v>46263</v>
      </c>
      <c r="B761" s="68">
        <f t="shared" si="165"/>
        <v>0.45833333333333304</v>
      </c>
      <c r="C761" s="70"/>
      <c r="D761" s="75"/>
      <c r="E761" s="75"/>
      <c r="F761" s="63"/>
      <c r="G761" s="69" t="str">
        <f t="shared" si="163"/>
        <v/>
      </c>
      <c r="H761" s="70"/>
      <c r="I761" s="70"/>
      <c r="J761" s="70"/>
      <c r="K761" s="65"/>
      <c r="L761" s="65"/>
      <c r="M761" s="71" t="str">
        <f t="shared" ca="1" si="164"/>
        <v/>
      </c>
      <c r="N761" s="80"/>
      <c r="O761" s="81"/>
    </row>
    <row r="762" spans="1:15" ht="15" customHeight="1">
      <c r="A762" s="59">
        <v>46263</v>
      </c>
      <c r="B762" s="60">
        <f t="shared" si="165"/>
        <v>0.49999999999999972</v>
      </c>
      <c r="C762" s="61"/>
      <c r="D762" s="62"/>
      <c r="E762" s="62"/>
      <c r="F762" s="63"/>
      <c r="G762" s="64" t="str">
        <f t="shared" si="163"/>
        <v/>
      </c>
      <c r="H762" s="61"/>
      <c r="I762" s="61"/>
      <c r="J762" s="61"/>
      <c r="K762" s="65"/>
      <c r="L762" s="65"/>
      <c r="M762" s="66" t="str">
        <f t="shared" ca="1" si="164"/>
        <v/>
      </c>
      <c r="N762" s="80"/>
      <c r="O762" s="81"/>
    </row>
    <row r="763" spans="1:15" ht="15" customHeight="1">
      <c r="A763" s="18">
        <v>46263</v>
      </c>
      <c r="B763" s="68">
        <f t="shared" si="165"/>
        <v>0.54166666666666641</v>
      </c>
      <c r="C763" s="70"/>
      <c r="D763" s="75"/>
      <c r="E763" s="75"/>
      <c r="F763" s="63"/>
      <c r="G763" s="69" t="str">
        <f t="shared" si="163"/>
        <v/>
      </c>
      <c r="H763" s="70"/>
      <c r="I763" s="70"/>
      <c r="J763" s="70"/>
      <c r="K763" s="65"/>
      <c r="L763" s="65"/>
      <c r="M763" s="71" t="str">
        <f t="shared" ca="1" si="164"/>
        <v/>
      </c>
      <c r="N763" s="80"/>
      <c r="O763" s="81"/>
    </row>
    <row r="764" spans="1:15" ht="15" customHeight="1">
      <c r="A764" s="59">
        <v>46263</v>
      </c>
      <c r="B764" s="60">
        <f t="shared" si="165"/>
        <v>0.58333333333333304</v>
      </c>
      <c r="C764" s="61"/>
      <c r="D764" s="62"/>
      <c r="E764" s="62"/>
      <c r="F764" s="63"/>
      <c r="G764" s="64" t="str">
        <f t="shared" si="163"/>
        <v/>
      </c>
      <c r="H764" s="61"/>
      <c r="I764" s="61"/>
      <c r="J764" s="61"/>
      <c r="K764" s="65"/>
      <c r="L764" s="65"/>
      <c r="M764" s="66" t="str">
        <f t="shared" ca="1" si="164"/>
        <v/>
      </c>
      <c r="N764" s="80"/>
      <c r="O764" s="81"/>
    </row>
    <row r="765" spans="1:15" ht="15" customHeight="1">
      <c r="A765" s="18">
        <v>46263</v>
      </c>
      <c r="B765" s="68">
        <f t="shared" si="165"/>
        <v>0.62499999999999967</v>
      </c>
      <c r="C765" s="70"/>
      <c r="D765" s="75"/>
      <c r="E765" s="75"/>
      <c r="F765" s="63"/>
      <c r="G765" s="69" t="str">
        <f t="shared" si="163"/>
        <v/>
      </c>
      <c r="H765" s="70"/>
      <c r="I765" s="70"/>
      <c r="J765" s="70"/>
      <c r="K765" s="65"/>
      <c r="L765" s="65"/>
      <c r="M765" s="71" t="str">
        <f t="shared" ca="1" si="164"/>
        <v/>
      </c>
      <c r="N765" s="80"/>
      <c r="O765" s="81"/>
    </row>
    <row r="766" spans="1:15" ht="15" customHeight="1">
      <c r="A766" s="59">
        <v>46263</v>
      </c>
      <c r="B766" s="60">
        <f t="shared" si="165"/>
        <v>0.6666666666666663</v>
      </c>
      <c r="C766" s="61"/>
      <c r="D766" s="62"/>
      <c r="E766" s="62"/>
      <c r="F766" s="63"/>
      <c r="G766" s="64" t="str">
        <f t="shared" si="163"/>
        <v/>
      </c>
      <c r="H766" s="61"/>
      <c r="I766" s="61"/>
      <c r="J766" s="61"/>
      <c r="K766" s="65"/>
      <c r="L766" s="65"/>
      <c r="M766" s="66" t="str">
        <f t="shared" ca="1" si="164"/>
        <v/>
      </c>
      <c r="N766" s="80"/>
      <c r="O766" s="81"/>
    </row>
    <row r="767" spans="1:15" ht="15" customHeight="1">
      <c r="A767" s="18">
        <v>46263</v>
      </c>
      <c r="B767" s="68">
        <f t="shared" si="165"/>
        <v>0.70833333333333293</v>
      </c>
      <c r="C767" s="70"/>
      <c r="D767" s="75"/>
      <c r="E767" s="75"/>
      <c r="F767" s="63"/>
      <c r="G767" s="69" t="str">
        <f t="shared" si="163"/>
        <v/>
      </c>
      <c r="H767" s="70"/>
      <c r="I767" s="70"/>
      <c r="J767" s="70"/>
      <c r="K767" s="65"/>
      <c r="L767" s="65"/>
      <c r="M767" s="71" t="str">
        <f t="shared" ca="1" si="164"/>
        <v/>
      </c>
      <c r="N767" s="80"/>
      <c r="O767" s="81"/>
    </row>
    <row r="768" spans="1:15" ht="15" customHeight="1">
      <c r="A768" s="59">
        <v>46263</v>
      </c>
      <c r="B768" s="60">
        <f t="shared" si="165"/>
        <v>0.74999999999999956</v>
      </c>
      <c r="C768" s="61"/>
      <c r="D768" s="62"/>
      <c r="E768" s="62"/>
      <c r="F768" s="63"/>
      <c r="G768" s="64" t="str">
        <f t="shared" si="163"/>
        <v/>
      </c>
      <c r="H768" s="61"/>
      <c r="I768" s="61"/>
      <c r="J768" s="61"/>
      <c r="K768" s="65"/>
      <c r="L768" s="65"/>
      <c r="M768" s="66" t="str">
        <f t="shared" ca="1" si="164"/>
        <v/>
      </c>
      <c r="N768" s="80"/>
      <c r="O768" s="81"/>
    </row>
    <row r="769" spans="1:15" ht="15" customHeight="1">
      <c r="A769" s="18">
        <v>46263</v>
      </c>
      <c r="B769" s="68">
        <f t="shared" si="165"/>
        <v>0.79166666666666619</v>
      </c>
      <c r="C769" s="70"/>
      <c r="D769" s="75"/>
      <c r="E769" s="75"/>
      <c r="F769" s="63"/>
      <c r="G769" s="69" t="str">
        <f t="shared" si="163"/>
        <v/>
      </c>
      <c r="H769" s="70"/>
      <c r="I769" s="70"/>
      <c r="J769" s="70"/>
      <c r="K769" s="65"/>
      <c r="L769" s="65"/>
      <c r="M769" s="71" t="str">
        <f t="shared" ca="1" si="164"/>
        <v/>
      </c>
      <c r="N769" s="80"/>
      <c r="O769" s="81"/>
    </row>
    <row r="770" spans="1:15" ht="15.75" customHeight="1">
      <c r="A770" s="153" t="s">
        <v>260</v>
      </c>
      <c r="B770" s="153"/>
      <c r="C770" s="153"/>
      <c r="D770" s="153"/>
      <c r="E770" s="15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6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7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8">B771+TIME(0,60,0)</f>
        <v>0.87499999999999967</v>
      </c>
      <c r="C772" s="61"/>
      <c r="D772" s="62"/>
      <c r="E772" s="62"/>
      <c r="F772" s="63"/>
      <c r="G772" s="64" t="str">
        <f t="shared" si="166"/>
        <v/>
      </c>
      <c r="H772" s="61"/>
      <c r="I772" s="61"/>
      <c r="J772" s="61"/>
      <c r="K772" s="65"/>
      <c r="L772" s="65"/>
      <c r="M772" s="66" t="str">
        <f t="shared" ca="1" si="167"/>
        <v/>
      </c>
      <c r="N772" s="80"/>
      <c r="O772" s="81"/>
    </row>
    <row r="773" spans="1:15" ht="15" customHeight="1">
      <c r="A773" s="18">
        <v>46263</v>
      </c>
      <c r="B773" s="68">
        <f t="shared" si="168"/>
        <v>0.9166666666666663</v>
      </c>
      <c r="C773" s="70"/>
      <c r="D773" s="75"/>
      <c r="E773" s="75"/>
      <c r="F773" s="63"/>
      <c r="G773" s="69" t="str">
        <f t="shared" si="166"/>
        <v/>
      </c>
      <c r="H773" s="70"/>
      <c r="I773" s="70"/>
      <c r="J773" s="70"/>
      <c r="K773" s="65"/>
      <c r="L773" s="65"/>
      <c r="M773" s="71" t="str">
        <f t="shared" ca="1" si="167"/>
        <v/>
      </c>
      <c r="N773" s="80"/>
      <c r="O773" s="81"/>
    </row>
    <row r="774" spans="1:15" ht="15" customHeight="1">
      <c r="A774" s="59">
        <v>46263</v>
      </c>
      <c r="B774" s="60">
        <f t="shared" si="168"/>
        <v>0.95833333333333293</v>
      </c>
      <c r="C774" s="61"/>
      <c r="D774" s="62"/>
      <c r="E774" s="62"/>
      <c r="F774" s="63"/>
      <c r="G774" s="64" t="str">
        <f t="shared" si="166"/>
        <v/>
      </c>
      <c r="H774" s="61"/>
      <c r="I774" s="61"/>
      <c r="J774" s="61"/>
      <c r="K774" s="65"/>
      <c r="L774" s="65"/>
      <c r="M774" s="66" t="str">
        <f t="shared" ca="1" si="167"/>
        <v/>
      </c>
      <c r="N774" s="80"/>
      <c r="O774" s="81"/>
    </row>
    <row r="775" spans="1:15" ht="15" customHeight="1">
      <c r="A775" s="18">
        <v>46263</v>
      </c>
      <c r="B775" s="68">
        <f t="shared" si="168"/>
        <v>0.99999999999999956</v>
      </c>
      <c r="C775" s="70"/>
      <c r="D775" s="75"/>
      <c r="E775" s="75"/>
      <c r="F775" s="63"/>
      <c r="G775" s="69" t="str">
        <f t="shared" si="166"/>
        <v/>
      </c>
      <c r="H775" s="70"/>
      <c r="I775" s="70"/>
      <c r="J775" s="70"/>
      <c r="K775" s="65"/>
      <c r="L775" s="65"/>
      <c r="M775" s="71" t="str">
        <f t="shared" ca="1" si="167"/>
        <v/>
      </c>
      <c r="N775" s="80"/>
      <c r="O775" s="81"/>
    </row>
    <row r="776" spans="1:15" ht="15" customHeight="1">
      <c r="A776" s="59">
        <v>46263</v>
      </c>
      <c r="B776" s="60">
        <f t="shared" si="168"/>
        <v>1.0416666666666663</v>
      </c>
      <c r="C776" s="61"/>
      <c r="D776" s="62"/>
      <c r="E776" s="62"/>
      <c r="F776" s="63"/>
      <c r="G776" s="64" t="str">
        <f t="shared" si="166"/>
        <v/>
      </c>
      <c r="H776" s="61"/>
      <c r="I776" s="61"/>
      <c r="J776" s="61"/>
      <c r="K776" s="65"/>
      <c r="L776" s="65"/>
      <c r="M776" s="66" t="str">
        <f t="shared" ca="1" si="167"/>
        <v/>
      </c>
      <c r="N776" s="80"/>
      <c r="O776" s="81"/>
    </row>
    <row r="777" spans="1:15" ht="15" customHeight="1">
      <c r="A777" s="18">
        <v>46263</v>
      </c>
      <c r="B777" s="68">
        <f t="shared" si="168"/>
        <v>1.083333333333333</v>
      </c>
      <c r="C777" s="70"/>
      <c r="D777" s="75"/>
      <c r="E777" s="75"/>
      <c r="F777" s="63"/>
      <c r="G777" s="69" t="str">
        <f t="shared" si="166"/>
        <v/>
      </c>
      <c r="H777" s="70"/>
      <c r="I777" s="70"/>
      <c r="J777" s="70"/>
      <c r="K777" s="65"/>
      <c r="L777" s="65"/>
      <c r="M777" s="71" t="str">
        <f t="shared" ca="1" si="167"/>
        <v/>
      </c>
      <c r="N777" s="80"/>
      <c r="O777" s="81"/>
    </row>
    <row r="778" spans="1:15" ht="15" customHeight="1">
      <c r="A778" s="59">
        <v>46263</v>
      </c>
      <c r="B778" s="60">
        <f t="shared" si="168"/>
        <v>1.1249999999999998</v>
      </c>
      <c r="C778" s="61"/>
      <c r="D778" s="62"/>
      <c r="E778" s="62"/>
      <c r="F778" s="63"/>
      <c r="G778" s="64" t="str">
        <f t="shared" si="166"/>
        <v/>
      </c>
      <c r="H778" s="61"/>
      <c r="I778" s="61"/>
      <c r="J778" s="61"/>
      <c r="K778" s="65"/>
      <c r="L778" s="65"/>
      <c r="M778" s="66" t="str">
        <f t="shared" ca="1" si="167"/>
        <v/>
      </c>
      <c r="N778" s="80"/>
      <c r="O778" s="81"/>
    </row>
    <row r="779" spans="1:15" ht="15" customHeight="1">
      <c r="A779" s="18">
        <v>46263</v>
      </c>
      <c r="B779" s="68">
        <f t="shared" si="168"/>
        <v>1.1666666666666665</v>
      </c>
      <c r="C779" s="70"/>
      <c r="D779" s="75"/>
      <c r="E779" s="75"/>
      <c r="F779" s="63"/>
      <c r="G779" s="69" t="str">
        <f t="shared" si="166"/>
        <v/>
      </c>
      <c r="H779" s="70"/>
      <c r="I779" s="70"/>
      <c r="J779" s="70"/>
      <c r="K779" s="65"/>
      <c r="L779" s="65"/>
      <c r="M779" s="71" t="str">
        <f t="shared" ca="1" si="167"/>
        <v/>
      </c>
      <c r="N779" s="80"/>
      <c r="O779" s="81"/>
    </row>
    <row r="780" spans="1:15" ht="15" customHeight="1">
      <c r="A780" s="59">
        <v>46263</v>
      </c>
      <c r="B780" s="60">
        <f t="shared" si="168"/>
        <v>1.2083333333333333</v>
      </c>
      <c r="C780" s="61"/>
      <c r="D780" s="62"/>
      <c r="E780" s="62"/>
      <c r="F780" s="63"/>
      <c r="G780" s="64" t="str">
        <f t="shared" si="166"/>
        <v/>
      </c>
      <c r="H780" s="61"/>
      <c r="I780" s="61"/>
      <c r="J780" s="61"/>
      <c r="K780" s="65"/>
      <c r="L780" s="65"/>
      <c r="M780" s="66" t="str">
        <f t="shared" ca="1" si="167"/>
        <v/>
      </c>
      <c r="N780" s="80"/>
      <c r="O780" s="81"/>
    </row>
    <row r="781" spans="1:15" ht="15" customHeight="1">
      <c r="A781" s="18">
        <v>46263</v>
      </c>
      <c r="B781" s="68">
        <f t="shared" si="168"/>
        <v>1.25</v>
      </c>
      <c r="C781" s="70"/>
      <c r="D781" s="75"/>
      <c r="E781" s="75"/>
      <c r="F781" s="63"/>
      <c r="G781" s="69" t="str">
        <f t="shared" si="166"/>
        <v/>
      </c>
      <c r="H781" s="70"/>
      <c r="I781" s="70"/>
      <c r="J781" s="70"/>
      <c r="K781" s="65"/>
      <c r="L781" s="65"/>
      <c r="M781" s="71" t="str">
        <f t="shared" ca="1" si="167"/>
        <v/>
      </c>
      <c r="N781" s="80"/>
      <c r="O781" s="81"/>
    </row>
    <row r="782" spans="1:15" ht="15" customHeight="1">
      <c r="A782" s="59">
        <v>46263</v>
      </c>
      <c r="B782" s="60">
        <f t="shared" si="168"/>
        <v>1.2916666666666667</v>
      </c>
      <c r="C782" s="61"/>
      <c r="D782" s="62"/>
      <c r="E782" s="62"/>
      <c r="F782" s="63"/>
      <c r="G782" s="64" t="str">
        <f t="shared" si="166"/>
        <v/>
      </c>
      <c r="H782" s="61"/>
      <c r="I782" s="61"/>
      <c r="J782" s="61"/>
      <c r="K782" s="65"/>
      <c r="L782" s="65"/>
      <c r="M782" s="66" t="str">
        <f t="shared" ca="1" si="167"/>
        <v/>
      </c>
      <c r="N782" s="80"/>
      <c r="O782" s="81"/>
    </row>
    <row r="783" spans="1:15" ht="15.75" customHeight="1">
      <c r="A783" s="153" t="s">
        <v>263</v>
      </c>
      <c r="B783" s="153"/>
      <c r="C783" s="153"/>
      <c r="D783" s="153"/>
      <c r="E783" s="15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4" t="s">
        <v>249</v>
      </c>
      <c r="B784" s="154"/>
      <c r="C784" s="154"/>
      <c r="D784" s="154"/>
      <c r="E784" s="15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69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0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69"/>
        <v/>
      </c>
      <c r="N786" s="80"/>
      <c r="O786" s="81"/>
    </row>
    <row r="787" spans="1:15" ht="15" customHeight="1">
      <c r="A787" s="18">
        <v>46264</v>
      </c>
      <c r="B787" s="68">
        <f t="shared" si="170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69"/>
        <v/>
      </c>
      <c r="N787" s="80"/>
      <c r="O787" s="81"/>
    </row>
    <row r="788" spans="1:15" ht="15" customHeight="1">
      <c r="A788" s="59">
        <v>46264</v>
      </c>
      <c r="B788" s="60">
        <f t="shared" si="170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69"/>
        <v/>
      </c>
      <c r="N788" s="80"/>
      <c r="O788" s="81"/>
    </row>
    <row r="789" spans="1:15" ht="15" customHeight="1">
      <c r="A789" s="18">
        <v>46264</v>
      </c>
      <c r="B789" s="68">
        <f t="shared" si="170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69"/>
        <v/>
      </c>
      <c r="N789" s="80"/>
      <c r="O789" s="81"/>
    </row>
    <row r="790" spans="1:15" ht="15" customHeight="1">
      <c r="A790" s="59">
        <v>46264</v>
      </c>
      <c r="B790" s="60">
        <f t="shared" si="170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69"/>
        <v/>
      </c>
      <c r="N790" s="80"/>
      <c r="O790" s="81"/>
    </row>
    <row r="791" spans="1:15" ht="15" customHeight="1">
      <c r="A791" s="18">
        <v>46264</v>
      </c>
      <c r="B791" s="68">
        <f t="shared" si="170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69"/>
        <v/>
      </c>
      <c r="N791" s="80"/>
      <c r="O791" s="81"/>
    </row>
    <row r="792" spans="1:15" ht="15" customHeight="1">
      <c r="A792" s="59">
        <v>46264</v>
      </c>
      <c r="B792" s="60">
        <f t="shared" si="170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69"/>
        <v/>
      </c>
      <c r="N792" s="80"/>
      <c r="O792" s="81"/>
    </row>
    <row r="793" spans="1:15" ht="15" customHeight="1">
      <c r="A793" s="18">
        <v>46264</v>
      </c>
      <c r="B793" s="68">
        <f t="shared" si="170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69"/>
        <v/>
      </c>
      <c r="N793" s="80"/>
      <c r="O793" s="81"/>
    </row>
    <row r="794" spans="1:15" ht="15" customHeight="1">
      <c r="A794" s="59">
        <v>46264</v>
      </c>
      <c r="B794" s="60">
        <f t="shared" si="170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69"/>
        <v/>
      </c>
      <c r="N794" s="80"/>
      <c r="O794" s="81"/>
    </row>
    <row r="795" spans="1:15" ht="15" customHeight="1">
      <c r="A795" s="18">
        <v>46264</v>
      </c>
      <c r="B795" s="68">
        <f t="shared" si="170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69"/>
        <v/>
      </c>
      <c r="N795" s="80"/>
      <c r="O795" s="81"/>
    </row>
    <row r="796" spans="1:15" ht="15" customHeight="1">
      <c r="A796" s="59">
        <v>46264</v>
      </c>
      <c r="B796" s="60">
        <f t="shared" si="170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69"/>
        <v/>
      </c>
      <c r="N796" s="80"/>
      <c r="O796" s="81"/>
    </row>
    <row r="797" spans="1:15" ht="15.75" customHeight="1">
      <c r="A797" s="153" t="s">
        <v>260</v>
      </c>
      <c r="B797" s="153"/>
      <c r="C797" s="153"/>
      <c r="D797" s="153"/>
      <c r="E797" s="15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1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2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1"/>
        <v/>
      </c>
      <c r="N799" s="80"/>
      <c r="O799" s="81"/>
    </row>
    <row r="800" spans="1:15" ht="15" customHeight="1">
      <c r="A800" s="59">
        <v>46264</v>
      </c>
      <c r="B800" s="60">
        <f t="shared" si="172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1"/>
        <v/>
      </c>
      <c r="N800" s="80"/>
      <c r="O800" s="81"/>
    </row>
    <row r="801" spans="1:15" ht="15" customHeight="1">
      <c r="A801" s="18">
        <v>46264</v>
      </c>
      <c r="B801" s="68">
        <f t="shared" si="172"/>
        <v>0.95833333333333293</v>
      </c>
      <c r="C801" s="70"/>
      <c r="D801" s="75"/>
      <c r="E801" s="75"/>
      <c r="F801" s="63"/>
      <c r="G801" s="69" t="str">
        <f t="shared" ref="G801:G809" si="173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1"/>
        <v/>
      </c>
      <c r="N801" s="80"/>
      <c r="O801" s="81"/>
    </row>
    <row r="802" spans="1:15" ht="15" customHeight="1">
      <c r="A802" s="59">
        <v>46264</v>
      </c>
      <c r="B802" s="60">
        <f t="shared" si="172"/>
        <v>0.99999999999999956</v>
      </c>
      <c r="C802" s="61"/>
      <c r="D802" s="62"/>
      <c r="E802" s="62"/>
      <c r="F802" s="63"/>
      <c r="G802" s="64" t="str">
        <f t="shared" si="173"/>
        <v/>
      </c>
      <c r="H802" s="61"/>
      <c r="I802" s="61"/>
      <c r="J802" s="61"/>
      <c r="K802" s="65"/>
      <c r="L802" s="65"/>
      <c r="M802" s="66" t="str">
        <f t="shared" ca="1" si="171"/>
        <v/>
      </c>
      <c r="N802" s="80"/>
      <c r="O802" s="81"/>
    </row>
    <row r="803" spans="1:15" ht="15" customHeight="1">
      <c r="A803" s="18">
        <v>46264</v>
      </c>
      <c r="B803" s="68">
        <f t="shared" si="172"/>
        <v>1.0416666666666663</v>
      </c>
      <c r="C803" s="70"/>
      <c r="D803" s="75"/>
      <c r="E803" s="75"/>
      <c r="F803" s="63"/>
      <c r="G803" s="69" t="str">
        <f t="shared" si="173"/>
        <v/>
      </c>
      <c r="H803" s="70"/>
      <c r="I803" s="70"/>
      <c r="J803" s="70"/>
      <c r="K803" s="65"/>
      <c r="L803" s="65"/>
      <c r="M803" s="71" t="str">
        <f t="shared" ca="1" si="171"/>
        <v/>
      </c>
      <c r="N803" s="80"/>
      <c r="O803" s="81"/>
    </row>
    <row r="804" spans="1:15" ht="15" customHeight="1">
      <c r="A804" s="59">
        <v>46264</v>
      </c>
      <c r="B804" s="60">
        <f t="shared" si="172"/>
        <v>1.083333333333333</v>
      </c>
      <c r="C804" s="61"/>
      <c r="D804" s="62"/>
      <c r="E804" s="62"/>
      <c r="F804" s="63"/>
      <c r="G804" s="64" t="str">
        <f t="shared" si="173"/>
        <v/>
      </c>
      <c r="H804" s="61"/>
      <c r="I804" s="61"/>
      <c r="J804" s="61"/>
      <c r="K804" s="65"/>
      <c r="L804" s="65"/>
      <c r="M804" s="66" t="str">
        <f t="shared" ca="1" si="171"/>
        <v/>
      </c>
      <c r="N804" s="80"/>
      <c r="O804" s="81"/>
    </row>
    <row r="805" spans="1:15" ht="15" customHeight="1">
      <c r="A805" s="18">
        <v>46264</v>
      </c>
      <c r="B805" s="68">
        <f t="shared" si="172"/>
        <v>1.1249999999999998</v>
      </c>
      <c r="C805" s="70"/>
      <c r="D805" s="75"/>
      <c r="E805" s="75"/>
      <c r="F805" s="63"/>
      <c r="G805" s="69" t="str">
        <f t="shared" si="173"/>
        <v/>
      </c>
      <c r="H805" s="70"/>
      <c r="I805" s="70"/>
      <c r="J805" s="70"/>
      <c r="K805" s="65"/>
      <c r="L805" s="65"/>
      <c r="M805" s="71" t="str">
        <f t="shared" ca="1" si="171"/>
        <v/>
      </c>
      <c r="N805" s="80"/>
      <c r="O805" s="81"/>
    </row>
    <row r="806" spans="1:15" ht="15" customHeight="1">
      <c r="A806" s="59">
        <v>46264</v>
      </c>
      <c r="B806" s="60">
        <f t="shared" si="172"/>
        <v>1.1666666666666665</v>
      </c>
      <c r="C806" s="61"/>
      <c r="D806" s="62"/>
      <c r="E806" s="62"/>
      <c r="F806" s="63"/>
      <c r="G806" s="64" t="str">
        <f t="shared" si="173"/>
        <v/>
      </c>
      <c r="H806" s="61"/>
      <c r="I806" s="61"/>
      <c r="J806" s="61"/>
      <c r="K806" s="65"/>
      <c r="L806" s="65"/>
      <c r="M806" s="66" t="str">
        <f t="shared" ca="1" si="171"/>
        <v/>
      </c>
      <c r="N806" s="80"/>
      <c r="O806" s="81"/>
    </row>
    <row r="807" spans="1:15" ht="15" customHeight="1">
      <c r="A807" s="18">
        <v>46264</v>
      </c>
      <c r="B807" s="68">
        <f t="shared" si="172"/>
        <v>1.2083333333333333</v>
      </c>
      <c r="C807" s="70"/>
      <c r="D807" s="75"/>
      <c r="E807" s="75"/>
      <c r="F807" s="63"/>
      <c r="G807" s="69" t="str">
        <f t="shared" si="173"/>
        <v/>
      </c>
      <c r="H807" s="70"/>
      <c r="I807" s="70"/>
      <c r="J807" s="70"/>
      <c r="K807" s="65"/>
      <c r="L807" s="65"/>
      <c r="M807" s="71" t="str">
        <f t="shared" ca="1" si="171"/>
        <v/>
      </c>
      <c r="N807" s="80"/>
      <c r="O807" s="81"/>
    </row>
    <row r="808" spans="1:15" ht="15" customHeight="1">
      <c r="A808" s="59">
        <v>46264</v>
      </c>
      <c r="B808" s="60">
        <f t="shared" si="172"/>
        <v>1.25</v>
      </c>
      <c r="C808" s="61"/>
      <c r="D808" s="62"/>
      <c r="E808" s="62"/>
      <c r="F808" s="63"/>
      <c r="G808" s="64" t="str">
        <f t="shared" si="173"/>
        <v/>
      </c>
      <c r="H808" s="61"/>
      <c r="I808" s="61"/>
      <c r="J808" s="61"/>
      <c r="K808" s="65"/>
      <c r="L808" s="65"/>
      <c r="M808" s="66" t="str">
        <f t="shared" ca="1" si="171"/>
        <v/>
      </c>
      <c r="N808" s="80"/>
      <c r="O808" s="81"/>
    </row>
    <row r="809" spans="1:15" ht="15" customHeight="1">
      <c r="A809" s="18">
        <v>46264</v>
      </c>
      <c r="B809" s="68">
        <f t="shared" si="172"/>
        <v>1.2916666666666667</v>
      </c>
      <c r="C809" s="70"/>
      <c r="D809" s="75"/>
      <c r="E809" s="75"/>
      <c r="F809" s="63"/>
      <c r="G809" s="69" t="str">
        <f t="shared" si="173"/>
        <v/>
      </c>
      <c r="H809" s="70"/>
      <c r="I809" s="70"/>
      <c r="J809" s="70"/>
      <c r="K809" s="65"/>
      <c r="L809" s="65"/>
      <c r="M809" s="71" t="str">
        <f t="shared" ca="1" si="171"/>
        <v/>
      </c>
      <c r="N809" s="80"/>
      <c r="O809" s="81"/>
    </row>
    <row r="810" spans="1:15" ht="15.75" customHeight="1">
      <c r="A810" s="153" t="s">
        <v>263</v>
      </c>
      <c r="B810" s="153"/>
      <c r="C810" s="153"/>
      <c r="D810" s="153"/>
      <c r="E810" s="15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4" t="s">
        <v>249</v>
      </c>
      <c r="B811" s="154"/>
      <c r="C811" s="154"/>
      <c r="D811" s="154"/>
      <c r="E811" s="15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4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5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6">B812+TIME(0,60,0)</f>
        <v>0.37499999999999967</v>
      </c>
      <c r="C813" s="61"/>
      <c r="D813" s="62"/>
      <c r="E813" s="62"/>
      <c r="F813" s="63"/>
      <c r="G813" s="69" t="str">
        <f t="shared" si="174"/>
        <v/>
      </c>
      <c r="H813" s="61"/>
      <c r="I813" s="61"/>
      <c r="J813" s="61"/>
      <c r="K813" s="65"/>
      <c r="L813" s="65"/>
      <c r="M813" s="66" t="str">
        <f t="shared" ca="1" si="175"/>
        <v/>
      </c>
      <c r="N813" s="63"/>
      <c r="O813" s="67"/>
    </row>
    <row r="814" spans="1:15" ht="15" customHeight="1">
      <c r="A814" s="59">
        <v>46265</v>
      </c>
      <c r="B814" s="60">
        <f t="shared" si="176"/>
        <v>0.41666666666666635</v>
      </c>
      <c r="C814" s="61"/>
      <c r="D814" s="62"/>
      <c r="E814" s="62"/>
      <c r="F814" s="63"/>
      <c r="G814" s="64" t="str">
        <f t="shared" si="174"/>
        <v/>
      </c>
      <c r="H814" s="70"/>
      <c r="I814" s="70"/>
      <c r="J814" s="70"/>
      <c r="K814" s="65"/>
      <c r="L814" s="65"/>
      <c r="M814" s="71" t="str">
        <f t="shared" ca="1" si="175"/>
        <v/>
      </c>
      <c r="N814" s="63"/>
      <c r="O814" s="67"/>
    </row>
    <row r="815" spans="1:15" ht="15" customHeight="1">
      <c r="A815" s="18">
        <v>46265</v>
      </c>
      <c r="B815" s="68">
        <f t="shared" si="176"/>
        <v>0.45833333333333304</v>
      </c>
      <c r="C815" s="61"/>
      <c r="D815" s="62"/>
      <c r="E815" s="62"/>
      <c r="F815" s="63"/>
      <c r="G815" s="69" t="str">
        <f t="shared" si="174"/>
        <v/>
      </c>
      <c r="H815" s="61"/>
      <c r="I815" s="61"/>
      <c r="J815" s="61"/>
      <c r="K815" s="65"/>
      <c r="L815" s="65"/>
      <c r="M815" s="66" t="str">
        <f t="shared" ca="1" si="175"/>
        <v/>
      </c>
      <c r="N815" s="63"/>
      <c r="O815" s="67"/>
    </row>
    <row r="816" spans="1:15" ht="15" customHeight="1">
      <c r="A816" s="59">
        <v>46265</v>
      </c>
      <c r="B816" s="60">
        <f t="shared" si="176"/>
        <v>0.49999999999999972</v>
      </c>
      <c r="C816" s="61"/>
      <c r="D816" s="62"/>
      <c r="E816" s="62"/>
      <c r="F816" s="63"/>
      <c r="G816" s="64" t="str">
        <f t="shared" si="174"/>
        <v/>
      </c>
      <c r="H816" s="70"/>
      <c r="I816" s="70"/>
      <c r="J816" s="70"/>
      <c r="K816" s="65"/>
      <c r="L816" s="65"/>
      <c r="M816" s="71" t="str">
        <f t="shared" ca="1" si="175"/>
        <v/>
      </c>
      <c r="N816" s="63"/>
      <c r="O816" s="67"/>
    </row>
    <row r="817" spans="1:15" ht="15" customHeight="1">
      <c r="A817" s="18">
        <v>46265</v>
      </c>
      <c r="B817" s="68">
        <f t="shared" si="176"/>
        <v>0.54166666666666641</v>
      </c>
      <c r="C817" s="61"/>
      <c r="D817" s="62"/>
      <c r="E817" s="62"/>
      <c r="F817" s="63"/>
      <c r="G817" s="69" t="str">
        <f t="shared" si="174"/>
        <v/>
      </c>
      <c r="H817" s="61"/>
      <c r="I817" s="61"/>
      <c r="J817" s="61"/>
      <c r="K817" s="65"/>
      <c r="L817" s="65"/>
      <c r="M817" s="66" t="str">
        <f t="shared" ca="1" si="175"/>
        <v/>
      </c>
      <c r="N817" s="63"/>
      <c r="O817" s="67"/>
    </row>
    <row r="818" spans="1:15" ht="15" customHeight="1">
      <c r="A818" s="59">
        <v>46265</v>
      </c>
      <c r="B818" s="60">
        <f t="shared" si="176"/>
        <v>0.58333333333333304</v>
      </c>
      <c r="C818" s="61"/>
      <c r="D818" s="62"/>
      <c r="E818" s="62"/>
      <c r="F818" s="63"/>
      <c r="G818" s="64" t="str">
        <f t="shared" si="174"/>
        <v/>
      </c>
      <c r="H818" s="70"/>
      <c r="I818" s="70"/>
      <c r="J818" s="70"/>
      <c r="K818" s="65"/>
      <c r="L818" s="65"/>
      <c r="M818" s="71" t="str">
        <f t="shared" ca="1" si="175"/>
        <v/>
      </c>
      <c r="N818" s="63"/>
      <c r="O818" s="67"/>
    </row>
    <row r="819" spans="1:15" ht="15" customHeight="1">
      <c r="A819" s="18">
        <v>46265</v>
      </c>
      <c r="B819" s="68">
        <f t="shared" si="176"/>
        <v>0.62499999999999967</v>
      </c>
      <c r="C819" s="61"/>
      <c r="D819" s="62"/>
      <c r="E819" s="62"/>
      <c r="F819" s="63"/>
      <c r="G819" s="69" t="str">
        <f t="shared" si="174"/>
        <v/>
      </c>
      <c r="H819" s="61"/>
      <c r="I819" s="61"/>
      <c r="J819" s="61"/>
      <c r="K819" s="65"/>
      <c r="L819" s="65"/>
      <c r="M819" s="66" t="str">
        <f t="shared" ca="1" si="175"/>
        <v/>
      </c>
      <c r="N819" s="63"/>
      <c r="O819" s="67"/>
    </row>
    <row r="820" spans="1:15" ht="15" customHeight="1">
      <c r="A820" s="59">
        <v>46265</v>
      </c>
      <c r="B820" s="60">
        <f t="shared" si="176"/>
        <v>0.6666666666666663</v>
      </c>
      <c r="C820" s="61"/>
      <c r="D820" s="62"/>
      <c r="E820" s="62"/>
      <c r="F820" s="63"/>
      <c r="G820" s="64" t="str">
        <f t="shared" si="174"/>
        <v/>
      </c>
      <c r="H820" s="70"/>
      <c r="I820" s="70"/>
      <c r="J820" s="70"/>
      <c r="K820" s="65"/>
      <c r="L820" s="65"/>
      <c r="M820" s="71" t="str">
        <f t="shared" ca="1" si="175"/>
        <v/>
      </c>
      <c r="N820" s="63"/>
      <c r="O820" s="67"/>
    </row>
    <row r="821" spans="1:15" ht="15" customHeight="1">
      <c r="A821" s="18">
        <v>46265</v>
      </c>
      <c r="B821" s="68">
        <f t="shared" si="176"/>
        <v>0.70833333333333293</v>
      </c>
      <c r="C821" s="61"/>
      <c r="D821" s="62"/>
      <c r="E821" s="62"/>
      <c r="F821" s="63"/>
      <c r="G821" s="69" t="str">
        <f t="shared" si="174"/>
        <v/>
      </c>
      <c r="H821" s="61"/>
      <c r="I821" s="61"/>
      <c r="J821" s="61"/>
      <c r="K821" s="65"/>
      <c r="L821" s="65"/>
      <c r="M821" s="66" t="str">
        <f t="shared" ca="1" si="175"/>
        <v/>
      </c>
      <c r="N821" s="63"/>
      <c r="O821" s="67"/>
    </row>
    <row r="822" spans="1:15" ht="15" customHeight="1">
      <c r="A822" s="59">
        <v>46265</v>
      </c>
      <c r="B822" s="60">
        <f t="shared" si="176"/>
        <v>0.74999999999999956</v>
      </c>
      <c r="C822" s="61"/>
      <c r="D822" s="62"/>
      <c r="E822" s="62"/>
      <c r="F822" s="63"/>
      <c r="G822" s="64" t="str">
        <f t="shared" si="174"/>
        <v/>
      </c>
      <c r="H822" s="70"/>
      <c r="I822" s="70"/>
      <c r="J822" s="70"/>
      <c r="K822" s="65"/>
      <c r="L822" s="65"/>
      <c r="M822" s="71" t="str">
        <f t="shared" ca="1" si="175"/>
        <v/>
      </c>
      <c r="N822" s="63"/>
      <c r="O822" s="67"/>
    </row>
    <row r="823" spans="1:15" ht="15" customHeight="1">
      <c r="A823" s="18">
        <v>46265</v>
      </c>
      <c r="B823" s="68">
        <f t="shared" si="176"/>
        <v>0.79166666666666619</v>
      </c>
      <c r="C823" s="61"/>
      <c r="D823" s="62"/>
      <c r="E823" s="62"/>
      <c r="F823" s="63"/>
      <c r="G823" s="69" t="str">
        <f t="shared" si="174"/>
        <v/>
      </c>
      <c r="H823" s="61"/>
      <c r="I823" s="61"/>
      <c r="J823" s="61"/>
      <c r="K823" s="65"/>
      <c r="L823" s="65"/>
      <c r="M823" s="66" t="str">
        <f t="shared" ca="1" si="175"/>
        <v/>
      </c>
      <c r="N823" s="63"/>
      <c r="O823" s="67"/>
    </row>
    <row r="824" spans="1:15" ht="15.75" customHeight="1">
      <c r="A824" s="153" t="s">
        <v>260</v>
      </c>
      <c r="B824" s="153"/>
      <c r="C824" s="153"/>
      <c r="D824" s="153"/>
      <c r="E824" s="15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7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8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79">B825+TIME(0,60,0)</f>
        <v>0.87499999999999967</v>
      </c>
      <c r="C826" s="70"/>
      <c r="D826" s="75"/>
      <c r="E826" s="75"/>
      <c r="F826" s="63"/>
      <c r="G826" s="64" t="str">
        <f t="shared" si="177"/>
        <v/>
      </c>
      <c r="H826" s="70"/>
      <c r="I826" s="70"/>
      <c r="J826" s="70"/>
      <c r="K826" s="65"/>
      <c r="L826" s="65"/>
      <c r="M826" s="71" t="str">
        <f t="shared" ca="1" si="178"/>
        <v/>
      </c>
      <c r="N826" s="63"/>
      <c r="O826" s="67"/>
    </row>
    <row r="827" spans="1:15" ht="15" customHeight="1">
      <c r="A827" s="18">
        <v>46265</v>
      </c>
      <c r="B827" s="68">
        <f t="shared" si="179"/>
        <v>0.9166666666666663</v>
      </c>
      <c r="C827" s="70"/>
      <c r="D827" s="75"/>
      <c r="E827" s="75"/>
      <c r="F827" s="63"/>
      <c r="G827" s="69" t="str">
        <f t="shared" si="177"/>
        <v/>
      </c>
      <c r="H827" s="61"/>
      <c r="I827" s="61"/>
      <c r="J827" s="61"/>
      <c r="K827" s="65"/>
      <c r="L827" s="65"/>
      <c r="M827" s="66" t="str">
        <f t="shared" ca="1" si="178"/>
        <v/>
      </c>
      <c r="N827" s="63"/>
      <c r="O827" s="67"/>
    </row>
    <row r="828" spans="1:15" ht="15" customHeight="1">
      <c r="A828" s="59">
        <v>46265</v>
      </c>
      <c r="B828" s="60">
        <f t="shared" si="179"/>
        <v>0.95833333333333293</v>
      </c>
      <c r="C828" s="70"/>
      <c r="D828" s="75"/>
      <c r="E828" s="75"/>
      <c r="F828" s="63"/>
      <c r="G828" s="64" t="str">
        <f t="shared" si="177"/>
        <v/>
      </c>
      <c r="H828" s="70"/>
      <c r="I828" s="70"/>
      <c r="J828" s="70"/>
      <c r="K828" s="65"/>
      <c r="L828" s="65"/>
      <c r="M828" s="71" t="str">
        <f t="shared" ca="1" si="178"/>
        <v/>
      </c>
      <c r="N828" s="63"/>
      <c r="O828" s="67"/>
    </row>
    <row r="829" spans="1:15" ht="15" customHeight="1">
      <c r="A829" s="18">
        <v>46265</v>
      </c>
      <c r="B829" s="68">
        <f t="shared" si="179"/>
        <v>0.99999999999999956</v>
      </c>
      <c r="C829" s="70"/>
      <c r="D829" s="75"/>
      <c r="E829" s="75"/>
      <c r="F829" s="63"/>
      <c r="G829" s="69" t="str">
        <f t="shared" si="177"/>
        <v/>
      </c>
      <c r="H829" s="61"/>
      <c r="I829" s="61"/>
      <c r="J829" s="61"/>
      <c r="K829" s="65"/>
      <c r="L829" s="65"/>
      <c r="M829" s="66" t="str">
        <f t="shared" ca="1" si="178"/>
        <v/>
      </c>
      <c r="N829" s="63"/>
      <c r="O829" s="67"/>
    </row>
    <row r="830" spans="1:15" ht="15" customHeight="1">
      <c r="A830" s="59">
        <v>46265</v>
      </c>
      <c r="B830" s="60">
        <f t="shared" si="179"/>
        <v>1.0416666666666663</v>
      </c>
      <c r="C830" s="70"/>
      <c r="D830" s="75"/>
      <c r="E830" s="75"/>
      <c r="F830" s="63"/>
      <c r="G830" s="64" t="str">
        <f t="shared" si="177"/>
        <v/>
      </c>
      <c r="H830" s="70"/>
      <c r="I830" s="70"/>
      <c r="J830" s="70"/>
      <c r="K830" s="65"/>
      <c r="L830" s="65"/>
      <c r="M830" s="71" t="str">
        <f t="shared" ca="1" si="178"/>
        <v/>
      </c>
      <c r="N830" s="63"/>
      <c r="O830" s="67"/>
    </row>
    <row r="831" spans="1:15" ht="15" customHeight="1">
      <c r="A831" s="18">
        <v>46265</v>
      </c>
      <c r="B831" s="68">
        <f t="shared" si="179"/>
        <v>1.083333333333333</v>
      </c>
      <c r="C831" s="70"/>
      <c r="D831" s="75"/>
      <c r="E831" s="75"/>
      <c r="F831" s="63"/>
      <c r="G831" s="69" t="str">
        <f t="shared" si="177"/>
        <v/>
      </c>
      <c r="H831" s="61"/>
      <c r="I831" s="61"/>
      <c r="J831" s="61"/>
      <c r="K831" s="65"/>
      <c r="L831" s="65"/>
      <c r="M831" s="66" t="str">
        <f t="shared" ca="1" si="178"/>
        <v/>
      </c>
      <c r="N831" s="63"/>
      <c r="O831" s="67"/>
    </row>
    <row r="832" spans="1:15" ht="15" customHeight="1">
      <c r="A832" s="59">
        <v>46265</v>
      </c>
      <c r="B832" s="60">
        <f t="shared" si="179"/>
        <v>1.1249999999999998</v>
      </c>
      <c r="C832" s="70"/>
      <c r="D832" s="75"/>
      <c r="E832" s="75"/>
      <c r="F832" s="63"/>
      <c r="G832" s="64" t="str">
        <f t="shared" si="177"/>
        <v/>
      </c>
      <c r="H832" s="70"/>
      <c r="I832" s="70"/>
      <c r="J832" s="70"/>
      <c r="K832" s="65"/>
      <c r="L832" s="65"/>
      <c r="M832" s="71" t="str">
        <f t="shared" ca="1" si="178"/>
        <v/>
      </c>
      <c r="N832" s="63"/>
      <c r="O832" s="67"/>
    </row>
    <row r="833" spans="1:15" ht="15" customHeight="1">
      <c r="A833" s="18">
        <v>46265</v>
      </c>
      <c r="B833" s="68">
        <f t="shared" si="179"/>
        <v>1.1666666666666665</v>
      </c>
      <c r="C833" s="70"/>
      <c r="D833" s="75"/>
      <c r="E833" s="75"/>
      <c r="F833" s="63"/>
      <c r="G833" s="69" t="str">
        <f t="shared" si="177"/>
        <v/>
      </c>
      <c r="H833" s="61"/>
      <c r="I833" s="61"/>
      <c r="J833" s="61"/>
      <c r="K833" s="65"/>
      <c r="L833" s="65"/>
      <c r="M833" s="66" t="str">
        <f t="shared" ca="1" si="178"/>
        <v/>
      </c>
      <c r="N833" s="63"/>
      <c r="O833" s="67"/>
    </row>
    <row r="834" spans="1:15" ht="15" customHeight="1">
      <c r="A834" s="59">
        <v>46265</v>
      </c>
      <c r="B834" s="60">
        <f t="shared" si="179"/>
        <v>1.2083333333333333</v>
      </c>
      <c r="C834" s="70"/>
      <c r="D834" s="75"/>
      <c r="E834" s="75"/>
      <c r="F834" s="63"/>
      <c r="G834" s="64" t="str">
        <f t="shared" si="177"/>
        <v/>
      </c>
      <c r="H834" s="70"/>
      <c r="I834" s="70"/>
      <c r="J834" s="70"/>
      <c r="K834" s="65"/>
      <c r="L834" s="65"/>
      <c r="M834" s="71" t="str">
        <f t="shared" ca="1" si="178"/>
        <v/>
      </c>
      <c r="N834" s="63"/>
      <c r="O834" s="67"/>
    </row>
    <row r="835" spans="1:15" ht="15" customHeight="1">
      <c r="A835" s="18">
        <v>46265</v>
      </c>
      <c r="B835" s="68">
        <f t="shared" si="179"/>
        <v>1.25</v>
      </c>
      <c r="C835" s="70"/>
      <c r="D835" s="75"/>
      <c r="E835" s="75"/>
      <c r="F835" s="63"/>
      <c r="G835" s="69" t="str">
        <f t="shared" si="177"/>
        <v/>
      </c>
      <c r="H835" s="61"/>
      <c r="I835" s="61"/>
      <c r="J835" s="61"/>
      <c r="K835" s="65"/>
      <c r="L835" s="65"/>
      <c r="M835" s="66" t="str">
        <f t="shared" ca="1" si="178"/>
        <v/>
      </c>
      <c r="N835" s="63"/>
      <c r="O835" s="67"/>
    </row>
    <row r="836" spans="1:15" ht="15" customHeight="1">
      <c r="A836" s="59">
        <v>46265</v>
      </c>
      <c r="B836" s="60">
        <f t="shared" si="179"/>
        <v>1.2916666666666667</v>
      </c>
      <c r="C836" s="70"/>
      <c r="D836" s="75"/>
      <c r="E836" s="75"/>
      <c r="F836" s="63"/>
      <c r="G836" s="64" t="str">
        <f t="shared" si="177"/>
        <v/>
      </c>
      <c r="H836" s="70"/>
      <c r="I836" s="70"/>
      <c r="J836" s="70"/>
      <c r="K836" s="65"/>
      <c r="L836" s="65"/>
      <c r="M836" s="71" t="str">
        <f t="shared" ca="1" si="178"/>
        <v/>
      </c>
      <c r="N836" s="63"/>
      <c r="O836" s="67"/>
    </row>
    <row r="837" spans="1:15" ht="15.75" customHeight="1">
      <c r="A837" s="153" t="s">
        <v>263</v>
      </c>
      <c r="B837" s="153"/>
      <c r="C837" s="153"/>
      <c r="D837" s="153"/>
      <c r="E837" s="15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4" t="s">
        <v>249</v>
      </c>
      <c r="B838" s="154"/>
      <c r="C838" s="154"/>
      <c r="D838" s="154"/>
      <c r="E838" s="15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T838"/>
  <sheetViews>
    <sheetView showGridLines="0" tabSelected="1" zoomScale="80" zoomScaleNormal="80" workbookViewId="0">
      <pane ySplit="1" topLeftCell="A470" activePane="bottomLeft" state="frozen"/>
      <selection pane="bottomLeft" activeCell="L490" sqref="L49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7109375" style="54" hidden="1" customWidth="1"/>
    <col min="7" max="7" width="13" style="54" customWidth="1"/>
    <col min="8" max="8" width="15.7109375" style="54" hidden="1" customWidth="1"/>
    <col min="9" max="9" width="16.140625" style="54" hidden="1" customWidth="1"/>
    <col min="10" max="10" width="13.7109375" style="54" hidden="1" customWidth="1"/>
    <col min="11" max="11" width="14" style="54" customWidth="1"/>
    <col min="12" max="12" width="31.28515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7109375" customWidth="1"/>
    <col min="20" max="20" width="14.71093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3" t="s">
        <v>260</v>
      </c>
      <c r="B14" s="163"/>
      <c r="C14" s="163"/>
      <c r="D14" s="163"/>
      <c r="E14" s="163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3" t="s">
        <v>263</v>
      </c>
      <c r="B27" s="163"/>
      <c r="C27" s="163"/>
      <c r="D27" s="163"/>
      <c r="E27" s="163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2" t="s">
        <v>249</v>
      </c>
      <c r="B28" s="162"/>
      <c r="C28" s="162"/>
      <c r="D28" s="162"/>
      <c r="E28" s="162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3" t="s">
        <v>260</v>
      </c>
      <c r="B41" s="163"/>
      <c r="C41" s="163"/>
      <c r="D41" s="163"/>
      <c r="E41" s="163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0.34363101851340616</v>
      </c>
      <c r="R53" s="80" t="s">
        <v>303</v>
      </c>
      <c r="S53" s="67"/>
    </row>
    <row r="54" spans="1:20" ht="15.75" customHeight="1">
      <c r="A54" s="163" t="s">
        <v>263</v>
      </c>
      <c r="B54" s="163"/>
      <c r="C54" s="163"/>
      <c r="D54" s="163"/>
      <c r="E54" s="163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0.48251990740229389</v>
      </c>
      <c r="R54" s="2" t="s">
        <v>261</v>
      </c>
      <c r="S54" s="113">
        <v>352430</v>
      </c>
      <c r="T54" s="114"/>
    </row>
    <row r="55" spans="1:20" ht="18" customHeight="1">
      <c r="A55" s="162" t="s">
        <v>249</v>
      </c>
      <c r="B55" s="162"/>
      <c r="C55" s="162"/>
      <c r="D55" s="162"/>
      <c r="E55" s="162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0.5672421296245167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3" t="s">
        <v>260</v>
      </c>
      <c r="B68" s="163"/>
      <c r="C68" s="163"/>
      <c r="D68" s="163"/>
      <c r="E68" s="163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3" t="s">
        <v>263</v>
      </c>
      <c r="B81" s="163"/>
      <c r="C81" s="163"/>
      <c r="D81" s="163"/>
      <c r="E81" s="163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2" t="s">
        <v>249</v>
      </c>
      <c r="B82" s="162"/>
      <c r="C82" s="162"/>
      <c r="D82" s="162"/>
      <c r="E82" s="162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3" t="s">
        <v>260</v>
      </c>
      <c r="B95" s="163"/>
      <c r="C95" s="163"/>
      <c r="D95" s="163"/>
      <c r="E95" s="163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3" t="s">
        <v>263</v>
      </c>
      <c r="B108" s="163"/>
      <c r="C108" s="163"/>
      <c r="D108" s="163"/>
      <c r="E108" s="163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2" t="s">
        <v>249</v>
      </c>
      <c r="B109" s="162"/>
      <c r="C109" s="162"/>
      <c r="D109" s="162"/>
      <c r="E109" s="162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3" t="s">
        <v>260</v>
      </c>
      <c r="B122" s="163"/>
      <c r="C122" s="163"/>
      <c r="D122" s="163"/>
      <c r="E122" s="163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3" t="s">
        <v>263</v>
      </c>
      <c r="B135" s="163"/>
      <c r="C135" s="163"/>
      <c r="D135" s="163"/>
      <c r="E135" s="163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2" t="s">
        <v>249</v>
      </c>
      <c r="B136" s="162"/>
      <c r="C136" s="162"/>
      <c r="D136" s="162"/>
      <c r="E136" s="162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3" t="s">
        <v>260</v>
      </c>
      <c r="B149" s="163"/>
      <c r="C149" s="163"/>
      <c r="D149" s="163"/>
      <c r="E149" s="163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3" t="s">
        <v>263</v>
      </c>
      <c r="B162" s="163"/>
      <c r="C162" s="163"/>
      <c r="D162" s="163"/>
      <c r="E162" s="163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2" t="s">
        <v>249</v>
      </c>
      <c r="B163" s="162"/>
      <c r="C163" s="162"/>
      <c r="D163" s="162"/>
      <c r="E163" s="162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3" t="s">
        <v>260</v>
      </c>
      <c r="B176" s="163"/>
      <c r="C176" s="163"/>
      <c r="D176" s="163"/>
      <c r="E176" s="163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3" t="s">
        <v>263</v>
      </c>
      <c r="B189" s="163"/>
      <c r="C189" s="163"/>
      <c r="D189" s="163"/>
      <c r="E189" s="163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2" t="s">
        <v>249</v>
      </c>
      <c r="B190" s="162"/>
      <c r="C190" s="162"/>
      <c r="D190" s="162"/>
      <c r="E190" s="162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3" t="s">
        <v>260</v>
      </c>
      <c r="B203" s="163"/>
      <c r="C203" s="163"/>
      <c r="D203" s="163"/>
      <c r="E203" s="163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3" t="s">
        <v>263</v>
      </c>
      <c r="B216" s="163"/>
      <c r="C216" s="163"/>
      <c r="D216" s="163"/>
      <c r="E216" s="163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2" t="s">
        <v>249</v>
      </c>
      <c r="B217" s="162"/>
      <c r="C217" s="162"/>
      <c r="D217" s="162"/>
      <c r="E217" s="162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3" t="s">
        <v>260</v>
      </c>
      <c r="B230" s="163"/>
      <c r="C230" s="163"/>
      <c r="D230" s="163"/>
      <c r="E230" s="163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3" t="s">
        <v>263</v>
      </c>
      <c r="B243" s="163"/>
      <c r="C243" s="163"/>
      <c r="D243" s="163"/>
      <c r="E243" s="163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2" t="s">
        <v>249</v>
      </c>
      <c r="B244" s="162"/>
      <c r="C244" s="162"/>
      <c r="D244" s="162"/>
      <c r="E244" s="162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3" t="s">
        <v>260</v>
      </c>
      <c r="B257" s="163"/>
      <c r="C257" s="163"/>
      <c r="D257" s="163"/>
      <c r="E257" s="163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3" t="s">
        <v>263</v>
      </c>
      <c r="B270" s="163"/>
      <c r="C270" s="163"/>
      <c r="D270" s="163"/>
      <c r="E270" s="163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2" t="s">
        <v>249</v>
      </c>
      <c r="B271" s="162"/>
      <c r="C271" s="162"/>
      <c r="D271" s="162"/>
      <c r="E271" s="162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3" t="s">
        <v>260</v>
      </c>
      <c r="B284" s="163"/>
      <c r="C284" s="163"/>
      <c r="D284" s="163"/>
      <c r="E284" s="163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3" t="s">
        <v>263</v>
      </c>
      <c r="B297" s="163"/>
      <c r="C297" s="163"/>
      <c r="D297" s="163"/>
      <c r="E297" s="163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2" t="s">
        <v>249</v>
      </c>
      <c r="B298" s="162"/>
      <c r="C298" s="162"/>
      <c r="D298" s="162"/>
      <c r="E298" s="162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3" t="s">
        <v>260</v>
      </c>
      <c r="B311" s="163"/>
      <c r="C311" s="163"/>
      <c r="D311" s="163"/>
      <c r="E311" s="163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3" t="s">
        <v>263</v>
      </c>
      <c r="B324" s="163"/>
      <c r="C324" s="163"/>
      <c r="D324" s="163"/>
      <c r="E324" s="163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2" t="s">
        <v>249</v>
      </c>
      <c r="B325" s="162"/>
      <c r="C325" s="162"/>
      <c r="D325" s="162"/>
      <c r="E325" s="162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3" t="s">
        <v>260</v>
      </c>
      <c r="B338" s="163"/>
      <c r="C338" s="163"/>
      <c r="D338" s="163"/>
      <c r="E338" s="163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3" t="s">
        <v>263</v>
      </c>
      <c r="B351" s="163"/>
      <c r="C351" s="163"/>
      <c r="D351" s="163"/>
      <c r="E351" s="163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2" t="s">
        <v>249</v>
      </c>
      <c r="B352" s="162"/>
      <c r="C352" s="162"/>
      <c r="D352" s="162"/>
      <c r="E352" s="162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3" t="s">
        <v>260</v>
      </c>
      <c r="B365" s="163"/>
      <c r="C365" s="163"/>
      <c r="D365" s="163"/>
      <c r="E365" s="163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3" t="s">
        <v>263</v>
      </c>
      <c r="B378" s="163"/>
      <c r="C378" s="163"/>
      <c r="D378" s="163"/>
      <c r="E378" s="163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2" t="s">
        <v>249</v>
      </c>
      <c r="B379" s="162"/>
      <c r="C379" s="162"/>
      <c r="D379" s="162"/>
      <c r="E379" s="162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3" t="s">
        <v>260</v>
      </c>
      <c r="B392" s="163"/>
      <c r="C392" s="163"/>
      <c r="D392" s="163"/>
      <c r="E392" s="163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3" t="s">
        <v>263</v>
      </c>
      <c r="B405" s="163"/>
      <c r="C405" s="163"/>
      <c r="D405" s="163"/>
      <c r="E405" s="163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2" t="s">
        <v>249</v>
      </c>
      <c r="B406" s="162"/>
      <c r="C406" s="162"/>
      <c r="D406" s="162"/>
      <c r="E406" s="162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3" t="s">
        <v>260</v>
      </c>
      <c r="B419" s="163"/>
      <c r="C419" s="163"/>
      <c r="D419" s="163"/>
      <c r="E419" s="163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3" t="s">
        <v>260</v>
      </c>
      <c r="B446" s="163"/>
      <c r="C446" s="163"/>
      <c r="D446" s="163"/>
      <c r="E446" s="163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3" t="s">
        <v>263</v>
      </c>
      <c r="B459" s="163"/>
      <c r="C459" s="163"/>
      <c r="D459" s="163"/>
      <c r="E459" s="163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2" t="s">
        <v>249</v>
      </c>
      <c r="B460" s="162"/>
      <c r="C460" s="162"/>
      <c r="D460" s="162"/>
      <c r="E460" s="162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3" t="s">
        <v>260</v>
      </c>
      <c r="B473" s="163"/>
      <c r="C473" s="163"/>
      <c r="D473" s="163"/>
      <c r="E473" s="163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3" t="s">
        <v>263</v>
      </c>
      <c r="B486" s="163"/>
      <c r="C486" s="163"/>
      <c r="D486" s="163"/>
      <c r="E486" s="163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2" t="s">
        <v>249</v>
      </c>
      <c r="B487" s="162"/>
      <c r="C487" s="162"/>
      <c r="D487" s="162"/>
      <c r="E487" s="162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>
        <v>0.46527777777777779</v>
      </c>
      <c r="P490" s="65"/>
      <c r="Q490" s="66">
        <f t="shared" ca="1" si="124"/>
        <v>0.99988101851340616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3" t="s">
        <v>260</v>
      </c>
      <c r="B500" s="163"/>
      <c r="C500" s="163"/>
      <c r="D500" s="163"/>
      <c r="E500" s="163"/>
      <c r="F500" s="95"/>
      <c r="G500" s="96">
        <f>SUM(G488:G499)</f>
        <v>41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172.20000000000002</v>
      </c>
      <c r="L500" s="72"/>
      <c r="M500" s="72"/>
      <c r="N500" s="72"/>
      <c r="O500" s="72"/>
      <c r="P500" s="72"/>
      <c r="Q500" s="73">
        <f ca="1">IFERROR(SUM(Q488:Q499),"")</f>
        <v>1.0394643518467395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41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172.20000000000002</v>
      </c>
      <c r="L514" s="76"/>
      <c r="M514" s="76"/>
      <c r="N514" s="76"/>
      <c r="O514" s="76"/>
      <c r="P514" s="76"/>
      <c r="Q514" s="77">
        <f ca="1">IFERROR(Q500+Q513,"")</f>
        <v>1.0394643518467395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3" t="s">
        <v>260</v>
      </c>
      <c r="B527" s="163"/>
      <c r="C527" s="163"/>
      <c r="D527" s="163"/>
      <c r="E527" s="16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3" t="s">
        <v>263</v>
      </c>
      <c r="B540" s="163"/>
      <c r="C540" s="163"/>
      <c r="D540" s="163"/>
      <c r="E540" s="16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2" t="s">
        <v>249</v>
      </c>
      <c r="B541" s="162"/>
      <c r="C541" s="162"/>
      <c r="D541" s="162"/>
      <c r="E541" s="162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3" t="s">
        <v>260</v>
      </c>
      <c r="B554" s="163"/>
      <c r="C554" s="163"/>
      <c r="D554" s="163"/>
      <c r="E554" s="16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3" t="s">
        <v>263</v>
      </c>
      <c r="B567" s="163"/>
      <c r="C567" s="163"/>
      <c r="D567" s="163"/>
      <c r="E567" s="16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2" t="s">
        <v>249</v>
      </c>
      <c r="B568" s="162"/>
      <c r="C568" s="162"/>
      <c r="D568" s="162"/>
      <c r="E568" s="162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3" t="s">
        <v>260</v>
      </c>
      <c r="B581" s="163"/>
      <c r="C581" s="163"/>
      <c r="D581" s="163"/>
      <c r="E581" s="16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3" t="s">
        <v>263</v>
      </c>
      <c r="B594" s="163"/>
      <c r="C594" s="163"/>
      <c r="D594" s="163"/>
      <c r="E594" s="16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2" t="s">
        <v>249</v>
      </c>
      <c r="B595" s="162"/>
      <c r="C595" s="162"/>
      <c r="D595" s="162"/>
      <c r="E595" s="162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3" t="s">
        <v>260</v>
      </c>
      <c r="B608" s="163"/>
      <c r="C608" s="163"/>
      <c r="D608" s="163"/>
      <c r="E608" s="16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3" t="s">
        <v>263</v>
      </c>
      <c r="B621" s="163"/>
      <c r="C621" s="163"/>
      <c r="D621" s="163"/>
      <c r="E621" s="16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2" t="s">
        <v>249</v>
      </c>
      <c r="B622" s="162"/>
      <c r="C622" s="162"/>
      <c r="D622" s="162"/>
      <c r="E622" s="162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3" t="s">
        <v>260</v>
      </c>
      <c r="B635" s="163"/>
      <c r="C635" s="163"/>
      <c r="D635" s="163"/>
      <c r="E635" s="16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3" t="s">
        <v>263</v>
      </c>
      <c r="B648" s="163"/>
      <c r="C648" s="163"/>
      <c r="D648" s="163"/>
      <c r="E648" s="16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2" t="s">
        <v>249</v>
      </c>
      <c r="B649" s="162"/>
      <c r="C649" s="162"/>
      <c r="D649" s="162"/>
      <c r="E649" s="162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3" t="s">
        <v>260</v>
      </c>
      <c r="B662" s="163"/>
      <c r="C662" s="163"/>
      <c r="D662" s="163"/>
      <c r="E662" s="16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3" t="s">
        <v>263</v>
      </c>
      <c r="B675" s="163"/>
      <c r="C675" s="163"/>
      <c r="D675" s="163"/>
      <c r="E675" s="16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2" t="s">
        <v>249</v>
      </c>
      <c r="B676" s="162"/>
      <c r="C676" s="162"/>
      <c r="D676" s="162"/>
      <c r="E676" s="162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3" t="s">
        <v>260</v>
      </c>
      <c r="B689" s="163"/>
      <c r="C689" s="163"/>
      <c r="D689" s="163"/>
      <c r="E689" s="16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3" t="s">
        <v>263</v>
      </c>
      <c r="B702" s="163"/>
      <c r="C702" s="163"/>
      <c r="D702" s="163"/>
      <c r="E702" s="16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2" t="s">
        <v>249</v>
      </c>
      <c r="B703" s="162"/>
      <c r="C703" s="162"/>
      <c r="D703" s="162"/>
      <c r="E703" s="162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3" t="s">
        <v>260</v>
      </c>
      <c r="B716" s="163"/>
      <c r="C716" s="163"/>
      <c r="D716" s="163"/>
      <c r="E716" s="16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3" t="s">
        <v>263</v>
      </c>
      <c r="B729" s="163"/>
      <c r="C729" s="163"/>
      <c r="D729" s="163"/>
      <c r="E729" s="16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2" t="s">
        <v>249</v>
      </c>
      <c r="B730" s="162"/>
      <c r="C730" s="162"/>
      <c r="D730" s="162"/>
      <c r="E730" s="162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3" t="s">
        <v>260</v>
      </c>
      <c r="B743" s="163"/>
      <c r="C743" s="163"/>
      <c r="D743" s="163"/>
      <c r="E743" s="16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3" t="s">
        <v>263</v>
      </c>
      <c r="B756" s="163"/>
      <c r="C756" s="163"/>
      <c r="D756" s="163"/>
      <c r="E756" s="16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2" t="s">
        <v>249</v>
      </c>
      <c r="B757" s="162"/>
      <c r="C757" s="162"/>
      <c r="D757" s="162"/>
      <c r="E757" s="162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3" t="s">
        <v>260</v>
      </c>
      <c r="B770" s="163"/>
      <c r="C770" s="163"/>
      <c r="D770" s="163"/>
      <c r="E770" s="16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3" t="s">
        <v>263</v>
      </c>
      <c r="B783" s="163"/>
      <c r="C783" s="163"/>
      <c r="D783" s="163"/>
      <c r="E783" s="16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2" t="s">
        <v>249</v>
      </c>
      <c r="B784" s="162"/>
      <c r="C784" s="162"/>
      <c r="D784" s="162"/>
      <c r="E784" s="162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3" t="s">
        <v>260</v>
      </c>
      <c r="B797" s="163"/>
      <c r="C797" s="163"/>
      <c r="D797" s="163"/>
      <c r="E797" s="16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3" t="s">
        <v>263</v>
      </c>
      <c r="B810" s="163"/>
      <c r="C810" s="163"/>
      <c r="D810" s="163"/>
      <c r="E810" s="16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2" t="s">
        <v>249</v>
      </c>
      <c r="B811" s="162"/>
      <c r="C811" s="162"/>
      <c r="D811" s="162"/>
      <c r="E811" s="162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3" t="s">
        <v>260</v>
      </c>
      <c r="B824" s="163"/>
      <c r="C824" s="163"/>
      <c r="D824" s="163"/>
      <c r="E824" s="16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3" t="s">
        <v>263</v>
      </c>
      <c r="B837" s="163"/>
      <c r="C837" s="163"/>
      <c r="D837" s="163"/>
      <c r="E837" s="16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2" t="s">
        <v>249</v>
      </c>
      <c r="B838" s="162"/>
      <c r="C838" s="162"/>
      <c r="D838" s="162"/>
      <c r="E838" s="162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2" sqref="G492"/>
    </sheetView>
  </sheetViews>
  <sheetFormatPr defaultColWidth="8.5703125" defaultRowHeight="14.45"/>
  <cols>
    <col min="1" max="1" width="15.28515625" style="85" customWidth="1"/>
    <col min="2" max="2" width="9" style="54" customWidth="1"/>
    <col min="3" max="3" width="14" style="54" customWidth="1"/>
    <col min="4" max="5" width="16" style="54" customWidth="1"/>
    <col min="6" max="6" width="13.7109375" style="54" hidden="1" customWidth="1"/>
    <col min="7" max="7" width="13" style="54" customWidth="1"/>
    <col min="8" max="8" width="15.7109375" style="54" hidden="1" customWidth="1"/>
    <col min="9" max="10" width="13.7109375" style="54" hidden="1" customWidth="1"/>
    <col min="11" max="11" width="14" style="54" customWidth="1"/>
    <col min="12" max="12" width="32.71093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71093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3" t="s">
        <v>260</v>
      </c>
      <c r="B14" s="163"/>
      <c r="C14" s="163"/>
      <c r="D14" s="163"/>
      <c r="E14" s="163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3" t="s">
        <v>263</v>
      </c>
      <c r="B27" s="163"/>
      <c r="C27" s="163"/>
      <c r="D27" s="163"/>
      <c r="E27" s="163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2" t="s">
        <v>249</v>
      </c>
      <c r="B28" s="162"/>
      <c r="C28" s="162"/>
      <c r="D28" s="162"/>
      <c r="E28" s="162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3" t="s">
        <v>260</v>
      </c>
      <c r="B41" s="163"/>
      <c r="C41" s="163"/>
      <c r="D41" s="163"/>
      <c r="E41" s="163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3" t="s">
        <v>263</v>
      </c>
      <c r="B54" s="163"/>
      <c r="C54" s="163"/>
      <c r="D54" s="163"/>
      <c r="E54" s="163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2" t="s">
        <v>249</v>
      </c>
      <c r="B55" s="162"/>
      <c r="C55" s="162"/>
      <c r="D55" s="162"/>
      <c r="E55" s="162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3" t="s">
        <v>260</v>
      </c>
      <c r="B68" s="163"/>
      <c r="C68" s="163"/>
      <c r="D68" s="163"/>
      <c r="E68" s="163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3" t="s">
        <v>263</v>
      </c>
      <c r="B81" s="163"/>
      <c r="C81" s="163"/>
      <c r="D81" s="163"/>
      <c r="E81" s="163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2" t="s">
        <v>249</v>
      </c>
      <c r="B82" s="162"/>
      <c r="C82" s="162"/>
      <c r="D82" s="162"/>
      <c r="E82" s="162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3" t="s">
        <v>260</v>
      </c>
      <c r="B95" s="163"/>
      <c r="C95" s="163"/>
      <c r="D95" s="163"/>
      <c r="E95" s="163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3" t="s">
        <v>263</v>
      </c>
      <c r="B108" s="163"/>
      <c r="C108" s="163"/>
      <c r="D108" s="163"/>
      <c r="E108" s="163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2" t="s">
        <v>249</v>
      </c>
      <c r="B109" s="162"/>
      <c r="C109" s="162"/>
      <c r="D109" s="162"/>
      <c r="E109" s="162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3" t="s">
        <v>260</v>
      </c>
      <c r="B122" s="163"/>
      <c r="C122" s="163"/>
      <c r="D122" s="163"/>
      <c r="E122" s="163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3" t="s">
        <v>263</v>
      </c>
      <c r="B135" s="163"/>
      <c r="C135" s="163"/>
      <c r="D135" s="163"/>
      <c r="E135" s="163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2" t="s">
        <v>249</v>
      </c>
      <c r="B136" s="162"/>
      <c r="C136" s="162"/>
      <c r="D136" s="162"/>
      <c r="E136" s="162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3" t="s">
        <v>260</v>
      </c>
      <c r="B149" s="163"/>
      <c r="C149" s="163"/>
      <c r="D149" s="163"/>
      <c r="E149" s="163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3" t="s">
        <v>263</v>
      </c>
      <c r="B162" s="163"/>
      <c r="C162" s="163"/>
      <c r="D162" s="163"/>
      <c r="E162" s="163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2" t="s">
        <v>249</v>
      </c>
      <c r="B163" s="162"/>
      <c r="C163" s="162"/>
      <c r="D163" s="162"/>
      <c r="E163" s="162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3" t="s">
        <v>260</v>
      </c>
      <c r="B176" s="163"/>
      <c r="C176" s="163"/>
      <c r="D176" s="163"/>
      <c r="E176" s="163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3" t="s">
        <v>263</v>
      </c>
      <c r="B189" s="163"/>
      <c r="C189" s="163"/>
      <c r="D189" s="163"/>
      <c r="E189" s="163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2" t="s">
        <v>249</v>
      </c>
      <c r="B190" s="162"/>
      <c r="C190" s="162"/>
      <c r="D190" s="162"/>
      <c r="E190" s="162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3" t="s">
        <v>260</v>
      </c>
      <c r="B203" s="163"/>
      <c r="C203" s="163"/>
      <c r="D203" s="163"/>
      <c r="E203" s="163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3" t="s">
        <v>263</v>
      </c>
      <c r="B216" s="163"/>
      <c r="C216" s="163"/>
      <c r="D216" s="163"/>
      <c r="E216" s="163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2" t="s">
        <v>249</v>
      </c>
      <c r="B217" s="162"/>
      <c r="C217" s="162"/>
      <c r="D217" s="162"/>
      <c r="E217" s="162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3" t="s">
        <v>260</v>
      </c>
      <c r="B230" s="163"/>
      <c r="C230" s="163"/>
      <c r="D230" s="163"/>
      <c r="E230" s="163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3" t="s">
        <v>263</v>
      </c>
      <c r="B243" s="163"/>
      <c r="C243" s="163"/>
      <c r="D243" s="163"/>
      <c r="E243" s="163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2" t="s">
        <v>249</v>
      </c>
      <c r="B244" s="162"/>
      <c r="C244" s="162"/>
      <c r="D244" s="162"/>
      <c r="E244" s="162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3" t="s">
        <v>260</v>
      </c>
      <c r="B257" s="163"/>
      <c r="C257" s="163"/>
      <c r="D257" s="163"/>
      <c r="E257" s="163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3" t="s">
        <v>263</v>
      </c>
      <c r="B270" s="163"/>
      <c r="C270" s="163"/>
      <c r="D270" s="163"/>
      <c r="E270" s="163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2" t="s">
        <v>249</v>
      </c>
      <c r="B271" s="162"/>
      <c r="C271" s="162"/>
      <c r="D271" s="162"/>
      <c r="E271" s="162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3" t="s">
        <v>260</v>
      </c>
      <c r="B284" s="163"/>
      <c r="C284" s="163"/>
      <c r="D284" s="163"/>
      <c r="E284" s="163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3" t="s">
        <v>263</v>
      </c>
      <c r="B297" s="163"/>
      <c r="C297" s="163"/>
      <c r="D297" s="163"/>
      <c r="E297" s="163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2" t="s">
        <v>249</v>
      </c>
      <c r="B298" s="162"/>
      <c r="C298" s="162"/>
      <c r="D298" s="162"/>
      <c r="E298" s="162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3" t="s">
        <v>260</v>
      </c>
      <c r="B311" s="163"/>
      <c r="C311" s="163"/>
      <c r="D311" s="163"/>
      <c r="E311" s="163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3" t="s">
        <v>263</v>
      </c>
      <c r="B324" s="163"/>
      <c r="C324" s="163"/>
      <c r="D324" s="163"/>
      <c r="E324" s="163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2" t="s">
        <v>249</v>
      </c>
      <c r="B325" s="162"/>
      <c r="C325" s="162"/>
      <c r="D325" s="162"/>
      <c r="E325" s="162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3" t="s">
        <v>260</v>
      </c>
      <c r="B338" s="163"/>
      <c r="C338" s="163"/>
      <c r="D338" s="163"/>
      <c r="E338" s="163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3" t="s">
        <v>263</v>
      </c>
      <c r="B351" s="163"/>
      <c r="C351" s="163"/>
      <c r="D351" s="163"/>
      <c r="E351" s="163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2" t="s">
        <v>249</v>
      </c>
      <c r="B352" s="162"/>
      <c r="C352" s="162"/>
      <c r="D352" s="162"/>
      <c r="E352" s="162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3" t="s">
        <v>260</v>
      </c>
      <c r="B365" s="163"/>
      <c r="C365" s="163"/>
      <c r="D365" s="163"/>
      <c r="E365" s="163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3" t="s">
        <v>263</v>
      </c>
      <c r="B378" s="163"/>
      <c r="C378" s="163"/>
      <c r="D378" s="163"/>
      <c r="E378" s="163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2" t="s">
        <v>249</v>
      </c>
      <c r="B379" s="162"/>
      <c r="C379" s="162"/>
      <c r="D379" s="162"/>
      <c r="E379" s="162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3" t="s">
        <v>260</v>
      </c>
      <c r="B392" s="163"/>
      <c r="C392" s="163"/>
      <c r="D392" s="163"/>
      <c r="E392" s="163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3" t="s">
        <v>263</v>
      </c>
      <c r="B405" s="163"/>
      <c r="C405" s="163"/>
      <c r="D405" s="163"/>
      <c r="E405" s="163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2" t="s">
        <v>249</v>
      </c>
      <c r="B406" s="162"/>
      <c r="C406" s="162"/>
      <c r="D406" s="162"/>
      <c r="E406" s="162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3" t="s">
        <v>260</v>
      </c>
      <c r="B419" s="163"/>
      <c r="C419" s="163"/>
      <c r="D419" s="163"/>
      <c r="E419" s="163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3" t="s">
        <v>263</v>
      </c>
      <c r="B432" s="163"/>
      <c r="C432" s="163"/>
      <c r="D432" s="163"/>
      <c r="E432" s="163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2" t="s">
        <v>249</v>
      </c>
      <c r="B433" s="162"/>
      <c r="C433" s="162"/>
      <c r="D433" s="162"/>
      <c r="E433" s="162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3" t="s">
        <v>260</v>
      </c>
      <c r="B446" s="163"/>
      <c r="C446" s="163"/>
      <c r="D446" s="163"/>
      <c r="E446" s="163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3" t="s">
        <v>263</v>
      </c>
      <c r="B459" s="163"/>
      <c r="C459" s="163"/>
      <c r="D459" s="163"/>
      <c r="E459" s="163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2" t="s">
        <v>249</v>
      </c>
      <c r="B460" s="162"/>
      <c r="C460" s="162"/>
      <c r="D460" s="162"/>
      <c r="E460" s="162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3" t="s">
        <v>260</v>
      </c>
      <c r="B473" s="163"/>
      <c r="C473" s="163"/>
      <c r="D473" s="163"/>
      <c r="E473" s="163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3" t="s">
        <v>263</v>
      </c>
      <c r="B486" s="163"/>
      <c r="C486" s="163"/>
      <c r="D486" s="163"/>
      <c r="E486" s="163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2" t="s">
        <v>249</v>
      </c>
      <c r="B487" s="162"/>
      <c r="C487" s="162"/>
      <c r="D487" s="162"/>
      <c r="E487" s="162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0"/>
        <v/>
      </c>
      <c r="K492" s="64" t="str">
        <f>IF(G492="","",IF(E492="PC 17",G492*4.2,IF(E492="PC 19",G492*5,IF(E492="CB",G492*24,""))))</f>
        <v/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31</v>
      </c>
      <c r="E493" s="124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3" t="s">
        <v>260</v>
      </c>
      <c r="B500" s="163"/>
      <c r="C500" s="163"/>
      <c r="D500" s="163"/>
      <c r="E500" s="163"/>
      <c r="F500" s="95"/>
      <c r="G500" s="96">
        <f>SUM(G488:G499)</f>
        <v>22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92.4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3" t="s">
        <v>263</v>
      </c>
      <c r="B513" s="163"/>
      <c r="C513" s="163"/>
      <c r="D513" s="163"/>
      <c r="E513" s="16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2" t="s">
        <v>249</v>
      </c>
      <c r="B514" s="162"/>
      <c r="C514" s="162"/>
      <c r="D514" s="162"/>
      <c r="E514" s="162"/>
      <c r="F514" s="108"/>
      <c r="G514" s="109">
        <f>G500+G513</f>
        <v>22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92.4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3" t="s">
        <v>260</v>
      </c>
      <c r="B527" s="163"/>
      <c r="C527" s="163"/>
      <c r="D527" s="163"/>
      <c r="E527" s="16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3" t="s">
        <v>263</v>
      </c>
      <c r="B540" s="163"/>
      <c r="C540" s="163"/>
      <c r="D540" s="163"/>
      <c r="E540" s="16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2" t="s">
        <v>249</v>
      </c>
      <c r="B541" s="162"/>
      <c r="C541" s="162"/>
      <c r="D541" s="162"/>
      <c r="E541" s="162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3" t="s">
        <v>260</v>
      </c>
      <c r="B554" s="163"/>
      <c r="C554" s="163"/>
      <c r="D554" s="163"/>
      <c r="E554" s="16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3" t="s">
        <v>263</v>
      </c>
      <c r="B567" s="163"/>
      <c r="C567" s="163"/>
      <c r="D567" s="163"/>
      <c r="E567" s="16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2" t="s">
        <v>249</v>
      </c>
      <c r="B568" s="162"/>
      <c r="C568" s="162"/>
      <c r="D568" s="162"/>
      <c r="E568" s="162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3" t="s">
        <v>260</v>
      </c>
      <c r="B581" s="163"/>
      <c r="C581" s="163"/>
      <c r="D581" s="163"/>
      <c r="E581" s="16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3" t="s">
        <v>263</v>
      </c>
      <c r="B594" s="163"/>
      <c r="C594" s="163"/>
      <c r="D594" s="163"/>
      <c r="E594" s="16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2" t="s">
        <v>249</v>
      </c>
      <c r="B595" s="162"/>
      <c r="C595" s="162"/>
      <c r="D595" s="162"/>
      <c r="E595" s="162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3" t="s">
        <v>260</v>
      </c>
      <c r="B608" s="163"/>
      <c r="C608" s="163"/>
      <c r="D608" s="163"/>
      <c r="E608" s="16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3" t="s">
        <v>263</v>
      </c>
      <c r="B621" s="163"/>
      <c r="C621" s="163"/>
      <c r="D621" s="163"/>
      <c r="E621" s="16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2" t="s">
        <v>249</v>
      </c>
      <c r="B622" s="162"/>
      <c r="C622" s="162"/>
      <c r="D622" s="162"/>
      <c r="E622" s="162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3" t="s">
        <v>260</v>
      </c>
      <c r="B635" s="163"/>
      <c r="C635" s="163"/>
      <c r="D635" s="163"/>
      <c r="E635" s="16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3" t="s">
        <v>263</v>
      </c>
      <c r="B648" s="163"/>
      <c r="C648" s="163"/>
      <c r="D648" s="163"/>
      <c r="E648" s="16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2" t="s">
        <v>249</v>
      </c>
      <c r="B649" s="162"/>
      <c r="C649" s="162"/>
      <c r="D649" s="162"/>
      <c r="E649" s="162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3" t="s">
        <v>260</v>
      </c>
      <c r="B662" s="163"/>
      <c r="C662" s="163"/>
      <c r="D662" s="163"/>
      <c r="E662" s="16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3" t="s">
        <v>263</v>
      </c>
      <c r="B675" s="163"/>
      <c r="C675" s="163"/>
      <c r="D675" s="163"/>
      <c r="E675" s="16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2" t="s">
        <v>249</v>
      </c>
      <c r="B676" s="162"/>
      <c r="C676" s="162"/>
      <c r="D676" s="162"/>
      <c r="E676" s="162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3" t="s">
        <v>260</v>
      </c>
      <c r="B689" s="163"/>
      <c r="C689" s="163"/>
      <c r="D689" s="163"/>
      <c r="E689" s="16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3" t="s">
        <v>263</v>
      </c>
      <c r="B702" s="163"/>
      <c r="C702" s="163"/>
      <c r="D702" s="163"/>
      <c r="E702" s="16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2" t="s">
        <v>249</v>
      </c>
      <c r="B703" s="162"/>
      <c r="C703" s="162"/>
      <c r="D703" s="162"/>
      <c r="E703" s="162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3" t="s">
        <v>260</v>
      </c>
      <c r="B716" s="163"/>
      <c r="C716" s="163"/>
      <c r="D716" s="163"/>
      <c r="E716" s="16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3" t="s">
        <v>263</v>
      </c>
      <c r="B729" s="163"/>
      <c r="C729" s="163"/>
      <c r="D729" s="163"/>
      <c r="E729" s="16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2" t="s">
        <v>249</v>
      </c>
      <c r="B730" s="162"/>
      <c r="C730" s="162"/>
      <c r="D730" s="162"/>
      <c r="E730" s="162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3" t="s">
        <v>260</v>
      </c>
      <c r="B743" s="163"/>
      <c r="C743" s="163"/>
      <c r="D743" s="163"/>
      <c r="E743" s="16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3" t="s">
        <v>263</v>
      </c>
      <c r="B756" s="163"/>
      <c r="C756" s="163"/>
      <c r="D756" s="163"/>
      <c r="E756" s="16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2" t="s">
        <v>249</v>
      </c>
      <c r="B757" s="162"/>
      <c r="C757" s="162"/>
      <c r="D757" s="162"/>
      <c r="E757" s="162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3" t="s">
        <v>260</v>
      </c>
      <c r="B770" s="163"/>
      <c r="C770" s="163"/>
      <c r="D770" s="163"/>
      <c r="E770" s="16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3" t="s">
        <v>263</v>
      </c>
      <c r="B783" s="163"/>
      <c r="C783" s="163"/>
      <c r="D783" s="163"/>
      <c r="E783" s="16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2" t="s">
        <v>249</v>
      </c>
      <c r="B784" s="162"/>
      <c r="C784" s="162"/>
      <c r="D784" s="162"/>
      <c r="E784" s="162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3" t="s">
        <v>260</v>
      </c>
      <c r="B797" s="163"/>
      <c r="C797" s="163"/>
      <c r="D797" s="163"/>
      <c r="E797" s="16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3" t="s">
        <v>263</v>
      </c>
      <c r="B810" s="163"/>
      <c r="C810" s="163"/>
      <c r="D810" s="163"/>
      <c r="E810" s="16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2" t="s">
        <v>249</v>
      </c>
      <c r="B811" s="162"/>
      <c r="C811" s="162"/>
      <c r="D811" s="162"/>
      <c r="E811" s="162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3" t="s">
        <v>260</v>
      </c>
      <c r="B824" s="163"/>
      <c r="C824" s="163"/>
      <c r="D824" s="163"/>
      <c r="E824" s="16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3" t="s">
        <v>263</v>
      </c>
      <c r="B837" s="163"/>
      <c r="C837" s="163"/>
      <c r="D837" s="163"/>
      <c r="E837" s="16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2" t="s">
        <v>249</v>
      </c>
      <c r="B838" s="162"/>
      <c r="C838" s="162"/>
      <c r="D838" s="162"/>
      <c r="E838" s="162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2" sqref="G49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7109375" style="131" hidden="1" customWidth="1"/>
    <col min="7" max="7" width="13" style="131" customWidth="1"/>
    <col min="8" max="8" width="15.7109375" style="131" hidden="1" customWidth="1"/>
    <col min="9" max="10" width="13.71093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7109375" style="131" customWidth="1"/>
    <col min="19" max="19" width="25.5703125" customWidth="1"/>
    <col min="20" max="20" width="14.71093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3" t="s">
        <v>260</v>
      </c>
      <c r="B14" s="163"/>
      <c r="C14" s="163"/>
      <c r="D14" s="163"/>
      <c r="E14" s="163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3" t="s">
        <v>263</v>
      </c>
      <c r="B27" s="163"/>
      <c r="C27" s="163"/>
      <c r="D27" s="163"/>
      <c r="E27" s="163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2" t="s">
        <v>249</v>
      </c>
      <c r="B28" s="162"/>
      <c r="C28" s="162"/>
      <c r="D28" s="162"/>
      <c r="E28" s="162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3" t="s">
        <v>260</v>
      </c>
      <c r="B41" s="163"/>
      <c r="C41" s="163"/>
      <c r="D41" s="163"/>
      <c r="E41" s="163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3" t="s">
        <v>263</v>
      </c>
      <c r="B54" s="163"/>
      <c r="C54" s="163"/>
      <c r="D54" s="163"/>
      <c r="E54" s="163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2" t="s">
        <v>249</v>
      </c>
      <c r="B55" s="162"/>
      <c r="C55" s="162"/>
      <c r="D55" s="162"/>
      <c r="E55" s="162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3" t="s">
        <v>260</v>
      </c>
      <c r="B68" s="163"/>
      <c r="C68" s="163"/>
      <c r="D68" s="163"/>
      <c r="E68" s="163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3" t="s">
        <v>263</v>
      </c>
      <c r="B81" s="163"/>
      <c r="C81" s="163"/>
      <c r="D81" s="163"/>
      <c r="E81" s="163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2" t="s">
        <v>249</v>
      </c>
      <c r="B82" s="162"/>
      <c r="C82" s="162"/>
      <c r="D82" s="162"/>
      <c r="E82" s="162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3" t="s">
        <v>260</v>
      </c>
      <c r="B95" s="163"/>
      <c r="C95" s="163"/>
      <c r="D95" s="163"/>
      <c r="E95" s="163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3" t="s">
        <v>263</v>
      </c>
      <c r="B108" s="163"/>
      <c r="C108" s="163"/>
      <c r="D108" s="163"/>
      <c r="E108" s="163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2" t="s">
        <v>249</v>
      </c>
      <c r="B109" s="162"/>
      <c r="C109" s="162"/>
      <c r="D109" s="162"/>
      <c r="E109" s="162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3" t="s">
        <v>260</v>
      </c>
      <c r="B122" s="163"/>
      <c r="C122" s="163"/>
      <c r="D122" s="163"/>
      <c r="E122" s="163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3" t="s">
        <v>263</v>
      </c>
      <c r="B135" s="163"/>
      <c r="C135" s="163"/>
      <c r="D135" s="163"/>
      <c r="E135" s="163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2" t="s">
        <v>249</v>
      </c>
      <c r="B136" s="162"/>
      <c r="C136" s="162"/>
      <c r="D136" s="162"/>
      <c r="E136" s="162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3" t="s">
        <v>263</v>
      </c>
      <c r="B162" s="163"/>
      <c r="C162" s="163"/>
      <c r="D162" s="163"/>
      <c r="E162" s="163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2" t="s">
        <v>249</v>
      </c>
      <c r="B163" s="162"/>
      <c r="C163" s="162"/>
      <c r="D163" s="162"/>
      <c r="E163" s="162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3" t="s">
        <v>260</v>
      </c>
      <c r="B176" s="163"/>
      <c r="C176" s="163"/>
      <c r="D176" s="163"/>
      <c r="E176" s="163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3" t="s">
        <v>263</v>
      </c>
      <c r="B189" s="163"/>
      <c r="C189" s="163"/>
      <c r="D189" s="163"/>
      <c r="E189" s="163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2" t="s">
        <v>249</v>
      </c>
      <c r="B190" s="162"/>
      <c r="C190" s="162"/>
      <c r="D190" s="162"/>
      <c r="E190" s="162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3" t="s">
        <v>260</v>
      </c>
      <c r="B203" s="163"/>
      <c r="C203" s="163"/>
      <c r="D203" s="163"/>
      <c r="E203" s="163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3" t="s">
        <v>263</v>
      </c>
      <c r="B216" s="163"/>
      <c r="C216" s="163"/>
      <c r="D216" s="163"/>
      <c r="E216" s="163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2" t="s">
        <v>249</v>
      </c>
      <c r="B217" s="162"/>
      <c r="C217" s="162"/>
      <c r="D217" s="162"/>
      <c r="E217" s="162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3" t="s">
        <v>260</v>
      </c>
      <c r="B230" s="163"/>
      <c r="C230" s="163"/>
      <c r="D230" s="163"/>
      <c r="E230" s="163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3" t="s">
        <v>263</v>
      </c>
      <c r="B243" s="163"/>
      <c r="C243" s="163"/>
      <c r="D243" s="163"/>
      <c r="E243" s="163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2" t="s">
        <v>249</v>
      </c>
      <c r="B244" s="162"/>
      <c r="C244" s="162"/>
      <c r="D244" s="162"/>
      <c r="E244" s="162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3" t="s">
        <v>260</v>
      </c>
      <c r="B257" s="163"/>
      <c r="C257" s="163"/>
      <c r="D257" s="163"/>
      <c r="E257" s="163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3" t="s">
        <v>263</v>
      </c>
      <c r="B270" s="163"/>
      <c r="C270" s="163"/>
      <c r="D270" s="163"/>
      <c r="E270" s="163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2" t="s">
        <v>249</v>
      </c>
      <c r="B271" s="162"/>
      <c r="C271" s="162"/>
      <c r="D271" s="162"/>
      <c r="E271" s="162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3" t="s">
        <v>260</v>
      </c>
      <c r="B284" s="163"/>
      <c r="C284" s="163"/>
      <c r="D284" s="163"/>
      <c r="E284" s="163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3" t="s">
        <v>263</v>
      </c>
      <c r="B297" s="163"/>
      <c r="C297" s="163"/>
      <c r="D297" s="163"/>
      <c r="E297" s="163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2" t="s">
        <v>249</v>
      </c>
      <c r="B298" s="162"/>
      <c r="C298" s="162"/>
      <c r="D298" s="162"/>
      <c r="E298" s="162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3" t="s">
        <v>260</v>
      </c>
      <c r="B311" s="163"/>
      <c r="C311" s="163"/>
      <c r="D311" s="163"/>
      <c r="E311" s="163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3" t="s">
        <v>263</v>
      </c>
      <c r="B324" s="163"/>
      <c r="C324" s="163"/>
      <c r="D324" s="163"/>
      <c r="E324" s="163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2" t="s">
        <v>249</v>
      </c>
      <c r="B325" s="162"/>
      <c r="C325" s="162"/>
      <c r="D325" s="162"/>
      <c r="E325" s="162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3" t="s">
        <v>260</v>
      </c>
      <c r="B338" s="163"/>
      <c r="C338" s="163"/>
      <c r="D338" s="163"/>
      <c r="E338" s="163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3" t="s">
        <v>263</v>
      </c>
      <c r="B351" s="163"/>
      <c r="C351" s="163"/>
      <c r="D351" s="163"/>
      <c r="E351" s="163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2" t="s">
        <v>249</v>
      </c>
      <c r="B352" s="162"/>
      <c r="C352" s="162"/>
      <c r="D352" s="162"/>
      <c r="E352" s="162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3" t="s">
        <v>263</v>
      </c>
      <c r="B378" s="163"/>
      <c r="C378" s="163"/>
      <c r="D378" s="163"/>
      <c r="E378" s="163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2" t="s">
        <v>249</v>
      </c>
      <c r="B379" s="162"/>
      <c r="C379" s="162"/>
      <c r="D379" s="162"/>
      <c r="E379" s="162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3" t="s">
        <v>260</v>
      </c>
      <c r="B392" s="163"/>
      <c r="C392" s="163"/>
      <c r="D392" s="163"/>
      <c r="E392" s="163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3" t="s">
        <v>263</v>
      </c>
      <c r="B405" s="163"/>
      <c r="C405" s="163"/>
      <c r="D405" s="163"/>
      <c r="E405" s="163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2" t="s">
        <v>249</v>
      </c>
      <c r="B406" s="162"/>
      <c r="C406" s="162"/>
      <c r="D406" s="162"/>
      <c r="E406" s="162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3" t="s">
        <v>260</v>
      </c>
      <c r="B419" s="163"/>
      <c r="C419" s="163"/>
      <c r="D419" s="163"/>
      <c r="E419" s="163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3" t="s">
        <v>263</v>
      </c>
      <c r="B432" s="163"/>
      <c r="C432" s="163"/>
      <c r="D432" s="163"/>
      <c r="E432" s="163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2" t="s">
        <v>249</v>
      </c>
      <c r="B433" s="162"/>
      <c r="C433" s="162"/>
      <c r="D433" s="162"/>
      <c r="E433" s="162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3" t="s">
        <v>260</v>
      </c>
      <c r="B446" s="163"/>
      <c r="C446" s="163"/>
      <c r="D446" s="163"/>
      <c r="E446" s="163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3" t="s">
        <v>263</v>
      </c>
      <c r="B459" s="163"/>
      <c r="C459" s="163"/>
      <c r="D459" s="163"/>
      <c r="E459" s="163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2" t="s">
        <v>249</v>
      </c>
      <c r="B460" s="162"/>
      <c r="C460" s="162"/>
      <c r="D460" s="162"/>
      <c r="E460" s="162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3" t="s">
        <v>260</v>
      </c>
      <c r="B473" s="163"/>
      <c r="C473" s="163"/>
      <c r="D473" s="163"/>
      <c r="E473" s="163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3" t="s">
        <v>263</v>
      </c>
      <c r="B486" s="163"/>
      <c r="C486" s="163"/>
      <c r="D486" s="163"/>
      <c r="E486" s="163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2" t="s">
        <v>249</v>
      </c>
      <c r="B487" s="162"/>
      <c r="C487" s="162"/>
      <c r="D487" s="162"/>
      <c r="E487" s="162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/>
      <c r="M489" s="70"/>
      <c r="N489" s="70"/>
      <c r="O489" s="65"/>
      <c r="P489" s="65"/>
      <c r="Q489" s="71" t="str">
        <f ca="1">IFERROR(IF(O489="","",IF(P489="",MOD(NOW()-O489,1),IF(P489&gt;=O489,P489-O489,P489+1-O489))),"")</f>
        <v/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3" t="s">
        <v>260</v>
      </c>
      <c r="B500" s="163"/>
      <c r="C500" s="163"/>
      <c r="D500" s="163"/>
      <c r="E500" s="163"/>
      <c r="F500" s="95"/>
      <c r="G500" s="96">
        <f>SUM(G488:G499)</f>
        <v>68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285.60000000000002</v>
      </c>
      <c r="L500" s="72"/>
      <c r="M500" s="72"/>
      <c r="N500" s="72"/>
      <c r="O500" s="134"/>
      <c r="P500" s="134"/>
      <c r="Q500" s="73">
        <f ca="1">IFERROR(SUM(Q488:Q499),"")</f>
        <v>1.1805555555554959E-2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3" t="s">
        <v>263</v>
      </c>
      <c r="B513" s="163"/>
      <c r="C513" s="163"/>
      <c r="D513" s="163"/>
      <c r="E513" s="16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2" t="s">
        <v>249</v>
      </c>
      <c r="B514" s="162"/>
      <c r="C514" s="162"/>
      <c r="D514" s="162"/>
      <c r="E514" s="162"/>
      <c r="F514" s="108"/>
      <c r="G514" s="109">
        <f>G500+G513</f>
        <v>68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285.60000000000002</v>
      </c>
      <c r="L514" s="76"/>
      <c r="M514" s="76"/>
      <c r="N514" s="76"/>
      <c r="O514" s="135"/>
      <c r="P514" s="135"/>
      <c r="Q514" s="77">
        <f ca="1">IFERROR(Q500+Q513,"")</f>
        <v>1.1805555555554959E-2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3" t="s">
        <v>260</v>
      </c>
      <c r="B527" s="163"/>
      <c r="C527" s="163"/>
      <c r="D527" s="163"/>
      <c r="E527" s="16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3" t="s">
        <v>263</v>
      </c>
      <c r="B540" s="163"/>
      <c r="C540" s="163"/>
      <c r="D540" s="163"/>
      <c r="E540" s="16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2" t="s">
        <v>249</v>
      </c>
      <c r="B541" s="162"/>
      <c r="C541" s="162"/>
      <c r="D541" s="162"/>
      <c r="E541" s="162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3" t="s">
        <v>260</v>
      </c>
      <c r="B554" s="163"/>
      <c r="C554" s="163"/>
      <c r="D554" s="163"/>
      <c r="E554" s="16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3" t="s">
        <v>263</v>
      </c>
      <c r="B567" s="163"/>
      <c r="C567" s="163"/>
      <c r="D567" s="163"/>
      <c r="E567" s="16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2" t="s">
        <v>249</v>
      </c>
      <c r="B568" s="162"/>
      <c r="C568" s="162"/>
      <c r="D568" s="162"/>
      <c r="E568" s="162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3" t="s">
        <v>260</v>
      </c>
      <c r="B581" s="163"/>
      <c r="C581" s="163"/>
      <c r="D581" s="163"/>
      <c r="E581" s="16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3" t="s">
        <v>263</v>
      </c>
      <c r="B594" s="163"/>
      <c r="C594" s="163"/>
      <c r="D594" s="163"/>
      <c r="E594" s="16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2" t="s">
        <v>249</v>
      </c>
      <c r="B595" s="162"/>
      <c r="C595" s="162"/>
      <c r="D595" s="162"/>
      <c r="E595" s="162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3" t="s">
        <v>260</v>
      </c>
      <c r="B608" s="163"/>
      <c r="C608" s="163"/>
      <c r="D608" s="163"/>
      <c r="E608" s="16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3" t="s">
        <v>263</v>
      </c>
      <c r="B621" s="163"/>
      <c r="C621" s="163"/>
      <c r="D621" s="163"/>
      <c r="E621" s="16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2" t="s">
        <v>249</v>
      </c>
      <c r="B622" s="162"/>
      <c r="C622" s="162"/>
      <c r="D622" s="162"/>
      <c r="E622" s="162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3" t="s">
        <v>260</v>
      </c>
      <c r="B635" s="163"/>
      <c r="C635" s="163"/>
      <c r="D635" s="163"/>
      <c r="E635" s="16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3" t="s">
        <v>263</v>
      </c>
      <c r="B648" s="163"/>
      <c r="C648" s="163"/>
      <c r="D648" s="163"/>
      <c r="E648" s="16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2" t="s">
        <v>249</v>
      </c>
      <c r="B649" s="162"/>
      <c r="C649" s="162"/>
      <c r="D649" s="162"/>
      <c r="E649" s="162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3" t="s">
        <v>260</v>
      </c>
      <c r="B662" s="163"/>
      <c r="C662" s="163"/>
      <c r="D662" s="163"/>
      <c r="E662" s="16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3" t="s">
        <v>263</v>
      </c>
      <c r="B675" s="163"/>
      <c r="C675" s="163"/>
      <c r="D675" s="163"/>
      <c r="E675" s="16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2" t="s">
        <v>249</v>
      </c>
      <c r="B676" s="162"/>
      <c r="C676" s="162"/>
      <c r="D676" s="162"/>
      <c r="E676" s="162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3" t="s">
        <v>260</v>
      </c>
      <c r="B689" s="163"/>
      <c r="C689" s="163"/>
      <c r="D689" s="163"/>
      <c r="E689" s="16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3" t="s">
        <v>263</v>
      </c>
      <c r="B702" s="163"/>
      <c r="C702" s="163"/>
      <c r="D702" s="163"/>
      <c r="E702" s="16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2" t="s">
        <v>249</v>
      </c>
      <c r="B703" s="162"/>
      <c r="C703" s="162"/>
      <c r="D703" s="162"/>
      <c r="E703" s="162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3" t="s">
        <v>260</v>
      </c>
      <c r="B716" s="163"/>
      <c r="C716" s="163"/>
      <c r="D716" s="163"/>
      <c r="E716" s="16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3" t="s">
        <v>263</v>
      </c>
      <c r="B729" s="163"/>
      <c r="C729" s="163"/>
      <c r="D729" s="163"/>
      <c r="E729" s="16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2" t="s">
        <v>249</v>
      </c>
      <c r="B730" s="162"/>
      <c r="C730" s="162"/>
      <c r="D730" s="162"/>
      <c r="E730" s="162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3" t="s">
        <v>260</v>
      </c>
      <c r="B743" s="163"/>
      <c r="C743" s="163"/>
      <c r="D743" s="163"/>
      <c r="E743" s="16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3" t="s">
        <v>263</v>
      </c>
      <c r="B756" s="163"/>
      <c r="C756" s="163"/>
      <c r="D756" s="163"/>
      <c r="E756" s="16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2" t="s">
        <v>249</v>
      </c>
      <c r="B757" s="162"/>
      <c r="C757" s="162"/>
      <c r="D757" s="162"/>
      <c r="E757" s="162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3" t="s">
        <v>260</v>
      </c>
      <c r="B770" s="163"/>
      <c r="C770" s="163"/>
      <c r="D770" s="163"/>
      <c r="E770" s="16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3" t="s">
        <v>263</v>
      </c>
      <c r="B783" s="163"/>
      <c r="C783" s="163"/>
      <c r="D783" s="163"/>
      <c r="E783" s="16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2" t="s">
        <v>249</v>
      </c>
      <c r="B784" s="162"/>
      <c r="C784" s="162"/>
      <c r="D784" s="162"/>
      <c r="E784" s="162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3" t="s">
        <v>260</v>
      </c>
      <c r="B797" s="163"/>
      <c r="C797" s="163"/>
      <c r="D797" s="163"/>
      <c r="E797" s="16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3" t="s">
        <v>263</v>
      </c>
      <c r="B810" s="163"/>
      <c r="C810" s="163"/>
      <c r="D810" s="163"/>
      <c r="E810" s="16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2" t="s">
        <v>249</v>
      </c>
      <c r="B811" s="162"/>
      <c r="C811" s="162"/>
      <c r="D811" s="162"/>
      <c r="E811" s="162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3" t="s">
        <v>260</v>
      </c>
      <c r="B824" s="163"/>
      <c r="C824" s="163"/>
      <c r="D824" s="163"/>
      <c r="E824" s="16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3" t="s">
        <v>263</v>
      </c>
      <c r="B837" s="163"/>
      <c r="C837" s="163"/>
      <c r="D837" s="163"/>
      <c r="E837" s="16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2" t="s">
        <v>249</v>
      </c>
      <c r="B838" s="162"/>
      <c r="C838" s="162"/>
      <c r="D838" s="162"/>
      <c r="E838" s="162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7518BAB9-72F1-4D5A-93B7-24AA95375C8F}"/>
</file>

<file path=customXml/itemProps2.xml><?xml version="1.0" encoding="utf-8"?>
<ds:datastoreItem xmlns:ds="http://schemas.openxmlformats.org/officeDocument/2006/customXml" ds:itemID="{70475E4B-D869-43C9-9B5E-604B93C545CA}"/>
</file>

<file path=customXml/itemProps3.xml><?xml version="1.0" encoding="utf-8"?>
<ds:datastoreItem xmlns:ds="http://schemas.openxmlformats.org/officeDocument/2006/customXml" ds:itemID="{6E539B55-D6A1-4759-9E49-6157AA92425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2026-08-19T15:11:51Z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