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7" documentId="13_ncr:1_{A6DBCFB4-28D9-4249-9038-216934055CA6}" xr6:coauthVersionLast="47" xr6:coauthVersionMax="47" xr10:uidLastSave="{8191B21C-A12C-4426-BAA0-8695E3260F40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H609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F609" i="5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C26" i="1" s="1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F609" i="4"/>
  <c r="G608" i="4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F622" i="3" l="1"/>
  <c r="G622" i="3"/>
  <c r="G622" i="4"/>
  <c r="K622" i="4"/>
  <c r="G622" i="5"/>
  <c r="K622" i="6"/>
  <c r="C35" i="1"/>
  <c r="S622" i="6"/>
  <c r="F26" i="1" s="1"/>
  <c r="F35" i="1" s="1"/>
  <c r="H599" i="6"/>
  <c r="J599" i="6" s="1"/>
  <c r="H600" i="6"/>
  <c r="J600" i="6" s="1"/>
  <c r="H596" i="6"/>
  <c r="H608" i="6" s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622" i="6" l="1"/>
  <c r="H622" i="5"/>
  <c r="H622" i="4"/>
  <c r="Q55" i="6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<sst xmlns="http://schemas.openxmlformats.org/spreadsheetml/2006/main" count="10184" uniqueCount="428">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</sst>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activeCell="B1" sqref="B1"/>
      <selection pane="bottomLeft" activeCell="G2" sqref="G1:M104857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7916.0886326915124</v>
      </c>
      <c r="I35" s="31">
        <f t="shared" si="2"/>
        <v>4967.05</v>
      </c>
      <c r="J35" s="32">
        <f>I35/H35</f>
        <v>0.62746265617685193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91" activePane="bottomLeft" state="frozen"/>
      <selection pane="bottomLeft" activeCell="L610" sqref="L610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263</v>
      </c>
      <c r="O608" s="74">
        <f>18310+1107750</f>
        <v>1126060</v>
      </c>
    </row>
    <row r="609" spans="1:15" ht="15" customHeight="1" x14ac:dyDescent="0.3">
      <c r="A609" s="18">
        <v>46257</v>
      </c>
      <c r="B609" s="68">
        <v>0.83333333333333304</v>
      </c>
      <c r="C609" s="70" t="s">
        <v>38</v>
      </c>
      <c r="D609" s="62" t="s">
        <v>31</v>
      </c>
      <c r="E609" s="75" t="s">
        <v>276</v>
      </c>
      <c r="F609" s="63">
        <v>1</v>
      </c>
      <c r="G609" s="69">
        <f t="shared" ref="G609:G614" si="131">IF(F609="","",IF(E609="PC 17",F609*4.2,IF(E609="PC 19",F609*5,IF(E609="CB",F609*35,""))))</f>
        <v>4.2</v>
      </c>
      <c r="H609" s="70" t="s">
        <v>26</v>
      </c>
      <c r="I609" s="70"/>
      <c r="J609" s="70"/>
      <c r="K609" s="65">
        <v>0.79166666666666663</v>
      </c>
      <c r="L609" s="65">
        <v>0.79236111111111107</v>
      </c>
      <c r="M609" s="71">
        <f t="shared" ref="M609:M620" ca="1" si="132">IFERROR(IF(K609="","",IF(L609="",MOD(NOW()-K609,1),IF(L609&gt;=K609,L609-K609,L609+1-K609))),"")</f>
        <v>6.9444444444444198E-4</v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62" t="s">
        <v>31</v>
      </c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 t="s">
        <v>38</v>
      </c>
      <c r="D611" s="62" t="s">
        <v>31</v>
      </c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 t="s">
        <v>38</v>
      </c>
      <c r="D612" s="62" t="s">
        <v>31</v>
      </c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 t="s">
        <v>38</v>
      </c>
      <c r="D613" s="62" t="s">
        <v>31</v>
      </c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 t="s">
        <v>38</v>
      </c>
      <c r="D614" s="62" t="s">
        <v>31</v>
      </c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 t="s">
        <v>38</v>
      </c>
      <c r="D615" s="62" t="s">
        <v>31</v>
      </c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 t="s">
        <v>38</v>
      </c>
      <c r="D616" s="62" t="s">
        <v>31</v>
      </c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 t="s">
        <v>38</v>
      </c>
      <c r="D617" s="62" t="s">
        <v>31</v>
      </c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 t="s">
        <v>38</v>
      </c>
      <c r="D618" s="62" t="s">
        <v>31</v>
      </c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 t="s">
        <v>38</v>
      </c>
      <c r="D619" s="62" t="s">
        <v>31</v>
      </c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 t="s">
        <v>38</v>
      </c>
      <c r="D620" s="62" t="s">
        <v>31</v>
      </c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1</v>
      </c>
      <c r="G621" s="2">
        <f>SUM(G609:G620)</f>
        <v>4.2</v>
      </c>
      <c r="H621" s="72"/>
      <c r="I621" s="72"/>
      <c r="J621" s="72"/>
      <c r="K621" s="72"/>
      <c r="L621" s="72"/>
      <c r="M621" s="73">
        <f ca="1">IFERROR(SUM(M609:M620),"")</f>
        <v>6.9444444444444198E-4</v>
      </c>
      <c r="N621" s="2" t="s">
        <v>263</v>
      </c>
      <c r="O621" s="74">
        <v>2354670</v>
      </c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44</v>
      </c>
      <c r="G622" s="1">
        <f>G608+G621</f>
        <v>219.2</v>
      </c>
      <c r="H622" s="76"/>
      <c r="I622" s="76"/>
      <c r="J622" s="76"/>
      <c r="K622" s="76"/>
      <c r="L622" s="76"/>
      <c r="M622" s="77">
        <f ca="1">IFERROR(M608+M621,"")</f>
        <v>0.28333333333333333</v>
      </c>
      <c r="N622" s="1" t="s">
        <v>266</v>
      </c>
      <c r="O622" s="82">
        <f>IFERROR(O608+O621,"")</f>
        <v>3480730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1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0.20409293981356313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0.34298182870245086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0.42770405092467367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508.5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106.785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508.5</v>
      </c>
      <c r="I621" s="106"/>
      <c r="J621" s="107">
        <f>IFERROR(SUM(J609:J620),"")</f>
        <v>106.785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508500</v>
      </c>
      <c r="T621" s="99">
        <f>IFERROR(J621,"")</f>
        <v>106.785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57</v>
      </c>
      <c r="H622" s="108">
        <f>IFERROR(H608+H621,"")</f>
        <v>1214.3000000000002</v>
      </c>
      <c r="I622" s="110"/>
      <c r="J622" s="111">
        <f>IFERROR(J608+J621,"")</f>
        <v>255.00299999999999</v>
      </c>
      <c r="K622" s="1">
        <f>K608+K621</f>
        <v>239.39999999999998</v>
      </c>
      <c r="L622" s="76"/>
      <c r="M622" s="76"/>
      <c r="N622" s="76"/>
      <c r="O622" s="76"/>
      <c r="P622" s="76"/>
      <c r="Q622" s="77">
        <f ca="1">IFERROR(Q608+Q621,"")</f>
        <v>4.9999999999999989E-2</v>
      </c>
      <c r="R622" s="1" t="s">
        <v>266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99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399.51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83.897099999999995</v>
      </c>
      <c r="K609" s="69">
        <f t="shared" ref="K609:K614" si="156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399.51</v>
      </c>
      <c r="I621" s="106"/>
      <c r="J621" s="107">
        <f>IFERROR(SUM(J609:J620),"")</f>
        <v>83.897099999999995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399510</v>
      </c>
      <c r="T621" s="99">
        <f>IFERROR(J621,"")</f>
        <v>83.897099999999995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26</v>
      </c>
      <c r="H622" s="108">
        <f>IFERROR(H608+H621,"")</f>
        <v>741.18</v>
      </c>
      <c r="I622" s="110"/>
      <c r="J622" s="111">
        <f>IFERROR(J608+J621,"")</f>
        <v>155.64779999999999</v>
      </c>
      <c r="K622" s="1">
        <f>K608+K621</f>
        <v>109.2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1" zoomScaleNormal="81" workbookViewId="0">
      <pane ySplit="1" topLeftCell="A599" activePane="bottomLeft" state="frozen"/>
      <selection pane="bottomLeft" activeCell="M618" sqref="M618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715.66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150.28859999999997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715.66</v>
      </c>
      <c r="I621" s="106"/>
      <c r="J621" s="107">
        <f>IFERROR(SUM(J609:J620),"")</f>
        <v>150.28859999999997</v>
      </c>
      <c r="K621" s="2">
        <f>SUM(K609:K620)</f>
        <v>4.2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>
        <v>715660</v>
      </c>
      <c r="T621" s="99">
        <f>IFERROR(J621,"")</f>
        <v>150.28859999999997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61</v>
      </c>
      <c r="H622" s="108">
        <f>IFERROR(H608+H621,"")</f>
        <v>1425.62</v>
      </c>
      <c r="I622" s="110"/>
      <c r="J622" s="111">
        <f>IFERROR(J608+J621,"")</f>
        <v>299.38019999999995</v>
      </c>
      <c r="K622" s="1">
        <f>K608+K621</f>
        <v>256.2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1425620</v>
      </c>
      <c r="T622" s="118">
        <f>IFERROR(J622,"")</f>
        <v>299.38019999999995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2026-08-24T11:48:56Z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