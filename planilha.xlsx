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26" documentId="8_{AF585B22-221D-4780-BB9C-493D365A6A02}" xr6:coauthVersionLast="47" xr6:coauthVersionMax="47" xr10:uidLastSave="{D9EAF76D-DC31-4564-BA24-123E9E2CD40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<sst xmlns="http://schemas.openxmlformats.org/spreadsheetml/2006/main" count="5316" uniqueCount="303">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</sst>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3" sqref="N312:N31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255.5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9" activePane="bottomLeft" state="frozen"/>
      <selection pane="bottomLeft" activeCell="L314" sqref="L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22</v>
      </c>
      <c r="G324" s="36">
        <f>SUM(G312:G323)</f>
        <v>92.4</v>
      </c>
      <c r="H324" s="37"/>
      <c r="I324" s="37"/>
      <c r="J324" s="37"/>
      <c r="K324" s="37"/>
      <c r="L324" s="37"/>
      <c r="M324" s="38">
        <f ca="1">IFERROR(SUM(M312:M323),"")</f>
        <v>3.6805555555555647E-2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113</v>
      </c>
      <c r="G325" s="40">
        <f>G311+G324</f>
        <v>474.6</v>
      </c>
      <c r="H325" s="41"/>
      <c r="I325" s="41"/>
      <c r="J325" s="41"/>
      <c r="K325" s="41"/>
      <c r="L325" s="41"/>
      <c r="M325" s="42">
        <f ca="1">IFERROR(M311+M324,"")</f>
        <v>0.18750000000000006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4" sqref="F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0.10070706018450437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19</v>
      </c>
      <c r="G324" s="36">
        <f>SUM(G312:G323)</f>
        <v>79.800000000000011</v>
      </c>
      <c r="H324" s="37"/>
      <c r="I324" s="37"/>
      <c r="J324" s="37"/>
      <c r="K324" s="37"/>
      <c r="L324" s="37"/>
      <c r="M324" s="38">
        <f ca="1">IFERROR(SUM(M312:M323),"")</f>
        <v>0.10070706018450437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88</v>
      </c>
      <c r="G325" s="40">
        <f>G311+G324</f>
        <v>374.40000000000003</v>
      </c>
      <c r="H325" s="41"/>
      <c r="I325" s="41"/>
      <c r="J325" s="41"/>
      <c r="K325" s="41"/>
      <c r="L325" s="41"/>
      <c r="M325" s="42">
        <f ca="1">IFERROR(M311+M324,"")</f>
        <v>0.2000126157400598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H317" sqref="H31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0.64792928240785841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0.84723483796341403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1.2145959490745251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/>
      <c r="G314" s="28" t="str">
        <f t="shared" si="69"/>
        <v/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17</v>
      </c>
      <c r="I317" s="33" t="s">
        <v>128</v>
      </c>
      <c r="J317" s="33"/>
      <c r="K317" s="29">
        <v>0.89583333333333337</v>
      </c>
      <c r="L317" s="29"/>
      <c r="M317" s="35">
        <f t="shared" ca="1" si="70"/>
        <v>1.4015046253916807E-3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35</v>
      </c>
      <c r="G324" s="36">
        <f>SUM(G312:G323)</f>
        <v>163</v>
      </c>
      <c r="H324" s="37"/>
      <c r="I324" s="37"/>
      <c r="J324" s="37"/>
      <c r="K324" s="61"/>
      <c r="L324" s="61"/>
      <c r="M324" s="38">
        <f ca="1">IFERROR(SUM(M312:M323),"")</f>
        <v>4.1679282403169426E-2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65</v>
      </c>
      <c r="G325" s="40">
        <f>G311+G324</f>
        <v>289</v>
      </c>
      <c r="H325" s="41"/>
      <c r="I325" s="41"/>
      <c r="J325" s="41"/>
      <c r="K325" s="63"/>
      <c r="L325" s="63"/>
      <c r="M325" s="42">
        <f ca="1">IFERROR(M311+M324,"")</f>
        <v>0.45487372684761396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2026-07-13T01:32:19Z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