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01" documentId="13_ncr:1_{0A10D8D4-8450-4366-8075-B53B08E6B7EA}" xr6:coauthVersionLast="47" xr6:coauthVersionMax="47" xr10:uidLastSave="{AA232A9C-E491-4BDA-8A7E-CF310183FEC3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4" i="6" l="1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<sst xmlns="http://schemas.openxmlformats.org/spreadsheetml/2006/main" count="7689" uniqueCount="363">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</sst>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2" activePane="bottomLeft" state="frozen"/>
      <selection pane="bottomLeft" activeCell="E458" sqref="E45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245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243</v>
      </c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243</v>
      </c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243</v>
      </c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243</v>
      </c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243</v>
      </c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243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243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243</v>
      </c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243</v>
      </c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243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243</v>
      </c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243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168</v>
      </c>
      <c r="G460" s="40">
        <f>G446+G459</f>
        <v>840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249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E458" sqref="E45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0.68263634258619277</v>
      </c>
      <c r="R53" s="46" t="s">
        <v>281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0.82152523147508161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0.90624745369730397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34" t="e">
        <f>IF(G445="","",IF(#REF!="PC 17",G445*4.2,IF(#REF!="PC 19",G445*5,IF(#REF!="CB",G445*24,""))))</f>
        <v>#REF!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 t="e">
        <f>SUM(K434:K445)</f>
        <v>#REF!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245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/>
      <c r="H447" s="140" t="str">
        <f>IFERROR(IF($G447="","",$G447*$S$459/$G$459/Cadastro!$E$33),"")</f>
        <v/>
      </c>
      <c r="I447" s="141">
        <f>IFERROR(IF($D447="","",VLOOKUP($D447,Cadastro!$C$4:$G$7,5,FALSE)),"")</f>
        <v>0.6</v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112</v>
      </c>
      <c r="H460" s="112">
        <f>IFERROR(H446+H459,"")</f>
        <v>449.02</v>
      </c>
      <c r="I460" s="116"/>
      <c r="J460" s="125">
        <f>IFERROR(J446+J459,"")</f>
        <v>94.294199999999989</v>
      </c>
      <c r="K460" s="40" t="e">
        <f>K446+K459</f>
        <v>#REF!</v>
      </c>
      <c r="L460" s="41"/>
      <c r="M460" s="41"/>
      <c r="N460" s="41"/>
      <c r="O460" s="41"/>
      <c r="P460" s="41"/>
      <c r="Q460" s="42">
        <f ca="1">IFERROR(Q446+Q459,"")</f>
        <v>6.7361111111111205E-2</v>
      </c>
      <c r="R460" s="40" t="s">
        <v>249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E458" sqref="E45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329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245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/>
      <c r="H447" s="140" t="str">
        <f>IFERROR(IF($G447="","",$G447*$S$459/$G$459/Cadastro!$E$33),"")</f>
        <v/>
      </c>
      <c r="I447" s="141">
        <f>IFERROR(IF($D447="","",VLOOKUP($D447,Cadastro!$C$4:$G$7,5,FALSE)),"")</f>
        <v>0.6</v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85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357.00000000000006</v>
      </c>
      <c r="L460" s="41"/>
      <c r="M460" s="41"/>
      <c r="N460" s="41"/>
      <c r="O460" s="41"/>
      <c r="P460" s="41"/>
      <c r="Q460" s="42">
        <f ca="1">IFERROR(Q446+Q459,"")</f>
        <v>4.5138888888888895E-2</v>
      </c>
      <c r="R460" s="40" t="s">
        <v>249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E458" sqref="E45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245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/>
      <c r="H447" s="140" t="str">
        <f>IFERROR(IF($G447="","",$G447*$S$459/$G$459/Cadastro!$E$33),"")</f>
        <v/>
      </c>
      <c r="I447" s="141">
        <f>IFERROR(IF($D447="","",VLOOKUP($D447,Cadastro!$C$4:$G$7,5,FALSE)),"")</f>
        <v>0.6</v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183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768.60000000000014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249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2026-08-17T23:18:30Z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