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394" documentId="13_ncr:1_{0A10D8D4-8450-4366-8075-B53B08E6B7EA}" xr6:coauthVersionLast="47" xr6:coauthVersionMax="47" xr10:uidLastSave="{AB7AA670-C9C0-4002-811C-E8AA0DA4B191}"/>
  <bookViews>
    <workbookView xWindow="-28920" yWindow="-6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76" i="6" l="1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<sst xmlns="http://schemas.openxmlformats.org/spreadsheetml/2006/main" count="6598" uniqueCount="357">
  <si>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</si>
  <si>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</si>
  <si>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</si>
  <si>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</si>
  <si>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</si>
  <si>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</si>
  <si>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</si>
  <si>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</si>
  <si>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</si>
  <si>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</si>
  <si>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</si>
  <si>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</si>
  <si>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</si>
  <si>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</si>
  <si>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</si>
  <si>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</si>
  <si>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</si>
  <si>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</si>
  <si>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</si>
  <si>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</si>
  <si>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</si>
  <si>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</si>
  <si>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</si>
  <si>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</si>
  <si>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</si>
  <si>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</si>
  <si>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</si>
  <si>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</si>
  <si>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</si>
  <si>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</si>
  <si>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</si>
  <si>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</si>
  <si>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</si>
  <si>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</si>
  <si>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</si>
  <si>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</si>
  <si>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</si>
  <si>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</si>
  <si>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</si>
  <si>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</si>
  <si>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</si>
  <si>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</si>
  <si>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</si>
  <si>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</si>
  <si>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</si>
  <si>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</si>
  <si>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</si>
  <si>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</si>
  <si>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</si>
  <si>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</si>
  <si>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</si>
  <si>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</si>
  <si>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</si>
  <si>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</si>
  <si>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</si>
  <si>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</si>
  <si>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</si>
  <si>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</si>
  <si>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</si>
  <si>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</si>
  <si>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</si>
  <si>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</si>
  <si>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</si>
  <si>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</si>
  <si>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</si>
  <si>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</si>
  <si>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</si>
  <si>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</si>
  <si>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</si>
  <si>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</si>
  <si>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</si>
  <si>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</si>
  <si>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</si>
  <si>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</si>
  <si>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</si>
  <si>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</si>
  <si>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</si>
  <si>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</si>
  <si>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</si>
  <si>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</si>
  <si>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</si>
  <si>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</si>
  <si>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</si>
  <si>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</si>
  <si>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</si>
  <si>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</si>
  <si>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</si>
  <si>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</si>
  <si>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</si>
  <si>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</si>
  <si>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</si>
  <si>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</si>
  <si>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</si>
  <si>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</si>
  <si>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</si>
  <si>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</si>
  <si>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</si>
  <si>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</si>
  <si>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</si>
  <si>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</si>
  <si>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</si>
  <si>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</si>
  <si>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</si>
  <si>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</si>
  <si>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</si>
  <si>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</si>
  <si>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</si>
  <si>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</si>
  <si>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</si>
  <si>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</si>
  <si>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</si>
  <si>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</si>
  <si>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</si>
  <si>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</si>
  <si>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</si>
  <si>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</si>
  <si>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</si>
  <si>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</si>
  <si>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</si>
  <si>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</si>
  <si>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</si>
  <si>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</si>
  <si>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</si>
  <si>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</si>
  <si>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</si>
  <si>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</si>
  <si>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</si>
  <si>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</si>
  <si>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</si>
  <si>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</si>
  <si>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</si>
  <si>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</si>
  <si>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</si>
  <si>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</si>
  <si>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</si>
  <si>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</si>
  <si>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</si>
  <si>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</si>
  <si>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</si>
  <si>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</si>
  <si>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</si>
  <si>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</si>
  <si>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</si>
  <si>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</si>
  <si>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</si>
  <si>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</si>
  <si>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</si>
  <si>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</si>
  <si>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</si>
  <si>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</si>
  <si>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</si>
  <si>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</si>
  <si>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</si>
  <si>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</si>
  <si>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</si>
  <si>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</si>
  <si>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</si>
  <si>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</si>
  <si>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</si>
  <si>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</si>
  <si>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</si>
  <si>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</si>
  <si>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</si>
  <si>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</si>
  <si>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</si>
  <si>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</si>
  <si>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</si>
  <si>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</si>
  <si>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</si>
  <si>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</si>
  <si>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</si>
  <si>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</si>
  <si>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</si>
  <si>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</si>
  <si>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</si>
  <si>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</si>
  <si>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</si>
  <si>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</si>
  <si>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</si>
  <si>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</si>
  <si>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</si>
  <si>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</si>
  <si>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</si>
  <si>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</si>
  <si>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</si>
  <si>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</si>
  <si>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</si>
  <si>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</si>
  <si>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</si>
  <si>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</si>
  <si>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</si>
  <si>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</si>
  <si>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</si>
  <si>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</si>
  <si>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</si>
  <si>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</si>
  <si>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</si>
  <si>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</si>
  <si>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</si>
  <si>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</si>
  <si>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</si>
  <si>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</si>
  <si>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</si>
  <si>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</si>
  <si>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</si>
  <si>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</si>
  <si>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</si>
  <si>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</si>
  <si>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</si>
  <si>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</si>
  <si>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</si>
  <si>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</si>
  <si>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</si>
  <si>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</si>
  <si>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</si>
  <si>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</si>
  <si>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</si>
  <si>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</si>
  <si>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</si>
  <si>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</si>
  <si>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</si>
  <si>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</si>
  <si>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</si>
  <si>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</si>
  <si>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</si>
  <si>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</si>
  <si>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</si>
  <si>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</si>
  <si>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</si>
  <si>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</si>
  <si>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</si>
  <si>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</si>
  <si>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</si>
  <si>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</si>
  <si>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</si>
  <si>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</si>
  <si>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</si>
  <si>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</si>
  <si>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</si>
  <si>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</si>
  <si>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</si>
  <si>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</si>
  <si>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</si>
  <si>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</si>
  <si>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</si>
  <si>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</si>
  <si>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</si>
  <si>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</si>
  <si>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</si>
  <si>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</si>
  <si>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</si>
  <si>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</si>
  <si>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</si>
  <si>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</si>
  <si>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</si>
  <si>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</si>
  <si>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</si>
  <si>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</si>
  <si>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</si>
  <si>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</si>
  <si>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</si>
  <si>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</si>
  <si>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</si>
  <si>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</si>
  <si>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</si>
  <si>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</si>
  <si>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</si>
  <si>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</si>
  <si>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</si>
  <si>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G5</t>
  </si>
  <si>
    <t>G6</t>
  </si>
  <si>
    <t>G7</t>
  </si>
  <si>
    <t>G8</t>
  </si>
  <si>
    <t>G9</t>
  </si>
  <si>
    <t>G10</t>
  </si>
  <si>
    <t>G11</t>
  </si>
  <si>
    <t>G12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</si>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</sst>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C18" sqref="C1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51288900</v>
      </c>
      <c r="D35" s="13">
        <f t="shared" si="2"/>
        <v>16653160</v>
      </c>
      <c r="E35" s="13">
        <f t="shared" si="2"/>
        <v>8465690</v>
      </c>
      <c r="F35" s="13">
        <f t="shared" si="2"/>
        <v>21843810</v>
      </c>
      <c r="G35" s="13">
        <f t="shared" si="2"/>
        <v>46962660</v>
      </c>
      <c r="H35" s="97">
        <f t="shared" si="2"/>
        <v>1857.2764685373518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63" activePane="bottomLeft" state="frozen"/>
      <selection pane="bottomLeft" activeCell="D384" sqref="D384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59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53</v>
      </c>
      <c r="D380" s="59" t="s">
        <v>37</v>
      </c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53</v>
      </c>
      <c r="D381" s="59" t="s">
        <v>37</v>
      </c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53</v>
      </c>
      <c r="D382" s="59" t="s">
        <v>37</v>
      </c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53</v>
      </c>
      <c r="D383" s="59" t="s">
        <v>37</v>
      </c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53</v>
      </c>
      <c r="D384" s="59" t="s">
        <v>269</v>
      </c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53</v>
      </c>
      <c r="D385" s="59" t="s">
        <v>270</v>
      </c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53</v>
      </c>
      <c r="D386" s="59" t="s">
        <v>271</v>
      </c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53</v>
      </c>
      <c r="D387" s="59" t="s">
        <v>272</v>
      </c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53</v>
      </c>
      <c r="D388" s="59" t="s">
        <v>273</v>
      </c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53</v>
      </c>
      <c r="D389" s="59" t="s">
        <v>274</v>
      </c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53</v>
      </c>
      <c r="D390" s="59" t="s">
        <v>275</v>
      </c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 t="s">
        <v>276</v>
      </c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62" activePane="bottomLeft" state="frozen"/>
      <selection pane="bottomLeft" activeCell="D380" sqref="D38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277</v>
      </c>
      <c r="I1" s="133" t="s">
        <v>20</v>
      </c>
      <c r="J1" s="133" t="s">
        <v>278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278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279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280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281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282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283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284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285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286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0.17354293981043156</v>
      </c>
      <c r="R53" s="46" t="s">
        <v>287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0.31243182869932046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0.39715405092154277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279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288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289</v>
      </c>
      <c r="Q96" s="30" t="str">
        <f t="shared" ref="Q96:Q107" ca="1" si="22">IFERROR(IF(O96="","",IF(P96="",MOD(NOW()-O96,1),IF(P96&gt;=O96,P96-O96,P96+1-O96))),"")</f>
        <v/>
      </c>
      <c r="R96" s="46" t="s">
        <v>290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291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292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293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294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295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296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298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295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299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300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293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288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301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302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303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304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305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306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307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308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300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295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288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82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309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70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53</v>
      </c>
      <c r="D380" s="59" t="s">
        <v>37</v>
      </c>
      <c r="E380" s="108"/>
      <c r="F380" s="140" t="str">
        <f>IFERROR(IF($D380="","",VLOOKUP($D380,Cadastro!$C$4:$E$7,3,FALSE)),"")</f>
        <v>b</v>
      </c>
      <c r="G380" s="105"/>
      <c r="H380" s="140" t="str">
        <f>IFERROR(IF($G380="","",$G380*$S$392/$G$392/Cadastro!$E$33),"")</f>
        <v/>
      </c>
      <c r="I380" s="141">
        <f>IFERROR(IF($D380="","",VLOOKUP($D380,Cadastro!$C$4:$G$7,5,FALSE)),"")</f>
        <v>0.6</v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53</v>
      </c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53</v>
      </c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53</v>
      </c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53</v>
      </c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53</v>
      </c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53</v>
      </c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53</v>
      </c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53</v>
      </c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53</v>
      </c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53</v>
      </c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53</v>
      </c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63" activePane="bottomLeft" state="frozen"/>
      <selection pane="bottomLeft" activeCell="S379" sqref="S37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277</v>
      </c>
      <c r="I1" s="133" t="s">
        <v>20</v>
      </c>
      <c r="J1" s="133" t="s">
        <v>278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278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310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282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311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288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310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310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312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313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314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315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317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318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296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288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319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320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299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321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323</v>
      </c>
      <c r="Q222" s="30" t="str">
        <f t="shared" ca="1" si="49"/>
        <v/>
      </c>
      <c r="R222" s="27" t="s">
        <v>324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325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306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326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307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288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126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55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55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64" activePane="bottomLeft" state="frozen"/>
      <selection pane="bottomLeft" activeCell="M413" sqref="M413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277</v>
      </c>
      <c r="I1" s="133" t="s">
        <v>20</v>
      </c>
      <c r="J1" s="133" t="s">
        <v>278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278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327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285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310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328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329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330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331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332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333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310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310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334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335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288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310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336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337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296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338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340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341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342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343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344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345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346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347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348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349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350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351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352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353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354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355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65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122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60</v>
      </c>
      <c r="N369" s="33" t="s">
        <v>70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65</v>
      </c>
      <c r="N370" s="26" t="s">
        <v>70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60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60</v>
      </c>
      <c r="N372" s="26" t="s">
        <v>64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356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65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2026-08-15T11:04:55Z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