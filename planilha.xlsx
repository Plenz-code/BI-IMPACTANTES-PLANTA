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10" documentId="8_{AF585B22-221D-4780-BB9C-493D365A6A02}" xr6:coauthVersionLast="47" xr6:coauthVersionMax="47" xr10:uidLastSave="{88061FD1-866E-40BD-A9FE-5D5A066D8A8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<sst xmlns="http://schemas.openxmlformats.org/spreadsheetml/2006/main" count="12378" uniqueCount="443">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</sst>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21" sqref="F8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J815" sqref="J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0.46099826388672227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0.61863715277561115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0.72835937499783332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0.4394704861115315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0.61030381944486489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0.75544270833375382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/>
      <c r="M815" s="79">
        <f ca="1">IFERROR(IF(K815="","",IF(L815="",MOD(NOW()-K815,1),IF(L815&gt;=K815,L815-K815,L815+1-K815))),"")</f>
        <v>1.9704861115314998E-3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146</v>
      </c>
      <c r="G824" s="109">
        <f>SUM(G812:G823)</f>
        <v>613.20000000000005</v>
      </c>
      <c r="H824" s="37"/>
      <c r="I824" s="37"/>
      <c r="J824" s="37"/>
      <c r="K824" s="37"/>
      <c r="L824" s="37"/>
      <c r="M824" s="110">
        <f ca="1">IFERROR(SUM(M812:M823),"")</f>
        <v>6.5859375000420328E-2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613.20000000000005</v>
      </c>
      <c r="H838" s="41"/>
      <c r="I838" s="41"/>
      <c r="J838" s="41"/>
      <c r="K838" s="41"/>
      <c r="L838" s="41"/>
      <c r="M838" s="112">
        <f ca="1">IFERROR(M824+M837,"")</f>
        <v>6.5859375000420328E-2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1" sqref="F8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84</v>
      </c>
      <c r="G824" s="109">
        <f>SUM(G812:G823)</f>
        <v>352.79999999999995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84</v>
      </c>
      <c r="G838" s="111">
        <f>G824+G837</f>
        <v>352.79999999999995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1" sqref="F8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0.451276041669189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0.65058159722474462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1.0179427083358557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94</v>
      </c>
      <c r="G824" s="109">
        <f>SUM(G812:G823)</f>
        <v>394.80000000000007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94</v>
      </c>
      <c r="G838" s="111">
        <f>G824+G837</f>
        <v>394.80000000000007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2026-07-31T20:49:06Z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