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99" documentId="8_{AF585B22-221D-4780-BB9C-493D365A6A02}" xr6:coauthVersionLast="47" xr6:coauthVersionMax="47" xr10:uidLastSave="{FA5A8D42-42BA-4784-A67B-6B4E7792B47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<sst xmlns="http://schemas.openxmlformats.org/spreadsheetml/2006/main" count="6091" uniqueCount="315">
  <si>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</si>
  <si>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</si>
  <si>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</si>
  <si>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</si>
  <si>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</si>
  <si>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</si>
  <si>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</si>
  <si>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</si>
  <si>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</si>
  <si>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</si>
  <si>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</si>
  <si>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</si>
  <si>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</si>
  <si>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</si>
  <si>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</si>
  <si>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</si>
  <si>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</si>
  <si>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</si>
  <si>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</si>
  <si>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</si>
  <si>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</si>
  <si>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</si>
  <si>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</si>
  <si>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</si>
  <si>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</si>
  <si>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</si>
  <si>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</si>
  <si>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</si>
  <si>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</si>
  <si>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</si>
  <si>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</si>
  <si>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</si>
  <si>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</si>
  <si>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</si>
  <si>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</si>
  <si>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</si>
  <si>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</si>
  <si>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</si>
  <si>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</si>
  <si>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</si>
  <si>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</si>
  <si>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</si>
  <si>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</si>
  <si>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</si>
  <si>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</si>
  <si>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</si>
  <si>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</si>
  <si>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</si>
  <si>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</si>
  <si>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</si>
  <si>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</si>
  <si>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</si>
  <si>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</si>
  <si>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</si>
  <si>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</si>
  <si>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</si>
  <si>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</si>
  <si>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</si>
  <si>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</si>
  <si>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</si>
  <si>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</si>
  <si>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</si>
  <si>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</si>
  <si>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</si>
  <si>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</si>
  <si>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</si>
  <si>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</si>
  <si>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</si>
  <si>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</si>
  <si>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</si>
  <si>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</si>
  <si>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</si>
  <si>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</si>
  <si>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</si>
  <si>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</si>
  <si>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</si>
  <si>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</si>
  <si>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</si>
  <si>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</si>
  <si>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</si>
  <si>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</si>
  <si>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</si>
  <si>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</si>
  <si>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</si>
  <si>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</si>
  <si>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</si>
  <si>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</si>
  <si>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</si>
  <si>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</si>
  <si>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</si>
  <si>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</si>
  <si>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</si>
  <si>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</si>
  <si>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</si>
  <si>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</si>
  <si>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</si>
  <si>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</si>
  <si>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</si>
  <si>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</si>
  <si>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</si>
  <si>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</si>
  <si>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</si>
  <si>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</si>
  <si>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</si>
  <si>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</si>
  <si>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</si>
  <si>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</si>
  <si>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</si>
  <si>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</si>
  <si>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</si>
  <si>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</si>
  <si>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</si>
  <si>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</si>
  <si>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</si>
  <si>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</si>
  <si>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</si>
  <si>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</si>
  <si>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</si>
  <si>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</si>
  <si>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</si>
  <si>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</si>
  <si>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</si>
  <si>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</si>
  <si>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</si>
  <si>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</si>
  <si>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</si>
  <si>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</si>
  <si>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</si>
  <si>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</si>
  <si>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</si>
  <si>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</si>
  <si>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</si>
  <si>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</si>
  <si>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</si>
  <si>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</si>
  <si>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</si>
  <si>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</si>
  <si>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</si>
  <si>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</si>
  <si>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</si>
  <si>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</si>
  <si>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</si>
  <si>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</si>
  <si>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</si>
  <si>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</si>
  <si>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</si>
  <si>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</si>
  <si>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</si>
  <si>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</si>
  <si>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</si>
  <si>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</si>
  <si>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</si>
  <si>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</si>
  <si>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</si>
  <si>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</si>
  <si>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</si>
  <si>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</si>
  <si>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</si>
  <si>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</si>
  <si>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</si>
  <si>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</si>
  <si>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</si>
  <si>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</si>
  <si>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</si>
  <si>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</si>
  <si>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</si>
  <si>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</si>
  <si>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</si>
  <si>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</si>
  <si>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</si>
  <si>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</si>
  <si>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</si>
  <si>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</si>
  <si>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</si>
  <si>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</si>
  <si>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</si>
  <si>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</si>
  <si>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</si>
  <si>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</si>
  <si>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</si>
  <si>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</si>
  <si>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</si>
  <si>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</si>
  <si>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</si>
  <si>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</si>
  <si>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</si>
  <si>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</si>
  <si>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</si>
  <si>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</si>
  <si>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</si>
  <si>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</si>
  <si>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</si>
  <si>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</si>
  <si>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</si>
  <si>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</si>
  <si>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</si>
  <si>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</si>
  <si>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</si>
  <si>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</si>
  <si>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</si>
  <si>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</si>
  <si>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</si>
  <si>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</si>
  <si>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</si>
  <si>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</si>
  <si>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</si>
  <si>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</si>
  <si>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</si>
  <si>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</si>
  <si>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</si>
  <si>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</si>
  <si>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</si>
  <si>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</si>
  <si>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</si>
  <si>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</si>
  <si>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</si>
  <si>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</si>
  <si>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</si>
  <si>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</si>
  <si>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</si>
  <si>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</si>
  <si>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</si>
  <si>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</si>
  <si>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</si>
  <si>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</si>
  <si>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</si>
  <si>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</si>
  <si>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</si>
  <si>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</si>
  <si>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</si>
  <si>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</si>
  <si>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</si>
  <si>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</si>
  <si>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</si>
  <si>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</si>
  <si>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</si>
  <si>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</si>
  <si>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</si>
  <si>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</si>
  <si>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</si>
  <si>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</si>
  <si>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</si>
  <si>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</si>
  <si>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</si>
  <si>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</si>
  <si>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</si>
  <si>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</si>
  <si>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</si>
  <si>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</si>
  <si>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</si>
  <si>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</si>
  <si>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</si>
  <si>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</si>
  <si>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</si>
  <si>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</si>
  <si>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</si>
  <si>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</si>
  <si>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</si>
  <si>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</si>
  <si>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</si>
  <si>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</si>
  <si>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</si>
  <si>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</si>
  <si>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</si>
  <si>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</si>
  <si>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</si>
  <si>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</si>
  <si>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20;58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</si>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</sst>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6" activePane="bottomLeft" state="frozen"/>
      <selection pane="bottomLeft" activeCell="E377" sqref="E3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6.7281712959811557E-2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28</v>
      </c>
      <c r="G378" s="36">
        <f>SUM(G366:G377)</f>
        <v>140</v>
      </c>
      <c r="H378" s="37"/>
      <c r="I378" s="37"/>
      <c r="J378" s="37"/>
      <c r="K378" s="37"/>
      <c r="L378" s="37"/>
      <c r="M378" s="38">
        <f ca="1">IFERROR(SUM(M366:M377),"")</f>
        <v>6.7281712959811557E-2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303</v>
      </c>
      <c r="G379" s="40">
        <f>G365+G378</f>
        <v>1515</v>
      </c>
      <c r="H379" s="41"/>
      <c r="I379" s="41"/>
      <c r="J379" s="41"/>
      <c r="K379" s="41"/>
      <c r="L379" s="41"/>
      <c r="M379" s="42">
        <f ca="1">IFERROR(M365+M378,"")</f>
        <v>0.15825393518203368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 t="s">
        <v>267</v>
      </c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8" sqref="F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23</v>
      </c>
      <c r="G378" s="36">
        <f>SUM(G366:G377)</f>
        <v>96.600000000000009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</v>
      </c>
      <c r="G379" s="40">
        <f>G365+G378</f>
        <v>134.4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68" sqref="F3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0.63047638889111113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0.82978194444666675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1.1971430555577778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32</v>
      </c>
      <c r="G378" s="36">
        <f>SUM(G366:G377)</f>
        <v>134.4</v>
      </c>
      <c r="H378" s="37"/>
      <c r="I378" s="37"/>
      <c r="J378" s="37"/>
      <c r="K378" s="61"/>
      <c r="L378" s="61"/>
      <c r="M378" s="38">
        <f ca="1">IFERROR(SUM(M366:M377),"")</f>
        <v>1.7361111111111049E-2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157</v>
      </c>
      <c r="G379" s="40">
        <f>G365+G378</f>
        <v>659.4</v>
      </c>
      <c r="H379" s="41"/>
      <c r="I379" s="41"/>
      <c r="J379" s="41"/>
      <c r="K379" s="63"/>
      <c r="L379" s="63"/>
      <c r="M379" s="42">
        <f ca="1">IFERROR(M365+M378,"")</f>
        <v>0.12222222222222223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2026-07-15T01:06:54Z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