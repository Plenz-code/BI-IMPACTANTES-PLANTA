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85" documentId="13_ncr:1_{0A10D8D4-8450-4366-8075-B53B08E6B7EA}" xr6:coauthVersionLast="47" xr6:coauthVersionMax="47" xr10:uidLastSave="{C8FA0A76-F7FE-4C14-97A5-0C96B3B34BB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30" i="6" s="1"/>
  <c r="J43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30" i="5" s="1"/>
  <c r="J43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30" i="4" s="1"/>
  <c r="J43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8" i="6" l="1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<sst xmlns="http://schemas.openxmlformats.org/spreadsheetml/2006/main" count="7363" uniqueCount="360">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</sst>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1" sqref="F43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300</v>
      </c>
      <c r="G432" s="36">
        <f>SUM(G420:G431)</f>
        <v>1500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510</v>
      </c>
      <c r="G433" s="40">
        <f>G419+G432</f>
        <v>2550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1" sqref="G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0.14690740740479669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0.28579629629368558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0.37051851851590789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163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684.6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1302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07" activePane="bottomLeft" state="frozen"/>
      <selection pane="bottomLeft" activeCell="N425" sqref="N42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/>
      <c r="Q425" s="35">
        <f t="shared" ca="1" si="102"/>
        <v>1.0740740763139911E-3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0"/>
        <v>0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0"/>
        <v>0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9.343518518742519E-2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0.16635185185409193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N427" sqref="N4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/>
      <c r="Q427" s="35">
        <f t="shared" ca="1" si="104"/>
        <v>1.7046296299668029E-2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772.80000000000007</v>
      </c>
      <c r="L432" s="37"/>
      <c r="M432" s="37"/>
      <c r="N432" s="37"/>
      <c r="O432" s="61"/>
      <c r="P432" s="61"/>
      <c r="Q432" s="38">
        <f ca="1">IFERROR(SUM(Q420:Q431),"")</f>
        <v>0.1003796296330014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326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1369.2000000000003</v>
      </c>
      <c r="L433" s="41"/>
      <c r="M433" s="41"/>
      <c r="N433" s="41"/>
      <c r="O433" s="63"/>
      <c r="P433" s="63"/>
      <c r="Q433" s="42">
        <f ca="1">IFERROR(Q419+Q432,"")</f>
        <v>0.21565740741077921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