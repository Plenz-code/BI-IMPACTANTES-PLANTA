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1" documentId="8_{C51EB6CB-002B-4D6B-B68F-DDEBDB4460C0}" xr6:coauthVersionLast="47" xr6:coauthVersionMax="47" xr10:uidLastSave="{219BDF43-B50A-42CB-99D3-E74C3F1F382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<sst xmlns="http://schemas.openxmlformats.org/spreadsheetml/2006/main" count="2633" uniqueCount="267">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</sst>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1" sqref="F1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985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506</v>
      </c>
      <c r="G109" s="40">
        <f>G95+G108</f>
        <v>2530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0.89010370369942393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1.0289925925883128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1.1137148148105351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28</v>
      </c>
      <c r="G108" s="36">
        <f>SUM(G96:G107)</f>
        <v>117.6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124</v>
      </c>
      <c r="G109" s="40">
        <f>G95+G108</f>
        <v>520.79999999999995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24</v>
      </c>
      <c r="G108" s="36">
        <f>SUM(G96:G107)</f>
        <v>100.80000000000001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72</v>
      </c>
      <c r="G109" s="40">
        <f>G95+G108</f>
        <v>302.39999999999998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0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52</v>
      </c>
      <c r="J96" s="26" t="s">
        <v>27</v>
      </c>
      <c r="K96" s="29">
        <v>0.99861111111111112</v>
      </c>
      <c r="L96" s="29"/>
      <c r="M96" s="35">
        <f t="shared" ref="M96:M107" ca="1" si="22">IFERROR(IF(K96="","",IF(L96="",MOD(NOW()-K96,1),IF(L96&gt;=K96,L96-K96,L96+1-K96))),"")</f>
        <v>1.3020370366575662E-2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91</v>
      </c>
      <c r="G108" s="36">
        <f>SUM(G96:G107)</f>
        <v>382.2</v>
      </c>
      <c r="H108" s="37"/>
      <c r="I108" s="37"/>
      <c r="J108" s="37"/>
      <c r="K108" s="61"/>
      <c r="L108" s="61"/>
      <c r="M108" s="38">
        <f ca="1">IFERROR(SUM(M96:M107),"")</f>
        <v>1.3020370366575662E-2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274</v>
      </c>
      <c r="G109" s="40">
        <f>G95+G108</f>
        <v>1150.8</v>
      </c>
      <c r="H109" s="41"/>
      <c r="I109" s="41"/>
      <c r="J109" s="41"/>
      <c r="K109" s="63"/>
      <c r="L109" s="63"/>
      <c r="M109" s="42">
        <f ca="1">IFERROR(M95+M108,"")</f>
        <v>5.3992592588797794E-2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2026-08-05T04:17:08Z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