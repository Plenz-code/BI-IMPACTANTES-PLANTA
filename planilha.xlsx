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09" documentId="8_{AF585B22-221D-4780-BB9C-493D365A6A02}" xr6:coauthVersionLast="47" xr6:coauthVersionMax="47" xr10:uidLastSave="{841644A2-EB78-4539-B461-9F979EA3760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<sst xmlns="http://schemas.openxmlformats.org/spreadsheetml/2006/main" count="4841" uniqueCount="299">
  <si>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</si>
  <si>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</si>
  <si>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</si>
  <si>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</si>
  <si>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</si>
  <si>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</si>
  <si>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</si>
  <si>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</si>
  <si>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</si>
  <si>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</si>
  <si>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</si>
  <si>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</si>
  <si>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</si>
  <si>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</si>
  <si>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</si>
  <si>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</si>
  <si>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</si>
  <si>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</si>
  <si>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</si>
  <si>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</si>
  <si>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</si>
  <si>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</si>
  <si>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</si>
  <si>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</si>
  <si>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</si>
  <si>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</si>
  <si>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</si>
  <si>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</si>
  <si>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</si>
  <si>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</si>
  <si>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</si>
  <si>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</si>
  <si>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</si>
  <si>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</si>
  <si>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</si>
  <si>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</si>
  <si>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</si>
  <si>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</si>
  <si>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</si>
  <si>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</si>
  <si>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</si>
  <si>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</si>
  <si>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</si>
  <si>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</si>
  <si>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</si>
  <si>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</si>
  <si>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</si>
  <si>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</si>
  <si>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</si>
  <si>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</si>
  <si>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</si>
  <si>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</si>
  <si>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</si>
  <si>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</si>
  <si>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</si>
  <si>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</si>
  <si>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</si>
  <si>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</si>
  <si>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</si>
  <si>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</si>
  <si>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</si>
  <si>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</si>
  <si>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</si>
  <si>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</si>
  <si>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</si>
  <si>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</si>
  <si>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</si>
  <si>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</si>
  <si>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</si>
  <si>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</si>
  <si>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</si>
  <si>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</si>
  <si>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</si>
  <si>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</si>
  <si>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</si>
  <si>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</si>
  <si>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</si>
  <si>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</si>
  <si>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</si>
  <si>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</si>
  <si>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</si>
  <si>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</si>
  <si>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</si>
  <si>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</si>
  <si>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</si>
  <si>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</si>
  <si>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</si>
  <si>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</si>
  <si>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</si>
  <si>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</si>
  <si>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</si>
  <si>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</si>
  <si>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</si>
  <si>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</si>
  <si>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</si>
  <si>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</si>
  <si>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</si>
  <si>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</si>
  <si>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</si>
  <si>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</si>
  <si>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</si>
  <si>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</si>
  <si>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</si>
  <si>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</si>
  <si>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</si>
  <si>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</si>
  <si>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</si>
  <si>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</si>
  <si>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</si>
  <si>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</si>
  <si>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</si>
  <si>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</si>
  <si>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</si>
  <si>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</si>
  <si>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</si>
  <si>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</si>
  <si>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</si>
  <si>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</si>
  <si>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</si>
  <si>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</si>
  <si>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</si>
  <si>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</si>
  <si>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</si>
  <si>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</si>
  <si>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</si>
  <si>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</si>
  <si>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</si>
  <si>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</si>
  <si>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</si>
  <si>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</si>
  <si>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</si>
  <si>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</si>
  <si>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</si>
  <si>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</si>
  <si>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</si>
  <si>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</si>
  <si>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</si>
  <si>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</si>
  <si>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</si>
  <si>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</si>
  <si>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</si>
  <si>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</si>
  <si>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</si>
  <si>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</si>
  <si>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</si>
  <si>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</si>
  <si>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</si>
  <si>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</si>
  <si>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</si>
  <si>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</si>
  <si>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</si>
  <si>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</si>
  <si>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</si>
  <si>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</si>
  <si>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</si>
  <si>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</si>
  <si>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</si>
  <si>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</si>
  <si>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</si>
  <si>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</si>
  <si>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</si>
  <si>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</si>
  <si>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</si>
  <si>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</si>
  <si>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</si>
  <si>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</si>
  <si>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</si>
  <si>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</si>
  <si>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</si>
  <si>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</si>
  <si>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</si>
  <si>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</si>
  <si>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</si>
  <si>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</si>
  <si>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</si>
  <si>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</si>
  <si>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</si>
  <si>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</si>
  <si>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</si>
  <si>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</si>
  <si>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</si>
  <si>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</si>
  <si>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</si>
  <si>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</si>
  <si>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</si>
  <si>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</si>
  <si>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</si>
  <si>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</si>
  <si>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</si>
  <si>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</si>
  <si>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</si>
  <si>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</si>
  <si>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</si>
  <si>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</si>
  <si>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</si>
  <si>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</si>
  <si>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</si>
  <si>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</si>
  <si>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</si>
  <si>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</si>
  <si>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</si>
  <si>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</si>
  <si>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</si>
  <si>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</si>
  <si>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</si>
  <si>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</si>
  <si>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</si>
  <si>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</si>
  <si>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</si>
  <si>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</si>
  <si>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</si>
  <si>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</si>
  <si>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</si>
  <si>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</si>
  <si>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</si>
  <si>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</si>
  <si>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</si>
  <si>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</si>
  <si>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</si>
  <si>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</si>
  <si>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</si>
  <si>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</si>
  <si>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</si>
  <si>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</si>
  <si>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</si>
  <si>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</si>
  <si>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</si>
  <si>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</si>
  <si>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</si>
  <si>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</si>
  <si>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</si>
  <si>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</si>
  <si>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</si>
  <si>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</si>
  <si>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</si>
  <si>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</si>
  <si>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</si>
  <si>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</si>
  <si>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</si>
  <si>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</si>
  <si>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</si>
  <si>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</si>
  <si>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</si>
  <si>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</si>
  <si>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</si>
  <si>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</si>
  <si>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</si>
  <si>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</si>
  <si>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</si>
  <si>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</si>
  <si>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</si>
  <si>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</si>
  <si>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PC 18</t>
  </si>
  <si>
    <t>PC 20</t>
  </si>
  <si>
    <t>PC 21</t>
  </si>
  <si>
    <t>PC 22</t>
  </si>
  <si>
    <t>PC 23</t>
  </si>
  <si>
    <t>PC 24</t>
  </si>
  <si>
    <t>PC 25</t>
  </si>
  <si>
    <t>PC 26</t>
  </si>
  <si>
    <t>PC 27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</si>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</sst>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E296" sqref="E2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/>
      <c r="G285" s="34" t="str">
        <f t="shared" ref="G285:G296" si="63">IF(F285="","",IF(E285="PC 17",F285*4.2,IF(E285="PC 19",F285*5,"")))</f>
        <v/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316</v>
      </c>
      <c r="G298" s="40">
        <f>G284+G297</f>
        <v>1580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74" activePane="bottomLeft" state="frozen"/>
      <selection pane="bottomLeft" activeCell="E285" sqref="E285:E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256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183</v>
      </c>
      <c r="G298" s="40">
        <f>G284+G297</f>
        <v>768.59999999999991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9" zoomScale="50" zoomScaleNormal="50" workbookViewId="0">
      <selection activeCell="D285" sqref="D2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2.8840625003795139E-2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2.8840625003795139E-2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306.59999999999997</v>
      </c>
      <c r="H298" s="41"/>
      <c r="I298" s="41"/>
      <c r="J298" s="41"/>
      <c r="K298" s="41"/>
      <c r="L298" s="41"/>
      <c r="M298" s="42">
        <f ca="1">IFERROR(M284+M297,"")</f>
        <v>8.4396180559350664E-2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H285" sqref="H2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0.57120173611474456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0.77050729167030019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1.1378684027814112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>
        <v>0.79166666666666663</v>
      </c>
      <c r="L285" s="29"/>
      <c r="M285" s="35">
        <f t="shared" ref="M285:M296" ca="1" si="64">IFERROR(IF(K285="","",IF(L285="",MOD(NOW()-K285,1),IF(L285&gt;=K285,L285-K285,L285+1-K285))),"")</f>
        <v>2.8840625003795139E-2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2.8840625003795139E-2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187</v>
      </c>
      <c r="G298" s="40">
        <f>G284+G297</f>
        <v>785.40000000000009</v>
      </c>
      <c r="H298" s="41"/>
      <c r="I298" s="41"/>
      <c r="J298" s="41"/>
      <c r="K298" s="63"/>
      <c r="L298" s="63"/>
      <c r="M298" s="42">
        <f ca="1">IFERROR(M284+M297,"")</f>
        <v>9.2729513892683968E-2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2026-07-11T23:41:37Z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