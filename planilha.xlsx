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43" documentId="13_ncr:1_{A6DBCFB4-28D9-4249-9038-216934055CA6}" xr6:coauthVersionLast="47" xr6:coauthVersionMax="47" xr10:uidLastSave="{7B943C08-B5B0-4906-9F6D-C0E67661E421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0" i="5" l="1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<sst xmlns="http://schemas.openxmlformats.org/spreadsheetml/2006/main" count="9265" uniqueCount="407">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</sst>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0.48218055555480532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0.48218055555480532</v>
      </c>
      <c r="N554" s="2" t="s">
        <v>262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0.48218055555480532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P546" sqref="P54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0.65231944443803513</v>
      </c>
      <c r="R53" s="80" t="s">
        <v>307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0.79120833332692286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0.87593055554914567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309</v>
      </c>
      <c r="Q96" s="66" t="str">
        <f t="shared" ref="Q96:Q107" ca="1" si="22">IFERROR(IF(O96="","",IF(P96="",MOD(NOW()-O96,1),IF(P96&gt;=O96,P96-O96,P96+1-O96))),"")</f>
        <v/>
      </c>
      <c r="R96" s="80" t="s">
        <v>310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8"/>
        <v>0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0</v>
      </c>
      <c r="I552" s="90">
        <f>IFERROR(IF($D552="","",VLOOKUP($D552,Cadastro!$C$4:$G$7,5,FALSE())),"")</f>
        <v>0.6</v>
      </c>
      <c r="J552" s="91">
        <f t="shared" si="138"/>
        <v>0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0.32152777777777763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2" activePane="bottomLeft" state="frozen"/>
      <selection pane="bottomLeft" activeCell="G554" sqref="G55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0</v>
      </c>
      <c r="I552" s="90">
        <f>IFERROR(IF($D552="","",VLOOKUP($D552,Cadastro!$C$4:$G$7,5,FALSE())),"")</f>
        <v>0.6</v>
      </c>
      <c r="J552" s="91">
        <f t="shared" si="135"/>
        <v>0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5"/>
        <v>0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9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37.800000000000004</v>
      </c>
      <c r="L568" s="76"/>
      <c r="M568" s="76"/>
      <c r="N568" s="76"/>
      <c r="O568" s="76"/>
      <c r="P568" s="76"/>
      <c r="Q568" s="77">
        <f ca="1">IFERROR(Q554+Q567,"")</f>
        <v>0.41041666666666671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G554" sqref="G55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8"/>
        <v>0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0</v>
      </c>
      <c r="I552" s="90">
        <f>IFERROR(IF($D552="","",VLOOKUP($D552,Cadastro!$C$4:$G$7,5,FALSE())),"")</f>
        <v>0.6</v>
      </c>
      <c r="J552" s="91">
        <f t="shared" si="138"/>
        <v>0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131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550.20000000000005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2026-08-21T22:34:38Z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