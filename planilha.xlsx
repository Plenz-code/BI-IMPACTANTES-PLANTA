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971" documentId="8_{AF585B22-221D-4780-BB9C-493D365A6A02}" xr6:coauthVersionLast="47" xr6:coauthVersionMax="47" xr10:uidLastSave="{C39EF4E8-1F81-4299-99BA-07C46C1A5B49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<sst xmlns="http://schemas.openxmlformats.org/spreadsheetml/2006/main" count="10337" uniqueCount="395">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</sst>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58" activePane="bottomLeft" state="frozen"/>
      <selection pane="bottomLeft" activeCell="J678" sqref="J67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/>
      <c r="M678" s="30">
        <f t="shared" ca="1" si="151"/>
        <v>1.7471180559368804E-2</v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44</v>
      </c>
      <c r="G689" s="36">
        <f>SUM(G677:G688)</f>
        <v>220</v>
      </c>
      <c r="H689" s="37"/>
      <c r="I689" s="37"/>
      <c r="J689" s="37"/>
      <c r="K689" s="37"/>
      <c r="L689" s="37"/>
      <c r="M689" s="38">
        <f ca="1">IFERROR(SUM(M677:M688),"")</f>
        <v>0.1383045138927021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44</v>
      </c>
      <c r="G703" s="40">
        <f>G689+G702</f>
        <v>220</v>
      </c>
      <c r="H703" s="41"/>
      <c r="I703" s="41"/>
      <c r="J703" s="41"/>
      <c r="K703" s="41"/>
      <c r="L703" s="41"/>
      <c r="M703" s="42">
        <f ca="1">IFERROR(M689+M702,"")</f>
        <v>0.1383045138927021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59" activePane="bottomLeft" state="frozen"/>
      <selection pane="bottomLeft" activeCell="E682" sqref="E68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266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267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268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271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272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273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274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275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277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281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282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284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279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287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288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290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292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294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295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0.25011006944259861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0.4077489583314875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0.51747118055370966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279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296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297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0.22858229166740784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0.39941562500074124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0.54455451388963017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300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301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302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303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304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305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306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307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308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309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310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312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315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316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/>
      <c r="G681" s="34" t="str">
        <f t="shared" si="150"/>
        <v/>
      </c>
      <c r="H681" s="33"/>
      <c r="I681" s="33"/>
      <c r="J681" s="33"/>
      <c r="K681" s="29">
        <v>0.48888888888888887</v>
      </c>
      <c r="L681" s="29"/>
      <c r="M681" s="35">
        <f t="shared" ca="1" si="151"/>
        <v>8.0451388930669054E-4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38</v>
      </c>
      <c r="G689" s="36">
        <f>SUM(G677:G688)</f>
        <v>159.60000000000002</v>
      </c>
      <c r="H689" s="37"/>
      <c r="I689" s="37"/>
      <c r="J689" s="37"/>
      <c r="K689" s="37"/>
      <c r="L689" s="37"/>
      <c r="M689" s="38">
        <f ca="1">IFERROR(SUM(M677:M688),"")</f>
        <v>9.6637847222640016E-2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38</v>
      </c>
      <c r="G703" s="40">
        <f>G689+G702</f>
        <v>159.60000000000002</v>
      </c>
      <c r="H703" s="41"/>
      <c r="I703" s="41"/>
      <c r="J703" s="41"/>
      <c r="K703" s="41"/>
      <c r="L703" s="41"/>
      <c r="M703" s="42">
        <f ca="1">IFERROR(M689+M702,"")</f>
        <v>9.6637847222640016E-2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55" zoomScale="50" zoomScaleNormal="50" workbookViewId="0">
      <selection activeCell="K679" sqref="K67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318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320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301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321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278</v>
      </c>
      <c r="K141" s="29">
        <v>0.71597222222222223</v>
      </c>
      <c r="L141" s="29" t="s">
        <v>323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325</v>
      </c>
      <c r="N166" s="27" t="s">
        <v>326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327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328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329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331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333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335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337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338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339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340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342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343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317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346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/>
      <c r="I678" s="26"/>
      <c r="J678" s="26"/>
      <c r="K678" s="29">
        <v>0.48055555555555557</v>
      </c>
      <c r="L678" s="29"/>
      <c r="M678" s="30">
        <f t="shared" ca="1" si="151"/>
        <v>9.1378472206997685E-3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42</v>
      </c>
      <c r="G689" s="36">
        <f>SUM(G677:G688)</f>
        <v>176.4</v>
      </c>
      <c r="H689" s="37"/>
      <c r="I689" s="37"/>
      <c r="J689" s="37"/>
      <c r="K689" s="37"/>
      <c r="L689" s="37"/>
      <c r="M689" s="38">
        <f ca="1">IFERROR(SUM(M677:M688),"")</f>
        <v>1.330451388736642E-2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42</v>
      </c>
      <c r="G703" s="40">
        <f>G689+G702</f>
        <v>176.4</v>
      </c>
      <c r="H703" s="41"/>
      <c r="I703" s="41"/>
      <c r="J703" s="41"/>
      <c r="K703" s="41"/>
      <c r="L703" s="41"/>
      <c r="M703" s="42">
        <f ca="1">IFERROR(M689+M702,"")</f>
        <v>1.330451388736642E-2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72" activePane="bottomLeft" state="frozen"/>
      <selection pane="bottomLeft" activeCell="F681" sqref="F68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347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301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348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349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350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351</v>
      </c>
      <c r="L58" s="29">
        <v>0.54097222222222219</v>
      </c>
      <c r="M58" s="30" t="str">
        <f t="shared" ca="1" si="13"/>
        <v/>
      </c>
      <c r="N58" s="27" t="s">
        <v>352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353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354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355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356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357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358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359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360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0.24038784722506534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276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0.43969340278062097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0.80705451389173199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361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363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364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365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366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367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368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370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371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372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273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301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374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376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363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377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378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379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380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381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356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356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382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383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384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385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386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387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388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389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390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391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392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393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394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/>
      <c r="I678" s="26" t="s">
        <v>159</v>
      </c>
      <c r="J678" s="26"/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/>
      <c r="F679" s="27">
        <v>14</v>
      </c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/>
      <c r="F680" s="27">
        <v>13</v>
      </c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69</v>
      </c>
      <c r="G689" s="36">
        <f>SUM(G677:G688)</f>
        <v>176.4</v>
      </c>
      <c r="H689" s="37"/>
      <c r="I689" s="37"/>
      <c r="J689" s="37"/>
      <c r="K689" s="61"/>
      <c r="L689" s="61"/>
      <c r="M689" s="38">
        <f ca="1">IFERROR(SUM(M677:M688),"")</f>
        <v>3.819444444444442E-2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69</v>
      </c>
      <c r="G703" s="40">
        <f>G689+G702</f>
        <v>176.4</v>
      </c>
      <c r="H703" s="41"/>
      <c r="I703" s="41"/>
      <c r="J703" s="41"/>
      <c r="K703" s="63"/>
      <c r="L703" s="63"/>
      <c r="M703" s="42">
        <f ca="1">IFERROR(M689+M702,"")</f>
        <v>3.819444444444442E-2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2026-07-26T15:45:28Z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