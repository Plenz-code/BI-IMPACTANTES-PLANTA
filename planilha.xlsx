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488" documentId="13_ncr:1_{0A10D8D4-8450-4366-8075-B53B08E6B7EA}" xr6:coauthVersionLast="47" xr6:coauthVersionMax="47" xr10:uidLastSave="{56883AAA-D53E-4F45-B8F9-A3ABADD6CA9E}"/>
  <bookViews>
    <workbookView xWindow="-120" yWindow="-120" windowWidth="29040" windowHeight="1572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7" i="5"/>
  <c r="J467" i="5" s="1"/>
  <c r="H468" i="5"/>
  <c r="J468" i="5" s="1"/>
  <c r="H469" i="5"/>
  <c r="J469" i="5" s="1"/>
  <c r="H470" i="5"/>
  <c r="J470" i="5" s="1"/>
  <c r="H471" i="5"/>
  <c r="J471" i="5" s="1"/>
  <c r="H472" i="5"/>
  <c r="J472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67" i="4"/>
  <c r="J467" i="4" s="1"/>
  <c r="H468" i="4"/>
  <c r="J468" i="4" s="1"/>
  <c r="H469" i="4"/>
  <c r="J469" i="4" s="1"/>
  <c r="H470" i="4"/>
  <c r="J470" i="4" s="1"/>
  <c r="H471" i="4"/>
  <c r="J471" i="4" s="1"/>
  <c r="H472" i="4"/>
  <c r="J472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486" i="4"/>
  <c r="T486" i="4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729" i="6"/>
  <c r="H486" i="6"/>
  <c r="H810" i="6"/>
  <c r="H689" i="6"/>
  <c r="H837" i="6"/>
  <c r="H824" i="5"/>
  <c r="H838" i="5" s="1"/>
  <c r="H702" i="5"/>
  <c r="H594" i="5"/>
  <c r="H581" i="5"/>
  <c r="H621" i="5"/>
  <c r="H648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H466" i="6" s="1"/>
  <c r="J466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65" i="4" l="1"/>
  <c r="J465" i="4" s="1"/>
  <c r="H466" i="4"/>
  <c r="J466" i="4" s="1"/>
  <c r="H465" i="5"/>
  <c r="J465" i="5" s="1"/>
  <c r="H466" i="5"/>
  <c r="J466" i="5" s="1"/>
  <c r="H464" i="6"/>
  <c r="J464" i="6" s="1"/>
  <c r="H465" i="6"/>
  <c r="J465" i="6" s="1"/>
  <c r="H463" i="5"/>
  <c r="J463" i="5" s="1"/>
  <c r="H464" i="5"/>
  <c r="J464" i="5" s="1"/>
  <c r="H463" i="4"/>
  <c r="J463" i="4" s="1"/>
  <c r="H464" i="4"/>
  <c r="J464" i="4" s="1"/>
  <c r="H462" i="6"/>
  <c r="J462" i="6" s="1"/>
  <c r="H463" i="6"/>
  <c r="J463" i="6" s="1"/>
  <c r="H461" i="5"/>
  <c r="H462" i="5"/>
  <c r="J462" i="5" s="1"/>
  <c r="H461" i="4"/>
  <c r="H462" i="4"/>
  <c r="J462" i="4" s="1"/>
  <c r="G487" i="6"/>
  <c r="H461" i="6"/>
  <c r="J461" i="5"/>
  <c r="J473" i="5" s="1"/>
  <c r="H473" i="5"/>
  <c r="H487" i="5" s="1"/>
  <c r="J461" i="4"/>
  <c r="J473" i="4" s="1"/>
  <c r="H473" i="4"/>
  <c r="H487" i="4" s="1"/>
  <c r="H457" i="6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461" i="6" l="1"/>
  <c r="J473" i="6" s="1"/>
  <c r="H473" i="6"/>
  <c r="H487" i="6" s="1"/>
  <c r="T473" i="5"/>
  <c r="J487" i="5"/>
  <c r="T487" i="5" s="1"/>
  <c r="T473" i="4"/>
  <c r="J487" i="4"/>
  <c r="T487" i="4" s="1"/>
  <c r="T446" i="6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87" i="6" l="1"/>
  <c r="T487" i="6" s="1"/>
  <c r="H21" i="1" s="1"/>
  <c r="J21" i="1" s="1"/>
  <c r="T473" i="6"/>
  <c r="J433" i="4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<sst xmlns="http://schemas.openxmlformats.org/spreadsheetml/2006/main" count="7917" uniqueCount="374">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</sst>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9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1" ht="31.5" customHeight="1">
      <c r="A1" s="166" t="s">
        <v>0</v>
      </c>
      <c r="B1" s="167"/>
      <c r="C1" s="167"/>
      <c r="D1" s="167"/>
      <c r="E1" s="167"/>
      <c r="F1" s="167"/>
      <c r="G1" s="167"/>
      <c r="H1" s="167"/>
      <c r="I1" s="167"/>
      <c r="J1" s="167"/>
      <c r="K1" s="167"/>
    </row>
    <row r="2" spans="1:11" ht="30" customHeight="1">
      <c r="A2" s="164"/>
      <c r="B2" s="16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3981060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767.1243122694566</v>
      </c>
      <c r="I20" s="96"/>
      <c r="J20" s="129">
        <f t="shared" si="1"/>
        <v>0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5" t="s">
        <v>14</v>
      </c>
      <c r="B35" s="165"/>
      <c r="C35" s="13">
        <f t="shared" ref="C35:H35" si="2">IFERROR(SUM(C4:C34),"")</f>
        <v>63835790</v>
      </c>
      <c r="D35" s="13">
        <f t="shared" si="2"/>
        <v>20725020</v>
      </c>
      <c r="E35" s="13">
        <f t="shared" si="2"/>
        <v>10923630</v>
      </c>
      <c r="F35" s="13">
        <f t="shared" si="2"/>
        <v>26760570</v>
      </c>
      <c r="G35" s="13">
        <f t="shared" si="2"/>
        <v>58409220</v>
      </c>
      <c r="H35" s="97">
        <f t="shared" si="2"/>
        <v>4454.125845060189</v>
      </c>
      <c r="I35" s="97">
        <f>IFERROR(SUM(I4:I34),"")</f>
        <v>3895.4599999999996</v>
      </c>
      <c r="J35" s="130">
        <f>IFERROR(AVERAGE(J4:J34),"-")</f>
        <v>0.78052303539371637</v>
      </c>
      <c r="K35" s="157">
        <f>SUM(K4:K34)</f>
        <v>450.78</v>
      </c>
    </row>
  </sheetData>
  <sheetProtection algorithmName="SHA-512" hashValue="gqTLzSuAHGYI8uOhqvLYOaoQbrZvCsSzD0aJE6/A0ufYguG/Kt8CCpL7wveFByPuEM7kH25C930tYTtMRaRnJQ==" saltValue="dcFiUfDE4dvgBpW29BEIk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O21" sqref="O2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8" t="s">
        <v>15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9"/>
      <c r="N1" s="170" t="s">
        <v>16</v>
      </c>
      <c r="O1" s="170"/>
      <c r="P1" s="170"/>
      <c r="Q1" s="170"/>
      <c r="R1" s="170"/>
    </row>
    <row r="2" spans="1:18" ht="4.5" customHeight="1">
      <c r="M2" s="169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9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9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9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9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9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9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9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9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9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9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9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9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9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9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9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9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9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9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9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9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9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9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9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9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9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69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9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9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9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9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9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9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9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9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9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9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9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9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9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9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9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9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9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9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9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9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9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9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9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9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9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9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9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9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9"/>
      <c r="N57" s="17"/>
      <c r="O57" s="17"/>
      <c r="P57" s="17" t="s">
        <v>57</v>
      </c>
      <c r="Q57" s="17"/>
      <c r="R57" s="17" t="s">
        <v>216</v>
      </c>
    </row>
    <row r="58" spans="1:18" ht="15" customHeight="1">
      <c r="M58" s="169"/>
      <c r="N58" s="16"/>
      <c r="O58" s="16"/>
      <c r="P58" s="16" t="s">
        <v>217</v>
      </c>
      <c r="Q58" s="16"/>
      <c r="R58" s="16" t="s">
        <v>218</v>
      </c>
    </row>
    <row r="59" spans="1:18" ht="15" customHeight="1">
      <c r="M59" s="169"/>
      <c r="N59" s="17"/>
      <c r="O59" s="17"/>
      <c r="P59" s="17" t="s">
        <v>219</v>
      </c>
      <c r="Q59" s="17"/>
      <c r="R59" s="17"/>
    </row>
    <row r="60" spans="1:18" ht="15" customHeight="1">
      <c r="M60" s="169"/>
      <c r="N60" s="16"/>
      <c r="O60" s="16"/>
      <c r="P60" s="77" t="s">
        <v>112</v>
      </c>
      <c r="Q60" s="16"/>
      <c r="R60" s="16"/>
    </row>
    <row r="61" spans="1:18" ht="15" customHeight="1">
      <c r="M61" s="169"/>
      <c r="N61" s="17"/>
      <c r="O61" s="17"/>
      <c r="P61" s="17" t="s">
        <v>220</v>
      </c>
      <c r="Q61" s="17"/>
      <c r="R61" s="17"/>
    </row>
    <row r="62" spans="1:18" ht="15" customHeight="1">
      <c r="M62" s="169"/>
      <c r="N62" s="16"/>
      <c r="O62" s="16"/>
      <c r="P62" s="16" t="s">
        <v>221</v>
      </c>
      <c r="Q62" s="16"/>
      <c r="R62" s="16"/>
    </row>
    <row r="63" spans="1:18" ht="15" customHeight="1">
      <c r="M63" s="169"/>
      <c r="N63" s="17"/>
      <c r="O63" s="17"/>
      <c r="P63" s="17" t="s">
        <v>222</v>
      </c>
      <c r="Q63" s="17"/>
      <c r="R63" s="17"/>
    </row>
    <row r="64" spans="1:18" ht="15" customHeight="1">
      <c r="M64" s="169"/>
      <c r="N64" s="16"/>
      <c r="O64" s="16"/>
      <c r="P64" s="16" t="s">
        <v>223</v>
      </c>
      <c r="Q64" s="16"/>
      <c r="R64" s="16"/>
    </row>
    <row r="65" spans="13:18" ht="15" customHeight="1">
      <c r="M65" s="169"/>
      <c r="N65" s="17"/>
      <c r="O65" s="17"/>
      <c r="P65" s="17" t="s">
        <v>224</v>
      </c>
      <c r="Q65" s="17"/>
      <c r="R65" s="17"/>
    </row>
    <row r="66" spans="13:18" ht="15" customHeight="1">
      <c r="M66" s="169"/>
      <c r="N66" s="16"/>
      <c r="O66" s="16"/>
      <c r="P66" s="16" t="s">
        <v>225</v>
      </c>
      <c r="Q66" s="16"/>
      <c r="R66" s="16"/>
    </row>
    <row r="67" spans="13:18" ht="15" customHeight="1">
      <c r="M67" s="169"/>
      <c r="N67" s="17"/>
      <c r="O67" s="17"/>
      <c r="P67" s="17" t="s">
        <v>226</v>
      </c>
      <c r="Q67" s="17"/>
      <c r="R67" s="17"/>
    </row>
    <row r="68" spans="13:18" ht="15" customHeight="1">
      <c r="M68" s="169"/>
      <c r="N68" s="16"/>
      <c r="O68" s="16"/>
      <c r="P68" s="16" t="s">
        <v>227</v>
      </c>
      <c r="Q68" s="16"/>
      <c r="R68" s="16"/>
    </row>
    <row r="69" spans="13:18" ht="15" customHeight="1">
      <c r="M69" s="169"/>
      <c r="N69" s="17"/>
      <c r="O69" s="17"/>
      <c r="P69" s="17" t="s">
        <v>228</v>
      </c>
      <c r="Q69" s="17"/>
      <c r="R69" s="17"/>
    </row>
    <row r="70" spans="13:18" ht="15" customHeight="1">
      <c r="M70" s="169"/>
      <c r="N70" s="16"/>
      <c r="O70" s="16"/>
      <c r="P70" s="16" t="s">
        <v>229</v>
      </c>
      <c r="Q70" s="16"/>
      <c r="R70" s="16"/>
    </row>
    <row r="71" spans="13:18" ht="15" customHeight="1">
      <c r="M71" s="169"/>
      <c r="N71" s="17"/>
      <c r="O71" s="17"/>
      <c r="P71" s="17" t="s">
        <v>230</v>
      </c>
      <c r="Q71" s="17"/>
      <c r="R71" s="17"/>
    </row>
    <row r="72" spans="13:18" ht="15" customHeight="1">
      <c r="M72" s="169"/>
      <c r="N72" s="16"/>
      <c r="O72" s="16"/>
      <c r="P72" s="16" t="s">
        <v>231</v>
      </c>
      <c r="Q72" s="16"/>
      <c r="R72" s="16"/>
    </row>
    <row r="73" spans="13:18" ht="15" customHeight="1">
      <c r="M73" s="169"/>
      <c r="N73" s="17"/>
      <c r="O73" s="17"/>
      <c r="P73" s="17" t="s">
        <v>232</v>
      </c>
      <c r="Q73" s="17"/>
      <c r="R73" s="17"/>
    </row>
    <row r="74" spans="13:18" ht="15" customHeight="1">
      <c r="M74" s="169"/>
      <c r="N74" s="16"/>
      <c r="O74" s="16"/>
      <c r="P74" s="16" t="s">
        <v>233</v>
      </c>
      <c r="Q74" s="16"/>
      <c r="R74" s="16"/>
    </row>
    <row r="75" spans="13:18" ht="15" customHeight="1">
      <c r="M75" s="169"/>
      <c r="N75" s="17"/>
      <c r="O75" s="17"/>
      <c r="P75" s="17" t="s">
        <v>234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39" activePane="bottomLeft" state="frozen"/>
      <selection pane="bottomLeft" activeCell="F467" sqref="F467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23" t="s">
        <v>237</v>
      </c>
      <c r="G1" s="23" t="s">
        <v>238</v>
      </c>
      <c r="H1" s="23" t="s">
        <v>21</v>
      </c>
      <c r="I1" s="23" t="s">
        <v>22</v>
      </c>
      <c r="J1" s="23" t="s">
        <v>239</v>
      </c>
      <c r="K1" s="23" t="s">
        <v>240</v>
      </c>
      <c r="L1" s="23" t="s">
        <v>241</v>
      </c>
      <c r="M1" s="24" t="s">
        <v>242</v>
      </c>
      <c r="N1" s="23" t="s">
        <v>243</v>
      </c>
      <c r="O1" s="23" t="s">
        <v>244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245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245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245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245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245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245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245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245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245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245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245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245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2" t="s">
        <v>246</v>
      </c>
      <c r="B14" s="163"/>
      <c r="C14" s="163"/>
      <c r="D14" s="163"/>
      <c r="E14" s="17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247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245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245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245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248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245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245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245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245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245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245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245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2" t="s">
        <v>249</v>
      </c>
      <c r="B27" s="163"/>
      <c r="C27" s="163"/>
      <c r="D27" s="163"/>
      <c r="E27" s="17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247</v>
      </c>
      <c r="O27" s="39">
        <v>997910</v>
      </c>
    </row>
    <row r="28" spans="1:15" ht="18" customHeight="1">
      <c r="A28" s="160" t="s">
        <v>250</v>
      </c>
      <c r="B28" s="161"/>
      <c r="C28" s="161"/>
      <c r="D28" s="161"/>
      <c r="E28" s="177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251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245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245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252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245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248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245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245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245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245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245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245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2" t="s">
        <v>246</v>
      </c>
      <c r="B41" s="163"/>
      <c r="C41" s="163"/>
      <c r="D41" s="163"/>
      <c r="E41" s="17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247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245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253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245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245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245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245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245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245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245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2" t="s">
        <v>249</v>
      </c>
      <c r="B54" s="163"/>
      <c r="C54" s="163"/>
      <c r="D54" s="163"/>
      <c r="E54" s="17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247</v>
      </c>
      <c r="O54" s="39">
        <v>981310</v>
      </c>
    </row>
    <row r="55" spans="1:15" ht="18" customHeight="1">
      <c r="A55" s="160" t="s">
        <v>250</v>
      </c>
      <c r="B55" s="161"/>
      <c r="C55" s="161"/>
      <c r="D55" s="161"/>
      <c r="E55" s="177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251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245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245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245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245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245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245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245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245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245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245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245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245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2" t="s">
        <v>246</v>
      </c>
      <c r="B68" s="163"/>
      <c r="C68" s="163"/>
      <c r="D68" s="163"/>
      <c r="E68" s="17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247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245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245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254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245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245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245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245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245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245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245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2" t="s">
        <v>249</v>
      </c>
      <c r="B81" s="163"/>
      <c r="C81" s="163"/>
      <c r="D81" s="163"/>
      <c r="E81" s="17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247</v>
      </c>
      <c r="O81" s="39">
        <v>1547910</v>
      </c>
    </row>
    <row r="82" spans="1:15" ht="18" customHeight="1">
      <c r="A82" s="160" t="s">
        <v>250</v>
      </c>
      <c r="B82" s="161"/>
      <c r="C82" s="161"/>
      <c r="D82" s="161"/>
      <c r="E82" s="177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251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245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245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245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255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245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245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245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245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245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245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245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2" t="s">
        <v>246</v>
      </c>
      <c r="B95" s="163"/>
      <c r="C95" s="163"/>
      <c r="D95" s="163"/>
      <c r="E95" s="17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247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245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245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245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245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245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245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256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245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245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245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245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245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2" t="s">
        <v>249</v>
      </c>
      <c r="B108" s="163"/>
      <c r="C108" s="163"/>
      <c r="D108" s="163"/>
      <c r="E108" s="17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247</v>
      </c>
      <c r="O108" s="39">
        <v>3156240</v>
      </c>
    </row>
    <row r="109" spans="1:15" ht="18" customHeight="1">
      <c r="A109" s="160" t="s">
        <v>250</v>
      </c>
      <c r="B109" s="161"/>
      <c r="C109" s="161"/>
      <c r="D109" s="161"/>
      <c r="E109" s="177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251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245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245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245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245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2" t="s">
        <v>246</v>
      </c>
      <c r="B122" s="163"/>
      <c r="C122" s="163"/>
      <c r="D122" s="163"/>
      <c r="E122" s="17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247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245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245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245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245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245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245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245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245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245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245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245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245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2" t="s">
        <v>249</v>
      </c>
      <c r="B135" s="163"/>
      <c r="C135" s="163"/>
      <c r="D135" s="163"/>
      <c r="E135" s="17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247</v>
      </c>
      <c r="O135" s="39">
        <v>2875180</v>
      </c>
    </row>
    <row r="136" spans="1:15" ht="18" customHeight="1">
      <c r="A136" s="160" t="s">
        <v>250</v>
      </c>
      <c r="B136" s="161"/>
      <c r="C136" s="161"/>
      <c r="D136" s="161"/>
      <c r="E136" s="177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251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245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257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245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245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245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245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245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245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245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245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2" t="s">
        <v>246</v>
      </c>
      <c r="B149" s="163"/>
      <c r="C149" s="163"/>
      <c r="D149" s="163"/>
      <c r="E149" s="17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247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245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258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245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245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245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245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245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245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245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2" t="s">
        <v>249</v>
      </c>
      <c r="B162" s="163"/>
      <c r="C162" s="163"/>
      <c r="D162" s="163"/>
      <c r="E162" s="17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247</v>
      </c>
      <c r="O162" s="44">
        <v>842000</v>
      </c>
    </row>
    <row r="163" spans="1:15" ht="18" customHeight="1">
      <c r="A163" s="160" t="s">
        <v>250</v>
      </c>
      <c r="B163" s="161"/>
      <c r="C163" s="161"/>
      <c r="D163" s="161"/>
      <c r="E163" s="177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251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245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259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245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245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245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245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245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245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245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245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245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245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245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2" t="s">
        <v>246</v>
      </c>
      <c r="B176" s="163"/>
      <c r="C176" s="163"/>
      <c r="D176" s="163"/>
      <c r="E176" s="17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247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245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260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245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245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245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245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245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245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245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261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245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245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245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2" t="s">
        <v>249</v>
      </c>
      <c r="B189" s="163"/>
      <c r="C189" s="163"/>
      <c r="D189" s="163"/>
      <c r="E189" s="17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247</v>
      </c>
      <c r="O189" s="39">
        <v>1901630</v>
      </c>
    </row>
    <row r="190" spans="1:15" ht="18" customHeight="1">
      <c r="A190" s="160" t="s">
        <v>250</v>
      </c>
      <c r="B190" s="161"/>
      <c r="C190" s="161"/>
      <c r="D190" s="161"/>
      <c r="E190" s="177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251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245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245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245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262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245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245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245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245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245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245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245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245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2" t="s">
        <v>246</v>
      </c>
      <c r="B203" s="163"/>
      <c r="C203" s="163"/>
      <c r="D203" s="163"/>
      <c r="E203" s="17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247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245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245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245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245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245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245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245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245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245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245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245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245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2" t="s">
        <v>249</v>
      </c>
      <c r="B216" s="163"/>
      <c r="C216" s="163"/>
      <c r="D216" s="163"/>
      <c r="E216" s="17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247</v>
      </c>
      <c r="O216" s="45">
        <v>1852295</v>
      </c>
    </row>
    <row r="217" spans="1:15" ht="18" customHeight="1">
      <c r="A217" s="160" t="s">
        <v>250</v>
      </c>
      <c r="B217" s="161"/>
      <c r="C217" s="161"/>
      <c r="D217" s="161"/>
      <c r="E217" s="177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251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245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245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245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263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245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245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245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245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245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245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245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246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247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245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245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245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264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264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264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264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264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264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264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264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264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2" t="s">
        <v>249</v>
      </c>
      <c r="B243" s="163"/>
      <c r="C243" s="163"/>
      <c r="D243" s="163"/>
      <c r="E243" s="17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247</v>
      </c>
      <c r="O243" s="39">
        <v>991010</v>
      </c>
    </row>
    <row r="244" spans="1:15" ht="18" customHeight="1">
      <c r="A244" s="160" t="s">
        <v>250</v>
      </c>
      <c r="B244" s="161"/>
      <c r="C244" s="161"/>
      <c r="D244" s="161"/>
      <c r="E244" s="177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251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245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245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245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245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245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265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245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245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245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245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245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245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245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2" t="s">
        <v>246</v>
      </c>
      <c r="B257" s="163"/>
      <c r="C257" s="163"/>
      <c r="D257" s="163"/>
      <c r="E257" s="17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247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266</v>
      </c>
      <c r="E258" s="62" t="s">
        <v>245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266</v>
      </c>
      <c r="E259" s="62" t="s">
        <v>245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266</v>
      </c>
      <c r="E260" s="62" t="s">
        <v>245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266</v>
      </c>
      <c r="E261" s="62" t="s">
        <v>245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266</v>
      </c>
      <c r="E262" s="62" t="s">
        <v>245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266</v>
      </c>
      <c r="E263" s="62" t="s">
        <v>245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266</v>
      </c>
      <c r="E264" s="62" t="s">
        <v>245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266</v>
      </c>
      <c r="E265" s="62" t="s">
        <v>245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266</v>
      </c>
      <c r="E266" s="62" t="s">
        <v>245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266</v>
      </c>
      <c r="E267" s="62" t="s">
        <v>245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266</v>
      </c>
      <c r="E268" s="62" t="s">
        <v>245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266</v>
      </c>
      <c r="E269" s="62" t="s">
        <v>245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2" t="s">
        <v>249</v>
      </c>
      <c r="B270" s="163"/>
      <c r="C270" s="163"/>
      <c r="D270" s="163"/>
      <c r="E270" s="17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247</v>
      </c>
      <c r="O270" s="39">
        <v>1544700</v>
      </c>
    </row>
    <row r="271" spans="1:15" ht="18" customHeight="1">
      <c r="A271" s="160" t="s">
        <v>250</v>
      </c>
      <c r="B271" s="161"/>
      <c r="C271" s="161"/>
      <c r="D271" s="161"/>
      <c r="E271" s="177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251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266</v>
      </c>
      <c r="E272" s="59" t="s">
        <v>245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266</v>
      </c>
      <c r="E273" s="59" t="s">
        <v>245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266</v>
      </c>
      <c r="E274" s="59" t="s">
        <v>245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266</v>
      </c>
      <c r="E275" s="59" t="s">
        <v>245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266</v>
      </c>
      <c r="E276" s="59" t="s">
        <v>245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266</v>
      </c>
      <c r="E277" s="59" t="s">
        <v>245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267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266</v>
      </c>
      <c r="E278" s="59" t="s">
        <v>245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266</v>
      </c>
      <c r="E279" s="59" t="s">
        <v>245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266</v>
      </c>
      <c r="E280" s="59" t="s">
        <v>245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266</v>
      </c>
      <c r="E281" s="59" t="s">
        <v>245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266</v>
      </c>
      <c r="E282" s="59" t="s">
        <v>245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266</v>
      </c>
      <c r="E283" s="59" t="s">
        <v>245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2" t="s">
        <v>246</v>
      </c>
      <c r="B284" s="163"/>
      <c r="C284" s="163"/>
      <c r="D284" s="163"/>
      <c r="E284" s="178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247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266</v>
      </c>
      <c r="E285" s="62" t="s">
        <v>261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266</v>
      </c>
      <c r="E286" s="62" t="s">
        <v>261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266</v>
      </c>
      <c r="E287" s="62" t="s">
        <v>261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266</v>
      </c>
      <c r="E288" s="62" t="s">
        <v>261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266</v>
      </c>
      <c r="E289" s="62" t="s">
        <v>261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266</v>
      </c>
      <c r="E290" s="62" t="s">
        <v>261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266</v>
      </c>
      <c r="E291" s="62" t="s">
        <v>261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266</v>
      </c>
      <c r="E292" s="62" t="s">
        <v>261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266</v>
      </c>
      <c r="E293" s="62" t="s">
        <v>261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266</v>
      </c>
      <c r="E294" s="62" t="s">
        <v>261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266</v>
      </c>
      <c r="E295" s="62" t="s">
        <v>261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266</v>
      </c>
      <c r="E296" s="62" t="s">
        <v>261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2" t="s">
        <v>249</v>
      </c>
      <c r="B297" s="163"/>
      <c r="C297" s="163"/>
      <c r="D297" s="163"/>
      <c r="E297" s="178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247</v>
      </c>
      <c r="O297" s="39">
        <v>1715230</v>
      </c>
    </row>
    <row r="298" spans="1:15" ht="18" customHeight="1">
      <c r="A298" s="160" t="s">
        <v>250</v>
      </c>
      <c r="B298" s="161"/>
      <c r="C298" s="161"/>
      <c r="D298" s="161"/>
      <c r="E298" s="177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251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245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233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245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245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245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268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245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245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245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245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245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245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245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245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2" t="s">
        <v>246</v>
      </c>
      <c r="B311" s="163"/>
      <c r="C311" s="163"/>
      <c r="D311" s="163"/>
      <c r="E311" s="178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247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245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245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245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245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245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245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245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245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245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245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245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245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2" t="s">
        <v>249</v>
      </c>
      <c r="B324" s="163"/>
      <c r="C324" s="163"/>
      <c r="D324" s="163"/>
      <c r="E324" s="178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247</v>
      </c>
      <c r="O324" s="39">
        <v>2216340</v>
      </c>
    </row>
    <row r="325" spans="1:15" ht="18" customHeight="1">
      <c r="A325" s="160" t="s">
        <v>250</v>
      </c>
      <c r="B325" s="161"/>
      <c r="C325" s="161"/>
      <c r="D325" s="161"/>
      <c r="E325" s="177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251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269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245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245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245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270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245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245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245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245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2" t="s">
        <v>246</v>
      </c>
      <c r="B338" s="163"/>
      <c r="C338" s="163"/>
      <c r="D338" s="163"/>
      <c r="E338" s="178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247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245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245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245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245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245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245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245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245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245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245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245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245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2" t="s">
        <v>249</v>
      </c>
      <c r="B351" s="163"/>
      <c r="C351" s="163"/>
      <c r="D351" s="163"/>
      <c r="E351" s="178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247</v>
      </c>
      <c r="O351" s="39">
        <v>2154990</v>
      </c>
    </row>
    <row r="352" spans="1:15" ht="18" customHeight="1">
      <c r="A352" s="160" t="s">
        <v>250</v>
      </c>
      <c r="B352" s="161"/>
      <c r="C352" s="161"/>
      <c r="D352" s="161"/>
      <c r="E352" s="177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251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245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245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245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245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245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245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261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245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245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245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245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245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2" t="s">
        <v>246</v>
      </c>
      <c r="B365" s="163"/>
      <c r="C365" s="163"/>
      <c r="D365" s="163"/>
      <c r="E365" s="178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247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245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245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245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245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245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245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245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245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245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245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245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245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2" t="s">
        <v>249</v>
      </c>
      <c r="B378" s="163"/>
      <c r="C378" s="163"/>
      <c r="D378" s="163"/>
      <c r="E378" s="178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247</v>
      </c>
      <c r="O378" s="39">
        <v>2614830</v>
      </c>
    </row>
    <row r="379" spans="1:15" ht="18" customHeight="1">
      <c r="A379" s="160" t="s">
        <v>250</v>
      </c>
      <c r="B379" s="161"/>
      <c r="C379" s="161"/>
      <c r="D379" s="161"/>
      <c r="E379" s="177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251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245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245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245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245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245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245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245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245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245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245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245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245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2" t="s">
        <v>246</v>
      </c>
      <c r="B392" s="163"/>
      <c r="C392" s="163"/>
      <c r="D392" s="163"/>
      <c r="E392" s="178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247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245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271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245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245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245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245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245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245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245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245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245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245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245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2" t="s">
        <v>249</v>
      </c>
      <c r="B405" s="163"/>
      <c r="C405" s="163"/>
      <c r="D405" s="163"/>
      <c r="E405" s="178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247</v>
      </c>
      <c r="O405" s="39">
        <v>2612000</v>
      </c>
    </row>
    <row r="406" spans="1:15" ht="18" customHeight="1">
      <c r="A406" s="160" t="s">
        <v>250</v>
      </c>
      <c r="B406" s="161"/>
      <c r="C406" s="161"/>
      <c r="D406" s="161"/>
      <c r="E406" s="177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251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245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245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245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245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245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245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245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245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245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245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245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245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2" t="s">
        <v>246</v>
      </c>
      <c r="B419" s="163"/>
      <c r="C419" s="163"/>
      <c r="D419" s="163"/>
      <c r="E419" s="178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247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245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227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245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272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245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272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245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245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245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245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245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245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245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245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245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2" t="s">
        <v>249</v>
      </c>
      <c r="B432" s="163"/>
      <c r="C432" s="163"/>
      <c r="D432" s="163"/>
      <c r="E432" s="178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247</v>
      </c>
      <c r="O432" s="39">
        <v>2266710</v>
      </c>
    </row>
    <row r="433" spans="1:15" ht="18" customHeight="1">
      <c r="A433" s="160" t="s">
        <v>250</v>
      </c>
      <c r="B433" s="161"/>
      <c r="C433" s="161"/>
      <c r="D433" s="161"/>
      <c r="E433" s="177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251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245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245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245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245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245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245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245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245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245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245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245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245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2" t="s">
        <v>246</v>
      </c>
      <c r="B446" s="163"/>
      <c r="C446" s="163"/>
      <c r="D446" s="163"/>
      <c r="E446" s="178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247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245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273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245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274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245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245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245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245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275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245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276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245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277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245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245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245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245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2" t="s">
        <v>249</v>
      </c>
      <c r="B459" s="163"/>
      <c r="C459" s="163"/>
      <c r="D459" s="163"/>
      <c r="E459" s="178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247</v>
      </c>
      <c r="O459" s="39">
        <v>2361680</v>
      </c>
    </row>
    <row r="460" spans="1:15" ht="18" customHeight="1">
      <c r="A460" s="160" t="s">
        <v>250</v>
      </c>
      <c r="B460" s="161"/>
      <c r="C460" s="161"/>
      <c r="D460" s="161"/>
      <c r="E460" s="177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251</v>
      </c>
      <c r="O460" s="48">
        <f>IFERROR(O446+O459,"")</f>
        <v>3981060</v>
      </c>
    </row>
    <row r="461" spans="1:15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62" t="s">
        <v>245</v>
      </c>
      <c r="F461" s="27">
        <v>50</v>
      </c>
      <c r="G461" s="34">
        <f t="shared" ref="G461:G472" si="98">IF(F461="","",IF(E461="PC 17",F461*4.2,IF(E461="PC 19",F461*5,IF(E461="CB",F461*35,""))))</f>
        <v>250</v>
      </c>
      <c r="H461" s="33"/>
      <c r="I461" s="33"/>
      <c r="J461" s="33"/>
      <c r="K461" s="29"/>
      <c r="L461" s="29"/>
      <c r="M461" s="35" t="str">
        <f t="shared" ref="M461:M472" ca="1" si="99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 t="s">
        <v>52</v>
      </c>
      <c r="D462" s="62" t="s">
        <v>29</v>
      </c>
      <c r="E462" s="62" t="s">
        <v>245</v>
      </c>
      <c r="F462" s="27">
        <v>50</v>
      </c>
      <c r="G462" s="28">
        <f t="shared" si="98"/>
        <v>250</v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 t="s">
        <v>52</v>
      </c>
      <c r="D463" s="62" t="s">
        <v>29</v>
      </c>
      <c r="E463" s="62" t="s">
        <v>245</v>
      </c>
      <c r="F463" s="27">
        <v>50</v>
      </c>
      <c r="G463" s="34">
        <f t="shared" si="98"/>
        <v>250</v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 t="s">
        <v>52</v>
      </c>
      <c r="D464" s="62" t="s">
        <v>29</v>
      </c>
      <c r="E464" s="62" t="s">
        <v>245</v>
      </c>
      <c r="F464" s="27">
        <v>22</v>
      </c>
      <c r="G464" s="28">
        <f t="shared" si="98"/>
        <v>110</v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 t="s">
        <v>52</v>
      </c>
      <c r="D465" s="62" t="s">
        <v>29</v>
      </c>
      <c r="E465" s="62" t="s">
        <v>245</v>
      </c>
      <c r="F465" s="27">
        <v>20</v>
      </c>
      <c r="G465" s="34">
        <f t="shared" si="98"/>
        <v>100</v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 t="s">
        <v>52</v>
      </c>
      <c r="D466" s="62" t="s">
        <v>29</v>
      </c>
      <c r="E466" s="62" t="s">
        <v>245</v>
      </c>
      <c r="F466" s="27">
        <v>29</v>
      </c>
      <c r="G466" s="28">
        <f>IF(F466="","",IF(E466="PC 17",F466*4.2,IF(E466="PC 19",F466*5,IF(E466="CB",F466*35,""))))</f>
        <v>145</v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 t="s">
        <v>52</v>
      </c>
      <c r="D467" s="62" t="s">
        <v>29</v>
      </c>
      <c r="E467" s="62" t="s">
        <v>245</v>
      </c>
      <c r="F467" s="27"/>
      <c r="G467" s="34" t="str">
        <f t="shared" si="98"/>
        <v/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 t="s">
        <v>52</v>
      </c>
      <c r="D468" s="62" t="s">
        <v>29</v>
      </c>
      <c r="E468" s="62" t="s">
        <v>245</v>
      </c>
      <c r="F468" s="27"/>
      <c r="G468" s="28" t="str">
        <f t="shared" si="98"/>
        <v/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 t="s">
        <v>52</v>
      </c>
      <c r="D469" s="62" t="s">
        <v>29</v>
      </c>
      <c r="E469" s="62" t="s">
        <v>245</v>
      </c>
      <c r="F469" s="27"/>
      <c r="G469" s="34" t="str">
        <f t="shared" si="98"/>
        <v/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 t="s">
        <v>52</v>
      </c>
      <c r="D470" s="62" t="s">
        <v>29</v>
      </c>
      <c r="E470" s="62" t="s">
        <v>245</v>
      </c>
      <c r="F470" s="27"/>
      <c r="G470" s="28" t="str">
        <f t="shared" si="98"/>
        <v/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 t="s">
        <v>52</v>
      </c>
      <c r="D471" s="62" t="s">
        <v>29</v>
      </c>
      <c r="E471" s="62" t="s">
        <v>245</v>
      </c>
      <c r="F471" s="27"/>
      <c r="G471" s="34" t="str">
        <f t="shared" si="98"/>
        <v/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 t="s">
        <v>52</v>
      </c>
      <c r="D472" s="62" t="s">
        <v>29</v>
      </c>
      <c r="E472" s="62" t="s">
        <v>245</v>
      </c>
      <c r="F472" s="27"/>
      <c r="G472" s="28" t="str">
        <f t="shared" si="98"/>
        <v/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62" t="s">
        <v>246</v>
      </c>
      <c r="B473" s="163"/>
      <c r="C473" s="163"/>
      <c r="D473" s="163"/>
      <c r="E473" s="178">
        <f>SUM(E461:E472)</f>
        <v>0</v>
      </c>
      <c r="F473" s="36">
        <f>SUM(F461:F472)</f>
        <v>221</v>
      </c>
      <c r="G473" s="36">
        <f>SUM(G461:G472)</f>
        <v>1105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247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1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2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/>
      <c r="D475" s="59"/>
      <c r="E475" s="59"/>
      <c r="F475" s="27"/>
      <c r="G475" s="34" t="str">
        <f t="shared" si="101"/>
        <v/>
      </c>
      <c r="H475" s="33"/>
      <c r="I475" s="33"/>
      <c r="J475" s="33"/>
      <c r="K475" s="29"/>
      <c r="L475" s="29"/>
      <c r="M475" s="35" t="str">
        <f t="shared" ca="1" si="102"/>
        <v/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/>
      <c r="D476" s="59"/>
      <c r="E476" s="59"/>
      <c r="F476" s="27"/>
      <c r="G476" s="28" t="str">
        <f t="shared" si="101"/>
        <v/>
      </c>
      <c r="H476" s="26"/>
      <c r="I476" s="26"/>
      <c r="J476" s="26"/>
      <c r="K476" s="29"/>
      <c r="L476" s="29"/>
      <c r="M476" s="30" t="str">
        <f t="shared" ca="1" si="102"/>
        <v/>
      </c>
      <c r="N476" s="46"/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/>
      <c r="D477" s="59"/>
      <c r="E477" s="59"/>
      <c r="F477" s="27"/>
      <c r="G477" s="34" t="str">
        <f t="shared" si="101"/>
        <v/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/>
      <c r="D478" s="59"/>
      <c r="E478" s="59"/>
      <c r="F478" s="27"/>
      <c r="G478" s="28" t="str">
        <f t="shared" si="101"/>
        <v/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/>
      <c r="D479" s="59"/>
      <c r="E479" s="59"/>
      <c r="F479" s="27"/>
      <c r="G479" s="34" t="str">
        <f t="shared" si="101"/>
        <v/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/>
      <c r="D480" s="59"/>
      <c r="E480" s="59"/>
      <c r="F480" s="27"/>
      <c r="G480" s="28" t="str">
        <f t="shared" si="101"/>
        <v/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/>
      <c r="D481" s="59"/>
      <c r="E481" s="59"/>
      <c r="F481" s="27"/>
      <c r="G481" s="34" t="str">
        <f t="shared" si="101"/>
        <v/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/>
      <c r="D482" s="59"/>
      <c r="E482" s="59"/>
      <c r="F482" s="27"/>
      <c r="G482" s="28" t="str">
        <f t="shared" si="101"/>
        <v/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/>
      <c r="D483" s="59"/>
      <c r="E483" s="59"/>
      <c r="F483" s="27"/>
      <c r="G483" s="34" t="str">
        <f t="shared" si="101"/>
        <v/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/>
      <c r="D484" s="59"/>
      <c r="E484" s="59"/>
      <c r="F484" s="27"/>
      <c r="G484" s="28" t="str">
        <f t="shared" si="101"/>
        <v/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/>
      <c r="D485" s="59"/>
      <c r="E485" s="59"/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62" t="s">
        <v>249</v>
      </c>
      <c r="B486" s="163"/>
      <c r="C486" s="163"/>
      <c r="D486" s="163"/>
      <c r="E486" s="17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247</v>
      </c>
      <c r="O486" s="39"/>
    </row>
    <row r="487" spans="1:15" ht="18" customHeight="1">
      <c r="A487" s="160" t="s">
        <v>250</v>
      </c>
      <c r="B487" s="161"/>
      <c r="C487" s="161"/>
      <c r="D487" s="161"/>
      <c r="E487" s="177">
        <f>E473+E486</f>
        <v>0</v>
      </c>
      <c r="F487" s="40">
        <f>F473+F486</f>
        <v>221</v>
      </c>
      <c r="G487" s="40">
        <f>G473+G486</f>
        <v>1105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251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62" t="s">
        <v>246</v>
      </c>
      <c r="B500" s="163"/>
      <c r="C500" s="163"/>
      <c r="D500" s="163"/>
      <c r="E500" s="17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247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62" t="s">
        <v>249</v>
      </c>
      <c r="B513" s="163"/>
      <c r="C513" s="163"/>
      <c r="D513" s="163"/>
      <c r="E513" s="17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247</v>
      </c>
      <c r="O513" s="39"/>
    </row>
    <row r="514" spans="1:15" ht="18" customHeight="1">
      <c r="A514" s="160" t="s">
        <v>250</v>
      </c>
      <c r="B514" s="161"/>
      <c r="C514" s="161"/>
      <c r="D514" s="161"/>
      <c r="E514" s="17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251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62" t="s">
        <v>246</v>
      </c>
      <c r="B527" s="163"/>
      <c r="C527" s="163"/>
      <c r="D527" s="163"/>
      <c r="E527" s="17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247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62" t="s">
        <v>249</v>
      </c>
      <c r="B540" s="163"/>
      <c r="C540" s="163"/>
      <c r="D540" s="163"/>
      <c r="E540" s="17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247</v>
      </c>
      <c r="O540" s="39"/>
    </row>
    <row r="541" spans="1:15" ht="18" customHeight="1">
      <c r="A541" s="160" t="s">
        <v>250</v>
      </c>
      <c r="B541" s="161"/>
      <c r="C541" s="161"/>
      <c r="D541" s="161"/>
      <c r="E541" s="17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251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62" t="s">
        <v>246</v>
      </c>
      <c r="B554" s="163"/>
      <c r="C554" s="163"/>
      <c r="D554" s="163"/>
      <c r="E554" s="17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247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62" t="s">
        <v>249</v>
      </c>
      <c r="B567" s="163"/>
      <c r="C567" s="163"/>
      <c r="D567" s="163"/>
      <c r="E567" s="17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247</v>
      </c>
      <c r="O567" s="39"/>
    </row>
    <row r="568" spans="1:15" ht="18" customHeight="1">
      <c r="A568" s="160" t="s">
        <v>250</v>
      </c>
      <c r="B568" s="161"/>
      <c r="C568" s="161"/>
      <c r="D568" s="161"/>
      <c r="E568" s="17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251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62" t="s">
        <v>246</v>
      </c>
      <c r="B581" s="163"/>
      <c r="C581" s="163"/>
      <c r="D581" s="163"/>
      <c r="E581" s="17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247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62" t="s">
        <v>249</v>
      </c>
      <c r="B594" s="163"/>
      <c r="C594" s="163"/>
      <c r="D594" s="163"/>
      <c r="E594" s="17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247</v>
      </c>
      <c r="O594" s="39"/>
    </row>
    <row r="595" spans="1:15" ht="18" customHeight="1">
      <c r="A595" s="160" t="s">
        <v>250</v>
      </c>
      <c r="B595" s="161"/>
      <c r="C595" s="161"/>
      <c r="D595" s="161"/>
      <c r="E595" s="17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251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62" t="s">
        <v>246</v>
      </c>
      <c r="B608" s="163"/>
      <c r="C608" s="163"/>
      <c r="D608" s="163"/>
      <c r="E608" s="17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247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62" t="s">
        <v>249</v>
      </c>
      <c r="B621" s="163"/>
      <c r="C621" s="163"/>
      <c r="D621" s="163"/>
      <c r="E621" s="17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247</v>
      </c>
      <c r="O621" s="39"/>
    </row>
    <row r="622" spans="1:15" ht="18" customHeight="1">
      <c r="A622" s="160" t="s">
        <v>250</v>
      </c>
      <c r="B622" s="161"/>
      <c r="C622" s="161"/>
      <c r="D622" s="161"/>
      <c r="E622" s="17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251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62" t="s">
        <v>246</v>
      </c>
      <c r="B635" s="163"/>
      <c r="C635" s="163"/>
      <c r="D635" s="163"/>
      <c r="E635" s="17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247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62" t="s">
        <v>249</v>
      </c>
      <c r="B648" s="163"/>
      <c r="C648" s="163"/>
      <c r="D648" s="163"/>
      <c r="E648" s="17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247</v>
      </c>
      <c r="O648" s="39"/>
    </row>
    <row r="649" spans="1:15" ht="18" customHeight="1">
      <c r="A649" s="160" t="s">
        <v>250</v>
      </c>
      <c r="B649" s="161"/>
      <c r="C649" s="161"/>
      <c r="D649" s="161"/>
      <c r="E649" s="17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251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62" t="s">
        <v>246</v>
      </c>
      <c r="B662" s="163"/>
      <c r="C662" s="163"/>
      <c r="D662" s="163"/>
      <c r="E662" s="17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247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62" t="s">
        <v>249</v>
      </c>
      <c r="B675" s="163"/>
      <c r="C675" s="163"/>
      <c r="D675" s="163"/>
      <c r="E675" s="17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247</v>
      </c>
      <c r="O675" s="39"/>
    </row>
    <row r="676" spans="1:15" ht="18" customHeight="1">
      <c r="A676" s="160" t="s">
        <v>250</v>
      </c>
      <c r="B676" s="161"/>
      <c r="C676" s="161"/>
      <c r="D676" s="161"/>
      <c r="E676" s="17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251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62" t="s">
        <v>246</v>
      </c>
      <c r="B689" s="163"/>
      <c r="C689" s="163"/>
      <c r="D689" s="163"/>
      <c r="E689" s="17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247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62" t="s">
        <v>249</v>
      </c>
      <c r="B702" s="163"/>
      <c r="C702" s="163"/>
      <c r="D702" s="163"/>
      <c r="E702" s="17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247</v>
      </c>
      <c r="O702" s="39"/>
    </row>
    <row r="703" spans="1:15" ht="18" customHeight="1">
      <c r="A703" s="160" t="s">
        <v>250</v>
      </c>
      <c r="B703" s="161"/>
      <c r="C703" s="161"/>
      <c r="D703" s="161"/>
      <c r="E703" s="17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251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62" t="s">
        <v>246</v>
      </c>
      <c r="B716" s="163"/>
      <c r="C716" s="163"/>
      <c r="D716" s="163"/>
      <c r="E716" s="17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247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62" t="s">
        <v>249</v>
      </c>
      <c r="B729" s="163"/>
      <c r="C729" s="163"/>
      <c r="D729" s="163"/>
      <c r="E729" s="17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247</v>
      </c>
      <c r="O729" s="39"/>
    </row>
    <row r="730" spans="1:15" ht="18" customHeight="1">
      <c r="A730" s="160" t="s">
        <v>250</v>
      </c>
      <c r="B730" s="161"/>
      <c r="C730" s="161"/>
      <c r="D730" s="161"/>
      <c r="E730" s="17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251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62" t="s">
        <v>246</v>
      </c>
      <c r="B743" s="163"/>
      <c r="C743" s="163"/>
      <c r="D743" s="163"/>
      <c r="E743" s="17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247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62" t="s">
        <v>249</v>
      </c>
      <c r="B756" s="163"/>
      <c r="C756" s="163"/>
      <c r="D756" s="163"/>
      <c r="E756" s="17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247</v>
      </c>
      <c r="O756" s="39"/>
    </row>
    <row r="757" spans="1:15" ht="18" customHeight="1">
      <c r="A757" s="160" t="s">
        <v>250</v>
      </c>
      <c r="B757" s="161"/>
      <c r="C757" s="161"/>
      <c r="D757" s="161"/>
      <c r="E757" s="17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251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62" t="s">
        <v>246</v>
      </c>
      <c r="B770" s="163"/>
      <c r="C770" s="163"/>
      <c r="D770" s="163"/>
      <c r="E770" s="17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247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62" t="s">
        <v>249</v>
      </c>
      <c r="B783" s="163"/>
      <c r="C783" s="163"/>
      <c r="D783" s="163"/>
      <c r="E783" s="17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247</v>
      </c>
      <c r="O783" s="39"/>
    </row>
    <row r="784" spans="1:15" ht="18" customHeight="1">
      <c r="A784" s="160" t="s">
        <v>250</v>
      </c>
      <c r="B784" s="161"/>
      <c r="C784" s="161"/>
      <c r="D784" s="161"/>
      <c r="E784" s="17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251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62" t="s">
        <v>246</v>
      </c>
      <c r="B797" s="163"/>
      <c r="C797" s="163"/>
      <c r="D797" s="163"/>
      <c r="E797" s="17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247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62" t="s">
        <v>249</v>
      </c>
      <c r="B810" s="163"/>
      <c r="C810" s="163"/>
      <c r="D810" s="163"/>
      <c r="E810" s="17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247</v>
      </c>
      <c r="O810" s="39"/>
    </row>
    <row r="811" spans="1:15" ht="18" customHeight="1">
      <c r="A811" s="174" t="s">
        <v>250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251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62" t="s">
        <v>246</v>
      </c>
      <c r="B824" s="163"/>
      <c r="C824" s="163"/>
      <c r="D824" s="163"/>
      <c r="E824" s="17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247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62" t="s">
        <v>249</v>
      </c>
      <c r="B837" s="163"/>
      <c r="C837" s="163"/>
      <c r="D837" s="163"/>
      <c r="E837" s="17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247</v>
      </c>
      <c r="O837" s="39"/>
    </row>
    <row r="838" spans="1:15" ht="18" customHeight="1">
      <c r="A838" s="160" t="s">
        <v>250</v>
      </c>
      <c r="B838" s="161"/>
      <c r="C838" s="161"/>
      <c r="D838" s="161"/>
      <c r="E838" s="177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251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33" activePane="bottomLeft" state="frozen"/>
      <selection pane="bottomLeft" activeCell="G467" sqref="G467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280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281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282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247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261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261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261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261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283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261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284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261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261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261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261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261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261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247</v>
      </c>
      <c r="S27" s="45">
        <v>549860</v>
      </c>
      <c r="T27" s="122"/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251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247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285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286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287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0.42278807870025048</v>
      </c>
      <c r="R53" s="46" t="s">
        <v>288</v>
      </c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0.56167696758913932</v>
      </c>
      <c r="R54" s="36" t="s">
        <v>247</v>
      </c>
      <c r="S54" s="75">
        <v>352430</v>
      </c>
      <c r="T54" s="117"/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0.64639918981136169</v>
      </c>
      <c r="R55" s="40" t="s">
        <v>251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280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247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289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261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247</v>
      </c>
      <c r="S81" s="54">
        <v>634210</v>
      </c>
      <c r="T81" s="118"/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251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261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220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247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290</v>
      </c>
      <c r="Q96" s="30" t="str">
        <f t="shared" ref="Q96:Q107" ca="1" si="22">IFERROR(IF(O96="","",IF(P96="",MOD(NOW()-O96,1),IF(P96&gt;=O96,P96-O96,P96+1-O96))),"")</f>
        <v/>
      </c>
      <c r="R96" s="46" t="s">
        <v>291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292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293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248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247</v>
      </c>
      <c r="S108" s="54">
        <v>456830</v>
      </c>
      <c r="T108" s="118"/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251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294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247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247</v>
      </c>
      <c r="S135" s="54">
        <v>756720</v>
      </c>
      <c r="T135" s="118"/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251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295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296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297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247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247</v>
      </c>
      <c r="S162" s="54">
        <v>501750</v>
      </c>
      <c r="T162" s="118"/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251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261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261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261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261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261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261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261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261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261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261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247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261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261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299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261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296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300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261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247</v>
      </c>
      <c r="S189" s="45">
        <v>362530</v>
      </c>
      <c r="T189" s="122"/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251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301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294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247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247</v>
      </c>
      <c r="S216" s="45">
        <v>609740</v>
      </c>
      <c r="T216" s="122"/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251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289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248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303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304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246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247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248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247</v>
      </c>
      <c r="S243" s="45">
        <v>825930</v>
      </c>
      <c r="T243" s="122"/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251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247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261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261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261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261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261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261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261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261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261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261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261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261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45">
        <v>732130</v>
      </c>
      <c r="T270" s="122"/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251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261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261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261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261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245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261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245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245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261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261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245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245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245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245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245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45">
        <v>990260</v>
      </c>
      <c r="T297" s="122"/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261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261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261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261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261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261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261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261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261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261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261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261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247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261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261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261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261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261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261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261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261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261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261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247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251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305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306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307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308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309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247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301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296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247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251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289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247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310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247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251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261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261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311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247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312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247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251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247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313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249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247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250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251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314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315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1.7319342857142856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5.1958028571428567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91.118987142857137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247</v>
      </c>
      <c r="S446" s="45">
        <v>449020</v>
      </c>
      <c r="T446" s="122">
        <f>IFERROR(J446,"")</f>
        <v>91.118987142857137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218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245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316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317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247</v>
      </c>
      <c r="S459" s="45">
        <v>738730</v>
      </c>
      <c r="T459" s="122">
        <f>IFERROR(J459,"")</f>
        <v>144.10511642857142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235.22410357142854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251</v>
      </c>
      <c r="S460" s="143">
        <f>IFERROR(S446+S459,"")</f>
        <v>1187750</v>
      </c>
      <c r="T460" s="144">
        <f>IFERROR(J460,"")</f>
        <v>235.22410357142854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11</v>
      </c>
      <c r="H461" s="140">
        <f>IFERROR(IF($G461="","",$G461*$S$473/$G$473/Cadastro!$E$33),"")</f>
        <v>0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0</v>
      </c>
      <c r="K461" s="34">
        <f t="shared" ref="K461:K472" si="115">IF(G461="","",IF(E461="PC 17",G461*4.2,IF(E461="PC 19",G461*5,IF(E461="CB",G461*24,""))))</f>
        <v>46.2</v>
      </c>
      <c r="L461" s="33" t="s">
        <v>26</v>
      </c>
      <c r="M461" s="33" t="s">
        <v>46</v>
      </c>
      <c r="N461" s="33" t="s">
        <v>34</v>
      </c>
      <c r="O461" s="29">
        <v>0.29375000000000001</v>
      </c>
      <c r="P461" s="29">
        <v>0.31458333333333333</v>
      </c>
      <c r="Q461" s="35">
        <f t="shared" ref="Q461:Q472" ca="1" si="116">IFERROR(IF(O461="","",IF(P461="",MOD(NOW()-O461,1),IF(P461&gt;=O461,P461-O461,P461+1-O461))),"")</f>
        <v>2.0833333333333315E-2</v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26</v>
      </c>
      <c r="H462" s="134">
        <f>IFERROR(IF($G462="","",$G462*$S$473/$G$473/Cadastro!$E$33),"")</f>
        <v>0</v>
      </c>
      <c r="I462" s="135">
        <f>IFERROR(IF($D462="","",VLOOKUP($D462,Cadastro!$C$4:$G$7,5,FALSE)),"")</f>
        <v>0.6</v>
      </c>
      <c r="J462" s="136">
        <f t="shared" si="114"/>
        <v>0</v>
      </c>
      <c r="K462" s="28">
        <f t="shared" si="115"/>
        <v>109.2</v>
      </c>
      <c r="L462" s="26" t="s">
        <v>26</v>
      </c>
      <c r="M462" s="26" t="s">
        <v>38</v>
      </c>
      <c r="N462" s="26" t="s">
        <v>34</v>
      </c>
      <c r="O462" s="29">
        <v>0.39583333333333331</v>
      </c>
      <c r="P462" s="29">
        <v>0.41180555555555554</v>
      </c>
      <c r="Q462" s="30">
        <f t="shared" ca="1" si="116"/>
        <v>1.5972222222222221E-2</v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9</v>
      </c>
      <c r="H463" s="134">
        <f>IFERROR(IF($G463="","",$G463*$S$473/$G$473/Cadastro!$E$33),"")</f>
        <v>0</v>
      </c>
      <c r="I463" s="135">
        <f>IFERROR(IF($D463="","",VLOOKUP($D463,Cadastro!$C$4:$G$7,5,FALSE)),"")</f>
        <v>0.6</v>
      </c>
      <c r="J463" s="136">
        <f t="shared" si="114"/>
        <v>0</v>
      </c>
      <c r="K463" s="34">
        <f t="shared" si="115"/>
        <v>37.800000000000004</v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22</v>
      </c>
      <c r="H464" s="134">
        <f>IFERROR(IF($G464="","",$G464*$S$473/$G$473/Cadastro!$E$33),"")</f>
        <v>0</v>
      </c>
      <c r="I464" s="135">
        <f>IFERROR(IF($D464="","",VLOOKUP($D464,Cadastro!$C$4:$G$7,5,FALSE)),"")</f>
        <v>0.6</v>
      </c>
      <c r="J464" s="136">
        <f t="shared" si="114"/>
        <v>0</v>
      </c>
      <c r="K464" s="28">
        <f t="shared" si="115"/>
        <v>92.4</v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11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4"/>
        <v>0</v>
      </c>
      <c r="K465" s="34">
        <f t="shared" si="115"/>
        <v>46.2</v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23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4"/>
        <v>0</v>
      </c>
      <c r="K466" s="28">
        <f t="shared" si="115"/>
        <v>96.600000000000009</v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/>
      <c r="H467" s="134" t="str">
        <f>IFERROR(IF($G467="","",$G467*$S$473/$G$473/Cadastro!$E$33),"")</f>
        <v/>
      </c>
      <c r="I467" s="135">
        <f>IFERROR(IF($D467="","",VLOOKUP($D467,Cadastro!$C$4:$G$7,5,FALSE)),"")</f>
        <v>0.6</v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/>
      <c r="H468" s="134" t="str">
        <f>IFERROR(IF($G468="","",$G468*$S$473/$G$473/Cadastro!$E$33),"")</f>
        <v/>
      </c>
      <c r="I468" s="135">
        <f>IFERROR(IF($D468="","",VLOOKUP($D468,Cadastro!$C$4:$G$7,5,FALSE)),"")</f>
        <v>0.6</v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/>
      <c r="H469" s="134" t="str">
        <f>IFERROR(IF($G469="","",$G469*$S$473/$G$473/Cadastro!$E$33),"")</f>
        <v/>
      </c>
      <c r="I469" s="135">
        <f>IFERROR(IF($D469="","",VLOOKUP($D469,Cadastro!$C$4:$G$7,5,FALSE)),"")</f>
        <v>0.6</v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/>
      <c r="H470" s="134" t="str">
        <f>IFERROR(IF($G470="","",$G470*$S$473/$G$473/Cadastro!$E$33),"")</f>
        <v/>
      </c>
      <c r="I470" s="135">
        <f>IFERROR(IF($D470="","",VLOOKUP($D470,Cadastro!$C$4:$G$7,5,FALSE)),"")</f>
        <v>0.6</v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/>
      <c r="H471" s="134" t="str">
        <f>IFERROR(IF($G471="","",$G471*$S$473/$G$473/Cadastro!$E$33),"")</f>
        <v/>
      </c>
      <c r="I471" s="135">
        <f>IFERROR(IF($D471="","",VLOOKUP($D471,Cadastro!$C$4:$G$7,5,FALSE)),"")</f>
        <v>0.6</v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/>
      <c r="H472" s="137" t="str">
        <f>IFERROR(IF($G472="","",$G472*$S$473/$G$473/Cadastro!$E$33),"")</f>
        <v/>
      </c>
      <c r="I472" s="138">
        <f>IFERROR(IF($D472="","",VLOOKUP($D472,Cadastro!$C$4:$G$7,5,FALSE)),"")</f>
        <v>0.6</v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102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428.40000000000003</v>
      </c>
      <c r="L473" s="37"/>
      <c r="M473" s="37"/>
      <c r="N473" s="37"/>
      <c r="O473" s="37"/>
      <c r="P473" s="37"/>
      <c r="Q473" s="38">
        <f ca="1">IFERROR(SUM(Q461:Q472),"")</f>
        <v>3.6805555555555536E-2</v>
      </c>
      <c r="R473" s="36" t="s">
        <v>247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45"/>
      <c r="T486" s="122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102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428.40000000000003</v>
      </c>
      <c r="L487" s="41"/>
      <c r="M487" s="41"/>
      <c r="N487" s="41"/>
      <c r="O487" s="41"/>
      <c r="P487" s="41"/>
      <c r="Q487" s="42">
        <f ca="1">IFERROR(Q473+Q486,"")</f>
        <v>3.6805555555555536E-2</v>
      </c>
      <c r="R487" s="40" t="s">
        <v>251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249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45"/>
      <c r="T513" s="122">
        <f>IFERROR(J513,"")</f>
        <v>0</v>
      </c>
    </row>
    <row r="514" spans="1:20" ht="18" customHeight="1">
      <c r="A514" s="83" t="s">
        <v>250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45"/>
      <c r="T540" s="122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45"/>
      <c r="T567" s="122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45"/>
      <c r="T594" s="122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45"/>
      <c r="T621" s="122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45"/>
      <c r="T648" s="122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45"/>
      <c r="T675" s="122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45"/>
      <c r="T702" s="122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45"/>
      <c r="T729" s="122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75"/>
      <c r="T837" s="117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33" activePane="bottomLeft" state="frozen"/>
      <selection pane="bottomLeft" activeCell="G467" sqref="G467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247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318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283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319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261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261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247</v>
      </c>
      <c r="S27" s="39">
        <v>358000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251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247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289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318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318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247</v>
      </c>
      <c r="S54" s="39">
        <v>279980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251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261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261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261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261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261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320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261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261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261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261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247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321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247</v>
      </c>
      <c r="S81" s="39">
        <v>185920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251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322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323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247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324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247</v>
      </c>
      <c r="S108" s="39">
        <v>434370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251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247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325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247</v>
      </c>
      <c r="S135" s="39">
        <v>416350</v>
      </c>
      <c r="T135" s="119">
        <f>IFERROR(J135,"")</f>
        <v>0</v>
      </c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251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326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297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247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289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247</v>
      </c>
      <c r="S162" s="39">
        <v>169760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251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327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247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328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300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300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247</v>
      </c>
      <c r="S189" s="39">
        <v>72220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251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247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329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247</v>
      </c>
      <c r="S216" s="39">
        <v>148720</v>
      </c>
      <c r="T216" s="119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251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331</v>
      </c>
      <c r="Q222" s="30" t="str">
        <f t="shared" ca="1" si="49"/>
        <v/>
      </c>
      <c r="R222" s="27" t="s">
        <v>332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247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247</v>
      </c>
      <c r="S243" s="39">
        <v>352720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251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333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245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245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247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261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261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261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261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261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261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261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261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261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261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261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261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39">
        <v>327900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251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245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39">
        <v>462190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247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247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251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307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334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308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261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247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247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251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289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247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247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251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335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311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247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247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251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336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247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337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247</v>
      </c>
      <c r="S432" s="39">
        <v>180150</v>
      </c>
      <c r="T432" s="119">
        <f>IFERROR(J432,"")</f>
        <v>25.941599999999998</v>
      </c>
    </row>
    <row r="433" spans="1:20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251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338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338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8.5733195294117639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7.2543472941176459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74.494452705882338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247</v>
      </c>
      <c r="S446" s="39">
        <v>389280</v>
      </c>
      <c r="T446" s="119">
        <f>IFERROR(J446,"")</f>
        <v>74.494452705882338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218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207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339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261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247</v>
      </c>
      <c r="S459" s="39">
        <v>471910</v>
      </c>
      <c r="T459" s="119">
        <f>IFERROR(J459,"")</f>
        <v>92.928007027027007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167.42245973290935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251</v>
      </c>
      <c r="S460" s="48">
        <f>IFERROR(S446+S459,"")</f>
        <v>861190</v>
      </c>
      <c r="T460" s="121">
        <f>IFERROR(J460,"")</f>
        <v>167.42245973290935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4</v>
      </c>
      <c r="H461" s="140">
        <f>IFERROR(IF($G461="","",$G461*$S$473/$G$473/Cadastro!$E$33),"")</f>
        <v>0</v>
      </c>
      <c r="I461" s="141">
        <f>IFERROR(IF($D461="","",VLOOKUP($D461,Cadastro!$C$4:$G$7,5,FALSE)),"")</f>
        <v>0.6</v>
      </c>
      <c r="J461" s="142">
        <f t="shared" ref="J461:J472" si="112">IFERROR(IF($H461="","",$H461*$F461*$I461),"")</f>
        <v>0</v>
      </c>
      <c r="K461" s="34">
        <f t="shared" ref="K461:K472" si="113">IF(G461="","",IF(E461="PC 17",G461*4.2,IF(E461="PC 19",G461*5,IF(E461="CB",G461*24,""))))</f>
        <v>16.8</v>
      </c>
      <c r="L461" s="33" t="s">
        <v>25</v>
      </c>
      <c r="M461" s="33" t="s">
        <v>54</v>
      </c>
      <c r="N461" s="33" t="s">
        <v>41</v>
      </c>
      <c r="O461" s="29">
        <v>0.43263888888888891</v>
      </c>
      <c r="P461" s="29"/>
      <c r="Q461" s="35">
        <f t="shared" ref="Q461:Q472" ca="1" si="114">IFERROR(IF(O461="","",IF(P461="",MOD(NOW()-O461,1),IF(P461&gt;=O461,P461-O461,P461+1-O461))),"")</f>
        <v>0.11167696759366663</v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21</v>
      </c>
      <c r="H462" s="134">
        <f>IFERROR(IF($G462="","",$G462*$S$473/$G$473/Cadastro!$E$33),"")</f>
        <v>0</v>
      </c>
      <c r="I462" s="135">
        <f>IFERROR(IF($D462="","",VLOOKUP($D462,Cadastro!$C$4:$G$7,5,FALSE)),"")</f>
        <v>0.6</v>
      </c>
      <c r="J462" s="136">
        <f t="shared" si="112"/>
        <v>0</v>
      </c>
      <c r="K462" s="28">
        <f t="shared" si="113"/>
        <v>88.2</v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13</v>
      </c>
      <c r="H463" s="134">
        <f>IFERROR(IF($G463="","",$G463*$S$473/$G$473/Cadastro!$E$33),"")</f>
        <v>0</v>
      </c>
      <c r="I463" s="135">
        <f>IFERROR(IF($D463="","",VLOOKUP($D463,Cadastro!$C$4:$G$7,5,FALSE)),"")</f>
        <v>0.6</v>
      </c>
      <c r="J463" s="136">
        <f t="shared" si="112"/>
        <v>0</v>
      </c>
      <c r="K463" s="34">
        <f t="shared" si="113"/>
        <v>54.6</v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8</v>
      </c>
      <c r="H464" s="134">
        <f>IFERROR(IF($G464="","",$G464*$S$473/$G$473/Cadastro!$E$33),"")</f>
        <v>0</v>
      </c>
      <c r="I464" s="135">
        <f>IFERROR(IF($D464="","",VLOOKUP($D464,Cadastro!$C$4:$G$7,5,FALSE)),"")</f>
        <v>0.6</v>
      </c>
      <c r="J464" s="136">
        <f t="shared" si="112"/>
        <v>0</v>
      </c>
      <c r="K464" s="28">
        <f t="shared" si="113"/>
        <v>33.6</v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0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2"/>
        <v>0</v>
      </c>
      <c r="K465" s="34">
        <f t="shared" si="113"/>
        <v>0</v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0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2"/>
        <v>0</v>
      </c>
      <c r="K466" s="28">
        <f t="shared" si="113"/>
        <v>0</v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/>
      <c r="H467" s="134" t="str">
        <f>IFERROR(IF($G467="","",$G467*$S$473/$G$473/Cadastro!$E$33),"")</f>
        <v/>
      </c>
      <c r="I467" s="135">
        <f>IFERROR(IF($D467="","",VLOOKUP($D467,Cadastro!$C$4:$G$7,5,FALSE)),"")</f>
        <v>0.6</v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/>
      <c r="H468" s="134" t="str">
        <f>IFERROR(IF($G468="","",$G468*$S$473/$G$473/Cadastro!$E$33),"")</f>
        <v/>
      </c>
      <c r="I468" s="135">
        <f>IFERROR(IF($D468="","",VLOOKUP($D468,Cadastro!$C$4:$G$7,5,FALSE)),"")</f>
        <v>0.6</v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/>
      <c r="H469" s="134" t="str">
        <f>IFERROR(IF($G469="","",$G469*$S$473/$G$473/Cadastro!$E$33),"")</f>
        <v/>
      </c>
      <c r="I469" s="135">
        <f>IFERROR(IF($D469="","",VLOOKUP($D469,Cadastro!$C$4:$G$7,5,FALSE)),"")</f>
        <v>0.6</v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/>
      <c r="H470" s="134" t="str">
        <f>IFERROR(IF($G470="","",$G470*$S$473/$G$473/Cadastro!$E$33),"")</f>
        <v/>
      </c>
      <c r="I470" s="135">
        <f>IFERROR(IF($D470="","",VLOOKUP($D470,Cadastro!$C$4:$G$7,5,FALSE)),"")</f>
        <v>0.6</v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/>
      <c r="H471" s="134" t="str">
        <f>IFERROR(IF($G471="","",$G471*$S$473/$G$473/Cadastro!$E$33),"")</f>
        <v/>
      </c>
      <c r="I471" s="135">
        <f>IFERROR(IF($D471="","",VLOOKUP($D471,Cadastro!$C$4:$G$7,5,FALSE)),"")</f>
        <v>0.6</v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/>
      <c r="H472" s="137" t="str">
        <f>IFERROR(IF($G472="","",$G472*$S$473/$G$473/Cadastro!$E$33),"")</f>
        <v/>
      </c>
      <c r="I472" s="138">
        <f>IFERROR(IF($D472="","",VLOOKUP($D472,Cadastro!$C$4:$G$7,5,FALSE)),"")</f>
        <v>0.6</v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46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193.2</v>
      </c>
      <c r="L473" s="37"/>
      <c r="M473" s="37"/>
      <c r="N473" s="37"/>
      <c r="O473" s="37"/>
      <c r="P473" s="37"/>
      <c r="Q473" s="38">
        <f ca="1">IFERROR(SUM(Q461:Q472),"")</f>
        <v>0.11167696759366663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46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193.2</v>
      </c>
      <c r="L487" s="41"/>
      <c r="M487" s="41"/>
      <c r="N487" s="41"/>
      <c r="O487" s="41"/>
      <c r="P487" s="41"/>
      <c r="Q487" s="42">
        <f ca="1">IFERROR(Q473+Q486,"")</f>
        <v>0.11167696759366663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440" activePane="bottomLeft" state="frozen"/>
      <selection pane="bottomLeft" activeCell="G467" sqref="G467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247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261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340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286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318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341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342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261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261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247</v>
      </c>
      <c r="S27" s="39">
        <v>491520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251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261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261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261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261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261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261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261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261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261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261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2" t="s">
        <v>246</v>
      </c>
      <c r="B41" s="163"/>
      <c r="C41" s="163"/>
      <c r="D41" s="163"/>
      <c r="E41" s="163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247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343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247</v>
      </c>
      <c r="S54" s="39">
        <v>352430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251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344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345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247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227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346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318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247</v>
      </c>
      <c r="S81" s="39">
        <v>612410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251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247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318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247</v>
      </c>
      <c r="S108" s="39">
        <v>956070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251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227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232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232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347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247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348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289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318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247</v>
      </c>
      <c r="S135" s="39">
        <v>912240</v>
      </c>
      <c r="T135" s="119">
        <f>IFERROR(J135,"")</f>
        <v>0</v>
      </c>
    </row>
    <row r="136" spans="1:22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251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349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350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297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246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247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351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352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247</v>
      </c>
      <c r="S162" s="39">
        <v>573230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251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353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247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247</v>
      </c>
      <c r="S189" s="39">
        <v>692750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251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355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247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356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357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358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247</v>
      </c>
      <c r="S216" s="45">
        <v>607180</v>
      </c>
      <c r="T216" s="122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251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359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360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247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361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362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247</v>
      </c>
      <c r="S243" s="39">
        <v>795250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251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 t="s">
        <v>271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363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247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261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261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261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261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261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261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261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261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261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261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261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261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247</v>
      </c>
      <c r="S270" s="39">
        <v>683360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251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261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247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247</v>
      </c>
      <c r="S297" s="39">
        <v>904710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251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247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247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251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261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2" t="s">
        <v>246</v>
      </c>
      <c r="B338" s="163"/>
      <c r="C338" s="163"/>
      <c r="D338" s="163"/>
      <c r="E338" s="163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247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364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365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247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251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366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367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246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247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368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247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251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261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311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369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247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227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370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247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251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234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371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247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372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247</v>
      </c>
      <c r="S432" s="39">
        <v>766030</v>
      </c>
      <c r="T432" s="119">
        <f>IFERROR(J432,"")</f>
        <v>110.30832000000001</v>
      </c>
    </row>
    <row r="433" spans="1:21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251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261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7.8743921311475393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9.8429901639344255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161.58908852459015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247</v>
      </c>
      <c r="S446" s="39">
        <v>833920</v>
      </c>
      <c r="T446" s="119">
        <f>IFERROR(J446,"")</f>
        <v>161.58908852459015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373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261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209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367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247</v>
      </c>
      <c r="S459" s="39">
        <v>1024280</v>
      </c>
      <c r="T459" s="119">
        <f>IFERROR(J459,"")</f>
        <v>202.88866044052861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364.47774896511874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251</v>
      </c>
      <c r="S460" s="48">
        <f>IFERROR(S446+S459,"")</f>
        <v>1858200</v>
      </c>
      <c r="T460" s="121">
        <f>IFERROR(J460,"")</f>
        <v>364.47774896511874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13</v>
      </c>
      <c r="H461" s="140">
        <f>IFERROR(IF($G461="","",$G461*$S$473/$G$473/Cadastro!$E$33),"")</f>
        <v>0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0</v>
      </c>
      <c r="K461" s="34">
        <f t="shared" ref="K461:K472" si="115">IF(G461="","",IF(E461="PC 17",G461*4.2,IF(E461="PC 19",G461*5,IF(E461="CB",G461*24,""))))</f>
        <v>54.6</v>
      </c>
      <c r="L461" s="33" t="s">
        <v>25</v>
      </c>
      <c r="M461" s="33" t="s">
        <v>64</v>
      </c>
      <c r="N461" s="33" t="s">
        <v>41</v>
      </c>
      <c r="O461" s="29">
        <v>0.2986111111111111</v>
      </c>
      <c r="P461" s="29">
        <v>0.53888888888888886</v>
      </c>
      <c r="Q461" s="35">
        <f t="shared" ref="Q461:Q472" ca="1" si="116">IFERROR(IF(O461="","",IF(P461="",MOD(NOW()-O461,1),IF(P461&gt;=O461,P461-O461,P461+1-O461))),"")</f>
        <v>0.24027777777777776</v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16</v>
      </c>
      <c r="H462" s="134">
        <f>IFERROR(IF($G462="","",$G462*$S$473/$G$473/Cadastro!$E$33),"")</f>
        <v>0</v>
      </c>
      <c r="I462" s="135">
        <f>IFERROR(IF($D462="","",VLOOKUP($D462,Cadastro!$C$4:$G$7,5,FALSE)),"")</f>
        <v>0.6</v>
      </c>
      <c r="J462" s="136">
        <f t="shared" si="114"/>
        <v>0</v>
      </c>
      <c r="K462" s="28">
        <f t="shared" si="115"/>
        <v>67.2</v>
      </c>
      <c r="L462" s="26" t="s">
        <v>26</v>
      </c>
      <c r="M462" s="26" t="s">
        <v>59</v>
      </c>
      <c r="N462" s="26" t="s">
        <v>34</v>
      </c>
      <c r="O462" s="29">
        <v>0.51875000000000004</v>
      </c>
      <c r="P462" s="29">
        <v>0.54027777777777775</v>
      </c>
      <c r="Q462" s="30">
        <f t="shared" ca="1" si="116"/>
        <v>2.1527777777777701E-2</v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10</v>
      </c>
      <c r="H463" s="134">
        <f>IFERROR(IF($G463="","",$G463*$S$473/$G$473/Cadastro!$E$33),"")</f>
        <v>0</v>
      </c>
      <c r="I463" s="135">
        <f>IFERROR(IF($D463="","",VLOOKUP($D463,Cadastro!$C$4:$G$7,5,FALSE)),"")</f>
        <v>0.6</v>
      </c>
      <c r="J463" s="136">
        <f t="shared" si="114"/>
        <v>0</v>
      </c>
      <c r="K463" s="34">
        <f t="shared" si="115"/>
        <v>42</v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14</v>
      </c>
      <c r="H464" s="134">
        <f>IFERROR(IF($G464="","",$G464*$S$473/$G$473/Cadastro!$E$33),"")</f>
        <v>0</v>
      </c>
      <c r="I464" s="135">
        <f>IFERROR(IF($D464="","",VLOOKUP($D464,Cadastro!$C$4:$G$7,5,FALSE)),"")</f>
        <v>0.6</v>
      </c>
      <c r="J464" s="136">
        <f t="shared" si="114"/>
        <v>0</v>
      </c>
      <c r="K464" s="28">
        <f t="shared" si="115"/>
        <v>58.800000000000004</v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8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4"/>
        <v>0</v>
      </c>
      <c r="K465" s="34">
        <f t="shared" si="115"/>
        <v>33.6</v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9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4"/>
        <v>0</v>
      </c>
      <c r="K466" s="28">
        <f t="shared" si="115"/>
        <v>37.800000000000004</v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/>
      <c r="H467" s="134" t="str">
        <f>IFERROR(IF($G467="","",$G467*$S$473/$G$473/Cadastro!$E$33),"")</f>
        <v/>
      </c>
      <c r="I467" s="135">
        <f>IFERROR(IF($D467="","",VLOOKUP($D467,Cadastro!$C$4:$G$7,5,FALSE)),"")</f>
        <v>0.6</v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/>
      <c r="H468" s="134" t="str">
        <f>IFERROR(IF($G468="","",$G468*$S$473/$G$473/Cadastro!$E$33),"")</f>
        <v/>
      </c>
      <c r="I468" s="135">
        <f>IFERROR(IF($D468="","",VLOOKUP($D468,Cadastro!$C$4:$G$7,5,FALSE)),"")</f>
        <v>0.6</v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/>
      <c r="H469" s="134" t="str">
        <f>IFERROR(IF($G469="","",$G469*$S$473/$G$473/Cadastro!$E$33),"")</f>
        <v/>
      </c>
      <c r="I469" s="135">
        <f>IFERROR(IF($D469="","",VLOOKUP($D469,Cadastro!$C$4:$G$7,5,FALSE)),"")</f>
        <v>0.6</v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/>
      <c r="H470" s="134" t="str">
        <f>IFERROR(IF($G470="","",$G470*$S$473/$G$473/Cadastro!$E$33),"")</f>
        <v/>
      </c>
      <c r="I470" s="135">
        <f>IFERROR(IF($D470="","",VLOOKUP($D470,Cadastro!$C$4:$G$7,5,FALSE)),"")</f>
        <v>0.6</v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/>
      <c r="H471" s="134" t="str">
        <f>IFERROR(IF($G471="","",$G471*$S$473/$G$473/Cadastro!$E$33),"")</f>
        <v/>
      </c>
      <c r="I471" s="135">
        <f>IFERROR(IF($D471="","",VLOOKUP($D471,Cadastro!$C$4:$G$7,5,FALSE)),"")</f>
        <v>0.6</v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/>
      <c r="H472" s="137" t="str">
        <f>IFERROR(IF($G472="","",$G472*$S$473/$G$473/Cadastro!$E$33),"")</f>
        <v/>
      </c>
      <c r="I472" s="138">
        <f>IFERROR(IF($D472="","",VLOOKUP($D472,Cadastro!$C$4:$G$7,5,FALSE)),"")</f>
        <v>0.6</v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70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294.00000000000006</v>
      </c>
      <c r="L473" s="37"/>
      <c r="M473" s="37"/>
      <c r="N473" s="37"/>
      <c r="O473" s="61"/>
      <c r="P473" s="61"/>
      <c r="Q473" s="38">
        <f ca="1">IFERROR(SUM(Q461:Q472),"")</f>
        <v>0.26180555555555546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70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294.00000000000006</v>
      </c>
      <c r="L487" s="41"/>
      <c r="M487" s="41"/>
      <c r="N487" s="41"/>
      <c r="O487" s="63"/>
      <c r="P487" s="63"/>
      <c r="Q487" s="42">
        <f ca="1">IFERROR(Q473+Q486,"")</f>
        <v>0.26180555555555546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251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2026-08-18T17:04:10Z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