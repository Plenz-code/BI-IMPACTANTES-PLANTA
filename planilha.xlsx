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75" documentId="8_{AF585B22-221D-4780-BB9C-493D365A6A02}" xr6:coauthVersionLast="47" xr6:coauthVersionMax="47" xr10:uidLastSave="{71DADEE0-06A6-4316-986B-8C37F0F8A4B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<sst xmlns="http://schemas.openxmlformats.org/spreadsheetml/2006/main" count="8158" uniqueCount="356">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</sst>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/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E526" sqref="E5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227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6.206550925708143E-2</v>
      </c>
      <c r="N515" s="46" t="s">
        <v>255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227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227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227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227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227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227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227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227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227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227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227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6.206550925708143E-2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6.206550925708143E-2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H505" sqref="H5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7">
        <v>393200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4">
        <v>276360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259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7"/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7">
        <v>648410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229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7">
        <v>849060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7">
        <v>625070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7">
        <v>761660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7">
        <v>524410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7">
        <v>598420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0.12387106481037335</v>
      </c>
      <c r="N377" s="46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0.28150995369926224</v>
      </c>
      <c r="N378" s="36" t="s">
        <v>230</v>
      </c>
      <c r="O378" s="77">
        <v>511980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0.3912321759214844</v>
      </c>
      <c r="N379" s="40" t="s">
        <v>233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7">
        <v>552440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0.10234328703518258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0.27317662036851598</v>
      </c>
      <c r="N432" s="36" t="s">
        <v>230</v>
      </c>
      <c r="O432" s="77">
        <v>484540</v>
      </c>
    </row>
    <row r="433" spans="1:15" ht="18" customHeight="1">
      <c r="A433" s="93" t="s">
        <v>232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0.41831550925740485</v>
      </c>
      <c r="N433" s="40" t="s">
        <v>233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7">
        <v>631190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7">
        <v>969510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7">
        <v>556040</v>
      </c>
    </row>
    <row r="514" spans="1:15" ht="18" customHeight="1">
      <c r="A514" s="93" t="s">
        <v>232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24" sqref="E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269</v>
      </c>
      <c r="K141" s="29">
        <v>0.71597222222222223</v>
      </c>
      <c r="L141" s="29" t="s">
        <v>304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306</v>
      </c>
      <c r="N166" s="27" t="s">
        <v>307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229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229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289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9</v>
      </c>
      <c r="G527" s="36">
        <f>SUM(G515:G526)</f>
        <v>37.800000000000004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9</v>
      </c>
      <c r="G541" s="40">
        <f>G527+G540</f>
        <v>37.800000000000004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K516" sqref="K5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229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231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1" t="s">
        <v>232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229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231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1" t="s">
        <v>232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323</v>
      </c>
      <c r="L58" s="29">
        <v>0.54097222222222219</v>
      </c>
      <c r="M58" s="30" t="str">
        <f t="shared" ca="1" si="13"/>
        <v/>
      </c>
      <c r="N58" s="27" t="s">
        <v>324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229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231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1" t="s">
        <v>232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229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231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1" t="s">
        <v>232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229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0.11414884259284008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231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0.31345439814839571</v>
      </c>
      <c r="N135" s="36" t="s">
        <v>230</v>
      </c>
      <c r="O135" s="39">
        <v>729290</v>
      </c>
    </row>
    <row r="136" spans="1:18" ht="18" customHeight="1">
      <c r="A136" s="101" t="s">
        <v>232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0.68081550925950673</v>
      </c>
      <c r="N136" s="40" t="s">
        <v>233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229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231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1" t="s">
        <v>232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229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231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1" t="s">
        <v>232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229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231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1" t="s">
        <v>232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229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231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1" t="s">
        <v>232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229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231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1" t="s">
        <v>232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229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231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1" t="s">
        <v>232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229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231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1" t="s">
        <v>232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229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231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1" t="s">
        <v>232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231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1" t="s">
        <v>232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229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231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1" t="s">
        <v>232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229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231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1" t="s">
        <v>232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229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231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1" t="s">
        <v>232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229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231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1" t="s">
        <v>232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229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231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1" t="s">
        <v>232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0</v>
      </c>
      <c r="G515" s="34">
        <f t="shared" ref="G515:G526" si="114">IF(F515="","",IF(E515="PC 17",F515*4.2,IF(E515="PC 19",F515*5,"")))</f>
        <v>0</v>
      </c>
      <c r="H515" s="33"/>
      <c r="I515" s="33"/>
      <c r="J515" s="33"/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7.178773148189066E-2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229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7.178773148189066E-2</v>
      </c>
      <c r="N527" s="36" t="s">
        <v>230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231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1" t="s">
        <v>232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7.178773148189066E-2</v>
      </c>
      <c r="N541" s="40" t="s">
        <v>233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229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231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1" t="s">
        <v>232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229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231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1" t="s">
        <v>232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229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231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1" t="s">
        <v>232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229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231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1" t="s">
        <v>232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229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231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1" t="s">
        <v>232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229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231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1" t="s">
        <v>232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229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231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1" t="s">
        <v>232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229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231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1" t="s">
        <v>232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229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231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1" t="s">
        <v>232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229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231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1" t="s">
        <v>232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2026-07-20T12:45:22Z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