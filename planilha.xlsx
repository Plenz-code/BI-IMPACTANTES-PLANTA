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9" documentId="13_ncr:1_{A6DBCFB4-28D9-4249-9038-216934055CA6}" xr6:coauthVersionLast="47" xr6:coauthVersionMax="47" xr10:uidLastSave="{0F4AF64E-9E9D-411D-95EB-440C0B47DBCB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6" l="1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<sst xmlns="http://schemas.openxmlformats.org/spreadsheetml/2006/main" count="8589" uniqueCount="397">
  <si>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</si>
  <si>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</si>
  <si>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</si>
  <si>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</si>
  <si>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</si>
  <si>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</si>
  <si>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</si>
  <si>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</si>
  <si>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</si>
  <si>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</si>
  <si>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</si>
  <si>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</si>
  <si>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</si>
  <si>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</si>
  <si>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</si>
  <si>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</si>
  <si>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</si>
  <si>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</si>
  <si>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</si>
  <si>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</si>
  <si>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</si>
  <si>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</si>
  <si>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</si>
  <si>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</si>
  <si>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</si>
  <si>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</si>
  <si>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</si>
  <si>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</si>
  <si>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</si>
  <si>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</si>
  <si>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</si>
  <si>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</si>
  <si>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</si>
  <si>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</si>
  <si>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</si>
  <si>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</si>
  <si>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</si>
  <si>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</si>
  <si>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</si>
  <si>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</si>
  <si>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</si>
  <si>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</si>
  <si>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</si>
  <si>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</si>
  <si>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</si>
  <si>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</si>
  <si>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</si>
  <si>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</si>
  <si>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</si>
  <si>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</si>
  <si>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</si>
  <si>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</si>
  <si>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</si>
  <si>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</si>
  <si>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</si>
  <si>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</si>
  <si>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</si>
  <si>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</si>
  <si>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</si>
  <si>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</si>
  <si>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</si>
  <si>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</si>
  <si>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</si>
  <si>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</si>
  <si>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</si>
  <si>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</si>
  <si>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</si>
  <si>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</si>
  <si>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</si>
  <si>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</si>
  <si>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</si>
  <si>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</si>
  <si>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</si>
  <si>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</si>
  <si>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</si>
  <si>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</si>
  <si>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</si>
  <si>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</si>
  <si>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</si>
  <si>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</si>
  <si>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</si>
  <si>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</si>
  <si>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</si>
  <si>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</si>
  <si>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</si>
  <si>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</si>
  <si>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</si>
  <si>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</si>
  <si>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</si>
  <si>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</si>
  <si>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</si>
  <si>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</si>
  <si>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</si>
  <si>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</si>
  <si>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</si>
  <si>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</si>
  <si>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</si>
  <si>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</si>
  <si>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</si>
  <si>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</si>
  <si>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</si>
  <si>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</si>
  <si>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</si>
  <si>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</si>
  <si>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</si>
  <si>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</si>
  <si>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</si>
  <si>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</si>
  <si>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</si>
  <si>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</si>
  <si>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</si>
  <si>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</si>
  <si>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</si>
  <si>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</si>
  <si>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</si>
  <si>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</si>
  <si>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</si>
  <si>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</si>
  <si>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</si>
  <si>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</si>
  <si>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</si>
  <si>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</si>
  <si>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</si>
  <si>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</si>
  <si>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</si>
  <si>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</si>
  <si>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</si>
  <si>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</si>
  <si>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</si>
  <si>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</si>
  <si>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</si>
  <si>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</si>
  <si>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</si>
  <si>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</si>
  <si>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</si>
  <si>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</si>
  <si>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</si>
  <si>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</si>
  <si>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</si>
  <si>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</si>
  <si>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</si>
  <si>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</si>
  <si>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</si>
  <si>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</si>
  <si>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</si>
  <si>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</si>
  <si>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</si>
  <si>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</si>
  <si>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</si>
  <si>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</si>
  <si>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</si>
  <si>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</si>
  <si>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</si>
  <si>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</si>
  <si>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</si>
  <si>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</si>
  <si>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</si>
  <si>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</si>
  <si>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</si>
  <si>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</si>
  <si>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</si>
  <si>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</si>
  <si>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</si>
  <si>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</si>
  <si>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</si>
  <si>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</si>
  <si>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</si>
  <si>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</si>
  <si>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</si>
  <si>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</si>
  <si>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</si>
  <si>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</si>
  <si>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</si>
  <si>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</si>
  <si>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</si>
  <si>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</si>
  <si>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</si>
  <si>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</si>
  <si>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</si>
  <si>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</si>
  <si>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</si>
  <si>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</si>
  <si>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</si>
  <si>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</si>
  <si>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</si>
  <si>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</si>
  <si>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</si>
  <si>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</si>
  <si>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</si>
  <si>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</si>
  <si>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</si>
  <si>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</si>
  <si>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</si>
  <si>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</si>
  <si>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</si>
  <si>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</si>
  <si>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</si>
  <si>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</si>
  <si>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</si>
  <si>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</si>
  <si>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</si>
  <si>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</si>
  <si>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</si>
  <si>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</si>
  <si>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</si>
  <si>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</si>
  <si>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</si>
  <si>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</si>
  <si>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</si>
  <si>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</si>
  <si>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</si>
  <si>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</si>
  <si>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</si>
  <si>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</si>
  <si>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</si>
  <si>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</si>
  <si>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</si>
  <si>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</si>
  <si>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</si>
  <si>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</si>
  <si>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</si>
  <si>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</si>
  <si>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</si>
  <si>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</si>
  <si>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</si>
  <si>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</si>
  <si>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</si>
  <si>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</si>
  <si>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</si>
  <si>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</si>
  <si>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</si>
  <si>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</si>
  <si>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</si>
  <si>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</si>
  <si>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</si>
  <si>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</si>
  <si>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</si>
  <si>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</si>
  <si>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</si>
  <si>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</si>
  <si>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</si>
  <si>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</si>
  <si>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</si>
  <si>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</si>
  <si>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</si>
  <si>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</si>
  <si>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</si>
  <si>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</si>
  <si>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</si>
  <si>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</si>
  <si>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</si>
  <si>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</si>
  <si>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</si>
  <si>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</si>
  <si>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</si>
  <si>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</si>
  <si>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</si>
  <si>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</si>
  <si>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</si>
  <si>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</si>
  <si>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</si>
  <si>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</si>
  <si>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</si>
  <si>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</si>
  <si>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</si>
  <si>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</si>
  <si>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</si>
  <si>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</si>
  <si>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</si>
  <si>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</si>
  <si>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</si>
  <si>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</si>
  <si>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</si>
  <si>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</si>
  <si>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</si>
  <si>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</si>
  <si>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</si>
  <si>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</si>
  <si>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</si>
  <si>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</si>
  <si>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</si>
  <si>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</si>
  <si>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</si>
  <si>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</si>
  <si>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</si>
  <si>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</si>
  <si>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</si>
  <si>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</si>
  <si>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</si>
  <si>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</si>
  <si>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</si>
  <si>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</si>
  <si>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</si>
  <si>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</si>
  <si>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</si>
  <si>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</si>
  <si>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</si>
  <si>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</si>
  <si>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</si>
  <si>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</si>
  <si>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</si>
  <si>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</si>
  <si>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</si>
  <si>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</si>
  <si>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</si>
  <si>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</si>
  <si>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</si>
  <si>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</si>
  <si>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</si>
  <si>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</si>
  <si>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</si>
  <si>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</si>
  <si>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</si>
  <si>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</si>
  <si>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</si>
  <si>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</si>
  <si>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</si>
  <si>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</si>
  <si>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</si>
  <si>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</si>
  <si>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</si>
  <si>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</si>
  <si>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</si>
  <si>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</si>
  <si>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</si>
  <si>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</si>
  <si>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</si>
  <si>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</si>
  <si>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</si>
  <si>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</si>
  <si>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</si>
  <si>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</si>
  <si>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</si>
  <si>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</si>
  <si>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</si>
  <si>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</si>
  <si>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</si>
  <si>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</si>
  <si>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</si>
  <si>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</si>
  <si>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</si>
  <si>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</si>
  <si>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</si>
  <si>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</si>
  <si>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</si>
  <si>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</si>
  <si>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</si>
  <si>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</si>
  <si>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</si>
  <si>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</si>
  <si>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</si>
  <si>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</si>
  <si>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</si>
  <si>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</si>
  <si>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</si>
  <si>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</si>
  <si>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</si>
  <si>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</si>
  <si>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</si>
  <si>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</si>
  <si>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</si>
  <si>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</si>
  <si>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</si>
  <si>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</si>
  <si>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</si>
  <si>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</si>
  <si>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</si>
  <si>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</si>
  <si>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</si>
  <si>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</si>
  <si>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</si>
  <si>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</si>
  <si>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</si>
  <si>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</si>
  <si>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</si>
  <si>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</si>
  <si>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</si>
  <si>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</si>
  <si>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</si>
  <si>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</si>
  <si>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</si>
  <si>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</si>
  <si>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</si>
  <si>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</si>
  <si>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</si>
  <si>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</si>
  <si>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</si>
  <si>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</si>
  <si>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</si>
  <si>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</si>
  <si>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</si>
  <si>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</si>
  <si>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</si>
  <si>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</si>
  <si>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</si>
  <si>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</si>
  <si>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>pc17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</si>
</sst>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08" sqref="D50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267</v>
      </c>
      <c r="G513" s="2">
        <f>SUM(G501:G512)</f>
        <v>1335</v>
      </c>
      <c r="H513" s="72"/>
      <c r="I513" s="72"/>
      <c r="J513" s="72"/>
      <c r="K513" s="72"/>
      <c r="L513" s="72"/>
      <c r="M513" s="73">
        <f ca="1">IFERROR(SUM(M501:M512),"")</f>
        <v>6.2500000000000056E-3</v>
      </c>
      <c r="N513" s="2" t="s">
        <v>261</v>
      </c>
      <c r="O513" s="74"/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549</v>
      </c>
      <c r="G514" s="1">
        <f>G500+G513</f>
        <v>2745</v>
      </c>
      <c r="H514" s="76"/>
      <c r="I514" s="76"/>
      <c r="J514" s="76"/>
      <c r="K514" s="76"/>
      <c r="L514" s="76"/>
      <c r="M514" s="77">
        <f ca="1">IFERROR(M500+M513,"")</f>
        <v>0.11805555555555566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481" activePane="bottomLeft" state="frozen"/>
      <selection pane="bottomLeft" activeCell="O504" sqref="O50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1.0303472219675314E-2</v>
      </c>
      <c r="R53" s="80" t="s">
        <v>304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0.14919236110856304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0.23391458333078585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/>
      <c r="M504" s="61"/>
      <c r="N504" s="61"/>
      <c r="O504" s="65">
        <v>0.13055555555555556</v>
      </c>
      <c r="P504" s="65"/>
      <c r="Q504" s="66">
        <f t="shared" ca="1" si="128"/>
        <v>1.27569444157416E-3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50.400000000000006</v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>
        <f t="shared" si="127"/>
        <v>71.400000000000006</v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/>
      <c r="H508" s="88" t="str">
        <f>IFERROR(IF($G508="","",$G508*$S$513/$G$513/Cadastro!$E$33),"")</f>
        <v/>
      </c>
      <c r="I508" s="90">
        <f>IFERROR(IF($D508="","",VLOOKUP($D508,Cadastro!$C$4:$G$7,5,FALSE())),"")</f>
        <v>0.6</v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71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298.20000000000005</v>
      </c>
      <c r="L513" s="72"/>
      <c r="M513" s="72"/>
      <c r="N513" s="72"/>
      <c r="O513" s="72"/>
      <c r="P513" s="72"/>
      <c r="Q513" s="73">
        <f ca="1">IFERROR(SUM(Q501:Q512),"")</f>
        <v>6.3775694441574035E-2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213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903.40000000000009</v>
      </c>
      <c r="L514" s="76"/>
      <c r="M514" s="76"/>
      <c r="N514" s="76"/>
      <c r="O514" s="76"/>
      <c r="P514" s="76"/>
      <c r="Q514" s="77">
        <f ca="1">IFERROR(Q500+Q513,"")</f>
        <v>0.15544236110824067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O505" sqref="O50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/>
      <c r="Q504" s="66">
        <f t="shared" ca="1" si="125"/>
        <v>8.3220138891192619E-2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/>
      <c r="M505" s="70"/>
      <c r="N505" s="70"/>
      <c r="O505" s="65">
        <v>0.13055555555555556</v>
      </c>
      <c r="P505" s="65"/>
      <c r="Q505" s="71">
        <f t="shared" ca="1" si="125"/>
        <v>1.27569444157416E-3</v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3"/>
        <v>0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47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197.4</v>
      </c>
      <c r="L513" s="72"/>
      <c r="M513" s="72"/>
      <c r="N513" s="72"/>
      <c r="O513" s="72"/>
      <c r="P513" s="72"/>
      <c r="Q513" s="73">
        <f ca="1">IFERROR(SUM(Q501:Q512),"")</f>
        <v>0.14074583333276669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119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503.79999999999995</v>
      </c>
      <c r="L514" s="76"/>
      <c r="M514" s="76"/>
      <c r="N514" s="76"/>
      <c r="O514" s="76"/>
      <c r="P514" s="76"/>
      <c r="Q514" s="77">
        <f ca="1">IFERROR(Q500+Q513,"")</f>
        <v>0.23657916666610013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G507" sqref="G50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>IF(G506="","",IF(E506="PC 17",G506*4.2,IF(E506="PC 19",G506*5,IF(E506="CB",G506*24,""))))</f>
        <v>58.800000000000004</v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 t="s">
        <v>396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 t="e">
        <f>IF(G507="","",IF(#REF!="PC 17",G507*4.2,IF(#REF!="PC 19",G507*5,IF(#REF!="CB",G507*24,""))))</f>
        <v>#REF!</v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97</v>
      </c>
      <c r="H513" s="105">
        <f>IFERROR(SUM(H501:H512),"")</f>
        <v>0</v>
      </c>
      <c r="I513" s="106"/>
      <c r="J513" s="107">
        <f>IFERROR(SUM(J501:J512),"")</f>
        <v>0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5.5555555555555691E-2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299</v>
      </c>
      <c r="H514" s="108">
        <f>IFERROR(H500+H513,"")</f>
        <v>864.28</v>
      </c>
      <c r="I514" s="110"/>
      <c r="J514" s="111">
        <f>IFERROR(J500+J513,"")</f>
        <v>124.45631999999999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0.14027777777777722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2026-08-20T07:10:00Z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