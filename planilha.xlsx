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795" documentId="8_{AF585B22-221D-4780-BB9C-493D365A6A02}" xr6:coauthVersionLast="47" xr6:coauthVersionMax="47" xr10:uidLastSave="{3BA6C706-8C6C-4AB0-851D-7E17027BDD68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<sst xmlns="http://schemas.openxmlformats.org/spreadsheetml/2006/main" count="9327" uniqueCount="381">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</sst>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6" sqref="G26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1" activePane="bottomLeft" state="frozen"/>
      <selection pane="bottomLeft" activeCell="G596" sqref="G596:G60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>
        <v>0.68125000000000002</v>
      </c>
      <c r="L597" s="29"/>
      <c r="M597" s="35">
        <f t="shared" ca="1" si="133"/>
        <v>2.8482638888817746E-2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312</v>
      </c>
      <c r="G608" s="36">
        <f>SUM(G596:G607)</f>
        <v>1560</v>
      </c>
      <c r="H608" s="37"/>
      <c r="I608" s="37"/>
      <c r="J608" s="37"/>
      <c r="K608" s="37"/>
      <c r="L608" s="37"/>
      <c r="M608" s="38">
        <f ca="1">IFERROR(SUM(M596:M607),"")</f>
        <v>5.4871527777706652E-2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312</v>
      </c>
      <c r="G622" s="40">
        <f>G608+G621</f>
        <v>1560</v>
      </c>
      <c r="H622" s="41"/>
      <c r="I622" s="41"/>
      <c r="J622" s="41"/>
      <c r="K622" s="41"/>
      <c r="L622" s="41"/>
      <c r="M622" s="42">
        <f ca="1">IFERROR(M608+M621,"")</f>
        <v>5.4871527777706652E-2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F606" sqref="F60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0.47014930555451429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0.62778819444340317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0.73751041666562533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0.44862152777932351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0.61945486111265691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0.76459375000154584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143</v>
      </c>
      <c r="G608" s="36">
        <f>SUM(G596:G607)</f>
        <v>600.60000000000014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143</v>
      </c>
      <c r="G622" s="40">
        <f>G608+G621</f>
        <v>600.60000000000014</v>
      </c>
      <c r="H622" s="41"/>
      <c r="I622" s="41"/>
      <c r="J622" s="41"/>
      <c r="K622" s="41"/>
      <c r="L622" s="41"/>
      <c r="M622" s="42">
        <f ca="1">IFERROR(M608+M621,"")</f>
        <v>6.4583333333333326E-2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74" zoomScale="50" zoomScaleNormal="50" workbookViewId="0">
      <selection activeCell="F606" sqref="F60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316</v>
      </c>
      <c r="N166" s="27" t="s">
        <v>317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130</v>
      </c>
      <c r="G608" s="36">
        <f>SUM(G596:G607)</f>
        <v>546</v>
      </c>
      <c r="H608" s="37"/>
      <c r="I608" s="37"/>
      <c r="J608" s="37"/>
      <c r="K608" s="37"/>
      <c r="L608" s="37"/>
      <c r="M608" s="38">
        <f ca="1">IFERROR(SUM(M596:M607),"")</f>
        <v>3.9583333333333304E-2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130</v>
      </c>
      <c r="G622" s="40">
        <f>G608+G621</f>
        <v>546</v>
      </c>
      <c r="H622" s="41"/>
      <c r="I622" s="41"/>
      <c r="J622" s="41"/>
      <c r="K622" s="41"/>
      <c r="L622" s="41"/>
      <c r="M622" s="42">
        <f ca="1">IFERROR(M608+M621,"")</f>
        <v>3.9583333333333304E-2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81" activePane="bottomLeft" state="frozen"/>
      <selection pane="bottomLeft" activeCell="K603" sqref="K60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340</v>
      </c>
      <c r="L58" s="29">
        <v>0.54097222222222219</v>
      </c>
      <c r="M58" s="30" t="str">
        <f t="shared" ca="1" si="13"/>
        <v/>
      </c>
      <c r="N58" s="27" t="s">
        <v>341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0.46042708333698101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0.65973263889253664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1.0270937500036477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380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/>
      <c r="I602" s="26"/>
      <c r="J602" s="26"/>
      <c r="K602" s="29">
        <v>0.70833333333333337</v>
      </c>
      <c r="L602" s="29"/>
      <c r="M602" s="30">
        <f t="shared" ca="1" si="133"/>
        <v>1.3993055545142852E-3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5.6260416665625479E-2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160</v>
      </c>
      <c r="G622" s="40">
        <f>G608+G621</f>
        <v>672</v>
      </c>
      <c r="H622" s="41"/>
      <c r="I622" s="41"/>
      <c r="J622" s="41"/>
      <c r="K622" s="63"/>
      <c r="L622" s="63"/>
      <c r="M622" s="42">
        <f ca="1">IFERROR(M608+M621,"")</f>
        <v>5.6260416665625479E-2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2026-07-23T21:02:11Z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