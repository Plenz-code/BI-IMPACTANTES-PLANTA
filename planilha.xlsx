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-my.sharepoint.com/personal/dsf_cco01_harpiagold_com_br/Documents/Documentos/"/>
    </mc:Choice>
  </mc:AlternateContent>
  <xr:revisionPtr revIDLastSave="1908" documentId="13_ncr:1_{0A10D8D4-8450-4366-8075-B53B08E6B7EA}" xr6:coauthVersionLast="47" xr6:coauthVersionMax="47" xr10:uidLastSave="{3B2D94A1-2F0F-4289-A44C-D8980B4CB5C7}"/>
  <bookViews>
    <workbookView xWindow="-28920" yWindow="-60" windowWidth="29040" windowHeight="15720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35" i="1" l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7" i="6"/>
  <c r="J407" i="6" s="1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401" i="6"/>
  <c r="J401" i="6" s="1"/>
  <c r="H402" i="6"/>
  <c r="J402" i="6" s="1"/>
  <c r="H403" i="6"/>
  <c r="J403" i="6" s="1"/>
  <c r="H404" i="6"/>
  <c r="J404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01" i="5"/>
  <c r="J401" i="5" s="1"/>
  <c r="H402" i="5"/>
  <c r="J402" i="5" s="1"/>
  <c r="H403" i="5"/>
  <c r="J403" i="5" s="1"/>
  <c r="H404" i="5"/>
  <c r="J404" i="5" s="1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401" i="4"/>
  <c r="J401" i="4" s="1"/>
  <c r="H402" i="4"/>
  <c r="J402" i="4" s="1"/>
  <c r="H403" i="4"/>
  <c r="J403" i="4" s="1"/>
  <c r="H404" i="4"/>
  <c r="J404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419" i="4"/>
  <c r="T419" i="4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446" i="4"/>
  <c r="T446" i="4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419" i="5"/>
  <c r="T419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19" i="6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419" i="4"/>
  <c r="H621" i="4"/>
  <c r="H567" i="6"/>
  <c r="H446" i="6"/>
  <c r="H460" i="6" s="1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473" i="5"/>
  <c r="H581" i="5"/>
  <c r="H621" i="5"/>
  <c r="H648" i="5"/>
  <c r="H459" i="5"/>
  <c r="H635" i="5"/>
  <c r="H689" i="5"/>
  <c r="H608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486" i="4"/>
  <c r="H581" i="4"/>
  <c r="H595" i="4" s="1"/>
  <c r="H770" i="4"/>
  <c r="H635" i="4"/>
  <c r="H648" i="4"/>
  <c r="H729" i="4"/>
  <c r="H473" i="4"/>
  <c r="H487" i="4" s="1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419" i="6"/>
  <c r="H567" i="4"/>
  <c r="H432" i="4"/>
  <c r="H433" i="4" s="1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419" i="5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433" i="6"/>
  <c r="T433" i="6" s="1"/>
  <c r="T419" i="6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433" i="4"/>
  <c r="T433" i="4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433" i="5"/>
  <c r="T433" i="5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33" i="5"/>
  <c r="H487" i="5"/>
  <c r="H676" i="5"/>
  <c r="H460" i="5"/>
  <c r="H649" i="4"/>
  <c r="H730" i="4"/>
  <c r="H514" i="4"/>
  <c r="H811" i="5"/>
  <c r="H568" i="5"/>
  <c r="H676" i="4"/>
  <c r="H433" i="6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19" i="1"/>
  <c r="J19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399" i="4" l="1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G406" i="6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06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G406" i="4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F406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J380" i="6" l="1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406" i="4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40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406" i="6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T392" i="6" l="1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<sst xmlns="http://schemas.openxmlformats.org/spreadsheetml/2006/main" count="6930" uniqueCount="353">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</sst>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7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F23" sqref="F23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8.5703125" customWidth="1"/>
    <col min="8" max="8" width="19" hidden="1" customWidth="1"/>
    <col min="9" max="9" width="18.5703125" hidden="1" customWidth="1"/>
    <col min="10" max="10" width="13.28515625" hidden="1" customWidth="1"/>
    <col min="11" max="11" width="22.140625" hidden="1" customWidth="1"/>
    <col min="12" max="12" width="8.5703125" customWidth="1"/>
  </cols>
  <sheetData>
    <row r="1" spans="1:11" ht="31.5" customHeight="1">
      <c r="A1" s="164" t="s">
        <v>0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</row>
    <row r="2" spans="1:11" ht="30" customHeight="1">
      <c r="A2" s="162"/>
      <c r="B2" s="162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2491620</v>
      </c>
      <c r="D18" s="8">
        <f>IFERROR('Linha 1'!S406,"")</f>
        <v>820320</v>
      </c>
      <c r="E18" s="8">
        <f>IFERROR('Linha 2'!S406,"")</f>
        <v>479620</v>
      </c>
      <c r="F18" s="8">
        <f>IFERROR('Linha 3'!S406,"")</f>
        <v>675670</v>
      </c>
      <c r="G18" s="9">
        <f>IFERROR(D18+E18+F18,"")</f>
        <v>1975610</v>
      </c>
      <c r="H18" s="96">
        <f>IFERROR('Linha 1'!T406+'Linha 2'!T406+'Linha 3'!T406,0)</f>
        <v>405.41971156626499</v>
      </c>
      <c r="I18" s="96"/>
      <c r="J18" s="129">
        <f t="shared" si="1"/>
        <v>0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3" t="s">
        <v>14</v>
      </c>
      <c r="B35" s="163"/>
      <c r="C35" s="13">
        <f t="shared" ref="C35:H35" si="2">IFERROR(SUM(C4:C34),"")</f>
        <v>53780520</v>
      </c>
      <c r="D35" s="13">
        <f t="shared" si="2"/>
        <v>17473480</v>
      </c>
      <c r="E35" s="13">
        <f t="shared" si="2"/>
        <v>8945310</v>
      </c>
      <c r="F35" s="13">
        <f t="shared" si="2"/>
        <v>22519480</v>
      </c>
      <c r="G35" s="13">
        <f t="shared" si="2"/>
        <v>48938270</v>
      </c>
      <c r="H35" s="97">
        <f t="shared" si="2"/>
        <v>2759.0377331065752</v>
      </c>
      <c r="I35" s="97">
        <f>IFERROR(SUM(I4:I34),"")</f>
        <v>2403.2399999999998</v>
      </c>
      <c r="J35" s="130">
        <f>IFERROR(AVERAGE(J4:J34),"-")</f>
        <v>0.71867777186346116</v>
      </c>
      <c r="K35" s="157">
        <f>SUM(K4:K34)</f>
        <v>450.78</v>
      </c>
    </row>
  </sheetData>
  <sheetProtection algorithmName="SHA-512" hashValue="IrfNho2feiWZfOO6d9dHLv1JXNgLv5M+T1rWWwVaGz2HqhHIHJyCr705on9TyGr+a1vmAN1YSqQCo1MQUxfY8Q==" saltValue="Q8MYCPwmSrWpCTh6lrtigA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2" zoomScale="85" zoomScaleNormal="85" workbookViewId="0">
      <selection activeCell="G6" sqref="G6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6" t="s">
        <v>15</v>
      </c>
      <c r="B1" s="166"/>
      <c r="C1" s="166"/>
      <c r="D1" s="166"/>
      <c r="E1" s="166"/>
      <c r="F1" s="166"/>
      <c r="G1" s="166"/>
      <c r="H1" s="166"/>
      <c r="I1" s="166"/>
      <c r="J1" s="166"/>
      <c r="K1" s="166"/>
      <c r="L1" s="166"/>
      <c r="M1" s="167"/>
      <c r="N1" s="168" t="s">
        <v>16</v>
      </c>
      <c r="O1" s="168"/>
      <c r="P1" s="168"/>
      <c r="Q1" s="168"/>
      <c r="R1" s="168"/>
    </row>
    <row r="2" spans="1:18" ht="4.5" customHeight="1">
      <c r="M2" s="167"/>
    </row>
    <row r="3" spans="1:18" ht="25.9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7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7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67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67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67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67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67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67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67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67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67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67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67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67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67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67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67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67"/>
      <c r="N20" s="16"/>
      <c r="O20" s="16"/>
      <c r="P20" s="16" t="s">
        <v>128</v>
      </c>
      <c r="Q20" s="16"/>
      <c r="R20" s="16" t="s">
        <v>129</v>
      </c>
    </row>
    <row r="21" spans="1:18" ht="15.75" customHeight="1">
      <c r="A21" s="17"/>
      <c r="C21" s="17"/>
      <c r="J21" s="17"/>
      <c r="L21" s="17" t="s">
        <v>130</v>
      </c>
      <c r="M21" s="167"/>
      <c r="N21" s="17"/>
      <c r="O21" s="17"/>
      <c r="P21" s="17" t="s">
        <v>131</v>
      </c>
      <c r="Q21" s="17"/>
      <c r="R21" s="17" t="s">
        <v>132</v>
      </c>
    </row>
    <row r="22" spans="1:18" ht="15.75" customHeight="1">
      <c r="A22" s="16"/>
      <c r="C22" s="16"/>
      <c r="J22" s="16"/>
      <c r="L22" s="16" t="s">
        <v>133</v>
      </c>
      <c r="M22" s="167"/>
      <c r="N22" s="16"/>
      <c r="O22" s="16"/>
      <c r="P22" s="16" t="s">
        <v>134</v>
      </c>
      <c r="Q22" s="16"/>
      <c r="R22" s="16" t="s">
        <v>135</v>
      </c>
    </row>
    <row r="23" spans="1:18" ht="15.75" customHeight="1">
      <c r="A23" s="17"/>
      <c r="C23" s="17"/>
      <c r="J23" s="17"/>
      <c r="L23" s="17" t="s">
        <v>136</v>
      </c>
      <c r="M23" s="167"/>
      <c r="N23" s="17"/>
      <c r="O23" s="17"/>
      <c r="P23" s="17" t="s">
        <v>137</v>
      </c>
      <c r="Q23" s="17"/>
      <c r="R23" s="17" t="s">
        <v>138</v>
      </c>
    </row>
    <row r="24" spans="1:18" ht="15.75" customHeight="1">
      <c r="A24" s="16"/>
      <c r="C24" s="16"/>
      <c r="J24" s="16"/>
      <c r="L24" s="16" t="s">
        <v>139</v>
      </c>
      <c r="M24" s="167"/>
      <c r="N24" s="16"/>
      <c r="O24" s="16"/>
      <c r="P24" s="16" t="s">
        <v>140</v>
      </c>
      <c r="Q24" s="16"/>
      <c r="R24" s="16" t="s">
        <v>141</v>
      </c>
    </row>
    <row r="25" spans="1:18" ht="15.75" customHeight="1">
      <c r="A25" s="17"/>
      <c r="C25" s="17"/>
      <c r="J25" s="17"/>
      <c r="L25" s="17" t="s">
        <v>142</v>
      </c>
      <c r="M25" s="167"/>
      <c r="N25" s="17"/>
      <c r="O25" s="17"/>
      <c r="P25" s="17" t="s">
        <v>143</v>
      </c>
      <c r="Q25" s="17"/>
      <c r="R25" s="17" t="s">
        <v>144</v>
      </c>
    </row>
    <row r="26" spans="1:18" ht="15.75" customHeight="1">
      <c r="A26" s="16"/>
      <c r="C26" s="16"/>
      <c r="J26" s="16"/>
      <c r="L26" s="16" t="s">
        <v>145</v>
      </c>
      <c r="M26" s="167"/>
      <c r="N26" s="16"/>
      <c r="O26" s="16"/>
      <c r="P26" s="16" t="s">
        <v>146</v>
      </c>
      <c r="Q26" s="16"/>
      <c r="R26" s="16"/>
    </row>
    <row r="27" spans="1:18" ht="15.75" customHeight="1">
      <c r="A27" s="17"/>
      <c r="C27" s="17"/>
      <c r="J27" s="17"/>
      <c r="L27" s="17" t="s">
        <v>147</v>
      </c>
      <c r="M27" s="167"/>
      <c r="N27" s="17"/>
      <c r="O27" s="17"/>
      <c r="P27" s="17" t="s">
        <v>138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148</v>
      </c>
      <c r="M28" s="167"/>
      <c r="N28" s="16"/>
      <c r="O28" s="16"/>
      <c r="P28" s="16" t="s">
        <v>141</v>
      </c>
      <c r="Q28" s="16"/>
      <c r="R28" s="16" t="s">
        <v>149</v>
      </c>
    </row>
    <row r="29" spans="1:18" ht="15.75" customHeight="1">
      <c r="A29" s="17"/>
      <c r="C29" s="17"/>
      <c r="J29" s="17"/>
      <c r="L29" s="17" t="s">
        <v>150</v>
      </c>
      <c r="M29" s="167"/>
      <c r="N29" s="17"/>
      <c r="O29" s="17"/>
      <c r="P29" s="17" t="s">
        <v>151</v>
      </c>
      <c r="Q29" s="17"/>
      <c r="R29" s="17" t="s">
        <v>152</v>
      </c>
    </row>
    <row r="30" spans="1:18" ht="15.75" customHeight="1">
      <c r="A30" s="16"/>
      <c r="C30" s="16"/>
      <c r="J30" s="16"/>
      <c r="L30" s="16" t="s">
        <v>153</v>
      </c>
      <c r="M30" s="167"/>
      <c r="N30" s="16"/>
      <c r="O30" s="16"/>
      <c r="P30" s="16" t="s">
        <v>154</v>
      </c>
      <c r="Q30" s="16"/>
      <c r="R30" s="16" t="s">
        <v>155</v>
      </c>
    </row>
    <row r="31" spans="1:18" ht="15.75" customHeight="1">
      <c r="A31" s="17"/>
      <c r="C31" s="17"/>
      <c r="J31" s="17"/>
      <c r="L31" s="17" t="s">
        <v>156</v>
      </c>
      <c r="M31" s="167"/>
      <c r="N31" s="17"/>
      <c r="O31" s="17"/>
      <c r="P31" s="18" t="s">
        <v>157</v>
      </c>
      <c r="Q31" s="17"/>
      <c r="R31" s="17" t="s">
        <v>158</v>
      </c>
    </row>
    <row r="32" spans="1:18" ht="15.75" customHeight="1">
      <c r="A32" s="16"/>
      <c r="C32" s="16"/>
      <c r="J32" s="16"/>
      <c r="L32" s="16" t="s">
        <v>159</v>
      </c>
      <c r="M32" s="167"/>
      <c r="N32" s="16"/>
      <c r="O32" s="16"/>
      <c r="P32" s="16" t="s">
        <v>160</v>
      </c>
      <c r="Q32" s="16"/>
      <c r="R32" t="s">
        <v>161</v>
      </c>
    </row>
    <row r="33" spans="1:18" ht="15.75" customHeight="1">
      <c r="A33" s="17"/>
      <c r="C33" s="131" t="s">
        <v>162</v>
      </c>
      <c r="E33" s="113">
        <v>1000</v>
      </c>
      <c r="J33" s="17"/>
      <c r="L33" s="17" t="s">
        <v>163</v>
      </c>
      <c r="M33" s="167"/>
      <c r="N33" s="17"/>
      <c r="O33" s="17"/>
      <c r="P33" s="18" t="s">
        <v>164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165</v>
      </c>
      <c r="M34" s="167"/>
      <c r="N34" s="16"/>
      <c r="O34" s="16"/>
      <c r="P34" s="16" t="s">
        <v>86</v>
      </c>
      <c r="Q34" s="16"/>
      <c r="R34" s="16" t="s">
        <v>166</v>
      </c>
    </row>
    <row r="35" spans="1:18" ht="15.75" customHeight="1">
      <c r="A35" s="17"/>
      <c r="C35" s="17"/>
      <c r="J35" s="17"/>
      <c r="L35" s="17" t="s">
        <v>167</v>
      </c>
      <c r="M35" s="167"/>
      <c r="N35" s="17"/>
      <c r="O35" s="17"/>
      <c r="P35" s="17" t="s">
        <v>168</v>
      </c>
      <c r="Q35" s="17"/>
      <c r="R35" s="17" t="s">
        <v>169</v>
      </c>
    </row>
    <row r="36" spans="1:18" ht="15.75" customHeight="1">
      <c r="A36" s="16"/>
      <c r="C36" s="16"/>
      <c r="J36" s="16"/>
      <c r="L36" s="16" t="s">
        <v>170</v>
      </c>
      <c r="M36" s="167"/>
      <c r="N36" s="16"/>
      <c r="O36" s="16"/>
      <c r="P36" s="16" t="s">
        <v>171</v>
      </c>
      <c r="Q36" s="16"/>
      <c r="R36" s="16" t="s">
        <v>172</v>
      </c>
    </row>
    <row r="37" spans="1:18" ht="15.75" customHeight="1">
      <c r="A37" s="17"/>
      <c r="C37" s="17"/>
      <c r="J37" s="17"/>
      <c r="L37" s="17" t="s">
        <v>173</v>
      </c>
      <c r="M37" s="167"/>
      <c r="N37" s="17"/>
      <c r="O37" s="17"/>
      <c r="P37" s="17" t="s">
        <v>174</v>
      </c>
      <c r="Q37" s="17"/>
      <c r="R37" s="17" t="s">
        <v>175</v>
      </c>
    </row>
    <row r="38" spans="1:18" ht="15.75" customHeight="1">
      <c r="A38" s="16"/>
      <c r="C38" s="16"/>
      <c r="J38" s="16"/>
      <c r="L38" s="16" t="s">
        <v>176</v>
      </c>
      <c r="M38" s="167"/>
      <c r="N38" s="16"/>
      <c r="O38" s="16"/>
      <c r="P38" s="16" t="s">
        <v>177</v>
      </c>
      <c r="Q38" s="16"/>
      <c r="R38" s="16" t="s">
        <v>178</v>
      </c>
    </row>
    <row r="39" spans="1:18" ht="15.75" customHeight="1">
      <c r="A39" s="17"/>
      <c r="C39" s="17"/>
      <c r="J39" s="17"/>
      <c r="L39" s="17"/>
      <c r="M39" s="167"/>
      <c r="N39" s="17"/>
      <c r="O39" s="17"/>
      <c r="P39" s="17" t="s">
        <v>179</v>
      </c>
      <c r="Q39" s="17"/>
      <c r="R39" s="17" t="s">
        <v>180</v>
      </c>
    </row>
    <row r="40" spans="1:18" ht="15.75" customHeight="1">
      <c r="A40" s="16"/>
      <c r="C40" s="16"/>
      <c r="J40" s="16"/>
      <c r="L40" s="16"/>
      <c r="M40" s="167"/>
      <c r="N40" s="16"/>
      <c r="O40" s="16"/>
      <c r="P40" s="16" t="s">
        <v>181</v>
      </c>
      <c r="Q40" s="16"/>
      <c r="R40" s="16" t="s">
        <v>182</v>
      </c>
    </row>
    <row r="41" spans="1:18" ht="15.75" customHeight="1">
      <c r="A41" s="17"/>
      <c r="C41" s="17"/>
      <c r="J41" s="17"/>
      <c r="L41" s="17"/>
      <c r="M41" s="167"/>
      <c r="N41" s="17"/>
      <c r="O41" s="17"/>
      <c r="P41" s="17" t="s">
        <v>183</v>
      </c>
      <c r="Q41" s="17"/>
      <c r="R41" s="17" t="s">
        <v>184</v>
      </c>
    </row>
    <row r="42" spans="1:18" ht="15.75" customHeight="1">
      <c r="A42" s="16"/>
      <c r="C42" s="16"/>
      <c r="J42" s="16"/>
      <c r="L42" s="16"/>
      <c r="M42" s="167"/>
      <c r="N42" s="16"/>
      <c r="O42" s="16"/>
      <c r="P42" s="16" t="s">
        <v>185</v>
      </c>
      <c r="Q42" s="16"/>
      <c r="R42" s="16" t="s">
        <v>186</v>
      </c>
    </row>
    <row r="43" spans="1:18" ht="15.75" customHeight="1">
      <c r="A43" s="17"/>
      <c r="C43" s="17"/>
      <c r="J43" s="17"/>
      <c r="L43" s="17"/>
      <c r="M43" s="167"/>
      <c r="N43" s="17"/>
      <c r="O43" s="17"/>
      <c r="P43" s="17" t="s">
        <v>187</v>
      </c>
      <c r="Q43" s="17"/>
      <c r="R43" s="17" t="s">
        <v>188</v>
      </c>
    </row>
    <row r="44" spans="1:18" ht="15.75" customHeight="1">
      <c r="A44" s="16"/>
      <c r="C44" s="16"/>
      <c r="J44" s="16"/>
      <c r="L44" s="16"/>
      <c r="M44" s="167"/>
      <c r="N44" s="16"/>
      <c r="O44" s="16"/>
      <c r="P44" s="16" t="s">
        <v>189</v>
      </c>
      <c r="Q44" s="16"/>
      <c r="R44" s="16" t="s">
        <v>190</v>
      </c>
    </row>
    <row r="45" spans="1:18" ht="15.75" customHeight="1">
      <c r="A45" s="17"/>
      <c r="C45" s="17"/>
      <c r="J45" s="17"/>
      <c r="L45" s="17"/>
      <c r="M45" s="167"/>
      <c r="N45" s="17"/>
      <c r="O45" s="17"/>
      <c r="P45" s="17"/>
      <c r="Q45" s="17"/>
      <c r="R45" s="17" t="s">
        <v>191</v>
      </c>
    </row>
    <row r="46" spans="1:18" ht="15.75" customHeight="1">
      <c r="A46" s="16"/>
      <c r="C46" s="16"/>
      <c r="J46" s="16"/>
      <c r="L46" s="16"/>
      <c r="M46" s="167"/>
      <c r="N46" s="16"/>
      <c r="O46" s="16"/>
      <c r="P46" s="16" t="s">
        <v>192</v>
      </c>
      <c r="Q46" s="16"/>
      <c r="R46" s="16" t="s">
        <v>193</v>
      </c>
    </row>
    <row r="47" spans="1:18" ht="15.75" customHeight="1">
      <c r="A47" s="17"/>
      <c r="C47" s="17"/>
      <c r="J47" s="17"/>
      <c r="L47" s="17"/>
      <c r="M47" s="167"/>
      <c r="N47" s="17"/>
      <c r="O47" s="17"/>
      <c r="P47" s="17" t="s">
        <v>194</v>
      </c>
      <c r="Q47" s="17"/>
      <c r="R47" s="17" t="s">
        <v>195</v>
      </c>
    </row>
    <row r="48" spans="1:18" ht="15.75" customHeight="1">
      <c r="A48" s="16"/>
      <c r="C48" s="16"/>
      <c r="J48" s="16"/>
      <c r="L48" s="16"/>
      <c r="M48" s="167"/>
      <c r="N48" s="16"/>
      <c r="O48" s="16"/>
      <c r="P48" s="16" t="s">
        <v>196</v>
      </c>
      <c r="Q48" s="16"/>
      <c r="R48" s="16" t="s">
        <v>197</v>
      </c>
    </row>
    <row r="49" spans="1:18" ht="18" customHeight="1">
      <c r="M49" s="167"/>
      <c r="N49" s="17"/>
      <c r="O49" s="17"/>
      <c r="P49" s="17" t="s">
        <v>198</v>
      </c>
      <c r="Q49" s="17"/>
      <c r="R49" s="17" t="s">
        <v>199</v>
      </c>
    </row>
    <row r="50" spans="1:18" ht="21" customHeight="1">
      <c r="A50" s="19" t="s">
        <v>200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7"/>
      <c r="N50" s="16"/>
      <c r="O50" s="16"/>
      <c r="P50" s="16" t="s">
        <v>201</v>
      </c>
      <c r="Q50" s="16"/>
      <c r="R50" s="16" t="s">
        <v>202</v>
      </c>
    </row>
    <row r="51" spans="1:18" ht="24" customHeight="1">
      <c r="M51" s="167"/>
      <c r="N51" s="17"/>
      <c r="O51" s="17"/>
      <c r="P51" s="17" t="s">
        <v>203</v>
      </c>
      <c r="Q51" s="17"/>
      <c r="R51" s="17" t="s">
        <v>204</v>
      </c>
    </row>
    <row r="52" spans="1:18" ht="24" customHeight="1">
      <c r="M52" s="167"/>
      <c r="N52" s="16"/>
      <c r="O52" s="16"/>
      <c r="P52" s="16" t="s">
        <v>205</v>
      </c>
      <c r="Q52" s="16"/>
      <c r="R52" s="16" t="s">
        <v>206</v>
      </c>
    </row>
    <row r="53" spans="1:18" ht="36" customHeight="1">
      <c r="M53" s="167"/>
      <c r="N53" s="17"/>
      <c r="O53" s="17"/>
      <c r="P53" s="17" t="s">
        <v>207</v>
      </c>
      <c r="Q53" s="17"/>
      <c r="R53" s="17" t="s">
        <v>208</v>
      </c>
    </row>
    <row r="54" spans="1:18" ht="15" customHeight="1">
      <c r="M54" s="167"/>
      <c r="N54" s="16"/>
      <c r="O54" s="16"/>
      <c r="P54" s="16" t="s">
        <v>209</v>
      </c>
      <c r="Q54" s="16"/>
      <c r="R54" s="16" t="s">
        <v>210</v>
      </c>
    </row>
    <row r="55" spans="1:18" ht="15" customHeight="1">
      <c r="M55" s="167"/>
      <c r="N55" s="17"/>
      <c r="O55" s="17"/>
      <c r="P55" s="17" t="s">
        <v>211</v>
      </c>
      <c r="Q55" s="17"/>
      <c r="R55" s="17" t="s">
        <v>212</v>
      </c>
    </row>
    <row r="56" spans="1:18" ht="15" customHeight="1">
      <c r="M56" s="167"/>
      <c r="N56" s="16"/>
      <c r="O56" s="16"/>
      <c r="P56" s="16" t="s">
        <v>213</v>
      </c>
      <c r="Q56" s="16"/>
      <c r="R56" s="16" t="s">
        <v>214</v>
      </c>
    </row>
    <row r="57" spans="1:18" ht="15" customHeight="1">
      <c r="M57" s="167"/>
      <c r="N57" s="17"/>
      <c r="O57" s="17"/>
      <c r="P57" s="17" t="s">
        <v>57</v>
      </c>
      <c r="Q57" s="17"/>
      <c r="R57" s="17" t="s">
        <v>215</v>
      </c>
    </row>
    <row r="58" spans="1:18" ht="15" customHeight="1">
      <c r="M58" s="167"/>
      <c r="N58" s="16"/>
      <c r="O58" s="16"/>
      <c r="P58" s="16" t="s">
        <v>216</v>
      </c>
      <c r="Q58" s="16"/>
      <c r="R58" s="16"/>
    </row>
    <row r="59" spans="1:18" ht="15" customHeight="1">
      <c r="M59" s="167"/>
      <c r="N59" s="17"/>
      <c r="O59" s="17"/>
      <c r="P59" s="17" t="s">
        <v>217</v>
      </c>
      <c r="Q59" s="17"/>
      <c r="R59" s="17"/>
    </row>
    <row r="60" spans="1:18" ht="15" customHeight="1">
      <c r="M60" s="167"/>
      <c r="N60" s="16"/>
      <c r="O60" s="16"/>
      <c r="P60" s="77" t="s">
        <v>112</v>
      </c>
      <c r="Q60" s="16"/>
      <c r="R60" s="16"/>
    </row>
    <row r="61" spans="1:18" ht="15" customHeight="1">
      <c r="M61" s="167"/>
      <c r="N61" s="17"/>
      <c r="O61" s="17"/>
      <c r="P61" s="17" t="s">
        <v>218</v>
      </c>
      <c r="Q61" s="17"/>
      <c r="R61" s="17"/>
    </row>
    <row r="62" spans="1:18" ht="15" customHeight="1">
      <c r="M62" s="167"/>
      <c r="N62" s="16"/>
      <c r="O62" s="16"/>
      <c r="P62" s="16" t="s">
        <v>219</v>
      </c>
      <c r="Q62" s="16"/>
      <c r="R62" s="16"/>
    </row>
    <row r="63" spans="1:18" ht="15" customHeight="1">
      <c r="M63" s="167"/>
      <c r="N63" s="17"/>
      <c r="O63" s="17"/>
      <c r="P63" s="17" t="s">
        <v>220</v>
      </c>
      <c r="Q63" s="17"/>
      <c r="R63" s="17"/>
    </row>
    <row r="64" spans="1:18" ht="15" customHeight="1">
      <c r="M64" s="167"/>
      <c r="N64" s="16"/>
      <c r="O64" s="16"/>
      <c r="P64" s="16" t="s">
        <v>221</v>
      </c>
      <c r="Q64" s="16"/>
      <c r="R64" s="16"/>
    </row>
    <row r="65" spans="13:18" ht="15" customHeight="1">
      <c r="M65" s="167"/>
      <c r="N65" s="17"/>
      <c r="O65" s="17"/>
      <c r="P65" s="17" t="s">
        <v>222</v>
      </c>
      <c r="Q65" s="17"/>
      <c r="R65" s="17"/>
    </row>
    <row r="66" spans="13:18" ht="15" customHeight="1">
      <c r="M66" s="167"/>
      <c r="N66" s="16"/>
      <c r="O66" s="16"/>
      <c r="P66" s="16" t="s">
        <v>223</v>
      </c>
      <c r="Q66" s="16"/>
      <c r="R66" s="16"/>
    </row>
    <row r="67" spans="13:18" ht="15" customHeight="1">
      <c r="M67" s="167"/>
      <c r="N67" s="17"/>
      <c r="O67" s="17"/>
      <c r="P67" s="17" t="s">
        <v>224</v>
      </c>
      <c r="Q67" s="17"/>
      <c r="R67" s="17"/>
    </row>
    <row r="68" spans="13:18" ht="15" customHeight="1">
      <c r="M68" s="167"/>
      <c r="N68" s="16"/>
      <c r="O68" s="16"/>
      <c r="P68" s="16" t="s">
        <v>225</v>
      </c>
      <c r="Q68" s="16"/>
      <c r="R68" s="16"/>
    </row>
    <row r="69" spans="13:18" ht="15" customHeight="1">
      <c r="M69" s="167"/>
      <c r="N69" s="17"/>
      <c r="O69" s="17"/>
      <c r="P69" s="17" t="s">
        <v>226</v>
      </c>
      <c r="Q69" s="17"/>
      <c r="R69" s="17"/>
    </row>
    <row r="70" spans="13:18" ht="15" customHeight="1">
      <c r="M70" s="167"/>
      <c r="N70" s="16"/>
      <c r="O70" s="16"/>
      <c r="P70" s="16" t="s">
        <v>227</v>
      </c>
      <c r="Q70" s="16"/>
      <c r="R70" s="16"/>
    </row>
    <row r="71" spans="13:18" ht="15" customHeight="1">
      <c r="M71" s="167"/>
      <c r="N71" s="17"/>
      <c r="O71" s="17"/>
      <c r="P71" s="17" t="s">
        <v>228</v>
      </c>
      <c r="Q71" s="17"/>
      <c r="R71" s="17"/>
    </row>
    <row r="72" spans="13:18" ht="15" customHeight="1">
      <c r="M72" s="167"/>
      <c r="N72" s="16"/>
      <c r="O72" s="16"/>
      <c r="P72" s="16" t="s">
        <v>229</v>
      </c>
      <c r="Q72" s="16"/>
      <c r="R72" s="16"/>
    </row>
    <row r="73" spans="13:18" ht="15" customHeight="1">
      <c r="M73" s="167"/>
      <c r="N73" s="17"/>
      <c r="O73" s="17"/>
      <c r="P73" s="17" t="s">
        <v>230</v>
      </c>
      <c r="Q73" s="17"/>
      <c r="R73" s="17"/>
    </row>
    <row r="74" spans="13:18" ht="15" customHeight="1">
      <c r="M74" s="167"/>
      <c r="N74" s="16"/>
      <c r="O74" s="16"/>
      <c r="P74" s="16" t="s">
        <v>231</v>
      </c>
      <c r="Q74" s="16"/>
      <c r="R74" s="16"/>
    </row>
    <row r="75" spans="13:18" ht="15" customHeight="1">
      <c r="M75" s="167"/>
      <c r="N75" s="17"/>
      <c r="O75" s="17"/>
      <c r="P75" s="17"/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80" zoomScaleNormal="80" workbookViewId="0">
      <pane ySplit="1" topLeftCell="A377" activePane="bottomLeft" state="frozen"/>
      <selection pane="bottomLeft" activeCell="F401" sqref="F401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23" t="s">
        <v>234</v>
      </c>
      <c r="G1" s="23" t="s">
        <v>235</v>
      </c>
      <c r="H1" s="23" t="s">
        <v>21</v>
      </c>
      <c r="I1" s="23" t="s">
        <v>22</v>
      </c>
      <c r="J1" s="23" t="s">
        <v>236</v>
      </c>
      <c r="K1" s="23" t="s">
        <v>237</v>
      </c>
      <c r="L1" s="23" t="s">
        <v>238</v>
      </c>
      <c r="M1" s="24" t="s">
        <v>239</v>
      </c>
      <c r="N1" s="23" t="s">
        <v>240</v>
      </c>
      <c r="O1" s="23" t="s">
        <v>241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242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242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242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242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242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242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242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242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242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242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242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242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8" t="s">
        <v>243</v>
      </c>
      <c r="B14" s="159"/>
      <c r="C14" s="159"/>
      <c r="D14" s="159"/>
      <c r="E14" s="176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244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242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242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242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245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242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242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242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242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242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242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242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8" t="s">
        <v>246</v>
      </c>
      <c r="B27" s="159"/>
      <c r="C27" s="159"/>
      <c r="D27" s="159"/>
      <c r="E27" s="176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244</v>
      </c>
      <c r="O27" s="39">
        <v>997910</v>
      </c>
    </row>
    <row r="28" spans="1:15" ht="18" customHeight="1">
      <c r="A28" s="160" t="s">
        <v>247</v>
      </c>
      <c r="B28" s="161"/>
      <c r="C28" s="161"/>
      <c r="D28" s="161"/>
      <c r="E28" s="17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248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242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164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242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249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242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245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242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242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242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242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242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242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8" t="s">
        <v>243</v>
      </c>
      <c r="B41" s="159"/>
      <c r="C41" s="159"/>
      <c r="D41" s="159"/>
      <c r="E41" s="176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244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242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250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242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242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242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242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242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242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242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8" t="s">
        <v>246</v>
      </c>
      <c r="B54" s="159"/>
      <c r="C54" s="159"/>
      <c r="D54" s="159"/>
      <c r="E54" s="176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244</v>
      </c>
      <c r="O54" s="39">
        <v>981310</v>
      </c>
    </row>
    <row r="55" spans="1:15" ht="18" customHeight="1">
      <c r="A55" s="160" t="s">
        <v>247</v>
      </c>
      <c r="B55" s="161"/>
      <c r="C55" s="161"/>
      <c r="D55" s="161"/>
      <c r="E55" s="17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248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242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164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242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242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242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242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242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242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242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242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242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242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242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8" t="s">
        <v>243</v>
      </c>
      <c r="B68" s="159"/>
      <c r="C68" s="159"/>
      <c r="D68" s="159"/>
      <c r="E68" s="176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244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242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242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251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242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242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242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242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242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242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242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242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8" t="s">
        <v>246</v>
      </c>
      <c r="B81" s="159"/>
      <c r="C81" s="159"/>
      <c r="D81" s="159"/>
      <c r="E81" s="176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244</v>
      </c>
      <c r="O81" s="39">
        <v>1547910</v>
      </c>
    </row>
    <row r="82" spans="1:15" ht="18" customHeight="1">
      <c r="A82" s="160" t="s">
        <v>247</v>
      </c>
      <c r="B82" s="161"/>
      <c r="C82" s="161"/>
      <c r="D82" s="161"/>
      <c r="E82" s="17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248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242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242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242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252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242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242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242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242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242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242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242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8" t="s">
        <v>243</v>
      </c>
      <c r="B95" s="159"/>
      <c r="C95" s="159"/>
      <c r="D95" s="159"/>
      <c r="E95" s="176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244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242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242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242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242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242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242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253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242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242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242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242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242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8" t="s">
        <v>246</v>
      </c>
      <c r="B108" s="159"/>
      <c r="C108" s="159"/>
      <c r="D108" s="159"/>
      <c r="E108" s="176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244</v>
      </c>
      <c r="O108" s="39">
        <v>3156240</v>
      </c>
    </row>
    <row r="109" spans="1:15" ht="18" customHeight="1">
      <c r="A109" s="160" t="s">
        <v>247</v>
      </c>
      <c r="B109" s="161"/>
      <c r="C109" s="161"/>
      <c r="D109" s="161"/>
      <c r="E109" s="17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248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242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242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242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242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242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8" t="s">
        <v>243</v>
      </c>
      <c r="B122" s="159"/>
      <c r="C122" s="159"/>
      <c r="D122" s="159"/>
      <c r="E122" s="176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244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242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242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242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242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242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242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242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242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242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242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242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242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8" t="s">
        <v>246</v>
      </c>
      <c r="B135" s="159"/>
      <c r="C135" s="159"/>
      <c r="D135" s="159"/>
      <c r="E135" s="176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244</v>
      </c>
      <c r="O135" s="39">
        <v>2875180</v>
      </c>
    </row>
    <row r="136" spans="1:15" ht="18" customHeight="1">
      <c r="A136" s="160" t="s">
        <v>247</v>
      </c>
      <c r="B136" s="161"/>
      <c r="C136" s="161"/>
      <c r="D136" s="161"/>
      <c r="E136" s="17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248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242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254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242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242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242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242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242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242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242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242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242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8" t="s">
        <v>243</v>
      </c>
      <c r="B149" s="159"/>
      <c r="C149" s="159"/>
      <c r="D149" s="159"/>
      <c r="E149" s="176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244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242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141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242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255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242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141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242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242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152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242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242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242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242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242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242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8" t="s">
        <v>246</v>
      </c>
      <c r="B162" s="159"/>
      <c r="C162" s="159"/>
      <c r="D162" s="159"/>
      <c r="E162" s="176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244</v>
      </c>
      <c r="O162" s="44">
        <v>842000</v>
      </c>
    </row>
    <row r="163" spans="1:15" ht="18" customHeight="1">
      <c r="A163" s="160" t="s">
        <v>247</v>
      </c>
      <c r="B163" s="161"/>
      <c r="C163" s="161"/>
      <c r="D163" s="161"/>
      <c r="E163" s="17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248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242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231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256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242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242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242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242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242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242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242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242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242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242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242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8" t="s">
        <v>243</v>
      </c>
      <c r="B176" s="159"/>
      <c r="C176" s="159"/>
      <c r="D176" s="159"/>
      <c r="E176" s="176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244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242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257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242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242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242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242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242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242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242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258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242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242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242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8" t="s">
        <v>246</v>
      </c>
      <c r="B189" s="159"/>
      <c r="C189" s="159"/>
      <c r="D189" s="159"/>
      <c r="E189" s="176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244</v>
      </c>
      <c r="O189" s="39">
        <v>1901630</v>
      </c>
    </row>
    <row r="190" spans="1:15" ht="18" customHeight="1">
      <c r="A190" s="160" t="s">
        <v>247</v>
      </c>
      <c r="B190" s="161"/>
      <c r="C190" s="161"/>
      <c r="D190" s="161"/>
      <c r="E190" s="17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248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242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242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242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259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242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242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242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242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242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242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242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242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242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8" t="s">
        <v>243</v>
      </c>
      <c r="B203" s="159"/>
      <c r="C203" s="159"/>
      <c r="D203" s="159"/>
      <c r="E203" s="176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244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242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242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242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242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242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242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242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242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242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242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242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242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8" t="s">
        <v>246</v>
      </c>
      <c r="B216" s="159"/>
      <c r="C216" s="159"/>
      <c r="D216" s="159"/>
      <c r="E216" s="176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244</v>
      </c>
      <c r="O216" s="45">
        <v>1852295</v>
      </c>
    </row>
    <row r="217" spans="1:15" ht="18" customHeight="1">
      <c r="A217" s="160" t="s">
        <v>247</v>
      </c>
      <c r="B217" s="161"/>
      <c r="C217" s="161"/>
      <c r="D217" s="161"/>
      <c r="E217" s="17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248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242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174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242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242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210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260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242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242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242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242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242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242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242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9" t="s">
        <v>243</v>
      </c>
      <c r="B230" s="170"/>
      <c r="C230" s="170"/>
      <c r="D230" s="170"/>
      <c r="E230" s="171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244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242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210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242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152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242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152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261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261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261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261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261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261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261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261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261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8" t="s">
        <v>246</v>
      </c>
      <c r="B243" s="159"/>
      <c r="C243" s="159"/>
      <c r="D243" s="159"/>
      <c r="E243" s="176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244</v>
      </c>
      <c r="O243" s="39">
        <v>991010</v>
      </c>
    </row>
    <row r="244" spans="1:15" ht="18" customHeight="1">
      <c r="A244" s="160" t="s">
        <v>247</v>
      </c>
      <c r="B244" s="161"/>
      <c r="C244" s="161"/>
      <c r="D244" s="161"/>
      <c r="E244" s="17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248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242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215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242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242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242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242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262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242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242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242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242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242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242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242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8" t="s">
        <v>243</v>
      </c>
      <c r="B257" s="159"/>
      <c r="C257" s="159"/>
      <c r="D257" s="159"/>
      <c r="E257" s="176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244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263</v>
      </c>
      <c r="E258" s="62" t="s">
        <v>242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263</v>
      </c>
      <c r="E259" s="62" t="s">
        <v>242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141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263</v>
      </c>
      <c r="E260" s="62" t="s">
        <v>242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263</v>
      </c>
      <c r="E261" s="62" t="s">
        <v>242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263</v>
      </c>
      <c r="E262" s="62" t="s">
        <v>242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263</v>
      </c>
      <c r="E263" s="62" t="s">
        <v>242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263</v>
      </c>
      <c r="E264" s="62" t="s">
        <v>242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263</v>
      </c>
      <c r="E265" s="62" t="s">
        <v>242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263</v>
      </c>
      <c r="E266" s="62" t="s">
        <v>242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263</v>
      </c>
      <c r="E267" s="62" t="s">
        <v>242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263</v>
      </c>
      <c r="E268" s="62" t="s">
        <v>242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263</v>
      </c>
      <c r="E269" s="62" t="s">
        <v>242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8" t="s">
        <v>246</v>
      </c>
      <c r="B270" s="159"/>
      <c r="C270" s="159"/>
      <c r="D270" s="159"/>
      <c r="E270" s="176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244</v>
      </c>
      <c r="O270" s="39">
        <v>1544700</v>
      </c>
    </row>
    <row r="271" spans="1:15" ht="18" customHeight="1">
      <c r="A271" s="160" t="s">
        <v>247</v>
      </c>
      <c r="B271" s="161"/>
      <c r="C271" s="161"/>
      <c r="D271" s="161"/>
      <c r="E271" s="17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248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263</v>
      </c>
      <c r="E272" s="59" t="s">
        <v>242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174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263</v>
      </c>
      <c r="E273" s="59" t="s">
        <v>242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141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263</v>
      </c>
      <c r="E274" s="59" t="s">
        <v>242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263</v>
      </c>
      <c r="E275" s="59" t="s">
        <v>242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215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263</v>
      </c>
      <c r="E276" s="59" t="s">
        <v>242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263</v>
      </c>
      <c r="E277" s="59" t="s">
        <v>242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264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263</v>
      </c>
      <c r="E278" s="59" t="s">
        <v>242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263</v>
      </c>
      <c r="E279" s="59" t="s">
        <v>242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263</v>
      </c>
      <c r="E280" s="59" t="s">
        <v>242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263</v>
      </c>
      <c r="E281" s="59" t="s">
        <v>242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263</v>
      </c>
      <c r="E282" s="59" t="s">
        <v>242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263</v>
      </c>
      <c r="E283" s="59" t="s">
        <v>242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8" t="s">
        <v>243</v>
      </c>
      <c r="B284" s="159"/>
      <c r="C284" s="159"/>
      <c r="D284" s="159"/>
      <c r="E284" s="176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244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263</v>
      </c>
      <c r="E285" s="62" t="s">
        <v>258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263</v>
      </c>
      <c r="E286" s="62" t="s">
        <v>258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263</v>
      </c>
      <c r="E287" s="62" t="s">
        <v>258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263</v>
      </c>
      <c r="E288" s="62" t="s">
        <v>258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263</v>
      </c>
      <c r="E289" s="62" t="s">
        <v>258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263</v>
      </c>
      <c r="E290" s="62" t="s">
        <v>258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263</v>
      </c>
      <c r="E291" s="62" t="s">
        <v>258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263</v>
      </c>
      <c r="E292" s="62" t="s">
        <v>258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263</v>
      </c>
      <c r="E293" s="62" t="s">
        <v>258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263</v>
      </c>
      <c r="E294" s="62" t="s">
        <v>258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263</v>
      </c>
      <c r="E295" s="62" t="s">
        <v>258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263</v>
      </c>
      <c r="E296" s="62" t="s">
        <v>258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8" t="s">
        <v>246</v>
      </c>
      <c r="B297" s="159"/>
      <c r="C297" s="159"/>
      <c r="D297" s="159"/>
      <c r="E297" s="176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244</v>
      </c>
      <c r="O297" s="39">
        <v>1715230</v>
      </c>
    </row>
    <row r="298" spans="1:15" ht="18" customHeight="1">
      <c r="A298" s="160" t="s">
        <v>247</v>
      </c>
      <c r="B298" s="161"/>
      <c r="C298" s="161"/>
      <c r="D298" s="161"/>
      <c r="E298" s="175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248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242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231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242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141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242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242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265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242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242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242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242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242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242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242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242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8" t="s">
        <v>243</v>
      </c>
      <c r="B311" s="159"/>
      <c r="C311" s="159"/>
      <c r="D311" s="159"/>
      <c r="E311" s="176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244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242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242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242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242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242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242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242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242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242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242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242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242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8" t="s">
        <v>246</v>
      </c>
      <c r="B324" s="159"/>
      <c r="C324" s="159"/>
      <c r="D324" s="159"/>
      <c r="E324" s="176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244</v>
      </c>
      <c r="O324" s="39">
        <v>2216340</v>
      </c>
    </row>
    <row r="325" spans="1:15" ht="18" customHeight="1">
      <c r="A325" s="160" t="s">
        <v>247</v>
      </c>
      <c r="B325" s="161"/>
      <c r="C325" s="161"/>
      <c r="D325" s="161"/>
      <c r="E325" s="175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248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141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210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266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242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242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242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267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242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242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242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242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8" t="s">
        <v>243</v>
      </c>
      <c r="B338" s="159"/>
      <c r="C338" s="159"/>
      <c r="D338" s="159"/>
      <c r="E338" s="176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244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242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242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242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242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242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242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242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242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242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242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242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242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8" t="s">
        <v>246</v>
      </c>
      <c r="B351" s="159"/>
      <c r="C351" s="159"/>
      <c r="D351" s="159"/>
      <c r="E351" s="176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244</v>
      </c>
      <c r="O351" s="39">
        <v>2154990</v>
      </c>
    </row>
    <row r="352" spans="1:15" ht="18" customHeight="1">
      <c r="A352" s="160" t="s">
        <v>247</v>
      </c>
      <c r="B352" s="161"/>
      <c r="C352" s="161"/>
      <c r="D352" s="161"/>
      <c r="E352" s="175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248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242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242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141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242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242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242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242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258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242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242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242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242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242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8" t="s">
        <v>243</v>
      </c>
      <c r="B365" s="159"/>
      <c r="C365" s="159"/>
      <c r="D365" s="159"/>
      <c r="E365" s="176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244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242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242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242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242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242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242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242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242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242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242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242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242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8" t="s">
        <v>246</v>
      </c>
      <c r="B378" s="159"/>
      <c r="C378" s="159"/>
      <c r="D378" s="159"/>
      <c r="E378" s="176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244</v>
      </c>
      <c r="O378" s="39">
        <v>2614830</v>
      </c>
    </row>
    <row r="379" spans="1:15" ht="18" customHeight="1">
      <c r="A379" s="160" t="s">
        <v>247</v>
      </c>
      <c r="B379" s="161"/>
      <c r="C379" s="161"/>
      <c r="D379" s="161"/>
      <c r="E379" s="175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248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242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242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242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242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242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242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242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242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242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242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242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242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8" t="s">
        <v>243</v>
      </c>
      <c r="B392" s="159"/>
      <c r="C392" s="159"/>
      <c r="D392" s="159"/>
      <c r="E392" s="176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244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242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164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268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242</v>
      </c>
      <c r="F394" s="27">
        <v>20</v>
      </c>
      <c r="G394" s="28">
        <f t="shared" si="82"/>
        <v>100</v>
      </c>
      <c r="H394" s="26"/>
      <c r="I394" s="26"/>
      <c r="J394" s="26"/>
      <c r="K394" s="29"/>
      <c r="L394" s="29"/>
      <c r="M394" s="30" t="str">
        <f t="shared" ca="1" si="83"/>
        <v/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242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242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242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242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242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242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242</v>
      </c>
      <c r="F401" s="27"/>
      <c r="G401" s="34" t="str">
        <f t="shared" si="82"/>
        <v/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242</v>
      </c>
      <c r="F402" s="27"/>
      <c r="G402" s="28" t="str">
        <f t="shared" si="82"/>
        <v/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242</v>
      </c>
      <c r="F403" s="27"/>
      <c r="G403" s="34" t="str">
        <f t="shared" si="82"/>
        <v/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242</v>
      </c>
      <c r="F404" s="27"/>
      <c r="G404" s="28" t="str">
        <f t="shared" si="82"/>
        <v/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8" t="s">
        <v>246</v>
      </c>
      <c r="B405" s="159"/>
      <c r="C405" s="159"/>
      <c r="D405" s="159"/>
      <c r="E405" s="176">
        <f>SUM(E393:E404)</f>
        <v>0</v>
      </c>
      <c r="F405" s="36">
        <f>SUM(F393:F404)</f>
        <v>265</v>
      </c>
      <c r="G405" s="36">
        <f>SUM(G393:G404)</f>
        <v>1325</v>
      </c>
      <c r="H405" s="37"/>
      <c r="I405" s="37"/>
      <c r="J405" s="37"/>
      <c r="K405" s="37"/>
      <c r="L405" s="37"/>
      <c r="M405" s="38">
        <f ca="1">IFERROR(SUM(M393:M404),"")</f>
        <v>4.4444444444444509E-2</v>
      </c>
      <c r="N405" s="36" t="s">
        <v>244</v>
      </c>
      <c r="O405" s="39"/>
    </row>
    <row r="406" spans="1:15" ht="18" customHeight="1">
      <c r="A406" s="160" t="s">
        <v>247</v>
      </c>
      <c r="B406" s="161"/>
      <c r="C406" s="161"/>
      <c r="D406" s="161"/>
      <c r="E406" s="175">
        <f>E392+E405</f>
        <v>0</v>
      </c>
      <c r="F406" s="40">
        <f>F392+F405</f>
        <v>545</v>
      </c>
      <c r="G406" s="40">
        <f>G392+G405</f>
        <v>2740</v>
      </c>
      <c r="H406" s="41"/>
      <c r="I406" s="41"/>
      <c r="J406" s="41"/>
      <c r="K406" s="41"/>
      <c r="L406" s="41"/>
      <c r="M406" s="42">
        <f ca="1">IFERROR(M392+M405,"")</f>
        <v>4.4444444444444509E-2</v>
      </c>
      <c r="N406" s="40" t="s">
        <v>248</v>
      </c>
      <c r="O406" s="48">
        <f>IFERROR(O392+O405,"")</f>
        <v>2491620</v>
      </c>
    </row>
    <row r="407" spans="1:15" ht="15" customHeight="1">
      <c r="A407" s="68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85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86">IFERROR(IF(K407="","",IF(L407="",MOD(NOW()-K407,1),IF(L407&gt;=K407,L407-K407,L407+1-K407))),"")</f>
        <v/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/>
      <c r="D408" s="62"/>
      <c r="E408" s="62"/>
      <c r="F408" s="27"/>
      <c r="G408" s="28" t="str">
        <f t="shared" si="85"/>
        <v/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/>
      <c r="D409" s="62"/>
      <c r="E409" s="62"/>
      <c r="F409" s="27"/>
      <c r="G409" s="34" t="str">
        <f t="shared" si="85"/>
        <v/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/>
      <c r="D410" s="62"/>
      <c r="E410" s="62"/>
      <c r="F410" s="27"/>
      <c r="G410" s="28" t="str">
        <f t="shared" si="85"/>
        <v/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/>
      <c r="D411" s="62"/>
      <c r="E411" s="62"/>
      <c r="F411" s="27"/>
      <c r="G411" s="34" t="str">
        <f t="shared" si="85"/>
        <v/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/>
      <c r="D412" s="62"/>
      <c r="E412" s="62"/>
      <c r="F412" s="27"/>
      <c r="G412" s="28" t="str">
        <f t="shared" si="85"/>
        <v/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/>
      <c r="D413" s="62"/>
      <c r="E413" s="62"/>
      <c r="F413" s="27"/>
      <c r="G413" s="34" t="str">
        <f t="shared" si="85"/>
        <v/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/>
      <c r="D414" s="62"/>
      <c r="E414" s="62"/>
      <c r="F414" s="27"/>
      <c r="G414" s="28" t="str">
        <f t="shared" si="85"/>
        <v/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/>
      <c r="D415" s="62"/>
      <c r="E415" s="62"/>
      <c r="F415" s="27"/>
      <c r="G415" s="34" t="str">
        <f t="shared" si="85"/>
        <v/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/>
      <c r="D416" s="62"/>
      <c r="E416" s="62"/>
      <c r="F416" s="27"/>
      <c r="G416" s="28" t="str">
        <f t="shared" si="85"/>
        <v/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/>
      <c r="D417" s="62"/>
      <c r="E417" s="62"/>
      <c r="F417" s="27"/>
      <c r="G417" s="34" t="str">
        <f t="shared" si="85"/>
        <v/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/>
      <c r="D418" s="62"/>
      <c r="E418" s="62"/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8" t="s">
        <v>243</v>
      </c>
      <c r="B419" s="159"/>
      <c r="C419" s="159"/>
      <c r="D419" s="159"/>
      <c r="E419" s="17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244</v>
      </c>
      <c r="O419" s="39"/>
    </row>
    <row r="420" spans="1:15" ht="15" customHeight="1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8" t="s">
        <v>246</v>
      </c>
      <c r="B432" s="159"/>
      <c r="C432" s="159"/>
      <c r="D432" s="159"/>
      <c r="E432" s="17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244</v>
      </c>
      <c r="O432" s="39"/>
    </row>
    <row r="433" spans="1:15" ht="18" customHeight="1">
      <c r="A433" s="160" t="s">
        <v>247</v>
      </c>
      <c r="B433" s="161"/>
      <c r="C433" s="161"/>
      <c r="D433" s="161"/>
      <c r="E433" s="17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248</v>
      </c>
      <c r="O433" s="48">
        <f>IFERROR(O419+O432,"")</f>
        <v>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8" t="s">
        <v>243</v>
      </c>
      <c r="B446" s="159"/>
      <c r="C446" s="159"/>
      <c r="D446" s="159"/>
      <c r="E446" s="17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244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8" t="s">
        <v>246</v>
      </c>
      <c r="B459" s="159"/>
      <c r="C459" s="159"/>
      <c r="D459" s="159"/>
      <c r="E459" s="17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244</v>
      </c>
      <c r="O459" s="39"/>
    </row>
    <row r="460" spans="1:15" ht="18" customHeight="1">
      <c r="A460" s="160" t="s">
        <v>247</v>
      </c>
      <c r="B460" s="161"/>
      <c r="C460" s="161"/>
      <c r="D460" s="161"/>
      <c r="E460" s="17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248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8" t="s">
        <v>243</v>
      </c>
      <c r="B473" s="159"/>
      <c r="C473" s="159"/>
      <c r="D473" s="159"/>
      <c r="E473" s="17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244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8" t="s">
        <v>246</v>
      </c>
      <c r="B486" s="159"/>
      <c r="C486" s="159"/>
      <c r="D486" s="159"/>
      <c r="E486" s="17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244</v>
      </c>
      <c r="O486" s="39"/>
    </row>
    <row r="487" spans="1:15" ht="18" customHeight="1">
      <c r="A487" s="160" t="s">
        <v>247</v>
      </c>
      <c r="B487" s="161"/>
      <c r="C487" s="161"/>
      <c r="D487" s="161"/>
      <c r="E487" s="17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248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8" t="s">
        <v>243</v>
      </c>
      <c r="B500" s="159"/>
      <c r="C500" s="159"/>
      <c r="D500" s="159"/>
      <c r="E500" s="17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244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8" t="s">
        <v>246</v>
      </c>
      <c r="B513" s="159"/>
      <c r="C513" s="159"/>
      <c r="D513" s="159"/>
      <c r="E513" s="17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244</v>
      </c>
      <c r="O513" s="39"/>
    </row>
    <row r="514" spans="1:15" ht="18" customHeight="1">
      <c r="A514" s="160" t="s">
        <v>247</v>
      </c>
      <c r="B514" s="161"/>
      <c r="C514" s="161"/>
      <c r="D514" s="161"/>
      <c r="E514" s="17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248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8" t="s">
        <v>243</v>
      </c>
      <c r="B527" s="159"/>
      <c r="C527" s="159"/>
      <c r="D527" s="159"/>
      <c r="E527" s="17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244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8" t="s">
        <v>246</v>
      </c>
      <c r="B540" s="159"/>
      <c r="C540" s="159"/>
      <c r="D540" s="159"/>
      <c r="E540" s="17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244</v>
      </c>
      <c r="O540" s="39"/>
    </row>
    <row r="541" spans="1:15" ht="18" customHeight="1">
      <c r="A541" s="160" t="s">
        <v>247</v>
      </c>
      <c r="B541" s="161"/>
      <c r="C541" s="161"/>
      <c r="D541" s="161"/>
      <c r="E541" s="17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248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8" t="s">
        <v>243</v>
      </c>
      <c r="B554" s="159"/>
      <c r="C554" s="159"/>
      <c r="D554" s="159"/>
      <c r="E554" s="17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244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8" t="s">
        <v>246</v>
      </c>
      <c r="B567" s="159"/>
      <c r="C567" s="159"/>
      <c r="D567" s="159"/>
      <c r="E567" s="17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244</v>
      </c>
      <c r="O567" s="39"/>
    </row>
    <row r="568" spans="1:15" ht="18" customHeight="1">
      <c r="A568" s="160" t="s">
        <v>247</v>
      </c>
      <c r="B568" s="161"/>
      <c r="C568" s="161"/>
      <c r="D568" s="161"/>
      <c r="E568" s="17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248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8" t="s">
        <v>243</v>
      </c>
      <c r="B581" s="159"/>
      <c r="C581" s="159"/>
      <c r="D581" s="159"/>
      <c r="E581" s="17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244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8" t="s">
        <v>246</v>
      </c>
      <c r="B594" s="159"/>
      <c r="C594" s="159"/>
      <c r="D594" s="159"/>
      <c r="E594" s="17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244</v>
      </c>
      <c r="O594" s="39"/>
    </row>
    <row r="595" spans="1:15" ht="18" customHeight="1">
      <c r="A595" s="160" t="s">
        <v>247</v>
      </c>
      <c r="B595" s="161"/>
      <c r="C595" s="161"/>
      <c r="D595" s="161"/>
      <c r="E595" s="17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248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8" t="s">
        <v>243</v>
      </c>
      <c r="B608" s="159"/>
      <c r="C608" s="159"/>
      <c r="D608" s="159"/>
      <c r="E608" s="17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244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8" t="s">
        <v>246</v>
      </c>
      <c r="B621" s="159"/>
      <c r="C621" s="159"/>
      <c r="D621" s="159"/>
      <c r="E621" s="17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244</v>
      </c>
      <c r="O621" s="39"/>
    </row>
    <row r="622" spans="1:15" ht="18" customHeight="1">
      <c r="A622" s="160" t="s">
        <v>247</v>
      </c>
      <c r="B622" s="161"/>
      <c r="C622" s="161"/>
      <c r="D622" s="161"/>
      <c r="E622" s="17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248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8" t="s">
        <v>243</v>
      </c>
      <c r="B635" s="159"/>
      <c r="C635" s="159"/>
      <c r="D635" s="159"/>
      <c r="E635" s="17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244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8" t="s">
        <v>246</v>
      </c>
      <c r="B648" s="159"/>
      <c r="C648" s="159"/>
      <c r="D648" s="159"/>
      <c r="E648" s="17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244</v>
      </c>
      <c r="O648" s="39"/>
    </row>
    <row r="649" spans="1:15" ht="18" customHeight="1">
      <c r="A649" s="160" t="s">
        <v>247</v>
      </c>
      <c r="B649" s="161"/>
      <c r="C649" s="161"/>
      <c r="D649" s="161"/>
      <c r="E649" s="17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248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8" t="s">
        <v>243</v>
      </c>
      <c r="B662" s="159"/>
      <c r="C662" s="159"/>
      <c r="D662" s="159"/>
      <c r="E662" s="17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244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8" t="s">
        <v>246</v>
      </c>
      <c r="B675" s="159"/>
      <c r="C675" s="159"/>
      <c r="D675" s="159"/>
      <c r="E675" s="17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244</v>
      </c>
      <c r="O675" s="39"/>
    </row>
    <row r="676" spans="1:15" ht="18" customHeight="1">
      <c r="A676" s="160" t="s">
        <v>247</v>
      </c>
      <c r="B676" s="161"/>
      <c r="C676" s="161"/>
      <c r="D676" s="161"/>
      <c r="E676" s="17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248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8" t="s">
        <v>243</v>
      </c>
      <c r="B689" s="159"/>
      <c r="C689" s="159"/>
      <c r="D689" s="159"/>
      <c r="E689" s="17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244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8" t="s">
        <v>246</v>
      </c>
      <c r="B702" s="159"/>
      <c r="C702" s="159"/>
      <c r="D702" s="159"/>
      <c r="E702" s="17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244</v>
      </c>
      <c r="O702" s="39"/>
    </row>
    <row r="703" spans="1:15" ht="18" customHeight="1">
      <c r="A703" s="160" t="s">
        <v>247</v>
      </c>
      <c r="B703" s="161"/>
      <c r="C703" s="161"/>
      <c r="D703" s="161"/>
      <c r="E703" s="17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248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8" t="s">
        <v>243</v>
      </c>
      <c r="B716" s="159"/>
      <c r="C716" s="159"/>
      <c r="D716" s="159"/>
      <c r="E716" s="17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244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8" t="s">
        <v>246</v>
      </c>
      <c r="B729" s="159"/>
      <c r="C729" s="159"/>
      <c r="D729" s="159"/>
      <c r="E729" s="17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244</v>
      </c>
      <c r="O729" s="39"/>
    </row>
    <row r="730" spans="1:15" ht="18" customHeight="1">
      <c r="A730" s="160" t="s">
        <v>247</v>
      </c>
      <c r="B730" s="161"/>
      <c r="C730" s="161"/>
      <c r="D730" s="161"/>
      <c r="E730" s="17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248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8" t="s">
        <v>243</v>
      </c>
      <c r="B743" s="159"/>
      <c r="C743" s="159"/>
      <c r="D743" s="159"/>
      <c r="E743" s="17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244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8" t="s">
        <v>246</v>
      </c>
      <c r="B756" s="159"/>
      <c r="C756" s="159"/>
      <c r="D756" s="159"/>
      <c r="E756" s="17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244</v>
      </c>
      <c r="O756" s="39"/>
    </row>
    <row r="757" spans="1:15" ht="18" customHeight="1">
      <c r="A757" s="160" t="s">
        <v>247</v>
      </c>
      <c r="B757" s="161"/>
      <c r="C757" s="161"/>
      <c r="D757" s="161"/>
      <c r="E757" s="17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248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8" t="s">
        <v>243</v>
      </c>
      <c r="B770" s="159"/>
      <c r="C770" s="159"/>
      <c r="D770" s="159"/>
      <c r="E770" s="17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244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8" t="s">
        <v>246</v>
      </c>
      <c r="B783" s="159"/>
      <c r="C783" s="159"/>
      <c r="D783" s="159"/>
      <c r="E783" s="17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244</v>
      </c>
      <c r="O783" s="39"/>
    </row>
    <row r="784" spans="1:15" ht="18" customHeight="1">
      <c r="A784" s="160" t="s">
        <v>247</v>
      </c>
      <c r="B784" s="161"/>
      <c r="C784" s="161"/>
      <c r="D784" s="161"/>
      <c r="E784" s="17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248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8" t="s">
        <v>243</v>
      </c>
      <c r="B797" s="159"/>
      <c r="C797" s="159"/>
      <c r="D797" s="159"/>
      <c r="E797" s="17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244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8" t="s">
        <v>246</v>
      </c>
      <c r="B810" s="159"/>
      <c r="C810" s="159"/>
      <c r="D810" s="159"/>
      <c r="E810" s="17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244</v>
      </c>
      <c r="O810" s="39"/>
    </row>
    <row r="811" spans="1:15" ht="18" customHeight="1">
      <c r="A811" s="172" t="s">
        <v>247</v>
      </c>
      <c r="B811" s="173"/>
      <c r="C811" s="173"/>
      <c r="D811" s="173"/>
      <c r="E811" s="174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248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8" t="s">
        <v>243</v>
      </c>
      <c r="B824" s="159"/>
      <c r="C824" s="159"/>
      <c r="D824" s="159"/>
      <c r="E824" s="17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244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8" t="s">
        <v>246</v>
      </c>
      <c r="B837" s="159"/>
      <c r="C837" s="159"/>
      <c r="D837" s="159"/>
      <c r="E837" s="17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244</v>
      </c>
      <c r="O837" s="39"/>
    </row>
    <row r="838" spans="1:15" ht="18" customHeight="1">
      <c r="A838" s="160" t="s">
        <v>247</v>
      </c>
      <c r="B838" s="161"/>
      <c r="C838" s="161"/>
      <c r="D838" s="161"/>
      <c r="E838" s="17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248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7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381 E383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375" activePane="bottomLeft" state="frozen"/>
      <selection pane="bottomLeft" activeCell="G401" sqref="G401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133" t="s">
        <v>19</v>
      </c>
      <c r="G1" s="23" t="s">
        <v>234</v>
      </c>
      <c r="H1" s="133" t="s">
        <v>269</v>
      </c>
      <c r="I1" s="133" t="s">
        <v>20</v>
      </c>
      <c r="J1" s="133" t="s">
        <v>270</v>
      </c>
      <c r="K1" s="23" t="s">
        <v>235</v>
      </c>
      <c r="L1" s="23" t="s">
        <v>21</v>
      </c>
      <c r="M1" s="23" t="s">
        <v>22</v>
      </c>
      <c r="N1" s="23" t="s">
        <v>236</v>
      </c>
      <c r="O1" s="23" t="s">
        <v>237</v>
      </c>
      <c r="P1" s="23" t="s">
        <v>238</v>
      </c>
      <c r="Q1" s="24" t="s">
        <v>239</v>
      </c>
      <c r="R1" s="23" t="s">
        <v>240</v>
      </c>
      <c r="S1" s="23" t="s">
        <v>241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258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167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271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258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258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258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137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272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258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273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258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138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258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138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258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258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258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258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258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8" t="s">
        <v>243</v>
      </c>
      <c r="B14" s="159"/>
      <c r="C14" s="159"/>
      <c r="D14" s="159"/>
      <c r="E14" s="159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244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258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258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258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142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258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165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258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142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274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258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275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258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258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258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258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258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258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8" t="s">
        <v>246</v>
      </c>
      <c r="B27" s="159"/>
      <c r="C27" s="159"/>
      <c r="D27" s="159"/>
      <c r="E27" s="159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244</v>
      </c>
      <c r="S27" s="45">
        <v>549860</v>
      </c>
      <c r="T27" s="122"/>
    </row>
    <row r="28" spans="1:20" ht="18" customHeight="1">
      <c r="A28" s="160" t="s">
        <v>247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248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258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165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258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258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258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258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258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258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258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258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258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258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258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8" t="s">
        <v>243</v>
      </c>
      <c r="B41" s="159"/>
      <c r="C41" s="159"/>
      <c r="D41" s="159"/>
      <c r="E41" s="159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244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258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258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258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258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167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258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258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167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258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276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258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277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258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258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258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137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278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258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137</v>
      </c>
      <c r="O53" s="29">
        <v>0.12152777777777778</v>
      </c>
      <c r="P53" s="29"/>
      <c r="Q53" s="30">
        <f t="shared" ca="1" si="11"/>
        <v>3.1410879601025954E-3</v>
      </c>
      <c r="R53" s="46" t="s">
        <v>279</v>
      </c>
      <c r="S53" s="31"/>
    </row>
    <row r="54" spans="1:20" ht="15.75" customHeight="1" thickBot="1">
      <c r="A54" s="158" t="s">
        <v>246</v>
      </c>
      <c r="B54" s="159"/>
      <c r="C54" s="159"/>
      <c r="D54" s="159"/>
      <c r="E54" s="159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0.14202997684899149</v>
      </c>
      <c r="R54" s="36" t="s">
        <v>244</v>
      </c>
      <c r="S54" s="75">
        <v>352430</v>
      </c>
      <c r="T54" s="117"/>
    </row>
    <row r="55" spans="1:20" ht="18" customHeight="1">
      <c r="A55" s="160" t="s">
        <v>247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0.2267521990712138</v>
      </c>
      <c r="R55" s="40" t="s">
        <v>248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258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258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130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258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130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258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130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258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130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258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130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258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130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258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271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258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258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258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258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8" t="s">
        <v>243</v>
      </c>
      <c r="B68" s="159"/>
      <c r="C68" s="159"/>
      <c r="D68" s="159"/>
      <c r="E68" s="159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244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258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156</v>
      </c>
      <c r="N69" s="26" t="s">
        <v>193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258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142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258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165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258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258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258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165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258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258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208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280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258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258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258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258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8" t="s">
        <v>246</v>
      </c>
      <c r="B81" s="159"/>
      <c r="C81" s="159"/>
      <c r="D81" s="159"/>
      <c r="E81" s="159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244</v>
      </c>
      <c r="S81" s="54">
        <v>634210</v>
      </c>
      <c r="T81" s="118"/>
    </row>
    <row r="82" spans="1:20" ht="18" customHeight="1">
      <c r="A82" s="160" t="s">
        <v>247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248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258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145</v>
      </c>
      <c r="N83" s="33" t="s">
        <v>218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258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258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258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258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145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258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258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258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258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258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258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258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8" t="s">
        <v>243</v>
      </c>
      <c r="B95" s="159"/>
      <c r="C95" s="159"/>
      <c r="D95" s="159"/>
      <c r="E95" s="159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244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258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148</v>
      </c>
      <c r="N96" s="26" t="s">
        <v>125</v>
      </c>
      <c r="O96" s="29">
        <v>0.79166666666666663</v>
      </c>
      <c r="P96" s="29" t="s">
        <v>281</v>
      </c>
      <c r="Q96" s="30" t="str">
        <f t="shared" ref="Q96:Q107" ca="1" si="22">IFERROR(IF(O96="","",IF(P96="",MOD(NOW()-O96,1),IF(P96&gt;=O96,P96-O96,P96+1-O96))),"")</f>
        <v/>
      </c>
      <c r="R96" s="46" t="s">
        <v>282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258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245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258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283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258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191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284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258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245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258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258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258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258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258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258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258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8" t="s">
        <v>246</v>
      </c>
      <c r="B108" s="159"/>
      <c r="C108" s="159"/>
      <c r="D108" s="159"/>
      <c r="E108" s="159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244</v>
      </c>
      <c r="S108" s="54">
        <v>456830</v>
      </c>
      <c r="T108" s="118"/>
    </row>
    <row r="109" spans="1:20" ht="18" customHeight="1">
      <c r="A109" s="160" t="s">
        <v>247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248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258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164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258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285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258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164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258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258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258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258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258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258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258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258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258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8" t="s">
        <v>243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244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258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167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258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164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258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142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258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142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258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130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258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258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258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258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258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258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258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8" t="s">
        <v>246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244</v>
      </c>
      <c r="S135" s="54">
        <v>756720</v>
      </c>
      <c r="T135" s="118"/>
    </row>
    <row r="136" spans="1:20" ht="18" customHeight="1">
      <c r="A136" s="160" t="s">
        <v>247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248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258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258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258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286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258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258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287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258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258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258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167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258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288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258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258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258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8" t="s">
        <v>243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244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258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258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289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258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258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258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258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258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258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258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258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258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258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8" t="s">
        <v>246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244</v>
      </c>
      <c r="S162" s="54">
        <v>501750</v>
      </c>
      <c r="T162" s="118"/>
    </row>
    <row r="163" spans="1:20" ht="18" customHeight="1">
      <c r="A163" s="160" t="s">
        <v>247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248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258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258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258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258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165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258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165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258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258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258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258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258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258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258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8" t="s">
        <v>243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244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258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258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258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130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258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156</v>
      </c>
      <c r="N180" s="26" t="s">
        <v>141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258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290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258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287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258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291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258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258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258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258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258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8" t="s">
        <v>246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244</v>
      </c>
      <c r="S189" s="45">
        <v>362530</v>
      </c>
      <c r="T189" s="122"/>
    </row>
    <row r="190" spans="1:20" ht="18" customHeight="1">
      <c r="A190" s="160" t="s">
        <v>247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248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258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292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258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156</v>
      </c>
      <c r="N192" s="26" t="s">
        <v>190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258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156</v>
      </c>
      <c r="N193" s="26" t="s">
        <v>190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258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258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285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258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174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258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130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258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130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258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258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258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258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8" t="s">
        <v>243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244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258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258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167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258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167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258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258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258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258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258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258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258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258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258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8" t="s">
        <v>246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244</v>
      </c>
      <c r="S216" s="45">
        <v>609740</v>
      </c>
      <c r="T216" s="122"/>
    </row>
    <row r="217" spans="1:20" ht="18" customHeight="1">
      <c r="A217" s="160" t="s">
        <v>247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248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258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179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280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258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258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245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258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293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242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258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142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294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258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142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295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258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258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258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258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258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9" t="s">
        <v>243</v>
      </c>
      <c r="B230" s="170"/>
      <c r="C230" s="170"/>
      <c r="D230" s="170"/>
      <c r="E230" s="170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244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258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245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242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167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258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242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167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242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242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242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242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242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242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242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242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8" t="s">
        <v>246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244</v>
      </c>
      <c r="S243" s="45">
        <v>825930</v>
      </c>
      <c r="T243" s="122"/>
    </row>
    <row r="244" spans="1:20" ht="18" customHeight="1">
      <c r="A244" s="160" t="s">
        <v>247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248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242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174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242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242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242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258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258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258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258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258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258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258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258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8" t="s">
        <v>243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244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258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258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258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258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258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258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258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258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258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258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258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258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8" t="s">
        <v>246</v>
      </c>
      <c r="B270" s="159"/>
      <c r="C270" s="159"/>
      <c r="D270" s="159"/>
      <c r="E270" s="159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244</v>
      </c>
      <c r="S270" s="45">
        <v>732130</v>
      </c>
      <c r="T270" s="122"/>
    </row>
    <row r="271" spans="1:20" ht="18" customHeight="1">
      <c r="A271" s="160" t="s">
        <v>247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248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258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258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258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258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258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258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258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258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258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258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242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258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8" t="s">
        <v>243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244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242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242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258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258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242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242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242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242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242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242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242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242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8" t="s">
        <v>246</v>
      </c>
      <c r="B297" s="159"/>
      <c r="C297" s="159"/>
      <c r="D297" s="159"/>
      <c r="E297" s="159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244</v>
      </c>
      <c r="S297" s="45">
        <v>990260</v>
      </c>
      <c r="T297" s="122"/>
    </row>
    <row r="298" spans="1:20" ht="18" customHeight="1">
      <c r="A298" s="160" t="s">
        <v>247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248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258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142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258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258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258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258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258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258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258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258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258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258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258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8" t="s">
        <v>243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244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258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167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258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2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258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164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258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258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167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258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145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258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258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258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142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258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258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258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8" t="s">
        <v>246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244</v>
      </c>
      <c r="S324" s="149">
        <v>725030</v>
      </c>
      <c r="T324" s="122">
        <f>IFERROR(J324,"")</f>
        <v>104.40432</v>
      </c>
    </row>
    <row r="325" spans="1:20" ht="18" customHeight="1">
      <c r="A325" s="160" t="s">
        <v>247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248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242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137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296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242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242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145</v>
      </c>
      <c r="N328" s="26" t="s">
        <v>137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297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242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145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298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242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133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242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145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299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258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179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300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258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258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258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258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258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8" t="s">
        <v>243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244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258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258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258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292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258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174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258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204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287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258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164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258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164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258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142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258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142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258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258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258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8" t="s">
        <v>246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244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247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248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258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280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258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258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258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258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167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258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258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258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258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258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258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258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8" t="s">
        <v>243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244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258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258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145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301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258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167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258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258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167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258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258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258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258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258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258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258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8" t="s">
        <v>246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244</v>
      </c>
      <c r="S378" s="45">
        <v>806300</v>
      </c>
      <c r="T378" s="122">
        <f>IFERROR(J378,"")</f>
        <v>169.32299999999998</v>
      </c>
    </row>
    <row r="379" spans="1:20" ht="18" customHeight="1">
      <c r="A379" s="160" t="s">
        <v>247</v>
      </c>
      <c r="B379" s="161"/>
      <c r="C379" s="161"/>
      <c r="D379" s="161"/>
      <c r="E379" s="161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248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258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258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258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258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167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258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258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150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302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258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258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258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258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258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258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8" t="s">
        <v>243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244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258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0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0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164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258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0</v>
      </c>
      <c r="I394" s="135">
        <f>IFERROR(IF($D394="","",VLOOKUP($D394,Cadastro!$C$4:$G$7,5,FALSE)),"")</f>
        <v>0.6</v>
      </c>
      <c r="J394" s="136">
        <f t="shared" si="94"/>
        <v>0</v>
      </c>
      <c r="K394" s="28">
        <f t="shared" si="95"/>
        <v>92.4</v>
      </c>
      <c r="L394" s="26" t="s">
        <v>26</v>
      </c>
      <c r="M394" s="26" t="s">
        <v>167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258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0</v>
      </c>
      <c r="I395" s="135">
        <f>IFERROR(IF($D395="","",VLOOKUP($D395,Cadastro!$C$4:$G$7,5,FALSE)),"")</f>
        <v>0.6</v>
      </c>
      <c r="J395" s="136">
        <f t="shared" si="94"/>
        <v>0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258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0</v>
      </c>
      <c r="I396" s="135">
        <f>IFERROR(IF($D396="","",VLOOKUP($D396,Cadastro!$C$4:$G$7,5,FALSE)),"")</f>
        <v>0.6</v>
      </c>
      <c r="J396" s="136">
        <f t="shared" si="94"/>
        <v>0</v>
      </c>
      <c r="K396" s="28">
        <f t="shared" si="95"/>
        <v>109.2</v>
      </c>
      <c r="L396" s="26" t="s">
        <v>26</v>
      </c>
      <c r="M396" s="26" t="s">
        <v>167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303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258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0</v>
      </c>
      <c r="I397" s="135">
        <f>IFERROR(IF($D397="","",VLOOKUP($D397,Cadastro!$C$4:$G$7,5,FALSE)),"")</f>
        <v>0.6</v>
      </c>
      <c r="J397" s="136">
        <f t="shared" si="94"/>
        <v>0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258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0</v>
      </c>
      <c r="I398" s="135">
        <f>IFERROR(IF($D398="","",VLOOKUP($D398,Cadastro!$C$4:$G$7,5,FALSE)),"")</f>
        <v>0.6</v>
      </c>
      <c r="J398" s="136">
        <f t="shared" si="94"/>
        <v>0</v>
      </c>
      <c r="K398" s="28">
        <f t="shared" si="95"/>
        <v>25.200000000000003</v>
      </c>
      <c r="L398" s="26"/>
      <c r="M398" s="26"/>
      <c r="N398" s="26"/>
      <c r="O398" s="29"/>
      <c r="P398" s="29"/>
      <c r="Q398" s="30" t="str">
        <f t="shared" ca="1" si="96"/>
        <v/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258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0</v>
      </c>
      <c r="I399" s="135">
        <f>IFERROR(IF($D399="","",VLOOKUP($D399,Cadastro!$C$4:$G$7,5,FALSE)),"")</f>
        <v>0.6</v>
      </c>
      <c r="J399" s="136">
        <f t="shared" si="94"/>
        <v>0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258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0</v>
      </c>
      <c r="I400" s="135">
        <f>IFERROR(IF($D400="","",VLOOKUP($D400,Cadastro!$C$4:$G$7,5,FALSE)),"")</f>
        <v>0.6</v>
      </c>
      <c r="J400" s="136">
        <f t="shared" si="94"/>
        <v>0</v>
      </c>
      <c r="K400" s="28">
        <f t="shared" si="95"/>
        <v>100.80000000000001</v>
      </c>
      <c r="L400" s="26"/>
      <c r="M400" s="26"/>
      <c r="N400" s="26"/>
      <c r="O400" s="29"/>
      <c r="P400" s="29"/>
      <c r="Q400" s="30" t="str">
        <f t="shared" ca="1" si="96"/>
        <v/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258</v>
      </c>
      <c r="F401" s="134">
        <f>IFERROR(IF($D401="","",VLOOKUP($D401,Cadastro!$C$4:$E$7,3,FALSE)),"")</f>
        <v>0.35</v>
      </c>
      <c r="G401" s="105"/>
      <c r="H401" s="134" t="str">
        <f>IFERROR(IF($G401="","",$G401*$S$405/$G$405/Cadastro!$E$33),"")</f>
        <v/>
      </c>
      <c r="I401" s="135">
        <f>IFERROR(IF($D401="","",VLOOKUP($D401,Cadastro!$C$4:$G$7,5,FALSE)),"")</f>
        <v>0.6</v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29</v>
      </c>
      <c r="E402" s="109" t="s">
        <v>258</v>
      </c>
      <c r="F402" s="134">
        <f>IFERROR(IF($D402="","",VLOOKUP($D402,Cadastro!$C$4:$E$7,3,FALSE)),"")</f>
        <v>0.35</v>
      </c>
      <c r="G402" s="105"/>
      <c r="H402" s="134" t="str">
        <f>IFERROR(IF($G402="","",$G402*$S$405/$G$405/Cadastro!$E$33),"")</f>
        <v/>
      </c>
      <c r="I402" s="135">
        <f>IFERROR(IF($D402="","",VLOOKUP($D402,Cadastro!$C$4:$G$7,5,FALSE)),"")</f>
        <v>0.6</v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29</v>
      </c>
      <c r="E403" s="109" t="s">
        <v>258</v>
      </c>
      <c r="F403" s="134">
        <f>IFERROR(IF($D403="","",VLOOKUP($D403,Cadastro!$C$4:$E$7,3,FALSE)),"")</f>
        <v>0.35</v>
      </c>
      <c r="G403" s="105"/>
      <c r="H403" s="134" t="str">
        <f>IFERROR(IF($G403="","",$G403*$S$405/$G$405/Cadastro!$E$33),"")</f>
        <v/>
      </c>
      <c r="I403" s="135">
        <f>IFERROR(IF($D403="","",VLOOKUP($D403,Cadastro!$C$4:$G$7,5,FALSE)),"")</f>
        <v>0.6</v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29</v>
      </c>
      <c r="E404" s="109" t="s">
        <v>258</v>
      </c>
      <c r="F404" s="137">
        <f>IFERROR(IF($D404="","",VLOOKUP($D404,Cadastro!$C$4:$E$7,3,FALSE)),"")</f>
        <v>0.35</v>
      </c>
      <c r="G404" s="105"/>
      <c r="H404" s="137" t="str">
        <f>IFERROR(IF($G404="","",$G404*$S$405/$G$405/Cadastro!$E$33),"")</f>
        <v/>
      </c>
      <c r="I404" s="138">
        <f>IFERROR(IF($D404="","",VLOOKUP($D404,Cadastro!$C$4:$G$7,5,FALSE)),"")</f>
        <v>0.6</v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8" t="s">
        <v>246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130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546</v>
      </c>
      <c r="L405" s="37"/>
      <c r="M405" s="37"/>
      <c r="N405" s="37"/>
      <c r="O405" s="37"/>
      <c r="P405" s="37"/>
      <c r="Q405" s="38">
        <f ca="1">IFERROR(SUM(Q393:Q404),"")</f>
        <v>8.611111111111118E-2</v>
      </c>
      <c r="R405" s="36" t="s">
        <v>244</v>
      </c>
      <c r="S405" s="45"/>
      <c r="T405" s="122">
        <f>IFERROR(J405,"")</f>
        <v>0</v>
      </c>
    </row>
    <row r="406" spans="1:20" ht="18" customHeight="1">
      <c r="A406" s="160" t="s">
        <v>247</v>
      </c>
      <c r="B406" s="161"/>
      <c r="C406" s="161"/>
      <c r="D406" s="161"/>
      <c r="E406" s="161">
        <f>E392+E405</f>
        <v>0</v>
      </c>
      <c r="F406" s="112"/>
      <c r="G406" s="91">
        <f>G392+G405</f>
        <v>296</v>
      </c>
      <c r="H406" s="112">
        <f>IFERROR(H392+H405,"")</f>
        <v>820.31999999999994</v>
      </c>
      <c r="I406" s="116"/>
      <c r="J406" s="125">
        <f>IFERROR(J392+J405,"")</f>
        <v>162.80881156626504</v>
      </c>
      <c r="K406" s="40">
        <f>K392+K405</f>
        <v>1243.2000000000003</v>
      </c>
      <c r="L406" s="41"/>
      <c r="M406" s="41"/>
      <c r="N406" s="41"/>
      <c r="O406" s="41"/>
      <c r="P406" s="41"/>
      <c r="Q406" s="42">
        <f ca="1">IFERROR(Q392+Q405,"")</f>
        <v>0.15833333333333338</v>
      </c>
      <c r="R406" s="40" t="s">
        <v>248</v>
      </c>
      <c r="S406" s="143">
        <f>IFERROR(S392+S405,"")</f>
        <v>820320</v>
      </c>
      <c r="T406" s="144">
        <f>IFERROR(J406,"")</f>
        <v>162.80881156626504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26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8" t="s">
        <v>243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244</v>
      </c>
      <c r="S419" s="45"/>
      <c r="T419" s="122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246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244</v>
      </c>
      <c r="S432" s="45"/>
      <c r="T432" s="122">
        <f>IFERROR(J432,"")</f>
        <v>0</v>
      </c>
    </row>
    <row r="433" spans="1:20" ht="18" customHeight="1">
      <c r="A433" s="83" t="s">
        <v>247</v>
      </c>
      <c r="B433" s="82"/>
      <c r="C433" s="82"/>
      <c r="D433" s="82"/>
      <c r="E433" s="82"/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248</v>
      </c>
      <c r="S433" s="143">
        <f>IFERROR(S419+S432,"")</f>
        <v>0</v>
      </c>
      <c r="T433" s="144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8" t="s">
        <v>243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244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8" t="s">
        <v>246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244</v>
      </c>
      <c r="S459" s="45"/>
      <c r="T459" s="122">
        <f>IFERROR(J459,"")</f>
        <v>0</v>
      </c>
    </row>
    <row r="460" spans="1:20" ht="18" customHeight="1">
      <c r="A460" s="160" t="s">
        <v>247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248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8" t="s">
        <v>243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244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8" t="s">
        <v>246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244</v>
      </c>
      <c r="S486" s="45"/>
      <c r="T486" s="122">
        <f>IFERROR(J486,"")</f>
        <v>0</v>
      </c>
    </row>
    <row r="487" spans="1:20" ht="18" customHeight="1">
      <c r="A487" s="160" t="s">
        <v>247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248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8" t="s">
        <v>243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244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246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244</v>
      </c>
      <c r="S513" s="45"/>
      <c r="T513" s="122">
        <f>IFERROR(J513,"")</f>
        <v>0</v>
      </c>
    </row>
    <row r="514" spans="1:20" ht="18" customHeight="1">
      <c r="A514" s="83" t="s">
        <v>247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248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8" t="s">
        <v>243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244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8" t="s">
        <v>246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244</v>
      </c>
      <c r="S540" s="45"/>
      <c r="T540" s="122">
        <f>IFERROR(J540,"")</f>
        <v>0</v>
      </c>
    </row>
    <row r="541" spans="1:20" ht="18" customHeight="1">
      <c r="A541" s="160" t="s">
        <v>247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248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8" t="s">
        <v>243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244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8" t="s">
        <v>246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244</v>
      </c>
      <c r="S567" s="45"/>
      <c r="T567" s="122">
        <f>IFERROR(J567,"")</f>
        <v>0</v>
      </c>
    </row>
    <row r="568" spans="1:20" ht="18" customHeight="1">
      <c r="A568" s="160" t="s">
        <v>247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248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8" t="s">
        <v>243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244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8" t="s">
        <v>246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244</v>
      </c>
      <c r="S594" s="45"/>
      <c r="T594" s="122">
        <f>IFERROR(J594,"")</f>
        <v>0</v>
      </c>
    </row>
    <row r="595" spans="1:20" ht="18" customHeight="1">
      <c r="A595" s="160" t="s">
        <v>247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248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8" t="s">
        <v>243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244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8" t="s">
        <v>246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244</v>
      </c>
      <c r="S621" s="45"/>
      <c r="T621" s="122">
        <f>IFERROR(J621,"")</f>
        <v>0</v>
      </c>
    </row>
    <row r="622" spans="1:20" ht="18" customHeight="1">
      <c r="A622" s="160" t="s">
        <v>247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248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8" t="s">
        <v>243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244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8" t="s">
        <v>246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244</v>
      </c>
      <c r="S648" s="45"/>
      <c r="T648" s="122">
        <f>IFERROR(J648,"")</f>
        <v>0</v>
      </c>
    </row>
    <row r="649" spans="1:20" ht="18" customHeight="1">
      <c r="A649" s="160" t="s">
        <v>247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248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8" t="s">
        <v>243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244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8" t="s">
        <v>246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244</v>
      </c>
      <c r="S675" s="45"/>
      <c r="T675" s="122">
        <f>IFERROR(J675,"")</f>
        <v>0</v>
      </c>
    </row>
    <row r="676" spans="1:20" ht="18" customHeight="1">
      <c r="A676" s="160" t="s">
        <v>247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248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8" t="s">
        <v>243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244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8" t="s">
        <v>246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244</v>
      </c>
      <c r="S702" s="45"/>
      <c r="T702" s="122">
        <f>IFERROR(J702,"")</f>
        <v>0</v>
      </c>
    </row>
    <row r="703" spans="1:20" ht="18" customHeight="1">
      <c r="A703" s="160" t="s">
        <v>247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248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8" t="s">
        <v>243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244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8" t="s">
        <v>246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244</v>
      </c>
      <c r="S729" s="45"/>
      <c r="T729" s="122">
        <f>IFERROR(J729,"")</f>
        <v>0</v>
      </c>
    </row>
    <row r="730" spans="1:20" ht="18" customHeight="1">
      <c r="A730" s="160" t="s">
        <v>247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248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8" t="s">
        <v>243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244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8" t="s">
        <v>246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244</v>
      </c>
      <c r="S756" s="39"/>
      <c r="T756" s="119">
        <f>IFERROR(J756,"")</f>
        <v>0</v>
      </c>
    </row>
    <row r="757" spans="1:20" ht="18" customHeight="1">
      <c r="A757" s="160" t="s">
        <v>247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248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8" t="s">
        <v>243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244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8" t="s">
        <v>246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244</v>
      </c>
      <c r="S783" s="39"/>
      <c r="T783" s="119">
        <f>IFERROR(J783,"")</f>
        <v>0</v>
      </c>
    </row>
    <row r="784" spans="1:20" ht="18" customHeight="1">
      <c r="A784" s="160" t="s">
        <v>247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248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8" t="s">
        <v>243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244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8" t="s">
        <v>246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244</v>
      </c>
      <c r="S810" s="39"/>
      <c r="T810" s="119">
        <f>IFERROR(J810,"")</f>
        <v>0</v>
      </c>
    </row>
    <row r="811" spans="1:20" ht="18" customHeight="1">
      <c r="A811" s="160" t="s">
        <v>247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248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8" t="s">
        <v>243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244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8" t="s">
        <v>246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244</v>
      </c>
      <c r="S837" s="75"/>
      <c r="T837" s="117">
        <f>IFERROR(J837,"")</f>
        <v>0</v>
      </c>
    </row>
    <row r="838" spans="1:20" ht="18" customHeight="1">
      <c r="A838" s="160" t="s">
        <v>247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248</v>
      </c>
      <c r="S838" s="13">
        <f>IFERROR(S824+S837,"")</f>
        <v>0</v>
      </c>
      <c r="T838" s="97">
        <f>IFERROR(J838,"")</f>
        <v>0</v>
      </c>
    </row>
  </sheetData>
  <sheetProtection algorithmName="SHA-512" hashValue="zbs9plIZO6EiPtTW7n0EqTmQU041f0rxb2y6n8rm+4+jdyLB/NN4IL/5yH5aj3yDbuCjGt/aSCEZqru5kmSYJw==" saltValue="uiud2b9tEPsDKK7CeIPPqA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382" activePane="bottomLeft" state="frozen"/>
      <selection pane="bottomLeft" activeCell="G401" sqref="G401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32.71093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133" t="s">
        <v>19</v>
      </c>
      <c r="G1" s="23" t="s">
        <v>234</v>
      </c>
      <c r="H1" s="133" t="s">
        <v>269</v>
      </c>
      <c r="I1" s="133" t="s">
        <v>20</v>
      </c>
      <c r="J1" s="133" t="s">
        <v>270</v>
      </c>
      <c r="K1" s="23" t="s">
        <v>235</v>
      </c>
      <c r="L1" s="23" t="s">
        <v>21</v>
      </c>
      <c r="M1" s="23" t="s">
        <v>22</v>
      </c>
      <c r="N1" s="23" t="s">
        <v>236</v>
      </c>
      <c r="O1" s="23" t="s">
        <v>237</v>
      </c>
      <c r="P1" s="23" t="s">
        <v>238</v>
      </c>
      <c r="Q1" s="24" t="s">
        <v>239</v>
      </c>
      <c r="R1" s="23" t="s">
        <v>240</v>
      </c>
      <c r="S1" s="23" t="s">
        <v>241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258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258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258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258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258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258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258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258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258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258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258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258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8" t="s">
        <v>243</v>
      </c>
      <c r="B14" s="159"/>
      <c r="C14" s="159"/>
      <c r="D14" s="159"/>
      <c r="E14" s="159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244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258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304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258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142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258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165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258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142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274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258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169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305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258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258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258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258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258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258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258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8" t="s">
        <v>246</v>
      </c>
      <c r="B27" s="159"/>
      <c r="C27" s="159"/>
      <c r="D27" s="159"/>
      <c r="E27" s="159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244</v>
      </c>
      <c r="S27" s="39">
        <v>358000</v>
      </c>
      <c r="T27" s="119">
        <f>IFERROR(J27,"")</f>
        <v>0</v>
      </c>
    </row>
    <row r="28" spans="1:20" ht="18" customHeight="1">
      <c r="A28" s="160" t="s">
        <v>247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248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258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258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258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258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258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258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258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258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258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258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258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258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8" t="s">
        <v>243</v>
      </c>
      <c r="B41" s="159"/>
      <c r="C41" s="159"/>
      <c r="D41" s="159"/>
      <c r="E41" s="159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244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258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175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280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258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304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258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258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258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258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258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258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258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304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258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165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258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258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141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8" t="s">
        <v>246</v>
      </c>
      <c r="B54" s="159"/>
      <c r="C54" s="159"/>
      <c r="D54" s="159"/>
      <c r="E54" s="159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244</v>
      </c>
      <c r="S54" s="39">
        <v>279980</v>
      </c>
      <c r="T54" s="119">
        <f>IFERROR(J54,"")</f>
        <v>0</v>
      </c>
    </row>
    <row r="55" spans="1:20" ht="18" customHeight="1">
      <c r="A55" s="160" t="s">
        <v>247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248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258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130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258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130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258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258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258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130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258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258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137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306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258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258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258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258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258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8" t="s">
        <v>243</v>
      </c>
      <c r="B68" s="159"/>
      <c r="C68" s="159"/>
      <c r="D68" s="159"/>
      <c r="E68" s="159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244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258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307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258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156</v>
      </c>
      <c r="N70" s="26" t="s">
        <v>193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258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165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258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258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165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258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258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258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258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258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8" t="s">
        <v>246</v>
      </c>
      <c r="B81" s="159"/>
      <c r="C81" s="159"/>
      <c r="D81" s="159"/>
      <c r="E81" s="159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244</v>
      </c>
      <c r="S81" s="39">
        <v>185920</v>
      </c>
      <c r="T81" s="119">
        <f>IFERROR(J81,"")</f>
        <v>0</v>
      </c>
    </row>
    <row r="82" spans="1:20" ht="18" customHeight="1">
      <c r="A82" s="160" t="s">
        <v>247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248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258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308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258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145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309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258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258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258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258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258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258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258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258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258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258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8" t="s">
        <v>243</v>
      </c>
      <c r="B95" s="159"/>
      <c r="C95" s="159"/>
      <c r="D95" s="159"/>
      <c r="E95" s="159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244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258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145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258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145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310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258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258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165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258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258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258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258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258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258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258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258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8" t="s">
        <v>246</v>
      </c>
      <c r="B108" s="159"/>
      <c r="C108" s="159"/>
      <c r="D108" s="159"/>
      <c r="E108" s="159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244</v>
      </c>
      <c r="S108" s="39">
        <v>434370</v>
      </c>
      <c r="T108" s="119">
        <f>IFERROR(J108,"")</f>
        <v>0</v>
      </c>
    </row>
    <row r="109" spans="1:20" ht="18" customHeight="1">
      <c r="A109" s="160" t="s">
        <v>247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248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258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258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258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258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258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258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258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258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258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258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258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258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8" t="s">
        <v>243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244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258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165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258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165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258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311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258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258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142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258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258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138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258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258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206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258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258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258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8" t="s">
        <v>246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244</v>
      </c>
      <c r="S135" s="39">
        <v>416350</v>
      </c>
      <c r="T135" s="119">
        <f>IFERROR(J135,"")</f>
        <v>0</v>
      </c>
    </row>
    <row r="136" spans="1:20" ht="18" customHeight="1">
      <c r="A136" s="160" t="s">
        <v>247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248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258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312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258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258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212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258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145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258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258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258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258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288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258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258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258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258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8" t="s">
        <v>243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244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258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258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258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258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280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258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258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258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258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258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258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258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258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246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244</v>
      </c>
      <c r="S162" s="39">
        <v>169760</v>
      </c>
      <c r="T162" s="119">
        <f>IFERROR(J162,"")</f>
        <v>0</v>
      </c>
    </row>
    <row r="163" spans="1:20" ht="18" customHeight="1">
      <c r="A163" s="160" t="s">
        <v>247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248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258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258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258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313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258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258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258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258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258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258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165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258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165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258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258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243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244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258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258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258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314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258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130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258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156</v>
      </c>
      <c r="N181" s="33" t="s">
        <v>141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258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291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258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258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258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291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258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258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258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246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244</v>
      </c>
      <c r="S189" s="39">
        <v>72220</v>
      </c>
      <c r="T189" s="119">
        <f>IFERROR(J189,"")</f>
        <v>0</v>
      </c>
    </row>
    <row r="190" spans="1:20" ht="18" customHeight="1">
      <c r="A190" s="160" t="s">
        <v>247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248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258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258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258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258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156</v>
      </c>
      <c r="N194" s="26" t="s">
        <v>190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258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156</v>
      </c>
      <c r="N195" s="26" t="s">
        <v>190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258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258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258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258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258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130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258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130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258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243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244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258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258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315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258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258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258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258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258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258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258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258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258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258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8" t="s">
        <v>246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244</v>
      </c>
      <c r="S216" s="39">
        <v>148720</v>
      </c>
      <c r="T216" s="119">
        <f>IFERROR(J216,"")</f>
        <v>0</v>
      </c>
    </row>
    <row r="217" spans="1:20" ht="18" customHeight="1">
      <c r="A217" s="160" t="s">
        <v>247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248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258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142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258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258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165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258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142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316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242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142</v>
      </c>
      <c r="N222" s="26" t="s">
        <v>68</v>
      </c>
      <c r="O222" s="29">
        <v>0.69930555555555551</v>
      </c>
      <c r="P222" s="29" t="s">
        <v>317</v>
      </c>
      <c r="Q222" s="30" t="str">
        <f t="shared" ca="1" si="49"/>
        <v/>
      </c>
      <c r="R222" s="27" t="s">
        <v>318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258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258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258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258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258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258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258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8" t="s">
        <v>243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244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258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242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258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242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242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242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242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242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242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242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242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242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8" t="s">
        <v>246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244</v>
      </c>
      <c r="S243" s="39">
        <v>352720</v>
      </c>
      <c r="T243" s="119">
        <f>IFERROR(J243,"")</f>
        <v>0</v>
      </c>
    </row>
    <row r="244" spans="1:20" ht="18" customHeight="1">
      <c r="A244" s="160" t="s">
        <v>247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248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242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319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242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242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242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258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258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258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258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258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258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242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242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8" t="s">
        <v>243</v>
      </c>
      <c r="B257" s="159"/>
      <c r="C257" s="159"/>
      <c r="D257" s="159"/>
      <c r="E257" s="159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244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258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258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258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258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258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258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258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258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258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258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258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258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8" t="s">
        <v>246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244</v>
      </c>
      <c r="S270" s="39">
        <v>327900</v>
      </c>
      <c r="T270" s="119">
        <f>IFERROR(J270,"")</f>
        <v>0</v>
      </c>
    </row>
    <row r="271" spans="1:20" ht="18" customHeight="1">
      <c r="A271" s="160" t="s">
        <v>247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248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258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258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258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258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258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258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258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258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258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258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242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258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8" t="s">
        <v>243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244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242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242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258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242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242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242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242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242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242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242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242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242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8" t="s">
        <v>246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244</v>
      </c>
      <c r="S297" s="39">
        <v>462190</v>
      </c>
      <c r="T297" s="119">
        <f>IFERROR(J297,"")</f>
        <v>0</v>
      </c>
    </row>
    <row r="298" spans="1:20" ht="18" customHeight="1">
      <c r="A298" s="160" t="s">
        <v>247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248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258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206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258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206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258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191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258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258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258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258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258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258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258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258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258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8" t="s">
        <v>243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244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258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258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145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258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258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142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258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142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258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258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258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258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258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258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258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8" t="s">
        <v>246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244</v>
      </c>
      <c r="S324" s="39">
        <v>289490</v>
      </c>
      <c r="T324" s="119">
        <f>IFERROR(J324,"")</f>
        <v>41.68656</v>
      </c>
    </row>
    <row r="325" spans="1:20" ht="18" customHeight="1">
      <c r="A325" s="160" t="s">
        <v>247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248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242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145</v>
      </c>
      <c r="N326" s="26" t="s">
        <v>137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298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242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145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320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242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133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242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145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299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242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258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258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258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258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258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258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258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8" t="s">
        <v>243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244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258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258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142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258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142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258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258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258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258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258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258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258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258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258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8" t="s">
        <v>246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244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247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248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258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258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280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258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165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258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258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142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258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258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258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258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258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258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258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8" t="s">
        <v>243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244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258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258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142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258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212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258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258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258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258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258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258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258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258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258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8" t="s">
        <v>246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244</v>
      </c>
      <c r="S378" s="39">
        <v>360560</v>
      </c>
      <c r="T378" s="119">
        <f>IFERROR(J378,"")</f>
        <v>75.71759999999999</v>
      </c>
    </row>
    <row r="379" spans="1:20" ht="18" customHeight="1">
      <c r="A379" s="160" t="s">
        <v>247</v>
      </c>
      <c r="B379" s="161"/>
      <c r="C379" s="161"/>
      <c r="D379" s="161"/>
      <c r="E379" s="161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248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258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258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258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321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258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302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258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258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258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258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258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258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258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8" t="s">
        <v>243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244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258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0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0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258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0</v>
      </c>
      <c r="I394" s="135">
        <f>IFERROR(IF($D394="","",VLOOKUP($D394,Cadastro!$C$4:$G$7,5,FALSE)),"")</f>
        <v>0.6</v>
      </c>
      <c r="J394" s="136">
        <f t="shared" si="92"/>
        <v>0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258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0</v>
      </c>
      <c r="I395" s="135">
        <f>IFERROR(IF($D395="","",VLOOKUP($D395,Cadastro!$C$4:$G$7,5,FALSE)),"")</f>
        <v>0.6</v>
      </c>
      <c r="J395" s="136">
        <f t="shared" si="92"/>
        <v>0</v>
      </c>
      <c r="K395" s="34">
        <f t="shared" si="93"/>
        <v>25.200000000000003</v>
      </c>
      <c r="L395" s="33"/>
      <c r="M395" s="33"/>
      <c r="N395" s="33"/>
      <c r="O395" s="29"/>
      <c r="P395" s="29"/>
      <c r="Q395" s="35" t="str">
        <f t="shared" ca="1" si="94"/>
        <v/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258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0</v>
      </c>
      <c r="I396" s="135">
        <f>IFERROR(IF($D396="","",VLOOKUP($D396,Cadastro!$C$4:$G$7,5,FALSE)),"")</f>
        <v>0.6</v>
      </c>
      <c r="J396" s="136">
        <f t="shared" si="92"/>
        <v>0</v>
      </c>
      <c r="K396" s="28">
        <f t="shared" si="93"/>
        <v>29.400000000000002</v>
      </c>
      <c r="L396" s="26"/>
      <c r="M396" s="26"/>
      <c r="N396" s="26"/>
      <c r="O396" s="29"/>
      <c r="P396" s="29"/>
      <c r="Q396" s="30" t="str">
        <f t="shared" ca="1" si="94"/>
        <v/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258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0</v>
      </c>
      <c r="I397" s="135">
        <f>IFERROR(IF($D397="","",VLOOKUP($D397,Cadastro!$C$4:$G$7,5,FALSE)),"")</f>
        <v>0.6</v>
      </c>
      <c r="J397" s="136">
        <f t="shared" si="92"/>
        <v>0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258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0</v>
      </c>
      <c r="I398" s="135">
        <f>IFERROR(IF($D398="","",VLOOKUP($D398,Cadastro!$C$4:$G$7,5,FALSE)),"")</f>
        <v>0.6</v>
      </c>
      <c r="J398" s="136">
        <f t="shared" si="92"/>
        <v>0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258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0</v>
      </c>
      <c r="I399" s="135">
        <f>IFERROR(IF($D399="","",VLOOKUP($D399,Cadastro!$C$4:$G$7,5,FALSE)),"")</f>
        <v>0.6</v>
      </c>
      <c r="J399" s="136">
        <f t="shared" si="92"/>
        <v>0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258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0</v>
      </c>
      <c r="I400" s="135">
        <f>IFERROR(IF($D400="","",VLOOKUP($D400,Cadastro!$C$4:$G$7,5,FALSE)),"")</f>
        <v>0.6</v>
      </c>
      <c r="J400" s="136">
        <f t="shared" si="92"/>
        <v>0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258</v>
      </c>
      <c r="F401" s="134">
        <f>IFERROR(IF($D401="","",VLOOKUP($D401,Cadastro!$C$4:$E$7,3,FALSE)),"")</f>
        <v>0.35</v>
      </c>
      <c r="G401" s="105"/>
      <c r="H401" s="134" t="str">
        <f>IFERROR(IF($G401="","",$G401*$S$405/$G$405/Cadastro!$E$33),"")</f>
        <v/>
      </c>
      <c r="I401" s="135">
        <f>IFERROR(IF($D401="","",VLOOKUP($D401,Cadastro!$C$4:$G$7,5,FALSE)),"")</f>
        <v>0.6</v>
      </c>
      <c r="J401" s="136" t="str">
        <f t="shared" si="92"/>
        <v/>
      </c>
      <c r="K401" s="34" t="str">
        <f t="shared" si="93"/>
        <v/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29</v>
      </c>
      <c r="E402" s="109" t="s">
        <v>258</v>
      </c>
      <c r="F402" s="134">
        <f>IFERROR(IF($D402="","",VLOOKUP($D402,Cadastro!$C$4:$E$7,3,FALSE)),"")</f>
        <v>0.35</v>
      </c>
      <c r="G402" s="105"/>
      <c r="H402" s="134" t="str">
        <f>IFERROR(IF($G402="","",$G402*$S$405/$G$405/Cadastro!$E$33),"")</f>
        <v/>
      </c>
      <c r="I402" s="135">
        <f>IFERROR(IF($D402="","",VLOOKUP($D402,Cadastro!$C$4:$G$7,5,FALSE)),"")</f>
        <v>0.6</v>
      </c>
      <c r="J402" s="136" t="str">
        <f t="shared" si="92"/>
        <v/>
      </c>
      <c r="K402" s="28" t="str">
        <f t="shared" si="93"/>
        <v/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29</v>
      </c>
      <c r="E403" s="109" t="s">
        <v>258</v>
      </c>
      <c r="F403" s="134">
        <f>IFERROR(IF($D403="","",VLOOKUP($D403,Cadastro!$C$4:$E$7,3,FALSE)),"")</f>
        <v>0.35</v>
      </c>
      <c r="G403" s="105"/>
      <c r="H403" s="134" t="str">
        <f>IFERROR(IF($G403="","",$G403*$S$405/$G$405/Cadastro!$E$33),"")</f>
        <v/>
      </c>
      <c r="I403" s="135">
        <f>IFERROR(IF($D403="","",VLOOKUP($D403,Cadastro!$C$4:$G$7,5,FALSE)),"")</f>
        <v>0.6</v>
      </c>
      <c r="J403" s="136" t="str">
        <f t="shared" si="92"/>
        <v/>
      </c>
      <c r="K403" s="34" t="str">
        <f t="shared" si="93"/>
        <v/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29</v>
      </c>
      <c r="E404" s="109" t="s">
        <v>258</v>
      </c>
      <c r="F404" s="137">
        <f>IFERROR(IF($D404="","",VLOOKUP($D404,Cadastro!$C$4:$E$7,3,FALSE)),"")</f>
        <v>0.35</v>
      </c>
      <c r="G404" s="105"/>
      <c r="H404" s="137" t="str">
        <f>IFERROR(IF($G404="","",$G404*$S$405/$G$405/Cadastro!$E$33),"")</f>
        <v/>
      </c>
      <c r="I404" s="138">
        <f>IFERROR(IF($D404="","",VLOOKUP($D404,Cadastro!$C$4:$G$7,5,FALSE)),"")</f>
        <v>0.6</v>
      </c>
      <c r="J404" s="139" t="str">
        <f t="shared" si="92"/>
        <v/>
      </c>
      <c r="K404" s="28" t="str">
        <f t="shared" si="93"/>
        <v/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8" t="s">
        <v>246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90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378.00000000000006</v>
      </c>
      <c r="L405" s="37"/>
      <c r="M405" s="37"/>
      <c r="N405" s="37"/>
      <c r="O405" s="37"/>
      <c r="P405" s="37"/>
      <c r="Q405" s="38">
        <f ca="1">IFERROR(SUM(Q393:Q404),"")</f>
        <v>2.0138888888888817E-2</v>
      </c>
      <c r="R405" s="36" t="s">
        <v>244</v>
      </c>
      <c r="S405" s="39"/>
      <c r="T405" s="119">
        <f>IFERROR(J405,"")</f>
        <v>0</v>
      </c>
    </row>
    <row r="406" spans="1:20" ht="18" customHeight="1">
      <c r="A406" s="160" t="s">
        <v>247</v>
      </c>
      <c r="B406" s="161"/>
      <c r="C406" s="161"/>
      <c r="D406" s="161"/>
      <c r="E406" s="161">
        <f>E392+E405</f>
        <v>0</v>
      </c>
      <c r="F406" s="112"/>
      <c r="G406" s="91">
        <f>G392+G405</f>
        <v>182</v>
      </c>
      <c r="H406" s="112">
        <f>IFERROR(H392+H405,"")</f>
        <v>479.62000000000006</v>
      </c>
      <c r="I406" s="116"/>
      <c r="J406" s="125">
        <f>IFERROR(J392+J405,"")</f>
        <v>100.72019999999998</v>
      </c>
      <c r="K406" s="40">
        <f>K392+K405</f>
        <v>735</v>
      </c>
      <c r="L406" s="41"/>
      <c r="M406" s="41"/>
      <c r="N406" s="41"/>
      <c r="O406" s="41"/>
      <c r="P406" s="41"/>
      <c r="Q406" s="42">
        <f ca="1">IFERROR(Q392+Q405,"")</f>
        <v>9.375E-2</v>
      </c>
      <c r="R406" s="40" t="s">
        <v>248</v>
      </c>
      <c r="S406" s="48">
        <f>IFERROR(S392+S405,"")</f>
        <v>479620</v>
      </c>
      <c r="T406" s="121">
        <f>IFERROR(J406,"")</f>
        <v>100.72019999999998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6">IFERROR(IF($H407="","",$H407*$F407*$I407),"")</f>
        <v/>
      </c>
      <c r="K407" s="34" t="str">
        <f t="shared" ref="K407:K418" si="97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98">IFERROR(IF(O407="","",IF(P407="",MOD(NOW()-O407,1),IF(P407&gt;=O407,P407-O407,P407+1-O407))),"")</f>
        <v/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27"/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6"/>
        <v/>
      </c>
      <c r="K412" s="28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6"/>
        <v/>
      </c>
      <c r="K414" s="28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8" t="s">
        <v>243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244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8" t="s">
        <v>246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244</v>
      </c>
      <c r="S432" s="39"/>
      <c r="T432" s="119">
        <f>IFERROR(J432,"")</f>
        <v>0</v>
      </c>
    </row>
    <row r="433" spans="1:20" ht="18" customHeight="1">
      <c r="A433" s="160" t="s">
        <v>247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248</v>
      </c>
      <c r="S433" s="48">
        <f>IFERROR(S419+S432,"")</f>
        <v>0</v>
      </c>
      <c r="T433" s="121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8" t="s">
        <v>243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244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8" t="s">
        <v>246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244</v>
      </c>
      <c r="S459" s="39"/>
      <c r="T459" s="119">
        <f>IFERROR(J459,"")</f>
        <v>0</v>
      </c>
    </row>
    <row r="460" spans="1:20" ht="18" customHeight="1">
      <c r="A460" s="160" t="s">
        <v>247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248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8" t="s">
        <v>243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244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8" t="s">
        <v>246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244</v>
      </c>
      <c r="S486" s="39"/>
      <c r="T486" s="119">
        <f>IFERROR(J486,"")</f>
        <v>0</v>
      </c>
    </row>
    <row r="487" spans="1:20" ht="18" customHeight="1">
      <c r="A487" s="160" t="s">
        <v>247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248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8" t="s">
        <v>243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244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8" t="s">
        <v>246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244</v>
      </c>
      <c r="S513" s="39"/>
      <c r="T513" s="119">
        <f>IFERROR(J513,"")</f>
        <v>0</v>
      </c>
    </row>
    <row r="514" spans="1:20" ht="18" customHeight="1">
      <c r="A514" s="160" t="s">
        <v>247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248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8" t="s">
        <v>243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244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8" t="s">
        <v>246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244</v>
      </c>
      <c r="S540" s="39"/>
      <c r="T540" s="119">
        <f>IFERROR(J540,"")</f>
        <v>0</v>
      </c>
    </row>
    <row r="541" spans="1:20" ht="18" customHeight="1">
      <c r="A541" s="160" t="s">
        <v>247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248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8" t="s">
        <v>243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244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8" t="s">
        <v>246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244</v>
      </c>
      <c r="S567" s="39"/>
      <c r="T567" s="119">
        <f>IFERROR(J567,"")</f>
        <v>0</v>
      </c>
    </row>
    <row r="568" spans="1:20" ht="18" customHeight="1">
      <c r="A568" s="160" t="s">
        <v>247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248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8" t="s">
        <v>243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244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8" t="s">
        <v>246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244</v>
      </c>
      <c r="S594" s="39"/>
      <c r="T594" s="119">
        <f>IFERROR(J594,"")</f>
        <v>0</v>
      </c>
    </row>
    <row r="595" spans="1:20" ht="18" customHeight="1">
      <c r="A595" s="160" t="s">
        <v>247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248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8" t="s">
        <v>243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244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8" t="s">
        <v>246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244</v>
      </c>
      <c r="S621" s="39"/>
      <c r="T621" s="119">
        <f>IFERROR(J621,"")</f>
        <v>0</v>
      </c>
    </row>
    <row r="622" spans="1:20" ht="18" customHeight="1">
      <c r="A622" s="160" t="s">
        <v>247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248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8" t="s">
        <v>243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244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8" t="s">
        <v>246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244</v>
      </c>
      <c r="S648" s="39"/>
      <c r="T648" s="119">
        <f>IFERROR(J648,"")</f>
        <v>0</v>
      </c>
    </row>
    <row r="649" spans="1:20" ht="18" customHeight="1">
      <c r="A649" s="160" t="s">
        <v>247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248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8" t="s">
        <v>243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244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8" t="s">
        <v>246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244</v>
      </c>
      <c r="S675" s="39"/>
      <c r="T675" s="119">
        <f>IFERROR(J675,"")</f>
        <v>0</v>
      </c>
    </row>
    <row r="676" spans="1:20" ht="18" customHeight="1">
      <c r="A676" s="160" t="s">
        <v>247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248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8" t="s">
        <v>243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244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8" t="s">
        <v>246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244</v>
      </c>
      <c r="S702" s="39"/>
      <c r="T702" s="119">
        <f>IFERROR(J702,"")</f>
        <v>0</v>
      </c>
    </row>
    <row r="703" spans="1:20" ht="18" customHeight="1">
      <c r="A703" s="160" t="s">
        <v>247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248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8" t="s">
        <v>243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244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8" t="s">
        <v>246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244</v>
      </c>
      <c r="S729" s="39"/>
      <c r="T729" s="119">
        <f>IFERROR(J729,"")</f>
        <v>0</v>
      </c>
    </row>
    <row r="730" spans="1:20" ht="18" customHeight="1">
      <c r="A730" s="160" t="s">
        <v>247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248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8" t="s">
        <v>243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244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8" t="s">
        <v>246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244</v>
      </c>
      <c r="S756" s="39"/>
      <c r="T756" s="119">
        <f>IFERROR(J756,"")</f>
        <v>0</v>
      </c>
    </row>
    <row r="757" spans="1:20" ht="18" customHeight="1">
      <c r="A757" s="160" t="s">
        <v>247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248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8" t="s">
        <v>243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244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8" t="s">
        <v>246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244</v>
      </c>
      <c r="S783" s="39"/>
      <c r="T783" s="119">
        <f>IFERROR(J783,"")</f>
        <v>0</v>
      </c>
    </row>
    <row r="784" spans="1:20" ht="18" customHeight="1">
      <c r="A784" s="160" t="s">
        <v>247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248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8" t="s">
        <v>243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244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8" t="s">
        <v>246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244</v>
      </c>
      <c r="S810" s="39"/>
      <c r="T810" s="119">
        <f>IFERROR(J810,"")</f>
        <v>0</v>
      </c>
    </row>
    <row r="811" spans="1:20" ht="18" customHeight="1">
      <c r="A811" s="160" t="s">
        <v>247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248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8" t="s">
        <v>243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244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8" t="s">
        <v>246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244</v>
      </c>
      <c r="S837" s="39"/>
      <c r="T837" s="119">
        <f>IFERROR(J837,"")</f>
        <v>0</v>
      </c>
    </row>
    <row r="838" spans="1:20" ht="18" customHeight="1">
      <c r="A838" s="160" t="s">
        <v>247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248</v>
      </c>
      <c r="S838" s="43">
        <f>IFERROR(S824+S837,"")</f>
        <v>0</v>
      </c>
      <c r="T838" s="120">
        <f>IFERROR(J838,"")</f>
        <v>0</v>
      </c>
    </row>
  </sheetData>
  <sheetProtection algorithmName="SHA-512" hashValue="ZFHLeH4pg/rb7olsDfOO0qrLfSVxo43aewoQ3gkfc6Z9OB1rSnozbZEJY2qn/yjEf+JcJQ9XdQi+K6ils5UUAA==" saltValue="Z0WMKvUvyK/+dKWqT/qlqg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379" activePane="bottomLeft" state="frozen"/>
      <selection pane="bottomLeft" activeCell="G400" sqref="G400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133" t="s">
        <v>19</v>
      </c>
      <c r="G1" s="23" t="s">
        <v>234</v>
      </c>
      <c r="H1" s="133" t="s">
        <v>269</v>
      </c>
      <c r="I1" s="133" t="s">
        <v>20</v>
      </c>
      <c r="J1" s="133" t="s">
        <v>270</v>
      </c>
      <c r="K1" s="23" t="s">
        <v>235</v>
      </c>
      <c r="L1" s="23" t="s">
        <v>21</v>
      </c>
      <c r="M1" s="23" t="s">
        <v>22</v>
      </c>
      <c r="N1" s="23" t="s">
        <v>236</v>
      </c>
      <c r="O1" s="23" t="s">
        <v>237</v>
      </c>
      <c r="P1" s="23" t="s">
        <v>238</v>
      </c>
      <c r="Q1" s="24" t="s">
        <v>239</v>
      </c>
      <c r="R1" s="23" t="s">
        <v>240</v>
      </c>
      <c r="S1" s="23" t="s">
        <v>241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258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258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258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258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258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258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258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258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258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258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258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258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8" t="s">
        <v>243</v>
      </c>
      <c r="B14" s="159"/>
      <c r="C14" s="159"/>
      <c r="D14" s="159"/>
      <c r="E14" s="159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244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258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258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322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258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277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258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137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304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258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137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323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258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258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258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169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324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258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258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258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258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8" t="s">
        <v>246</v>
      </c>
      <c r="B27" s="159"/>
      <c r="C27" s="159"/>
      <c r="D27" s="159"/>
      <c r="E27" s="159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244</v>
      </c>
      <c r="S27" s="39">
        <v>491520</v>
      </c>
      <c r="T27" s="119">
        <f>IFERROR(J27,"")</f>
        <v>0</v>
      </c>
    </row>
    <row r="28" spans="1:20" ht="18" customHeight="1">
      <c r="A28" s="160" t="s">
        <v>247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248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258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258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258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258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258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258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258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258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258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258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258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258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8" t="s">
        <v>243</v>
      </c>
      <c r="B41" s="159"/>
      <c r="C41" s="159"/>
      <c r="D41" s="159"/>
      <c r="E41" s="159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244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258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258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258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258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325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258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258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258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258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258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258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258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258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8" t="s">
        <v>246</v>
      </c>
      <c r="B54" s="159"/>
      <c r="C54" s="159"/>
      <c r="D54" s="159"/>
      <c r="E54" s="159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244</v>
      </c>
      <c r="S54" s="39">
        <v>352430</v>
      </c>
      <c r="T54" s="119">
        <f>IFERROR(J54,"")</f>
        <v>0</v>
      </c>
    </row>
    <row r="55" spans="1:20" ht="18" customHeight="1">
      <c r="A55" s="160" t="s">
        <v>247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248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258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258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258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214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258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326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258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137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327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258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258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258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258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258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258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258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8" t="s">
        <v>243</v>
      </c>
      <c r="B68" s="159"/>
      <c r="C68" s="159"/>
      <c r="D68" s="159"/>
      <c r="E68" s="159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244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258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225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328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258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258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258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137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304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258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258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214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258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258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258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258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258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8" t="s">
        <v>246</v>
      </c>
      <c r="B81" s="159"/>
      <c r="C81" s="159"/>
      <c r="D81" s="159"/>
      <c r="E81" s="159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244</v>
      </c>
      <c r="S81" s="39">
        <v>612410</v>
      </c>
      <c r="T81" s="119">
        <f>IFERROR(J81,"")</f>
        <v>0</v>
      </c>
    </row>
    <row r="82" spans="1:20" ht="18" customHeight="1">
      <c r="A82" s="160" t="s">
        <v>247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248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258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170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258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258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258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258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258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258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258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258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258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258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258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8" t="s">
        <v>243</v>
      </c>
      <c r="B95" s="159"/>
      <c r="C95" s="159"/>
      <c r="D95" s="159"/>
      <c r="E95" s="159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244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258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170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258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137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304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258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258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258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258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258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258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258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258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258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258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8" t="s">
        <v>246</v>
      </c>
      <c r="B108" s="159"/>
      <c r="C108" s="159"/>
      <c r="D108" s="159"/>
      <c r="E108" s="159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244</v>
      </c>
      <c r="S108" s="39">
        <v>956070</v>
      </c>
      <c r="T108" s="119">
        <f>IFERROR(J108,"")</f>
        <v>0</v>
      </c>
    </row>
    <row r="109" spans="1:20" ht="18" customHeight="1">
      <c r="A109" s="160" t="s">
        <v>247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248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258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170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258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225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258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230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258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230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258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170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329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258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258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258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258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258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258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258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8" t="s">
        <v>243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244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258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214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258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330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258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258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258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280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258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258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137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304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258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258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258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258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258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8" t="s">
        <v>246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244</v>
      </c>
      <c r="S135" s="39">
        <v>912240</v>
      </c>
      <c r="T135" s="119">
        <f>IFERROR(J135,"")</f>
        <v>0</v>
      </c>
    </row>
    <row r="136" spans="1:22" ht="18" customHeight="1">
      <c r="A136" s="160" t="s">
        <v>247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248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258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258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170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331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258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332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258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258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148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258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258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170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258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258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258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288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258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258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243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244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258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170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333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258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147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334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258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258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258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258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258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258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258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258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258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258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246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244</v>
      </c>
      <c r="S162" s="39">
        <v>573230</v>
      </c>
      <c r="T162" s="119">
        <f>IFERROR(J162,"")</f>
        <v>0</v>
      </c>
    </row>
    <row r="163" spans="1:20" ht="18" customHeight="1">
      <c r="A163" s="160" t="s">
        <v>247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248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258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147</v>
      </c>
      <c r="N164" s="26" t="s">
        <v>141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258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170</v>
      </c>
      <c r="N165" s="33" t="s">
        <v>191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258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170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258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258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164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258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148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258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170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335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258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148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258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258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258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258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243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244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258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336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258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148</v>
      </c>
      <c r="N178" s="26" t="s">
        <v>137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258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170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258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258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258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258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258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258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258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258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258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246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244</v>
      </c>
      <c r="S189" s="39">
        <v>692750</v>
      </c>
      <c r="T189" s="119">
        <f>IFERROR(J189,"")</f>
        <v>0</v>
      </c>
    </row>
    <row r="190" spans="1:20" ht="18" customHeight="1">
      <c r="A190" s="160" t="s">
        <v>247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248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258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170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258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164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337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258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258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165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258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258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258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258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258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258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258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258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243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244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258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338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258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339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258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340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258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258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258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258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258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258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258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258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258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8" t="s">
        <v>246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244</v>
      </c>
      <c r="S216" s="45">
        <v>607180</v>
      </c>
      <c r="T216" s="122">
        <f>IFERROR(J216,"")</f>
        <v>0</v>
      </c>
    </row>
    <row r="217" spans="1:20" ht="18" customHeight="1">
      <c r="A217" s="160" t="s">
        <v>247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248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258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258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258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341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258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342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242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258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258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258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258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258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258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258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8" t="s">
        <v>243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244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258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343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242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344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258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159</v>
      </c>
      <c r="N233" s="33" t="s">
        <v>137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242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242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242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242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242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242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242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242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242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8" t="s">
        <v>246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244</v>
      </c>
      <c r="S243" s="39">
        <v>795250</v>
      </c>
      <c r="T243" s="119">
        <f>IFERROR(J243,"")</f>
        <v>0</v>
      </c>
    </row>
    <row r="244" spans="1:20" ht="18" customHeight="1">
      <c r="A244" s="160" t="s">
        <v>247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248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242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174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242</v>
      </c>
      <c r="F246" s="134"/>
      <c r="G246" s="27" t="s">
        <v>268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242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242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258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159</v>
      </c>
      <c r="N249" s="33" t="s">
        <v>137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345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258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258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258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258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258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258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258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8" t="s">
        <v>243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244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258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258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258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258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258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258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258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258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258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258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258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258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8" t="s">
        <v>246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244</v>
      </c>
      <c r="S270" s="39">
        <v>683360</v>
      </c>
      <c r="T270" s="119">
        <f>IFERROR(J270,"")</f>
        <v>0</v>
      </c>
    </row>
    <row r="271" spans="1:20" ht="18" customHeight="1">
      <c r="A271" s="160" t="s">
        <v>247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248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258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258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258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258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258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258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258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258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258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258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258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258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8" t="s">
        <v>243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244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242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242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258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242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242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242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242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242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242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242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242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242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8" t="s">
        <v>246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244</v>
      </c>
      <c r="S297" s="39">
        <v>904710</v>
      </c>
      <c r="T297" s="119">
        <f>IFERROR(J297,"")</f>
        <v>0</v>
      </c>
    </row>
    <row r="298" spans="1:20" ht="18" customHeight="1">
      <c r="A298" s="160" t="s">
        <v>247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248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258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191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258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258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258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258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258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258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258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258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258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258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258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8" t="s">
        <v>243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244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258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165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258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170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258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258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258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258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258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258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258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258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258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258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8" t="s">
        <v>246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244</v>
      </c>
      <c r="S324" s="39">
        <v>1049720</v>
      </c>
      <c r="T324" s="119">
        <f>IFERROR(J324,"")</f>
        <v>151.15967999999998</v>
      </c>
    </row>
    <row r="325" spans="1:20" ht="18" customHeight="1">
      <c r="A325" s="160" t="s">
        <v>247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248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242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170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242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242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242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258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242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258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258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258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258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258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258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8" t="s">
        <v>243</v>
      </c>
      <c r="B338" s="159"/>
      <c r="C338" s="159"/>
      <c r="D338" s="159"/>
      <c r="E338" s="159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244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258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170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258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258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258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170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258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258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258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258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170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346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258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347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258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258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258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8" t="s">
        <v>246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244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247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248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258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258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148</v>
      </c>
      <c r="N354" s="33" t="s">
        <v>137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258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258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348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258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258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349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258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258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258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258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258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258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243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244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258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258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139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258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170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258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258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258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164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258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350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258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174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258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258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258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258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8" t="s">
        <v>246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244</v>
      </c>
      <c r="S378" s="39">
        <v>1137080</v>
      </c>
      <c r="T378" s="119">
        <f>IFERROR(J378,"")</f>
        <v>238.78679999999994</v>
      </c>
    </row>
    <row r="379" spans="1:20" ht="18" customHeight="1">
      <c r="A379" s="160" t="s">
        <v>247</v>
      </c>
      <c r="B379" s="161"/>
      <c r="C379" s="161"/>
      <c r="D379" s="161"/>
      <c r="E379" s="161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248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258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139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258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136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258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258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170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258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302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258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/>
      <c r="Q385" s="35">
        <f t="shared" ca="1" si="92"/>
        <v>0.49689108796155779</v>
      </c>
      <c r="R385" s="27" t="s">
        <v>351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258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258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258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258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258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258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8" t="s">
        <v>243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0.561474421294891</v>
      </c>
      <c r="R392" s="36" t="s">
        <v>244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258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0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0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225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258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0</v>
      </c>
      <c r="I394" s="135">
        <f>IFERROR(IF($D394="","",VLOOKUP($D394,Cadastro!$C$4:$G$7,5,FALSE)),"")</f>
        <v>0.6</v>
      </c>
      <c r="J394" s="136">
        <f t="shared" si="94"/>
        <v>0</v>
      </c>
      <c r="K394" s="28">
        <f t="shared" si="95"/>
        <v>88.2</v>
      </c>
      <c r="L394" s="26" t="s">
        <v>26</v>
      </c>
      <c r="M394" s="26" t="s">
        <v>170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352</v>
      </c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258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0</v>
      </c>
      <c r="I395" s="135">
        <f>IFERROR(IF($D395="","",VLOOKUP($D395,Cadastro!$C$4:$G$7,5,FALSE)),"")</f>
        <v>0.6</v>
      </c>
      <c r="J395" s="136">
        <f t="shared" si="94"/>
        <v>0</v>
      </c>
      <c r="K395" s="34">
        <f t="shared" si="95"/>
        <v>100.80000000000001</v>
      </c>
      <c r="L395" s="33"/>
      <c r="M395" s="33"/>
      <c r="N395" s="33"/>
      <c r="O395" s="29"/>
      <c r="P395" s="29"/>
      <c r="Q395" s="35" t="str">
        <f t="shared" ca="1" si="96"/>
        <v/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258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0</v>
      </c>
      <c r="I396" s="135">
        <f>IFERROR(IF($D396="","",VLOOKUP($D396,Cadastro!$C$4:$G$7,5,FALSE)),"")</f>
        <v>0.6</v>
      </c>
      <c r="J396" s="136">
        <f t="shared" si="94"/>
        <v>0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258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0</v>
      </c>
      <c r="I397" s="135">
        <f>IFERROR(IF($D397="","",VLOOKUP($D397,Cadastro!$C$4:$G$7,5,FALSE)),"")</f>
        <v>0.6</v>
      </c>
      <c r="J397" s="136">
        <f t="shared" si="94"/>
        <v>0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258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0</v>
      </c>
      <c r="I398" s="135">
        <f>IFERROR(IF($D398="","",VLOOKUP($D398,Cadastro!$C$4:$G$7,5,FALSE)),"")</f>
        <v>0.6</v>
      </c>
      <c r="J398" s="136">
        <f t="shared" si="94"/>
        <v>0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258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0</v>
      </c>
      <c r="I399" s="135">
        <f>IFERROR(IF($D399="","",VLOOKUP($D399,Cadastro!$C$4:$G$7,5,FALSE)),"")</f>
        <v>0.6</v>
      </c>
      <c r="J399" s="136">
        <f t="shared" si="94"/>
        <v>0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258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0</v>
      </c>
      <c r="I400" s="135">
        <f>IFERROR(IF($D400="","",VLOOKUP($D400,Cadastro!$C$4:$G$7,5,FALSE)),"")</f>
        <v>0.6</v>
      </c>
      <c r="J400" s="136">
        <f t="shared" si="94"/>
        <v>0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258</v>
      </c>
      <c r="F401" s="134">
        <f>IFERROR(IF($D401="","",VLOOKUP($D401,Cadastro!$C$4:$E$7,3,FALSE)),"")</f>
        <v>0.35</v>
      </c>
      <c r="G401" s="105"/>
      <c r="H401" s="134" t="str">
        <f>IFERROR(IF($G401="","",$G401*$S$405/$G$405/Cadastro!$E$33),"")</f>
        <v/>
      </c>
      <c r="I401" s="135">
        <f>IFERROR(IF($D401="","",VLOOKUP($D401,Cadastro!$C$4:$G$7,5,FALSE)),"")</f>
        <v>0.6</v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29</v>
      </c>
      <c r="E402" s="109" t="s">
        <v>258</v>
      </c>
      <c r="F402" s="134">
        <f>IFERROR(IF($D402="","",VLOOKUP($D402,Cadastro!$C$4:$E$7,3,FALSE)),"")</f>
        <v>0.35</v>
      </c>
      <c r="G402" s="105"/>
      <c r="H402" s="134" t="str">
        <f>IFERROR(IF($G402="","",$G402*$S$405/$G$405/Cadastro!$E$33),"")</f>
        <v/>
      </c>
      <c r="I402" s="135">
        <f>IFERROR(IF($D402="","",VLOOKUP($D402,Cadastro!$C$4:$G$7,5,FALSE)),"")</f>
        <v>0.6</v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29</v>
      </c>
      <c r="E403" s="109" t="s">
        <v>258</v>
      </c>
      <c r="F403" s="134">
        <f>IFERROR(IF($D403="","",VLOOKUP($D403,Cadastro!$C$4:$E$7,3,FALSE)),"")</f>
        <v>0.35</v>
      </c>
      <c r="G403" s="105"/>
      <c r="H403" s="134" t="str">
        <f>IFERROR(IF($G403="","",$G403*$S$405/$G$405/Cadastro!$E$33),"")</f>
        <v/>
      </c>
      <c r="I403" s="135">
        <f>IFERROR(IF($D403="","",VLOOKUP($D403,Cadastro!$C$4:$G$7,5,FALSE)),"")</f>
        <v>0.6</v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29</v>
      </c>
      <c r="E404" s="109" t="s">
        <v>258</v>
      </c>
      <c r="F404" s="137">
        <f>IFERROR(IF($D404="","",VLOOKUP($D404,Cadastro!$C$4:$E$7,3,FALSE)),"")</f>
        <v>0.35</v>
      </c>
      <c r="G404" s="105"/>
      <c r="H404" s="137" t="str">
        <f>IFERROR(IF($G404="","",$G404*$S$405/$G$405/Cadastro!$E$33),"")</f>
        <v/>
      </c>
      <c r="I404" s="138">
        <f>IFERROR(IF($D404="","",VLOOKUP($D404,Cadastro!$C$4:$G$7,5,FALSE)),"")</f>
        <v>0.6</v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8" t="s">
        <v>246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151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634.20000000000005</v>
      </c>
      <c r="L405" s="37"/>
      <c r="M405" s="37"/>
      <c r="N405" s="37"/>
      <c r="O405" s="61"/>
      <c r="P405" s="61"/>
      <c r="Q405" s="38">
        <f ca="1">IFERROR(SUM(Q393:Q404),"")</f>
        <v>3.54166666666667E-2</v>
      </c>
      <c r="R405" s="36" t="s">
        <v>244</v>
      </c>
      <c r="S405" s="39"/>
      <c r="T405" s="119">
        <f>IFERROR(J405,"")</f>
        <v>0</v>
      </c>
    </row>
    <row r="406" spans="1:20" ht="18" customHeight="1">
      <c r="A406" s="160" t="s">
        <v>247</v>
      </c>
      <c r="B406" s="161"/>
      <c r="C406" s="161"/>
      <c r="D406" s="161"/>
      <c r="E406" s="161">
        <f>E392+E405</f>
        <v>0</v>
      </c>
      <c r="F406" s="112"/>
      <c r="G406" s="91">
        <f>G392+G405</f>
        <v>291</v>
      </c>
      <c r="H406" s="112">
        <f>IFERROR(H392+H405,"")</f>
        <v>675.67000000000007</v>
      </c>
      <c r="I406" s="116"/>
      <c r="J406" s="125">
        <f>IFERROR(J392+J405,"")</f>
        <v>141.89069999999998</v>
      </c>
      <c r="K406" s="40">
        <f>K392+K405</f>
        <v>1222.2</v>
      </c>
      <c r="L406" s="41"/>
      <c r="M406" s="41"/>
      <c r="N406" s="41"/>
      <c r="O406" s="63"/>
      <c r="P406" s="63"/>
      <c r="Q406" s="42">
        <f ca="1">IFERROR(Q392+Q405,"")</f>
        <v>0.59689108796155765</v>
      </c>
      <c r="R406" s="40" t="s">
        <v>248</v>
      </c>
      <c r="S406" s="48">
        <f>IFERROR(S392+S405,"")</f>
        <v>675670</v>
      </c>
      <c r="T406" s="121">
        <f>IFERROR(J406,"")</f>
        <v>141.89069999999998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27"/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8" t="s">
        <v>243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61"/>
      <c r="P419" s="61"/>
      <c r="Q419" s="38">
        <f ca="1">IFERROR(SUM(Q407:Q418),"")</f>
        <v>0</v>
      </c>
      <c r="R419" s="36" t="s">
        <v>244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8" t="s">
        <v>246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244</v>
      </c>
      <c r="S432" s="39"/>
      <c r="T432" s="119">
        <f>IFERROR(J432,"")</f>
        <v>0</v>
      </c>
    </row>
    <row r="433" spans="1:21" ht="18" customHeight="1">
      <c r="A433" s="160" t="s">
        <v>247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63"/>
      <c r="P433" s="63"/>
      <c r="Q433" s="42">
        <f ca="1">IFERROR(Q419+Q432,"")</f>
        <v>0</v>
      </c>
      <c r="R433" s="40" t="s">
        <v>248</v>
      </c>
      <c r="S433" s="48">
        <f>IFERROR(S419+S432,"")</f>
        <v>0</v>
      </c>
      <c r="T433" s="121">
        <f>IFERROR(J433,"")</f>
        <v>0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8" t="s">
        <v>243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244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8" t="s">
        <v>246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244</v>
      </c>
      <c r="S459" s="39"/>
      <c r="T459" s="119">
        <f>IFERROR(J459,"")</f>
        <v>0</v>
      </c>
    </row>
    <row r="460" spans="1:20" ht="18" customHeight="1">
      <c r="A460" s="160" t="s">
        <v>247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248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8" t="s">
        <v>243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244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8" t="s">
        <v>246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244</v>
      </c>
      <c r="S486" s="39"/>
      <c r="T486" s="119">
        <f>IFERROR(J486,"")</f>
        <v>0</v>
      </c>
    </row>
    <row r="487" spans="1:20" ht="18" customHeight="1">
      <c r="A487" s="160" t="s">
        <v>247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248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8" t="s">
        <v>243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244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8" t="s">
        <v>246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244</v>
      </c>
      <c r="S513" s="39"/>
      <c r="T513" s="119">
        <f>IFERROR(J513,"")</f>
        <v>0</v>
      </c>
    </row>
    <row r="514" spans="1:20" ht="18" customHeight="1">
      <c r="A514" s="160" t="s">
        <v>247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248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8" t="s">
        <v>243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244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8" t="s">
        <v>246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244</v>
      </c>
      <c r="S540" s="39"/>
      <c r="T540" s="119">
        <f>IFERROR(J540,"")</f>
        <v>0</v>
      </c>
    </row>
    <row r="541" spans="1:20" ht="18" customHeight="1">
      <c r="A541" s="160" t="s">
        <v>247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248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8" t="s">
        <v>243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244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8" t="s">
        <v>246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244</v>
      </c>
      <c r="S567" s="39"/>
      <c r="T567" s="119">
        <f>IFERROR(J567,"")</f>
        <v>0</v>
      </c>
    </row>
    <row r="568" spans="1:20" ht="18" customHeight="1">
      <c r="A568" s="160" t="s">
        <v>247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248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8" t="s">
        <v>243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244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8" t="s">
        <v>246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244</v>
      </c>
      <c r="S594" s="39"/>
      <c r="T594" s="119">
        <f>IFERROR(J594,"")</f>
        <v>0</v>
      </c>
    </row>
    <row r="595" spans="1:20" ht="18" customHeight="1">
      <c r="A595" s="160" t="s">
        <v>247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248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8" t="s">
        <v>243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244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8" t="s">
        <v>246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244</v>
      </c>
      <c r="S621" s="39"/>
      <c r="T621" s="119">
        <f>IFERROR(J621,"")</f>
        <v>0</v>
      </c>
    </row>
    <row r="622" spans="1:20" ht="18" customHeight="1">
      <c r="A622" s="160" t="s">
        <v>247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248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8" t="s">
        <v>243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244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8" t="s">
        <v>246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244</v>
      </c>
      <c r="S648" s="39"/>
      <c r="T648" s="119">
        <f>IFERROR(J648,"")</f>
        <v>0</v>
      </c>
    </row>
    <row r="649" spans="1:20" ht="18" customHeight="1">
      <c r="A649" s="160" t="s">
        <v>247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248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8" t="s">
        <v>243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244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8" t="s">
        <v>246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244</v>
      </c>
      <c r="S675" s="39"/>
      <c r="T675" s="119">
        <f>IFERROR(J675,"")</f>
        <v>0</v>
      </c>
    </row>
    <row r="676" spans="1:20" ht="18" customHeight="1">
      <c r="A676" s="160" t="s">
        <v>247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248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8" t="s">
        <v>243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244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8" t="s">
        <v>246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244</v>
      </c>
      <c r="S702" s="39"/>
      <c r="T702" s="119">
        <f>IFERROR(J702,"")</f>
        <v>0</v>
      </c>
    </row>
    <row r="703" spans="1:20" ht="18" customHeight="1">
      <c r="A703" s="160" t="s">
        <v>247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248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8" t="s">
        <v>243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244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8" t="s">
        <v>246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244</v>
      </c>
      <c r="S729" s="39"/>
      <c r="T729" s="119">
        <f>IFERROR(J729,"")</f>
        <v>0</v>
      </c>
    </row>
    <row r="730" spans="1:20" ht="18" customHeight="1">
      <c r="A730" s="160" t="s">
        <v>247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248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8" t="s">
        <v>243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244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8" t="s">
        <v>246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244</v>
      </c>
      <c r="S756" s="39"/>
      <c r="T756" s="119">
        <f>IFERROR(J756,"")</f>
        <v>0</v>
      </c>
    </row>
    <row r="757" spans="1:20" ht="18" customHeight="1">
      <c r="A757" s="160" t="s">
        <v>247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248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8" t="s">
        <v>243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244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8" t="s">
        <v>246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244</v>
      </c>
      <c r="S783" s="39"/>
      <c r="T783" s="119">
        <f>IFERROR(J783,"")</f>
        <v>0</v>
      </c>
    </row>
    <row r="784" spans="1:20" ht="18" customHeight="1">
      <c r="A784" s="160" t="s">
        <v>247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248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8" t="s">
        <v>243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244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8" t="s">
        <v>246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244</v>
      </c>
      <c r="S810" s="39"/>
      <c r="T810" s="119">
        <f>IFERROR(J810,"")</f>
        <v>0</v>
      </c>
    </row>
    <row r="811" spans="1:20" ht="18" customHeight="1">
      <c r="A811" s="160" t="s">
        <v>247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248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8" t="s">
        <v>243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244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8" t="s">
        <v>246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244</v>
      </c>
      <c r="S837" s="39"/>
      <c r="T837" s="119">
        <f>IFERROR(J837,"")</f>
        <v>0</v>
      </c>
    </row>
    <row r="838" spans="1:20" ht="18" customHeight="1">
      <c r="A838" s="160" t="s">
        <v>247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248</v>
      </c>
      <c r="S838" s="48">
        <f>IFERROR(S824+S837,"")</f>
        <v>0</v>
      </c>
      <c r="T838" s="121">
        <f>IFERROR(J838,"")</f>
        <v>0</v>
      </c>
    </row>
  </sheetData>
  <sheetProtection algorithmName="SHA-512" hashValue="rS2t3fejTaq4A379akafgaTA5DrSu90PpMCCwDK929/gTgeGdli8kLgz9CbivPBQYb/xsR2wuuuzaL1tqbgyLQ==" saltValue="sAu/hKgMiRf+iZHwVDCkLg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2026-08-16T06:59:53Z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