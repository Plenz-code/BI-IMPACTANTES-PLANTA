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17" documentId="13_ncr:1_{0A10D8D4-8450-4366-8075-B53B08E6B7EA}" xr6:coauthVersionLast="47" xr6:coauthVersionMax="47" xr10:uidLastSave="{7C7F0281-9460-4CDE-8510-39FEB4B0FC1E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4" i="6"/>
  <c r="J354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79" i="6" l="1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3" i="6" l="1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<sst xmlns="http://schemas.openxmlformats.org/spreadsheetml/2006/main" count="6256" uniqueCount="342">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</sst>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D364" sqref="D36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5" t="s">
        <v>245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5" t="s">
        <v>245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5" t="s">
        <v>245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5" t="s">
        <v>245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5" t="s">
        <v>245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5" t="s">
        <v>245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5" t="s">
        <v>245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5" t="s">
        <v>245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241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5" t="s">
        <v>245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5" t="s">
        <v>245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5" t="s">
        <v>245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241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5" t="s">
        <v>245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5" t="s">
        <v>245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 t="s">
        <v>35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 t="s">
        <v>35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 t="s">
        <v>35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 t="s">
        <v>35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 t="s">
        <v>35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54">
        <f>SUM(E353:E364)</f>
        <v>0</v>
      </c>
      <c r="F365" s="36">
        <f>SUM(F353:F364)</f>
        <v>36</v>
      </c>
      <c r="G365" s="36">
        <f>SUM(G353:G364)</f>
        <v>180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5" t="s">
        <v>245</v>
      </c>
      <c r="B379" s="156"/>
      <c r="C379" s="156"/>
      <c r="D379" s="156"/>
      <c r="E379" s="157">
        <f>E365+E378</f>
        <v>0</v>
      </c>
      <c r="F379" s="40">
        <f>F365+F378</f>
        <v>36</v>
      </c>
      <c r="G379" s="40">
        <f>G365+G378</f>
        <v>180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5" t="s">
        <v>245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5" t="s">
        <v>245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5" t="s">
        <v>245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5" t="s">
        <v>245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5" t="s">
        <v>245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5" t="s">
        <v>245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5" t="s">
        <v>245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5" t="s">
        <v>245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5" t="s">
        <v>245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5" t="s">
        <v>245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5" t="s">
        <v>245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5" t="s">
        <v>245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5" t="s">
        <v>245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5" t="s">
        <v>245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5" t="s">
        <v>245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1" t="s">
        <v>245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5" t="s">
        <v>245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0.2355787037013215</v>
      </c>
      <c r="R53" s="46" t="s">
        <v>276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0.3744675925902104</v>
      </c>
      <c r="R54" s="36" t="s">
        <v>242</v>
      </c>
      <c r="S54" s="75">
        <v>352430</v>
      </c>
      <c r="T54" s="117"/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0.45918981481243271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241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E353" sqref="E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4.2523148149484769E-2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12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50.400000000000006</v>
      </c>
      <c r="L365" s="37"/>
      <c r="M365" s="37"/>
      <c r="N365" s="37"/>
      <c r="O365" s="61"/>
      <c r="P365" s="61"/>
      <c r="Q365" s="38">
        <f ca="1">IFERROR(SUM(Q353:Q364),"")</f>
        <v>4.2523148149484769E-2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50.400000000000006</v>
      </c>
      <c r="L379" s="41"/>
      <c r="M379" s="41"/>
      <c r="N379" s="41"/>
      <c r="O379" s="63"/>
      <c r="P379" s="63"/>
      <c r="Q379" s="42">
        <f ca="1">IFERROR(Q365+Q378,"")</f>
        <v>4.2523148149484769E-2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2026-08-14T12:34:33Z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