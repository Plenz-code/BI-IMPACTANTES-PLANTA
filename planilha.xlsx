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609" documentId="8_{AF585B22-221D-4780-BB9C-493D365A6A02}" xr6:coauthVersionLast="47" xr6:coauthVersionMax="47" xr10:uidLastSave="{0E510BF2-708A-476C-B735-6D07F2F86D78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623" i="4" l="1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<sst xmlns="http://schemas.openxmlformats.org/spreadsheetml/2006/main" count="10007" uniqueCount="391">
  <si>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</si>
  <si>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</si>
  <si>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</si>
  <si>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</si>
  <si>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</si>
  <si>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</si>
  <si>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</si>
  <si>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</si>
  <si>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</si>
  <si>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</si>
  <si>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</si>
  <si>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</si>
  <si>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</si>
  <si>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</si>
  <si>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</si>
  <si>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</si>
  <si>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</si>
  <si>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</si>
  <si>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</si>
  <si>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</si>
  <si>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</si>
  <si>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</si>
  <si>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</si>
  <si>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</si>
  <si>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</si>
  <si>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</si>
  <si>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</si>
  <si>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</si>
  <si>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</si>
  <si>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</si>
  <si>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</si>
  <si>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</si>
  <si>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</si>
  <si>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</si>
  <si>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</si>
  <si>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</si>
  <si>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</si>
  <si>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</si>
  <si>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</si>
  <si>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</si>
  <si>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</si>
  <si>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</si>
  <si>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</si>
  <si>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</si>
  <si>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</si>
  <si>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</si>
  <si>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</si>
  <si>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</si>
  <si>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</si>
  <si>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</si>
  <si>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</si>
  <si>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</si>
  <si>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</si>
  <si>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</si>
  <si>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</si>
  <si>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</si>
  <si>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</si>
  <si>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</si>
  <si>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</si>
  <si>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</si>
  <si>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</si>
  <si>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</si>
  <si>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</si>
  <si>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</si>
  <si>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</si>
  <si>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</si>
  <si>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</si>
  <si>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</si>
  <si>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</si>
  <si>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</si>
  <si>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</si>
  <si>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</si>
  <si>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</si>
  <si>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</si>
  <si>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</si>
  <si>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</si>
  <si>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</si>
  <si>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</si>
  <si>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</si>
  <si>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</si>
  <si>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</si>
  <si>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</si>
  <si>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</si>
  <si>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</si>
  <si>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</si>
  <si>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</si>
  <si>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</si>
  <si>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</si>
  <si>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</si>
  <si>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</si>
  <si>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</si>
  <si>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</si>
  <si>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</si>
  <si>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</si>
  <si>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</si>
  <si>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</si>
  <si>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</si>
  <si>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</si>
  <si>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</si>
  <si>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</si>
  <si>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</si>
  <si>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</si>
  <si>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</si>
  <si>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</si>
  <si>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</si>
  <si>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</si>
  <si>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</si>
  <si>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</si>
  <si>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</si>
  <si>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</si>
  <si>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</si>
  <si>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</si>
  <si>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</si>
  <si>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</si>
  <si>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</si>
  <si>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</si>
  <si>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</si>
  <si>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</si>
  <si>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</si>
  <si>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</si>
  <si>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</si>
  <si>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</si>
  <si>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</si>
  <si>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</si>
  <si>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</si>
  <si>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</si>
  <si>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</si>
  <si>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</si>
  <si>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</si>
  <si>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</si>
  <si>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</si>
  <si>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</si>
  <si>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</si>
  <si>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</si>
  <si>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</si>
  <si>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</si>
  <si>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</si>
  <si>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</si>
  <si>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</si>
  <si>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</si>
  <si>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</si>
  <si>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</si>
  <si>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</si>
  <si>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</si>
  <si>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</si>
  <si>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</si>
  <si>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</si>
  <si>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</si>
  <si>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</si>
  <si>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</si>
  <si>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</si>
  <si>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</si>
  <si>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</si>
  <si>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</si>
  <si>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</si>
  <si>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</si>
  <si>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</si>
  <si>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</si>
  <si>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</si>
  <si>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</si>
  <si>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</si>
  <si>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</si>
  <si>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</si>
  <si>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</si>
  <si>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</si>
  <si>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</si>
  <si>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</si>
  <si>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</si>
  <si>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</si>
  <si>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</si>
  <si>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</si>
  <si>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</si>
  <si>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</si>
  <si>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</si>
  <si>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</si>
  <si>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</si>
  <si>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</si>
  <si>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</si>
  <si>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</si>
  <si>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</si>
  <si>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</si>
  <si>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</si>
  <si>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</si>
  <si>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</si>
  <si>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</si>
  <si>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</si>
  <si>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</si>
  <si>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</si>
  <si>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</si>
  <si>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</si>
  <si>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</si>
  <si>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</si>
  <si>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</si>
  <si>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</si>
  <si>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</si>
  <si>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</si>
  <si>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</si>
  <si>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</si>
  <si>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</si>
  <si>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</si>
  <si>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</si>
  <si>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</si>
  <si>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</si>
  <si>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</si>
  <si>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</si>
  <si>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</si>
  <si>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</si>
  <si>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</si>
  <si>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</si>
  <si>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</si>
  <si>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</si>
  <si>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</si>
  <si>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</si>
  <si>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</si>
  <si>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</si>
  <si>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</si>
  <si>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</si>
  <si>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</si>
  <si>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</si>
  <si>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</si>
  <si>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</si>
  <si>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</si>
  <si>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</si>
  <si>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</si>
  <si>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</si>
  <si>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</si>
  <si>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</si>
  <si>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</si>
  <si>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</si>
  <si>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</si>
  <si>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</si>
  <si>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</si>
  <si>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</si>
  <si>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</si>
  <si>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</si>
  <si>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</si>
  <si>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</si>
  <si>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</si>
  <si>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</si>
  <si>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</si>
  <si>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</si>
  <si>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</si>
  <si>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</si>
  <si>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</si>
  <si>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</si>
  <si>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</si>
  <si>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</si>
  <si>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</si>
  <si>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</si>
  <si>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</si>
  <si>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</si>
  <si>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</si>
  <si>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</si>
  <si>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</si>
  <si>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</si>
  <si>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</si>
  <si>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</si>
  <si>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</si>
  <si>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</si>
  <si>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</si>
  <si>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</si>
  <si>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</si>
  <si>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</si>
  <si>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</si>
  <si>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</si>
  <si>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</si>
  <si>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</si>
  <si>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</si>
  <si>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</si>
  <si>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</si>
  <si>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</si>
  <si>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</si>
  <si>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</si>
  <si>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</si>
  <si>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</si>
  <si>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</si>
  <si>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</si>
  <si>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</si>
  <si>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</si>
  <si>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</si>
  <si>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</si>
  <si>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</si>
  <si>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</si>
  <si>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</si>
  <si>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</si>
  <si>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</si>
  <si>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</si>
  <si>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</si>
  <si>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</si>
  <si>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</si>
  <si>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</si>
  <si>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</si>
  <si>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</si>
  <si>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</si>
  <si>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</si>
  <si>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</si>
  <si>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</si>
  <si>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</si>
  <si>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</si>
  <si>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</si>
  <si>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</si>
  <si>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</si>
  <si>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</si>
  <si>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</si>
  <si>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</si>
  <si>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</si>
  <si>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</si>
  <si>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</si>
  <si>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</si>
  <si>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</si>
  <si>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</si>
  <si>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</si>
  <si>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</si>
  <si>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</si>
  <si>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</si>
  <si>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</si>
  <si>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</si>
  <si>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</si>
  <si>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</si>
  <si>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</si>
  <si>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</si>
  <si>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</si>
  <si>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</si>
  <si>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</si>
  <si>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</si>
  <si>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</si>
  <si>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</si>
  <si>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</si>
  <si>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</si>
  <si>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</si>
  <si>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</si>
  <si>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</si>
  <si>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</si>
  <si>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</si>
  <si>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</si>
  <si>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</si>
  <si>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</si>
  <si>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</si>
  <si>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</si>
  <si>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</si>
  <si>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</si>
  <si>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</si>
  <si>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</si>
  <si>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solda na caixa de recebimento do hidrociclone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</si>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</sst>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75156798</v>
      </c>
      <c r="D35" s="13">
        <f>IFERROR(SUM(D4:D34),"")</f>
        <v>29481690</v>
      </c>
      <c r="E35" s="13">
        <f>IFERROR(SUM(E4:E34),"")</f>
        <v>17063770</v>
      </c>
      <c r="F35" s="13">
        <f>IFERROR(SUM(F4:F34),"")</f>
        <v>31043010</v>
      </c>
      <c r="G35" s="13">
        <f>IFERROR(SUM(G4:G34),"")</f>
        <v>77588470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45" activePane="bottomLeft" state="frozen"/>
      <selection pane="bottomLeft" activeCell="F659" sqref="F65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265</v>
      </c>
      <c r="G662" s="36">
        <f>SUM(G650:G661)</f>
        <v>1325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265</v>
      </c>
      <c r="G676" s="40">
        <f>G662+G675</f>
        <v>1325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40" activePane="bottomLeft" state="frozen"/>
      <selection pane="bottomLeft" activeCell="F660" sqref="F66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7.285156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264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265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266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269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270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271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272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273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275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279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280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282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277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285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286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288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292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293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0.47045335647999309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0.62809224536888197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0.73781446759110414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277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294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295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0.44892557870480232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0.61975891203813571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0.76489780092702464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298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299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300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301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302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303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304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305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306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307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308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310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111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311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312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313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314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112</v>
      </c>
      <c r="G662" s="36">
        <f>SUM(G650:G661)</f>
        <v>478.40000000000003</v>
      </c>
      <c r="H662" s="37"/>
      <c r="I662" s="37"/>
      <c r="J662" s="37"/>
      <c r="K662" s="37"/>
      <c r="L662" s="37"/>
      <c r="M662" s="38">
        <f ca="1">IFERROR(SUM(M650:M661),"")</f>
        <v>0.13263888888888903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112</v>
      </c>
      <c r="G676" s="40">
        <f>G662+G675</f>
        <v>478.40000000000003</v>
      </c>
      <c r="H676" s="41"/>
      <c r="I676" s="41"/>
      <c r="J676" s="41"/>
      <c r="K676" s="41"/>
      <c r="L676" s="41"/>
      <c r="M676" s="42">
        <f ca="1">IFERROR(M662+M675,"")</f>
        <v>0.13263888888888903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642" zoomScale="50" zoomScaleNormal="50" workbookViewId="0">
      <selection activeCell="F660" sqref="F66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313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299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276</v>
      </c>
      <c r="K141" s="29">
        <v>0.71597222222222223</v>
      </c>
      <c r="L141" s="29" t="s">
        <v>320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322</v>
      </c>
      <c r="N166" s="27" t="s">
        <v>323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340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342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/>
      <c r="I652" s="26"/>
      <c r="J652" s="26"/>
      <c r="K652" s="29">
        <v>0.70694444444444449</v>
      </c>
      <c r="L652" s="29"/>
      <c r="M652" s="30">
        <f t="shared" ca="1" si="145"/>
        <v>3.0922453734092414E-3</v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94</v>
      </c>
      <c r="G662" s="36">
        <f>SUM(G650:G661)</f>
        <v>402.79999999999995</v>
      </c>
      <c r="H662" s="37"/>
      <c r="I662" s="37"/>
      <c r="J662" s="37"/>
      <c r="K662" s="37"/>
      <c r="L662" s="37"/>
      <c r="M662" s="38">
        <f ca="1">IFERROR(SUM(M650:M661),"")</f>
        <v>7.3231134262298214E-2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94</v>
      </c>
      <c r="G676" s="40">
        <f>G662+G675</f>
        <v>402.79999999999995</v>
      </c>
      <c r="H676" s="41"/>
      <c r="I676" s="41"/>
      <c r="J676" s="41"/>
      <c r="K676" s="41"/>
      <c r="L676" s="41"/>
      <c r="M676" s="42">
        <f ca="1">IFERROR(M662+M675,"")</f>
        <v>7.3231134262298214E-2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33" activePane="bottomLeft" state="frozen"/>
      <selection pane="bottomLeft" activeCell="F653" sqref="F65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344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299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345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346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347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348</v>
      </c>
      <c r="L58" s="29">
        <v>0.54097222222222219</v>
      </c>
      <c r="M58" s="30" t="str">
        <f t="shared" ca="1" si="13"/>
        <v/>
      </c>
      <c r="N58" s="27" t="s">
        <v>349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313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350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351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352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353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354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355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356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357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0.46073113426245982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274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0.66003668981801544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1.0273978009291265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358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360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361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362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363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364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365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367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368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369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271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299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371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372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373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360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374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375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376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377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378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353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353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379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380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381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382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383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384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385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386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387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388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389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/>
      <c r="M650" s="30">
        <f t="shared" ref="M650:M661" ca="1" si="145">IFERROR(IF(K650="","",IF(L650="",MOD(NOW()-K650,1),IF(L650&gt;=K650,L650-K650,L650+1-K650))),"")</f>
        <v>0.4183700231515104</v>
      </c>
      <c r="N650" s="27" t="s">
        <v>390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0.4183700231515104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0.4183700231515104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2026-07-25T21:02:45Z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