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00" documentId="8_{AF585B22-221D-4780-BB9C-493D365A6A02}" xr6:coauthVersionLast="47" xr6:coauthVersionMax="47" xr10:uidLastSave="{C9860983-3376-4144-BD4E-EC836033D197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<sst xmlns="http://schemas.openxmlformats.org/spreadsheetml/2006/main" count="5306" uniqueCount="301">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</sst>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11" activePane="bottomLeft" state="frozen"/>
      <selection pane="bottomLeft" activeCell="D312" sqref="D312:D3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217.5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9" activePane="bottomLeft" state="frozen"/>
      <selection pane="bottomLeft" activeCell="E322" sqref="E3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2.6365162040747236E-2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2.6365162040747236E-2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91</v>
      </c>
      <c r="G325" s="40">
        <f>G311+G324</f>
        <v>382.2</v>
      </c>
      <c r="H325" s="41"/>
      <c r="I325" s="41"/>
      <c r="J325" s="41"/>
      <c r="K325" s="41"/>
      <c r="L325" s="41"/>
      <c r="M325" s="42">
        <f ca="1">IFERROR(M311+M324,"")</f>
        <v>0.17705960648519165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E323" sqref="E3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/>
      <c r="G312" s="28" t="str">
        <f t="shared" ref="G312:G323" si="69">IF(F312="","",IF(E312="PC 17",F312*4.2,IF(E312="PC 19",F312*5,"")))</f>
        <v/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2.6365162040747236E-2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232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2.6365162040747236E-2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69</v>
      </c>
      <c r="G325" s="40">
        <f>G311+G324</f>
        <v>294.60000000000002</v>
      </c>
      <c r="H325" s="41"/>
      <c r="I325" s="41"/>
      <c r="J325" s="41"/>
      <c r="K325" s="41"/>
      <c r="L325" s="41"/>
      <c r="M325" s="42">
        <f ca="1">IFERROR(M311+M324,"")</f>
        <v>0.12567071759630266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5" activePane="bottomLeft" state="frozen"/>
      <selection pane="bottomLeft" activeCell="K317" sqref="K31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0.57358761574141681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0.77289317129697244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1.1402542824080835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8</v>
      </c>
      <c r="G312" s="28">
        <f t="shared" ref="G312:G323" si="69">IF(F312="","",IF(E312="PC 17",F312*4.2,IF(E312="PC 19",F312*5,"")))</f>
        <v>40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232</v>
      </c>
      <c r="F313" s="27"/>
      <c r="G313" s="34" t="str">
        <f t="shared" si="69"/>
        <v/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232</v>
      </c>
      <c r="F314" s="27"/>
      <c r="G314" s="28" t="str">
        <f t="shared" si="69"/>
        <v/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/>
      <c r="G315" s="34" t="str">
        <f t="shared" si="69"/>
        <v/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232</v>
      </c>
      <c r="F316" s="27"/>
      <c r="G316" s="28" t="str">
        <f t="shared" si="69"/>
        <v/>
      </c>
      <c r="H316" s="26"/>
      <c r="I316" s="26"/>
      <c r="J316" s="26"/>
      <c r="K316" s="29">
        <v>0.82222222222222219</v>
      </c>
      <c r="L316" s="29"/>
      <c r="M316" s="30">
        <f t="shared" ca="1" si="70"/>
        <v>6.7094906989950687E-4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232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232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232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232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232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8</v>
      </c>
      <c r="G324" s="36">
        <f>SUM(G312:G323)</f>
        <v>40</v>
      </c>
      <c r="H324" s="37"/>
      <c r="I324" s="37"/>
      <c r="J324" s="37"/>
      <c r="K324" s="61"/>
      <c r="L324" s="61"/>
      <c r="M324" s="38">
        <f ca="1">IFERROR(SUM(M312:M323),"")</f>
        <v>2.7059837958788302E-2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38</v>
      </c>
      <c r="G325" s="40">
        <f>G311+G324</f>
        <v>166</v>
      </c>
      <c r="H325" s="41"/>
      <c r="I325" s="41"/>
      <c r="J325" s="41"/>
      <c r="K325" s="63"/>
      <c r="L325" s="63"/>
      <c r="M325" s="42">
        <f ca="1">IFERROR(M311+M324,"")</f>
        <v>0.44025428240323283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2026-07-12T23:45:30Z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