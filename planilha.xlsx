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42" documentId="8_{AF585B22-221D-4780-BB9C-493D365A6A02}" xr6:coauthVersionLast="47" xr6:coauthVersionMax="47" xr10:uidLastSave="{2E38C5D7-5AB1-49AC-846C-AE2B74FFB5B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<sst xmlns="http://schemas.openxmlformats.org/spreadsheetml/2006/main" count="4919" uniqueCount="293">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</sst>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90" sqref="F29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590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434</v>
      </c>
      <c r="G298" s="40">
        <f>G284+G297</f>
        <v>2170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F290" sqref="F2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0</v>
      </c>
      <c r="G288" s="28">
        <f t="shared" si="63"/>
        <v>0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33.6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83</v>
      </c>
      <c r="G297" s="36">
        <f>SUM(G285:G296)</f>
        <v>348.6</v>
      </c>
      <c r="H297" s="37"/>
      <c r="I297" s="37"/>
      <c r="J297" s="37"/>
      <c r="K297" s="37"/>
      <c r="L297" s="37"/>
      <c r="M297" s="38">
        <f ca="1">IFERROR(SUM(M285:M296),"")</f>
        <v>3.472222222222221E-2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266</v>
      </c>
      <c r="G298" s="40">
        <f>G284+G297</f>
        <v>1117.1999999999998</v>
      </c>
      <c r="H298" s="41"/>
      <c r="I298" s="41"/>
      <c r="J298" s="41"/>
      <c r="K298" s="41"/>
      <c r="L298" s="41"/>
      <c r="M298" s="42">
        <f ca="1">IFERROR(M284+M297,"")</f>
        <v>0.19236111111111104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3" zoomScale="50" zoomScaleNormal="50" workbookViewId="0">
      <selection activeCell="F290" sqref="F2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261</v>
      </c>
      <c r="N166" s="27" t="s">
        <v>262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31</v>
      </c>
      <c r="G297" s="36">
        <f>SUM(G285:G296)</f>
        <v>130.20000000000002</v>
      </c>
      <c r="H297" s="37"/>
      <c r="I297" s="37"/>
      <c r="J297" s="37"/>
      <c r="K297" s="37"/>
      <c r="L297" s="37"/>
      <c r="M297" s="38">
        <f ca="1">IFERROR(SUM(M285:M296),"")</f>
        <v>7.8472222222222276E-2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31</v>
      </c>
      <c r="G298" s="40">
        <f>G284+G297</f>
        <v>436.79999999999995</v>
      </c>
      <c r="H298" s="41"/>
      <c r="I298" s="41"/>
      <c r="J298" s="41"/>
      <c r="K298" s="41"/>
      <c r="L298" s="41"/>
      <c r="M298" s="42">
        <f ca="1">IFERROR(M284+M297,"")</f>
        <v>0.1340277777777778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62" activePane="bottomLeft" state="frozen"/>
      <selection pane="bottomLeft" activeCell="F290" sqref="F29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272</v>
      </c>
      <c r="L58" s="29">
        <v>0.54097222222222219</v>
      </c>
      <c r="M58" s="30" t="str">
        <f t="shared" ca="1" si="13"/>
        <v/>
      </c>
      <c r="N58" s="27" t="s">
        <v>273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0.75020856481569353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0.94951412037124916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1.3168752314823602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40</v>
      </c>
      <c r="G287" s="34">
        <f t="shared" si="63"/>
        <v>168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16</v>
      </c>
      <c r="G288" s="28">
        <f t="shared" si="63"/>
        <v>67.2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71.400000000000006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74</v>
      </c>
      <c r="G297" s="36">
        <f>SUM(G285:G296)</f>
        <v>310.79999999999995</v>
      </c>
      <c r="H297" s="37"/>
      <c r="I297" s="37"/>
      <c r="J297" s="37"/>
      <c r="K297" s="61"/>
      <c r="L297" s="61"/>
      <c r="M297" s="38">
        <f ca="1">IFERROR(SUM(M285:M296),"")</f>
        <v>7.986111111111116E-2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261</v>
      </c>
      <c r="G298" s="40">
        <f>G284+G297</f>
        <v>1096.2</v>
      </c>
      <c r="H298" s="41"/>
      <c r="I298" s="41"/>
      <c r="J298" s="41"/>
      <c r="K298" s="63"/>
      <c r="L298" s="63"/>
      <c r="M298" s="42">
        <f ca="1">IFERROR(M284+M297,"")</f>
        <v>0.14374999999999999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2026-07-12T03:59:36Z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