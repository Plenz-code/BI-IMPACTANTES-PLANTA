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085" documentId="8_{1D11E9C4-FEA4-4128-910F-91CB6BBF9255}" xr6:coauthVersionLast="47" xr6:coauthVersionMax="47" xr10:uidLastSave="{7A9AD053-244D-4270-815E-7C3CCDE7465B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<sst xmlns="http://schemas.openxmlformats.org/spreadsheetml/2006/main" count="7778" uniqueCount="354">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</sst>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/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169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170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171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172</v>
      </c>
      <c r="L48" s="3"/>
      <c r="M48" s="3"/>
    </row>
    <row r="49" spans="1:13" ht="18" customHeight="1">
      <c r="H49" s="96"/>
      <c r="I49" s="4"/>
      <c r="J49" s="4"/>
      <c r="K49" s="4" t="s">
        <v>173</v>
      </c>
      <c r="L49" s="4"/>
      <c r="M49" s="4"/>
    </row>
    <row r="50" spans="1:13" ht="21" customHeight="1">
      <c r="A50" s="6" t="s">
        <v>174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G708" sqref="G70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185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187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185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187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185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187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185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187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185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187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185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187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185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187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185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187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185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187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185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187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185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187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185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187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185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187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>
      <c r="A352" s="91" t="s">
        <v>188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185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187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185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187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185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187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187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185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187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185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187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185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187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185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187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185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187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185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187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185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187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185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187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185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187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/>
      <c r="L705" s="71" t="str">
        <f t="shared" si="160"/>
        <v/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/>
      <c r="K706" s="13"/>
      <c r="L706" s="70" t="str">
        <f t="shared" si="160"/>
        <v/>
      </c>
      <c r="M706" s="29"/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/>
      <c r="F708" s="12" t="str">
        <f t="shared" si="159"/>
        <v/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/>
      <c r="F709" s="17" t="str">
        <f t="shared" si="159"/>
        <v/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185</v>
      </c>
      <c r="B716" s="98"/>
      <c r="C716" s="98"/>
      <c r="D716" s="98"/>
      <c r="E716" s="19">
        <f>SUM(E704:E715)</f>
        <v>80</v>
      </c>
      <c r="F716" s="19">
        <f>SUM(F704:F715)</f>
        <v>400</v>
      </c>
      <c r="G716" s="18"/>
      <c r="H716" s="18"/>
      <c r="I716" s="18"/>
      <c r="J716" s="18"/>
      <c r="K716" s="18"/>
      <c r="L716" s="72">
        <f>IFERROR(SUM(L704:L715),"")</f>
        <v>4.166666666666663E-2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187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80</v>
      </c>
      <c r="F730" s="22">
        <f>F716+F729</f>
        <v>400</v>
      </c>
      <c r="G730" s="21"/>
      <c r="H730" s="21"/>
      <c r="I730" s="21"/>
      <c r="J730" s="21"/>
      <c r="K730" s="21"/>
      <c r="L730" s="73">
        <f>IFERROR(L716+L729,"")</f>
        <v>4.166666666666663E-2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185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187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185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187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185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187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76" activePane="bottomLeft" state="frozen"/>
      <selection pane="bottomLeft" activeCell="K706" sqref="K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/>
      <c r="F708" s="12" t="str">
        <f t="shared" si="157"/>
        <v/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47</v>
      </c>
      <c r="F716" s="19">
        <f>SUM(F704:F715)</f>
        <v>188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47</v>
      </c>
      <c r="F730" s="22">
        <f>F716+F729</f>
        <v>188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7" activePane="bottomLeft" state="frozen"/>
      <selection pane="bottomLeft" activeCell="F704" sqref="F704:F70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>
      <c r="A28" s="91" t="s">
        <v>188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>
      <c r="A55" s="91" t="s">
        <v>188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>
      <c r="A109" s="91" t="s">
        <v>188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>
      <c r="A136" s="91" t="s">
        <v>188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>
      <c r="A217" s="91" t="s">
        <v>188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/>
      <c r="H704" s="10"/>
      <c r="I704" s="10"/>
      <c r="J704" s="13"/>
      <c r="K704" s="13"/>
      <c r="L704" s="70" t="str">
        <f t="shared" ref="L704:L715" si="157">IFERROR(IF(K704="","",IF(K704&gt;=J704,K704-J704,K704+1-J704)),"")</f>
        <v/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/>
      <c r="F708" s="12" t="str">
        <f t="shared" si="156"/>
        <v/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/>
      <c r="F709" s="17" t="str">
        <f t="shared" si="156"/>
        <v/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26</v>
      </c>
      <c r="F716" s="19">
        <f>SUM(F704:F715)</f>
        <v>104</v>
      </c>
      <c r="G716" s="18"/>
      <c r="H716" s="18"/>
      <c r="I716" s="18"/>
      <c r="J716" s="18"/>
      <c r="K716" s="18"/>
      <c r="L716" s="72">
        <f>IFERROR(SUM(L704:L715),"")</f>
        <v>0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26</v>
      </c>
      <c r="F730" s="22">
        <f>F716+F729</f>
        <v>104</v>
      </c>
      <c r="G730" s="21"/>
      <c r="H730" s="21"/>
      <c r="I730" s="21"/>
      <c r="J730" s="21"/>
      <c r="K730" s="21"/>
      <c r="L730" s="73">
        <f>IFERROR(L716+L729,"")</f>
        <v>0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F704" sqref="F704:F70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>
      <c r="A433" s="91" t="s">
        <v>188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185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/>
      <c r="H705" s="16"/>
      <c r="I705" s="16"/>
      <c r="J705" s="13">
        <v>0.50694444444444442</v>
      </c>
      <c r="K705" s="13"/>
      <c r="L705" s="71" t="str">
        <f t="shared" si="158"/>
        <v/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/>
      <c r="F708" s="12" t="str">
        <f t="shared" si="157"/>
        <v/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49</v>
      </c>
      <c r="F716" s="19">
        <f>SUM(F704:F715)</f>
        <v>196</v>
      </c>
      <c r="G716" s="38"/>
      <c r="H716" s="38"/>
      <c r="I716" s="38"/>
      <c r="J716" s="38"/>
      <c r="K716" s="38"/>
      <c r="L716" s="72">
        <f>IFERROR(SUM(L704:L715),"")</f>
        <v>2.0833333333333315E-2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49</v>
      </c>
      <c r="F730" s="22">
        <f>F716+F729</f>
        <v>196</v>
      </c>
      <c r="G730" s="39"/>
      <c r="H730" s="39"/>
      <c r="I730" s="39"/>
      <c r="J730" s="39"/>
      <c r="K730" s="39"/>
      <c r="L730" s="73">
        <f>IFERROR(L716+L729,"")</f>
        <v>2.0833333333333315E-2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185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187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>
      <c r="A811" s="107" t="s">
        <v>188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2026-06-27T16:42:11Z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